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urtish/Library/CloudStorage/Box-Box/Virus Knowledgebase/taxonomy/ICTV_update/2026_updates/202603_MSL41v1/"/>
    </mc:Choice>
  </mc:AlternateContent>
  <xr:revisionPtr revIDLastSave="0" documentId="8_{F5AC684C-2BC6-7F47-8B31-760A46BDBC00}" xr6:coauthVersionLast="47" xr6:coauthVersionMax="47" xr10:uidLastSave="{00000000-0000-0000-0000-000000000000}"/>
  <bookViews>
    <workbookView xWindow="3260" yWindow="2260" windowWidth="28040" windowHeight="17180" xr2:uid="{10079C5B-8EDF-A644-80E6-BFA873CF60AD}"/>
  </bookViews>
  <sheets>
    <sheet name="taxa_of_interest" sheetId="2" r:id="rId1"/>
    <sheet name="SQL" sheetId="1" r:id="rId2"/>
  </sheets>
  <definedNames>
    <definedName name="_xlnm._FilterDatabase" localSheetId="0" hidden="1">taxa_of_interest!$A$1:$O$2539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2" l="1"/>
  <c r="M2" i="2"/>
  <c r="N2" i="2"/>
  <c r="O2" i="2"/>
  <c r="L3" i="2"/>
  <c r="M3" i="2"/>
  <c r="N3" i="2"/>
  <c r="O3" i="2"/>
  <c r="L4" i="2"/>
  <c r="M4" i="2"/>
  <c r="N4" i="2"/>
  <c r="O4" i="2"/>
  <c r="L5" i="2"/>
  <c r="M5" i="2"/>
  <c r="N5" i="2"/>
  <c r="O5" i="2"/>
  <c r="L6" i="2"/>
  <c r="M6" i="2"/>
  <c r="N6" i="2"/>
  <c r="O6" i="2"/>
  <c r="L7" i="2"/>
  <c r="M7" i="2"/>
  <c r="N7" i="2"/>
  <c r="O7" i="2"/>
  <c r="L8" i="2"/>
  <c r="M8" i="2"/>
  <c r="N8" i="2"/>
  <c r="O8" i="2"/>
  <c r="L9" i="2"/>
  <c r="M9" i="2"/>
  <c r="N9" i="2"/>
  <c r="O9" i="2"/>
  <c r="L10" i="2"/>
  <c r="M10" i="2"/>
  <c r="N10" i="2"/>
  <c r="O10" i="2"/>
  <c r="L11" i="2"/>
  <c r="M11" i="2"/>
  <c r="N11" i="2"/>
  <c r="O11" i="2"/>
  <c r="L12" i="2"/>
  <c r="M12" i="2"/>
  <c r="N12" i="2"/>
  <c r="O12" i="2"/>
  <c r="L13" i="2"/>
  <c r="M13" i="2"/>
  <c r="N13" i="2"/>
  <c r="O13" i="2"/>
  <c r="L14" i="2"/>
  <c r="M14" i="2"/>
  <c r="N14" i="2"/>
  <c r="O14" i="2"/>
  <c r="L15" i="2"/>
  <c r="M15" i="2"/>
  <c r="N15" i="2"/>
  <c r="O15" i="2"/>
  <c r="L16" i="2"/>
  <c r="M16" i="2"/>
  <c r="N16" i="2"/>
  <c r="O16" i="2"/>
  <c r="L17" i="2"/>
  <c r="M17" i="2"/>
  <c r="N17" i="2"/>
  <c r="O17" i="2"/>
  <c r="L18" i="2"/>
  <c r="M18" i="2"/>
  <c r="N18" i="2"/>
  <c r="O18" i="2"/>
  <c r="L19" i="2"/>
  <c r="M19" i="2"/>
  <c r="N19" i="2"/>
  <c r="O19" i="2"/>
  <c r="L20" i="2"/>
  <c r="M20" i="2"/>
  <c r="N20" i="2"/>
  <c r="O20" i="2"/>
  <c r="L21" i="2"/>
  <c r="M21" i="2"/>
  <c r="N21" i="2"/>
  <c r="O21" i="2"/>
  <c r="L22" i="2"/>
  <c r="M22" i="2"/>
  <c r="N22" i="2"/>
  <c r="O22" i="2"/>
  <c r="L23" i="2"/>
  <c r="M23" i="2"/>
  <c r="N23" i="2"/>
  <c r="O23" i="2"/>
  <c r="L24" i="2"/>
  <c r="M24" i="2"/>
  <c r="N24" i="2"/>
  <c r="O24" i="2"/>
  <c r="L25" i="2"/>
  <c r="M25" i="2"/>
  <c r="N25" i="2"/>
  <c r="O25" i="2"/>
  <c r="L26" i="2"/>
  <c r="M26" i="2"/>
  <c r="N26" i="2"/>
  <c r="O26" i="2"/>
  <c r="L27" i="2"/>
  <c r="M27" i="2"/>
  <c r="N27" i="2"/>
  <c r="O27" i="2"/>
  <c r="L28" i="2"/>
  <c r="M28" i="2"/>
  <c r="N28" i="2"/>
  <c r="O28" i="2"/>
  <c r="L29" i="2"/>
  <c r="M29" i="2"/>
  <c r="N29" i="2"/>
  <c r="O29" i="2"/>
  <c r="L30" i="2"/>
  <c r="M30" i="2"/>
  <c r="N30" i="2"/>
  <c r="O30" i="2"/>
  <c r="L31" i="2"/>
  <c r="M31" i="2"/>
  <c r="N31" i="2"/>
  <c r="O31" i="2"/>
  <c r="L32" i="2"/>
  <c r="M32" i="2"/>
  <c r="N32" i="2"/>
  <c r="O32" i="2"/>
  <c r="L33" i="2"/>
  <c r="M33" i="2"/>
  <c r="N33" i="2"/>
  <c r="O33" i="2"/>
  <c r="L34" i="2"/>
  <c r="M34" i="2"/>
  <c r="N34" i="2"/>
  <c r="O34" i="2"/>
  <c r="L35" i="2"/>
  <c r="M35" i="2"/>
  <c r="N35" i="2"/>
  <c r="O35" i="2"/>
  <c r="L36" i="2"/>
  <c r="M36" i="2"/>
  <c r="N36" i="2"/>
  <c r="O36" i="2"/>
  <c r="L37" i="2"/>
  <c r="M37" i="2"/>
  <c r="N37" i="2"/>
  <c r="O37" i="2"/>
  <c r="L38" i="2"/>
  <c r="M38" i="2"/>
  <c r="N38" i="2"/>
  <c r="O38" i="2"/>
  <c r="L39" i="2"/>
  <c r="M39" i="2"/>
  <c r="N39" i="2"/>
  <c r="O39" i="2"/>
  <c r="L40" i="2"/>
  <c r="M40" i="2"/>
  <c r="N40" i="2"/>
  <c r="O40" i="2"/>
  <c r="L41" i="2"/>
  <c r="M41" i="2"/>
  <c r="N41" i="2"/>
  <c r="O41" i="2"/>
  <c r="L42" i="2"/>
  <c r="M42" i="2"/>
  <c r="N42" i="2"/>
  <c r="O42" i="2"/>
  <c r="L43" i="2"/>
  <c r="M43" i="2"/>
  <c r="N43" i="2"/>
  <c r="O43" i="2"/>
  <c r="L44" i="2"/>
  <c r="M44" i="2"/>
  <c r="N44" i="2"/>
  <c r="O44" i="2"/>
  <c r="L45" i="2"/>
  <c r="M45" i="2"/>
  <c r="N45" i="2"/>
  <c r="O45" i="2"/>
  <c r="L46" i="2"/>
  <c r="M46" i="2"/>
  <c r="N46" i="2"/>
  <c r="O46" i="2"/>
  <c r="L47" i="2"/>
  <c r="M47" i="2"/>
  <c r="N47" i="2"/>
  <c r="O47" i="2"/>
  <c r="L48" i="2"/>
  <c r="M48" i="2"/>
  <c r="N48" i="2"/>
  <c r="O48" i="2"/>
  <c r="L49" i="2"/>
  <c r="M49" i="2"/>
  <c r="N49" i="2"/>
  <c r="O49" i="2"/>
  <c r="L50" i="2"/>
  <c r="M50" i="2"/>
  <c r="N50" i="2"/>
  <c r="O50" i="2"/>
  <c r="L51" i="2"/>
  <c r="M51" i="2"/>
  <c r="N51" i="2"/>
  <c r="O51" i="2"/>
  <c r="L52" i="2"/>
  <c r="M52" i="2"/>
  <c r="N52" i="2"/>
  <c r="O52" i="2"/>
  <c r="L53" i="2"/>
  <c r="M53" i="2"/>
  <c r="N53" i="2"/>
  <c r="O53" i="2"/>
  <c r="L54" i="2"/>
  <c r="M54" i="2"/>
  <c r="N54" i="2"/>
  <c r="O54" i="2"/>
  <c r="L55" i="2"/>
  <c r="M55" i="2"/>
  <c r="N55" i="2"/>
  <c r="O55" i="2"/>
  <c r="L56" i="2"/>
  <c r="M56" i="2"/>
  <c r="N56" i="2"/>
  <c r="O56" i="2"/>
  <c r="L57" i="2"/>
  <c r="M57" i="2"/>
  <c r="N57" i="2"/>
  <c r="O57" i="2"/>
  <c r="L58" i="2"/>
  <c r="M58" i="2"/>
  <c r="N58" i="2"/>
  <c r="O58" i="2"/>
  <c r="L59" i="2"/>
  <c r="M59" i="2"/>
  <c r="N59" i="2"/>
  <c r="O59" i="2"/>
  <c r="L60" i="2"/>
  <c r="M60" i="2"/>
  <c r="N60" i="2"/>
  <c r="O60" i="2"/>
  <c r="L61" i="2"/>
  <c r="M61" i="2"/>
  <c r="N61" i="2"/>
  <c r="O61" i="2"/>
  <c r="L62" i="2"/>
  <c r="M62" i="2"/>
  <c r="N62" i="2"/>
  <c r="O62" i="2"/>
  <c r="L63" i="2"/>
  <c r="M63" i="2"/>
  <c r="N63" i="2"/>
  <c r="O63" i="2"/>
  <c r="L64" i="2"/>
  <c r="M64" i="2"/>
  <c r="N64" i="2"/>
  <c r="O64" i="2"/>
  <c r="L65" i="2"/>
  <c r="M65" i="2"/>
  <c r="N65" i="2"/>
  <c r="O65" i="2"/>
  <c r="L66" i="2"/>
  <c r="M66" i="2"/>
  <c r="N66" i="2"/>
  <c r="O66" i="2"/>
  <c r="L67" i="2"/>
  <c r="M67" i="2"/>
  <c r="N67" i="2"/>
  <c r="O67" i="2"/>
  <c r="L68" i="2"/>
  <c r="M68" i="2"/>
  <c r="N68" i="2"/>
  <c r="O68" i="2"/>
  <c r="L69" i="2"/>
  <c r="M69" i="2"/>
  <c r="N69" i="2"/>
  <c r="O69" i="2"/>
  <c r="L70" i="2"/>
  <c r="M70" i="2"/>
  <c r="N70" i="2"/>
  <c r="O70" i="2"/>
  <c r="L71" i="2"/>
  <c r="M71" i="2"/>
  <c r="N71" i="2"/>
  <c r="O71" i="2"/>
  <c r="L72" i="2"/>
  <c r="M72" i="2"/>
  <c r="N72" i="2"/>
  <c r="O72" i="2"/>
  <c r="L73" i="2"/>
  <c r="M73" i="2"/>
  <c r="N73" i="2"/>
  <c r="O73" i="2"/>
  <c r="L74" i="2"/>
  <c r="M74" i="2"/>
  <c r="N74" i="2"/>
  <c r="O74" i="2"/>
  <c r="L75" i="2"/>
  <c r="M75" i="2"/>
  <c r="N75" i="2"/>
  <c r="O75" i="2"/>
  <c r="L76" i="2"/>
  <c r="M76" i="2"/>
  <c r="N76" i="2"/>
  <c r="O76" i="2"/>
  <c r="L77" i="2"/>
  <c r="M77" i="2"/>
  <c r="N77" i="2"/>
  <c r="O77" i="2"/>
  <c r="L78" i="2"/>
  <c r="M78" i="2"/>
  <c r="N78" i="2"/>
  <c r="O78" i="2"/>
  <c r="L79" i="2"/>
  <c r="M79" i="2"/>
  <c r="N79" i="2"/>
  <c r="O79" i="2"/>
  <c r="L80" i="2"/>
  <c r="M80" i="2"/>
  <c r="N80" i="2"/>
  <c r="O80" i="2"/>
  <c r="L81" i="2"/>
  <c r="M81" i="2"/>
  <c r="N81" i="2"/>
  <c r="O81" i="2"/>
  <c r="L82" i="2"/>
  <c r="M82" i="2"/>
  <c r="N82" i="2"/>
  <c r="O82" i="2"/>
  <c r="L83" i="2"/>
  <c r="M83" i="2"/>
  <c r="N83" i="2"/>
  <c r="O83" i="2"/>
  <c r="L84" i="2"/>
  <c r="M84" i="2"/>
  <c r="N84" i="2"/>
  <c r="O84" i="2"/>
  <c r="L85" i="2"/>
  <c r="M85" i="2"/>
  <c r="N85" i="2"/>
  <c r="O85" i="2"/>
  <c r="L86" i="2"/>
  <c r="M86" i="2"/>
  <c r="N86" i="2"/>
  <c r="O86" i="2"/>
  <c r="L87" i="2"/>
  <c r="M87" i="2"/>
  <c r="N87" i="2"/>
  <c r="O87" i="2"/>
  <c r="L88" i="2"/>
  <c r="M88" i="2"/>
  <c r="N88" i="2"/>
  <c r="O88" i="2"/>
  <c r="L89" i="2"/>
  <c r="M89" i="2"/>
  <c r="N89" i="2"/>
  <c r="O89" i="2"/>
  <c r="L90" i="2"/>
  <c r="M90" i="2"/>
  <c r="N90" i="2"/>
  <c r="O90" i="2"/>
  <c r="L91" i="2"/>
  <c r="M91" i="2"/>
  <c r="N91" i="2"/>
  <c r="O91" i="2"/>
  <c r="L92" i="2"/>
  <c r="M92" i="2"/>
  <c r="N92" i="2"/>
  <c r="O92" i="2"/>
  <c r="L93" i="2"/>
  <c r="M93" i="2"/>
  <c r="N93" i="2"/>
  <c r="O93" i="2"/>
  <c r="L94" i="2"/>
  <c r="M94" i="2"/>
  <c r="N94" i="2"/>
  <c r="O94" i="2"/>
  <c r="L95" i="2"/>
  <c r="M95" i="2"/>
  <c r="N95" i="2"/>
  <c r="O95" i="2"/>
  <c r="L96" i="2"/>
  <c r="M96" i="2"/>
  <c r="N96" i="2"/>
  <c r="O96" i="2"/>
  <c r="L97" i="2"/>
  <c r="M97" i="2"/>
  <c r="N97" i="2"/>
  <c r="O97" i="2"/>
  <c r="L98" i="2"/>
  <c r="M98" i="2"/>
  <c r="N98" i="2"/>
  <c r="O98" i="2"/>
  <c r="L99" i="2"/>
  <c r="M99" i="2"/>
  <c r="N99" i="2"/>
  <c r="O99" i="2"/>
  <c r="L100" i="2"/>
  <c r="M100" i="2"/>
  <c r="N100" i="2"/>
  <c r="O100" i="2"/>
  <c r="L101" i="2"/>
  <c r="M101" i="2"/>
  <c r="N101" i="2"/>
  <c r="O101" i="2"/>
  <c r="L102" i="2"/>
  <c r="M102" i="2"/>
  <c r="N102" i="2"/>
  <c r="O102" i="2"/>
  <c r="L103" i="2"/>
  <c r="M103" i="2"/>
  <c r="N103" i="2"/>
  <c r="O103" i="2"/>
  <c r="L104" i="2"/>
  <c r="M104" i="2"/>
  <c r="N104" i="2"/>
  <c r="O104" i="2"/>
  <c r="L105" i="2"/>
  <c r="M105" i="2"/>
  <c r="N105" i="2"/>
  <c r="O105" i="2"/>
  <c r="L106" i="2"/>
  <c r="M106" i="2"/>
  <c r="N106" i="2"/>
  <c r="O106" i="2"/>
  <c r="L107" i="2"/>
  <c r="M107" i="2"/>
  <c r="N107" i="2"/>
  <c r="O107" i="2"/>
  <c r="L108" i="2"/>
  <c r="M108" i="2"/>
  <c r="N108" i="2"/>
  <c r="O108" i="2"/>
  <c r="L109" i="2"/>
  <c r="M109" i="2"/>
  <c r="N109" i="2"/>
  <c r="O109" i="2"/>
  <c r="L110" i="2"/>
  <c r="M110" i="2"/>
  <c r="N110" i="2"/>
  <c r="O110" i="2"/>
  <c r="L111" i="2"/>
  <c r="M111" i="2"/>
  <c r="N111" i="2"/>
  <c r="O111" i="2"/>
  <c r="L112" i="2"/>
  <c r="M112" i="2"/>
  <c r="N112" i="2"/>
  <c r="O112" i="2"/>
  <c r="L113" i="2"/>
  <c r="M113" i="2"/>
  <c r="N113" i="2"/>
  <c r="O113" i="2"/>
  <c r="L114" i="2"/>
  <c r="M114" i="2"/>
  <c r="N114" i="2"/>
  <c r="O114" i="2"/>
  <c r="L115" i="2"/>
  <c r="M115" i="2"/>
  <c r="N115" i="2"/>
  <c r="O115" i="2"/>
  <c r="L116" i="2"/>
  <c r="M116" i="2"/>
  <c r="N116" i="2"/>
  <c r="O116" i="2"/>
  <c r="L117" i="2"/>
  <c r="M117" i="2"/>
  <c r="N117" i="2"/>
  <c r="O117" i="2"/>
  <c r="L118" i="2"/>
  <c r="M118" i="2"/>
  <c r="N118" i="2"/>
  <c r="O118" i="2"/>
  <c r="L119" i="2"/>
  <c r="M119" i="2"/>
  <c r="N119" i="2"/>
  <c r="O119" i="2"/>
  <c r="L120" i="2"/>
  <c r="M120" i="2"/>
  <c r="N120" i="2"/>
  <c r="O120" i="2"/>
  <c r="L121" i="2"/>
  <c r="M121" i="2"/>
  <c r="N121" i="2"/>
  <c r="O121" i="2"/>
  <c r="L122" i="2"/>
  <c r="M122" i="2"/>
  <c r="N122" i="2"/>
  <c r="O122" i="2"/>
  <c r="L123" i="2"/>
  <c r="M123" i="2"/>
  <c r="N123" i="2"/>
  <c r="O123" i="2"/>
  <c r="L124" i="2"/>
  <c r="M124" i="2"/>
  <c r="N124" i="2"/>
  <c r="O124" i="2"/>
  <c r="L125" i="2"/>
  <c r="M125" i="2"/>
  <c r="N125" i="2"/>
  <c r="O125" i="2"/>
  <c r="L126" i="2"/>
  <c r="M126" i="2"/>
  <c r="N126" i="2"/>
  <c r="O126" i="2"/>
  <c r="L127" i="2"/>
  <c r="M127" i="2"/>
  <c r="N127" i="2"/>
  <c r="O127" i="2"/>
  <c r="L128" i="2"/>
  <c r="M128" i="2"/>
  <c r="N128" i="2"/>
  <c r="O128" i="2"/>
  <c r="L129" i="2"/>
  <c r="M129" i="2"/>
  <c r="N129" i="2"/>
  <c r="O129" i="2"/>
  <c r="L130" i="2"/>
  <c r="M130" i="2"/>
  <c r="N130" i="2"/>
  <c r="O130" i="2"/>
  <c r="L131" i="2"/>
  <c r="M131" i="2"/>
  <c r="N131" i="2"/>
  <c r="O131" i="2"/>
  <c r="L132" i="2"/>
  <c r="M132" i="2"/>
  <c r="N132" i="2"/>
  <c r="O132" i="2"/>
  <c r="L133" i="2"/>
  <c r="M133" i="2"/>
  <c r="N133" i="2"/>
  <c r="O133" i="2"/>
  <c r="L134" i="2"/>
  <c r="M134" i="2"/>
  <c r="N134" i="2"/>
  <c r="O134" i="2"/>
  <c r="L135" i="2"/>
  <c r="M135" i="2"/>
  <c r="N135" i="2"/>
  <c r="O135" i="2"/>
  <c r="L136" i="2"/>
  <c r="M136" i="2"/>
  <c r="N136" i="2"/>
  <c r="O136" i="2"/>
  <c r="L137" i="2"/>
  <c r="M137" i="2"/>
  <c r="N137" i="2"/>
  <c r="O137" i="2"/>
  <c r="L138" i="2"/>
  <c r="M138" i="2"/>
  <c r="N138" i="2"/>
  <c r="O138" i="2"/>
  <c r="L139" i="2"/>
  <c r="M139" i="2"/>
  <c r="N139" i="2"/>
  <c r="O139" i="2"/>
  <c r="L140" i="2"/>
  <c r="M140" i="2"/>
  <c r="N140" i="2"/>
  <c r="O140" i="2"/>
  <c r="L141" i="2"/>
  <c r="M141" i="2"/>
  <c r="N141" i="2"/>
  <c r="O141" i="2"/>
  <c r="L142" i="2"/>
  <c r="M142" i="2"/>
  <c r="N142" i="2"/>
  <c r="O142" i="2"/>
  <c r="L143" i="2"/>
  <c r="M143" i="2"/>
  <c r="N143" i="2"/>
  <c r="O143" i="2"/>
  <c r="L144" i="2"/>
  <c r="M144" i="2"/>
  <c r="N144" i="2"/>
  <c r="O144" i="2"/>
  <c r="L145" i="2"/>
  <c r="M145" i="2"/>
  <c r="N145" i="2"/>
  <c r="O145" i="2"/>
  <c r="L146" i="2"/>
  <c r="M146" i="2"/>
  <c r="N146" i="2"/>
  <c r="O146" i="2"/>
  <c r="L147" i="2"/>
  <c r="M147" i="2"/>
  <c r="N147" i="2"/>
  <c r="O147" i="2"/>
  <c r="L148" i="2"/>
  <c r="M148" i="2"/>
  <c r="N148" i="2"/>
  <c r="O148" i="2"/>
  <c r="L149" i="2"/>
  <c r="M149" i="2"/>
  <c r="N149" i="2"/>
  <c r="O149" i="2"/>
  <c r="L150" i="2"/>
  <c r="M150" i="2"/>
  <c r="N150" i="2"/>
  <c r="O150" i="2"/>
  <c r="L151" i="2"/>
  <c r="M151" i="2"/>
  <c r="N151" i="2"/>
  <c r="O151" i="2"/>
  <c r="L152" i="2"/>
  <c r="M152" i="2"/>
  <c r="N152" i="2"/>
  <c r="O152" i="2"/>
  <c r="L153" i="2"/>
  <c r="M153" i="2"/>
  <c r="N153" i="2"/>
  <c r="O153" i="2"/>
  <c r="L154" i="2"/>
  <c r="M154" i="2"/>
  <c r="N154" i="2"/>
  <c r="O154" i="2"/>
  <c r="L155" i="2"/>
  <c r="M155" i="2"/>
  <c r="N155" i="2"/>
  <c r="O155" i="2"/>
  <c r="L156" i="2"/>
  <c r="M156" i="2"/>
  <c r="N156" i="2"/>
  <c r="O156" i="2"/>
  <c r="L157" i="2"/>
  <c r="M157" i="2"/>
  <c r="N157" i="2"/>
  <c r="O157" i="2"/>
  <c r="L158" i="2"/>
  <c r="M158" i="2"/>
  <c r="N158" i="2"/>
  <c r="O158" i="2"/>
  <c r="L159" i="2"/>
  <c r="M159" i="2"/>
  <c r="N159" i="2"/>
  <c r="O159" i="2"/>
  <c r="L160" i="2"/>
  <c r="M160" i="2"/>
  <c r="N160" i="2"/>
  <c r="O160" i="2"/>
  <c r="L161" i="2"/>
  <c r="M161" i="2"/>
  <c r="N161" i="2"/>
  <c r="O161" i="2"/>
  <c r="L162" i="2"/>
  <c r="M162" i="2"/>
  <c r="N162" i="2"/>
  <c r="O162" i="2"/>
  <c r="L163" i="2"/>
  <c r="M163" i="2"/>
  <c r="N163" i="2"/>
  <c r="O163" i="2"/>
  <c r="L164" i="2"/>
  <c r="M164" i="2"/>
  <c r="N164" i="2"/>
  <c r="O164" i="2"/>
  <c r="L165" i="2"/>
  <c r="M165" i="2"/>
  <c r="N165" i="2"/>
  <c r="O165" i="2"/>
  <c r="L166" i="2"/>
  <c r="M166" i="2"/>
  <c r="N166" i="2"/>
  <c r="O166" i="2"/>
  <c r="L167" i="2"/>
  <c r="M167" i="2"/>
  <c r="N167" i="2"/>
  <c r="O167" i="2"/>
  <c r="L168" i="2"/>
  <c r="M168" i="2"/>
  <c r="N168" i="2"/>
  <c r="O168" i="2"/>
  <c r="L169" i="2"/>
  <c r="M169" i="2"/>
  <c r="N169" i="2"/>
  <c r="O169" i="2"/>
  <c r="L170" i="2"/>
  <c r="M170" i="2"/>
  <c r="N170" i="2"/>
  <c r="O170" i="2"/>
  <c r="L171" i="2"/>
  <c r="M171" i="2"/>
  <c r="N171" i="2"/>
  <c r="O171" i="2"/>
  <c r="L172" i="2"/>
  <c r="M172" i="2"/>
  <c r="N172" i="2"/>
  <c r="O172" i="2"/>
  <c r="L173" i="2"/>
  <c r="M173" i="2"/>
  <c r="N173" i="2"/>
  <c r="O173" i="2"/>
  <c r="L174" i="2"/>
  <c r="M174" i="2"/>
  <c r="N174" i="2"/>
  <c r="O174" i="2"/>
  <c r="L175" i="2"/>
  <c r="M175" i="2"/>
  <c r="N175" i="2"/>
  <c r="O175" i="2"/>
  <c r="L176" i="2"/>
  <c r="M176" i="2"/>
  <c r="N176" i="2"/>
  <c r="O176" i="2"/>
  <c r="L177" i="2"/>
  <c r="M177" i="2"/>
  <c r="N177" i="2"/>
  <c r="O177" i="2"/>
  <c r="L178" i="2"/>
  <c r="M178" i="2"/>
  <c r="N178" i="2"/>
  <c r="O178" i="2"/>
  <c r="L179" i="2"/>
  <c r="M179" i="2"/>
  <c r="N179" i="2"/>
  <c r="O179" i="2"/>
  <c r="L180" i="2"/>
  <c r="M180" i="2"/>
  <c r="N180" i="2"/>
  <c r="O180" i="2"/>
  <c r="L181" i="2"/>
  <c r="M181" i="2"/>
  <c r="N181" i="2"/>
  <c r="O181" i="2"/>
  <c r="L182" i="2"/>
  <c r="M182" i="2"/>
  <c r="N182" i="2"/>
  <c r="O182" i="2"/>
  <c r="L183" i="2"/>
  <c r="M183" i="2"/>
  <c r="N183" i="2"/>
  <c r="O183" i="2"/>
  <c r="L184" i="2"/>
  <c r="M184" i="2"/>
  <c r="N184" i="2"/>
  <c r="O184" i="2"/>
  <c r="L185" i="2"/>
  <c r="M185" i="2"/>
  <c r="N185" i="2"/>
  <c r="O185" i="2"/>
  <c r="L186" i="2"/>
  <c r="M186" i="2"/>
  <c r="N186" i="2"/>
  <c r="O186" i="2"/>
  <c r="L187" i="2"/>
  <c r="M187" i="2"/>
  <c r="N187" i="2"/>
  <c r="O187" i="2"/>
  <c r="L188" i="2"/>
  <c r="M188" i="2"/>
  <c r="N188" i="2"/>
  <c r="O188" i="2"/>
  <c r="L189" i="2"/>
  <c r="M189" i="2"/>
  <c r="N189" i="2"/>
  <c r="O189" i="2"/>
  <c r="L190" i="2"/>
  <c r="M190" i="2"/>
  <c r="N190" i="2"/>
  <c r="O190" i="2"/>
  <c r="L191" i="2"/>
  <c r="M191" i="2"/>
  <c r="N191" i="2"/>
  <c r="O191" i="2"/>
  <c r="L192" i="2"/>
  <c r="M192" i="2"/>
  <c r="N192" i="2"/>
  <c r="O192" i="2"/>
  <c r="L193" i="2"/>
  <c r="M193" i="2"/>
  <c r="N193" i="2"/>
  <c r="O193" i="2"/>
  <c r="L194" i="2"/>
  <c r="M194" i="2"/>
  <c r="N194" i="2"/>
  <c r="O194" i="2"/>
  <c r="L195" i="2"/>
  <c r="M195" i="2"/>
  <c r="N195" i="2"/>
  <c r="O195" i="2"/>
  <c r="L196" i="2"/>
  <c r="M196" i="2"/>
  <c r="N196" i="2"/>
  <c r="O196" i="2"/>
  <c r="L197" i="2"/>
  <c r="M197" i="2"/>
  <c r="N197" i="2"/>
  <c r="O197" i="2"/>
  <c r="L198" i="2"/>
  <c r="M198" i="2"/>
  <c r="N198" i="2"/>
  <c r="O198" i="2"/>
  <c r="L199" i="2"/>
  <c r="M199" i="2"/>
  <c r="N199" i="2"/>
  <c r="O199" i="2"/>
  <c r="L200" i="2"/>
  <c r="M200" i="2"/>
  <c r="N200" i="2"/>
  <c r="O200" i="2"/>
  <c r="L201" i="2"/>
  <c r="M201" i="2"/>
  <c r="N201" i="2"/>
  <c r="O201" i="2"/>
  <c r="L202" i="2"/>
  <c r="M202" i="2"/>
  <c r="N202" i="2"/>
  <c r="O202" i="2"/>
  <c r="L203" i="2"/>
  <c r="M203" i="2"/>
  <c r="N203" i="2"/>
  <c r="O203" i="2"/>
  <c r="L204" i="2"/>
  <c r="M204" i="2"/>
  <c r="N204" i="2"/>
  <c r="O204" i="2"/>
  <c r="L205" i="2"/>
  <c r="M205" i="2"/>
  <c r="N205" i="2"/>
  <c r="O205" i="2"/>
  <c r="L206" i="2"/>
  <c r="M206" i="2"/>
  <c r="N206" i="2"/>
  <c r="O206" i="2"/>
  <c r="L207" i="2"/>
  <c r="M207" i="2"/>
  <c r="N207" i="2"/>
  <c r="O207" i="2"/>
  <c r="L208" i="2"/>
  <c r="M208" i="2"/>
  <c r="N208" i="2"/>
  <c r="O208" i="2"/>
  <c r="L209" i="2"/>
  <c r="M209" i="2"/>
  <c r="N209" i="2"/>
  <c r="O209" i="2"/>
  <c r="L210" i="2"/>
  <c r="M210" i="2"/>
  <c r="N210" i="2"/>
  <c r="O210" i="2"/>
  <c r="L211" i="2"/>
  <c r="M211" i="2"/>
  <c r="N211" i="2"/>
  <c r="O211" i="2"/>
  <c r="L212" i="2"/>
  <c r="M212" i="2"/>
  <c r="N212" i="2"/>
  <c r="O212" i="2"/>
  <c r="L213" i="2"/>
  <c r="M213" i="2"/>
  <c r="N213" i="2"/>
  <c r="O213" i="2"/>
  <c r="L214" i="2"/>
  <c r="M214" i="2"/>
  <c r="N214" i="2"/>
  <c r="O214" i="2"/>
  <c r="L215" i="2"/>
  <c r="M215" i="2"/>
  <c r="N215" i="2"/>
  <c r="O215" i="2"/>
  <c r="L216" i="2"/>
  <c r="M216" i="2"/>
  <c r="N216" i="2"/>
  <c r="O216" i="2"/>
  <c r="L217" i="2"/>
  <c r="M217" i="2"/>
  <c r="N217" i="2"/>
  <c r="O217" i="2"/>
  <c r="L218" i="2"/>
  <c r="M218" i="2"/>
  <c r="N218" i="2"/>
  <c r="O218" i="2"/>
  <c r="L219" i="2"/>
  <c r="M219" i="2"/>
  <c r="N219" i="2"/>
  <c r="O219" i="2"/>
  <c r="L220" i="2"/>
  <c r="M220" i="2"/>
  <c r="N220" i="2"/>
  <c r="O220" i="2"/>
  <c r="L221" i="2"/>
  <c r="M221" i="2"/>
  <c r="N221" i="2"/>
  <c r="O221" i="2"/>
  <c r="L222" i="2"/>
  <c r="M222" i="2"/>
  <c r="N222" i="2"/>
  <c r="O222" i="2"/>
  <c r="L223" i="2"/>
  <c r="M223" i="2"/>
  <c r="N223" i="2"/>
  <c r="O223" i="2"/>
  <c r="L224" i="2"/>
  <c r="M224" i="2"/>
  <c r="N224" i="2"/>
  <c r="O224" i="2"/>
  <c r="L225" i="2"/>
  <c r="M225" i="2"/>
  <c r="N225" i="2"/>
  <c r="O225" i="2"/>
  <c r="L226" i="2"/>
  <c r="M226" i="2"/>
  <c r="N226" i="2"/>
  <c r="O226" i="2"/>
  <c r="L227" i="2"/>
  <c r="M227" i="2"/>
  <c r="N227" i="2"/>
  <c r="O227" i="2"/>
  <c r="L228" i="2"/>
  <c r="M228" i="2"/>
  <c r="N228" i="2"/>
  <c r="O228" i="2"/>
  <c r="L229" i="2"/>
  <c r="M229" i="2"/>
  <c r="N229" i="2"/>
  <c r="O229" i="2"/>
  <c r="L230" i="2"/>
  <c r="M230" i="2"/>
  <c r="N230" i="2"/>
  <c r="O230" i="2"/>
  <c r="L231" i="2"/>
  <c r="M231" i="2"/>
  <c r="N231" i="2"/>
  <c r="O231" i="2"/>
  <c r="L232" i="2"/>
  <c r="M232" i="2"/>
  <c r="N232" i="2"/>
  <c r="O232" i="2"/>
  <c r="L233" i="2"/>
  <c r="M233" i="2"/>
  <c r="N233" i="2"/>
  <c r="O233" i="2"/>
  <c r="L234" i="2"/>
  <c r="M234" i="2"/>
  <c r="N234" i="2"/>
  <c r="O234" i="2"/>
  <c r="L235" i="2"/>
  <c r="M235" i="2"/>
  <c r="N235" i="2"/>
  <c r="O235" i="2"/>
  <c r="L236" i="2"/>
  <c r="M236" i="2"/>
  <c r="N236" i="2"/>
  <c r="O236" i="2"/>
  <c r="L237" i="2"/>
  <c r="M237" i="2"/>
  <c r="N237" i="2"/>
  <c r="O237" i="2"/>
  <c r="L238" i="2"/>
  <c r="M238" i="2"/>
  <c r="N238" i="2"/>
  <c r="O238" i="2"/>
  <c r="L239" i="2"/>
  <c r="M239" i="2"/>
  <c r="N239" i="2"/>
  <c r="O239" i="2"/>
  <c r="L240" i="2"/>
  <c r="M240" i="2"/>
  <c r="N240" i="2"/>
  <c r="O240" i="2"/>
  <c r="L241" i="2"/>
  <c r="M241" i="2"/>
  <c r="N241" i="2"/>
  <c r="O241" i="2"/>
  <c r="L242" i="2"/>
  <c r="M242" i="2"/>
  <c r="N242" i="2"/>
  <c r="O242" i="2"/>
  <c r="L243" i="2"/>
  <c r="M243" i="2"/>
  <c r="N243" i="2"/>
  <c r="O243" i="2"/>
  <c r="L244" i="2"/>
  <c r="M244" i="2"/>
  <c r="N244" i="2"/>
  <c r="O244" i="2"/>
  <c r="L245" i="2"/>
  <c r="M245" i="2"/>
  <c r="N245" i="2"/>
  <c r="O245" i="2"/>
  <c r="L246" i="2"/>
  <c r="M246" i="2"/>
  <c r="N246" i="2"/>
  <c r="O246" i="2"/>
  <c r="L247" i="2"/>
  <c r="M247" i="2"/>
  <c r="N247" i="2"/>
  <c r="O247" i="2"/>
  <c r="L248" i="2"/>
  <c r="M248" i="2"/>
  <c r="N248" i="2"/>
  <c r="O248" i="2"/>
  <c r="L249" i="2"/>
  <c r="M249" i="2"/>
  <c r="N249" i="2"/>
  <c r="O249" i="2"/>
  <c r="L250" i="2"/>
  <c r="M250" i="2"/>
  <c r="N250" i="2"/>
  <c r="O250" i="2"/>
  <c r="L251" i="2"/>
  <c r="M251" i="2"/>
  <c r="N251" i="2"/>
  <c r="O251" i="2"/>
  <c r="L252" i="2"/>
  <c r="M252" i="2"/>
  <c r="N252" i="2"/>
  <c r="O252" i="2"/>
  <c r="L253" i="2"/>
  <c r="M253" i="2"/>
  <c r="N253" i="2"/>
  <c r="O253" i="2"/>
  <c r="L254" i="2"/>
  <c r="M254" i="2"/>
  <c r="N254" i="2"/>
  <c r="O254" i="2"/>
  <c r="L255" i="2"/>
  <c r="M255" i="2"/>
  <c r="N255" i="2"/>
  <c r="O255" i="2"/>
  <c r="L256" i="2"/>
  <c r="M256" i="2"/>
  <c r="N256" i="2"/>
  <c r="O256" i="2"/>
  <c r="L257" i="2"/>
  <c r="M257" i="2"/>
  <c r="N257" i="2"/>
  <c r="O257" i="2"/>
  <c r="L258" i="2"/>
  <c r="M258" i="2"/>
  <c r="N258" i="2"/>
  <c r="O258" i="2"/>
  <c r="L259" i="2"/>
  <c r="M259" i="2"/>
  <c r="N259" i="2"/>
  <c r="O259" i="2"/>
  <c r="L260" i="2"/>
  <c r="M260" i="2"/>
  <c r="N260" i="2"/>
  <c r="O260" i="2"/>
  <c r="L261" i="2"/>
  <c r="M261" i="2"/>
  <c r="N261" i="2"/>
  <c r="O261" i="2"/>
  <c r="L262" i="2"/>
  <c r="M262" i="2"/>
  <c r="N262" i="2"/>
  <c r="O262" i="2"/>
  <c r="L263" i="2"/>
  <c r="M263" i="2"/>
  <c r="N263" i="2"/>
  <c r="O263" i="2"/>
  <c r="L264" i="2"/>
  <c r="M264" i="2"/>
  <c r="N264" i="2"/>
  <c r="O264" i="2"/>
  <c r="L265" i="2"/>
  <c r="M265" i="2"/>
  <c r="N265" i="2"/>
  <c r="O265" i="2"/>
  <c r="L266" i="2"/>
  <c r="M266" i="2"/>
  <c r="N266" i="2"/>
  <c r="O266" i="2"/>
  <c r="L267" i="2"/>
  <c r="M267" i="2"/>
  <c r="N267" i="2"/>
  <c r="O267" i="2"/>
  <c r="L268" i="2"/>
  <c r="M268" i="2"/>
  <c r="N268" i="2"/>
  <c r="O268" i="2"/>
  <c r="L269" i="2"/>
  <c r="M269" i="2"/>
  <c r="N269" i="2"/>
  <c r="O269" i="2"/>
  <c r="L270" i="2"/>
  <c r="M270" i="2"/>
  <c r="N270" i="2"/>
  <c r="O270" i="2"/>
  <c r="L271" i="2"/>
  <c r="M271" i="2"/>
  <c r="N271" i="2"/>
  <c r="O271" i="2"/>
  <c r="L272" i="2"/>
  <c r="M272" i="2"/>
  <c r="N272" i="2"/>
  <c r="O272" i="2"/>
  <c r="L273" i="2"/>
  <c r="M273" i="2"/>
  <c r="N273" i="2"/>
  <c r="O273" i="2"/>
  <c r="L274" i="2"/>
  <c r="M274" i="2"/>
  <c r="N274" i="2"/>
  <c r="O274" i="2"/>
  <c r="L275" i="2"/>
  <c r="M275" i="2"/>
  <c r="N275" i="2"/>
  <c r="O275" i="2"/>
  <c r="L276" i="2"/>
  <c r="M276" i="2"/>
  <c r="N276" i="2"/>
  <c r="O276" i="2"/>
  <c r="L277" i="2"/>
  <c r="M277" i="2"/>
  <c r="N277" i="2"/>
  <c r="O277" i="2"/>
  <c r="L278" i="2"/>
  <c r="M278" i="2"/>
  <c r="N278" i="2"/>
  <c r="O278" i="2"/>
  <c r="L279" i="2"/>
  <c r="M279" i="2"/>
  <c r="N279" i="2"/>
  <c r="O279" i="2"/>
  <c r="L280" i="2"/>
  <c r="M280" i="2"/>
  <c r="N280" i="2"/>
  <c r="O280" i="2"/>
  <c r="L281" i="2"/>
  <c r="M281" i="2"/>
  <c r="N281" i="2"/>
  <c r="O281" i="2"/>
  <c r="L282" i="2"/>
  <c r="M282" i="2"/>
  <c r="N282" i="2"/>
  <c r="O282" i="2"/>
  <c r="L283" i="2"/>
  <c r="M283" i="2"/>
  <c r="N283" i="2"/>
  <c r="O283" i="2"/>
  <c r="L284" i="2"/>
  <c r="M284" i="2"/>
  <c r="N284" i="2"/>
  <c r="O284" i="2"/>
  <c r="L285" i="2"/>
  <c r="M285" i="2"/>
  <c r="N285" i="2"/>
  <c r="O285" i="2"/>
  <c r="L286" i="2"/>
  <c r="M286" i="2"/>
  <c r="N286" i="2"/>
  <c r="O286" i="2"/>
  <c r="L287" i="2"/>
  <c r="M287" i="2"/>
  <c r="N287" i="2"/>
  <c r="O287" i="2"/>
  <c r="L288" i="2"/>
  <c r="M288" i="2"/>
  <c r="N288" i="2"/>
  <c r="O288" i="2"/>
  <c r="L289" i="2"/>
  <c r="M289" i="2"/>
  <c r="N289" i="2"/>
  <c r="O289" i="2"/>
  <c r="L290" i="2"/>
  <c r="M290" i="2"/>
  <c r="N290" i="2"/>
  <c r="O290" i="2"/>
  <c r="L291" i="2"/>
  <c r="M291" i="2"/>
  <c r="N291" i="2"/>
  <c r="O291" i="2"/>
  <c r="L292" i="2"/>
  <c r="M292" i="2"/>
  <c r="N292" i="2"/>
  <c r="O292" i="2"/>
  <c r="L293" i="2"/>
  <c r="M293" i="2"/>
  <c r="N293" i="2"/>
  <c r="O293" i="2"/>
  <c r="L294" i="2"/>
  <c r="M294" i="2"/>
  <c r="N294" i="2"/>
  <c r="O294" i="2"/>
  <c r="L295" i="2"/>
  <c r="M295" i="2"/>
  <c r="N295" i="2"/>
  <c r="O295" i="2"/>
  <c r="L296" i="2"/>
  <c r="M296" i="2"/>
  <c r="N296" i="2"/>
  <c r="O296" i="2"/>
  <c r="L297" i="2"/>
  <c r="M297" i="2"/>
  <c r="N297" i="2"/>
  <c r="O297" i="2"/>
  <c r="L298" i="2"/>
  <c r="M298" i="2"/>
  <c r="N298" i="2"/>
  <c r="O298" i="2"/>
  <c r="L299" i="2"/>
  <c r="M299" i="2"/>
  <c r="N299" i="2"/>
  <c r="O299" i="2"/>
  <c r="L300" i="2"/>
  <c r="M300" i="2"/>
  <c r="N300" i="2"/>
  <c r="O300" i="2"/>
  <c r="L301" i="2"/>
  <c r="M301" i="2"/>
  <c r="N301" i="2"/>
  <c r="O301" i="2"/>
  <c r="L302" i="2"/>
  <c r="M302" i="2"/>
  <c r="N302" i="2"/>
  <c r="O302" i="2"/>
  <c r="L303" i="2"/>
  <c r="M303" i="2"/>
  <c r="N303" i="2"/>
  <c r="O303" i="2"/>
  <c r="L304" i="2"/>
  <c r="M304" i="2"/>
  <c r="N304" i="2"/>
  <c r="O304" i="2"/>
  <c r="L305" i="2"/>
  <c r="M305" i="2"/>
  <c r="N305" i="2"/>
  <c r="O305" i="2"/>
  <c r="L306" i="2"/>
  <c r="M306" i="2"/>
  <c r="N306" i="2"/>
  <c r="O306" i="2"/>
  <c r="L307" i="2"/>
  <c r="M307" i="2"/>
  <c r="N307" i="2"/>
  <c r="O307" i="2"/>
  <c r="L308" i="2"/>
  <c r="M308" i="2"/>
  <c r="N308" i="2"/>
  <c r="O308" i="2"/>
  <c r="L309" i="2"/>
  <c r="M309" i="2"/>
  <c r="N309" i="2"/>
  <c r="O309" i="2"/>
  <c r="L310" i="2"/>
  <c r="M310" i="2"/>
  <c r="N310" i="2"/>
  <c r="O310" i="2"/>
  <c r="L311" i="2"/>
  <c r="M311" i="2"/>
  <c r="N311" i="2"/>
  <c r="O311" i="2"/>
  <c r="L312" i="2"/>
  <c r="M312" i="2"/>
  <c r="N312" i="2"/>
  <c r="O312" i="2"/>
  <c r="L313" i="2"/>
  <c r="M313" i="2"/>
  <c r="N313" i="2"/>
  <c r="O313" i="2"/>
  <c r="L314" i="2"/>
  <c r="M314" i="2"/>
  <c r="N314" i="2"/>
  <c r="O314" i="2"/>
  <c r="L315" i="2"/>
  <c r="M315" i="2"/>
  <c r="N315" i="2"/>
  <c r="O315" i="2"/>
  <c r="L316" i="2"/>
  <c r="M316" i="2"/>
  <c r="N316" i="2"/>
  <c r="O316" i="2"/>
  <c r="L317" i="2"/>
  <c r="M317" i="2"/>
  <c r="N317" i="2"/>
  <c r="O317" i="2"/>
  <c r="L318" i="2"/>
  <c r="M318" i="2"/>
  <c r="N318" i="2"/>
  <c r="O318" i="2"/>
  <c r="L319" i="2"/>
  <c r="M319" i="2"/>
  <c r="N319" i="2"/>
  <c r="O319" i="2"/>
  <c r="L320" i="2"/>
  <c r="M320" i="2"/>
  <c r="N320" i="2"/>
  <c r="O320" i="2"/>
  <c r="L321" i="2"/>
  <c r="M321" i="2"/>
  <c r="N321" i="2"/>
  <c r="O321" i="2"/>
  <c r="L322" i="2"/>
  <c r="M322" i="2"/>
  <c r="N322" i="2"/>
  <c r="O322" i="2"/>
  <c r="L323" i="2"/>
  <c r="M323" i="2"/>
  <c r="N323" i="2"/>
  <c r="O323" i="2"/>
  <c r="L324" i="2"/>
  <c r="M324" i="2"/>
  <c r="N324" i="2"/>
  <c r="O324" i="2"/>
  <c r="L325" i="2"/>
  <c r="M325" i="2"/>
  <c r="N325" i="2"/>
  <c r="O325" i="2"/>
  <c r="L326" i="2"/>
  <c r="M326" i="2"/>
  <c r="N326" i="2"/>
  <c r="O326" i="2"/>
  <c r="L327" i="2"/>
  <c r="M327" i="2"/>
  <c r="N327" i="2"/>
  <c r="O327" i="2"/>
  <c r="L328" i="2"/>
  <c r="M328" i="2"/>
  <c r="N328" i="2"/>
  <c r="O328" i="2"/>
  <c r="L329" i="2"/>
  <c r="M329" i="2"/>
  <c r="N329" i="2"/>
  <c r="O329" i="2"/>
  <c r="L330" i="2"/>
  <c r="M330" i="2"/>
  <c r="N330" i="2"/>
  <c r="O330" i="2"/>
  <c r="L331" i="2"/>
  <c r="M331" i="2"/>
  <c r="N331" i="2"/>
  <c r="O331" i="2"/>
  <c r="L332" i="2"/>
  <c r="M332" i="2"/>
  <c r="N332" i="2"/>
  <c r="O332" i="2"/>
  <c r="L333" i="2"/>
  <c r="M333" i="2"/>
  <c r="N333" i="2"/>
  <c r="O333" i="2"/>
  <c r="L334" i="2"/>
  <c r="M334" i="2"/>
  <c r="N334" i="2"/>
  <c r="O334" i="2"/>
  <c r="L335" i="2"/>
  <c r="M335" i="2"/>
  <c r="N335" i="2"/>
  <c r="O335" i="2"/>
  <c r="L336" i="2"/>
  <c r="M336" i="2"/>
  <c r="N336" i="2"/>
  <c r="O336" i="2"/>
  <c r="L337" i="2"/>
  <c r="M337" i="2"/>
  <c r="N337" i="2"/>
  <c r="O337" i="2"/>
  <c r="L338" i="2"/>
  <c r="M338" i="2"/>
  <c r="N338" i="2"/>
  <c r="O338" i="2"/>
  <c r="L339" i="2"/>
  <c r="M339" i="2"/>
  <c r="N339" i="2"/>
  <c r="O339" i="2"/>
  <c r="L340" i="2"/>
  <c r="M340" i="2"/>
  <c r="N340" i="2"/>
  <c r="O340" i="2"/>
  <c r="L341" i="2"/>
  <c r="M341" i="2"/>
  <c r="N341" i="2"/>
  <c r="O341" i="2"/>
  <c r="L342" i="2"/>
  <c r="M342" i="2"/>
  <c r="N342" i="2"/>
  <c r="O342" i="2"/>
  <c r="L343" i="2"/>
  <c r="M343" i="2"/>
  <c r="N343" i="2"/>
  <c r="O343" i="2"/>
  <c r="L344" i="2"/>
  <c r="M344" i="2"/>
  <c r="N344" i="2"/>
  <c r="O344" i="2"/>
  <c r="L345" i="2"/>
  <c r="M345" i="2"/>
  <c r="N345" i="2"/>
  <c r="O345" i="2"/>
  <c r="L346" i="2"/>
  <c r="M346" i="2"/>
  <c r="N346" i="2"/>
  <c r="O346" i="2"/>
  <c r="L347" i="2"/>
  <c r="M347" i="2"/>
  <c r="N347" i="2"/>
  <c r="O347" i="2"/>
  <c r="L348" i="2"/>
  <c r="M348" i="2"/>
  <c r="N348" i="2"/>
  <c r="O348" i="2"/>
  <c r="L349" i="2"/>
  <c r="M349" i="2"/>
  <c r="N349" i="2"/>
  <c r="O349" i="2"/>
  <c r="L350" i="2"/>
  <c r="M350" i="2"/>
  <c r="N350" i="2"/>
  <c r="O350" i="2"/>
  <c r="L351" i="2"/>
  <c r="M351" i="2"/>
  <c r="N351" i="2"/>
  <c r="O351" i="2"/>
  <c r="L352" i="2"/>
  <c r="M352" i="2"/>
  <c r="N352" i="2"/>
  <c r="O352" i="2"/>
  <c r="L353" i="2"/>
  <c r="M353" i="2"/>
  <c r="N353" i="2"/>
  <c r="O353" i="2"/>
  <c r="L354" i="2"/>
  <c r="M354" i="2"/>
  <c r="N354" i="2"/>
  <c r="O354" i="2"/>
  <c r="L355" i="2"/>
  <c r="M355" i="2"/>
  <c r="N355" i="2"/>
  <c r="O355" i="2"/>
  <c r="L356" i="2"/>
  <c r="M356" i="2"/>
  <c r="N356" i="2"/>
  <c r="O356" i="2"/>
  <c r="L357" i="2"/>
  <c r="M357" i="2"/>
  <c r="N357" i="2"/>
  <c r="O357" i="2"/>
  <c r="L358" i="2"/>
  <c r="M358" i="2"/>
  <c r="N358" i="2"/>
  <c r="O358" i="2"/>
  <c r="L359" i="2"/>
  <c r="M359" i="2"/>
  <c r="N359" i="2"/>
  <c r="O359" i="2"/>
  <c r="L360" i="2"/>
  <c r="M360" i="2"/>
  <c r="N360" i="2"/>
  <c r="O360" i="2"/>
  <c r="L361" i="2"/>
  <c r="M361" i="2"/>
  <c r="N361" i="2"/>
  <c r="O361" i="2"/>
  <c r="L362" i="2"/>
  <c r="M362" i="2"/>
  <c r="N362" i="2"/>
  <c r="O362" i="2"/>
  <c r="L363" i="2"/>
  <c r="M363" i="2"/>
  <c r="N363" i="2"/>
  <c r="O363" i="2"/>
  <c r="L364" i="2"/>
  <c r="M364" i="2"/>
  <c r="N364" i="2"/>
  <c r="O364" i="2"/>
  <c r="L365" i="2"/>
  <c r="M365" i="2"/>
  <c r="N365" i="2"/>
  <c r="O365" i="2"/>
  <c r="L366" i="2"/>
  <c r="M366" i="2"/>
  <c r="N366" i="2"/>
  <c r="O366" i="2"/>
  <c r="L367" i="2"/>
  <c r="M367" i="2"/>
  <c r="N367" i="2"/>
  <c r="O367" i="2"/>
  <c r="L368" i="2"/>
  <c r="M368" i="2"/>
  <c r="N368" i="2"/>
  <c r="O368" i="2"/>
  <c r="L369" i="2"/>
  <c r="M369" i="2"/>
  <c r="N369" i="2"/>
  <c r="O369" i="2"/>
  <c r="L370" i="2"/>
  <c r="M370" i="2"/>
  <c r="N370" i="2"/>
  <c r="O370" i="2"/>
  <c r="L371" i="2"/>
  <c r="M371" i="2"/>
  <c r="N371" i="2"/>
  <c r="O371" i="2"/>
  <c r="L372" i="2"/>
  <c r="M372" i="2"/>
  <c r="N372" i="2"/>
  <c r="O372" i="2"/>
  <c r="L373" i="2"/>
  <c r="M373" i="2"/>
  <c r="N373" i="2"/>
  <c r="O373" i="2"/>
  <c r="L374" i="2"/>
  <c r="M374" i="2"/>
  <c r="N374" i="2"/>
  <c r="O374" i="2"/>
  <c r="L375" i="2"/>
  <c r="M375" i="2"/>
  <c r="N375" i="2"/>
  <c r="O375" i="2"/>
  <c r="L376" i="2"/>
  <c r="M376" i="2"/>
  <c r="N376" i="2"/>
  <c r="O376" i="2"/>
  <c r="L377" i="2"/>
  <c r="M377" i="2"/>
  <c r="N377" i="2"/>
  <c r="O377" i="2"/>
  <c r="L378" i="2"/>
  <c r="M378" i="2"/>
  <c r="N378" i="2"/>
  <c r="O378" i="2"/>
  <c r="L379" i="2"/>
  <c r="M379" i="2"/>
  <c r="N379" i="2"/>
  <c r="O379" i="2"/>
  <c r="L380" i="2"/>
  <c r="M380" i="2"/>
  <c r="N380" i="2"/>
  <c r="O380" i="2"/>
  <c r="L381" i="2"/>
  <c r="M381" i="2"/>
  <c r="N381" i="2"/>
  <c r="O381" i="2"/>
  <c r="L382" i="2"/>
  <c r="M382" i="2"/>
  <c r="N382" i="2"/>
  <c r="O382" i="2"/>
  <c r="L383" i="2"/>
  <c r="M383" i="2"/>
  <c r="N383" i="2"/>
  <c r="O383" i="2"/>
  <c r="L384" i="2"/>
  <c r="M384" i="2"/>
  <c r="N384" i="2"/>
  <c r="O384" i="2"/>
  <c r="L385" i="2"/>
  <c r="M385" i="2"/>
  <c r="N385" i="2"/>
  <c r="O385" i="2"/>
  <c r="L386" i="2"/>
  <c r="M386" i="2"/>
  <c r="N386" i="2"/>
  <c r="O386" i="2"/>
  <c r="L387" i="2"/>
  <c r="M387" i="2"/>
  <c r="N387" i="2"/>
  <c r="O387" i="2"/>
  <c r="L388" i="2"/>
  <c r="M388" i="2"/>
  <c r="N388" i="2"/>
  <c r="O388" i="2"/>
  <c r="L389" i="2"/>
  <c r="M389" i="2"/>
  <c r="N389" i="2"/>
  <c r="O389" i="2"/>
  <c r="L390" i="2"/>
  <c r="M390" i="2"/>
  <c r="N390" i="2"/>
  <c r="O390" i="2"/>
  <c r="L391" i="2"/>
  <c r="M391" i="2"/>
  <c r="N391" i="2"/>
  <c r="O391" i="2"/>
  <c r="L392" i="2"/>
  <c r="M392" i="2"/>
  <c r="N392" i="2"/>
  <c r="O392" i="2"/>
  <c r="L393" i="2"/>
  <c r="M393" i="2"/>
  <c r="N393" i="2"/>
  <c r="O393" i="2"/>
  <c r="L394" i="2"/>
  <c r="M394" i="2"/>
  <c r="N394" i="2"/>
  <c r="O394" i="2"/>
  <c r="L395" i="2"/>
  <c r="M395" i="2"/>
  <c r="N395" i="2"/>
  <c r="O395" i="2"/>
  <c r="L396" i="2"/>
  <c r="M396" i="2"/>
  <c r="N396" i="2"/>
  <c r="O396" i="2"/>
  <c r="L397" i="2"/>
  <c r="M397" i="2"/>
  <c r="N397" i="2"/>
  <c r="O397" i="2"/>
  <c r="L398" i="2"/>
  <c r="M398" i="2"/>
  <c r="N398" i="2"/>
  <c r="O398" i="2"/>
  <c r="L399" i="2"/>
  <c r="M399" i="2"/>
  <c r="N399" i="2"/>
  <c r="O399" i="2"/>
  <c r="L400" i="2"/>
  <c r="M400" i="2"/>
  <c r="N400" i="2"/>
  <c r="O400" i="2"/>
  <c r="L401" i="2"/>
  <c r="M401" i="2"/>
  <c r="N401" i="2"/>
  <c r="O401" i="2"/>
  <c r="L402" i="2"/>
  <c r="M402" i="2"/>
  <c r="N402" i="2"/>
  <c r="O402" i="2"/>
  <c r="L403" i="2"/>
  <c r="M403" i="2"/>
  <c r="N403" i="2"/>
  <c r="O403" i="2"/>
  <c r="L404" i="2"/>
  <c r="M404" i="2"/>
  <c r="N404" i="2"/>
  <c r="O404" i="2"/>
  <c r="L405" i="2"/>
  <c r="M405" i="2"/>
  <c r="N405" i="2"/>
  <c r="O405" i="2"/>
  <c r="L406" i="2"/>
  <c r="M406" i="2"/>
  <c r="N406" i="2"/>
  <c r="O406" i="2"/>
  <c r="L407" i="2"/>
  <c r="M407" i="2"/>
  <c r="N407" i="2"/>
  <c r="O407" i="2"/>
  <c r="L408" i="2"/>
  <c r="M408" i="2"/>
  <c r="N408" i="2"/>
  <c r="O408" i="2"/>
  <c r="L409" i="2"/>
  <c r="M409" i="2"/>
  <c r="N409" i="2"/>
  <c r="O409" i="2"/>
  <c r="L410" i="2"/>
  <c r="M410" i="2"/>
  <c r="N410" i="2"/>
  <c r="O410" i="2"/>
  <c r="L411" i="2"/>
  <c r="M411" i="2"/>
  <c r="N411" i="2"/>
  <c r="O411" i="2"/>
  <c r="L412" i="2"/>
  <c r="M412" i="2"/>
  <c r="N412" i="2"/>
  <c r="O412" i="2"/>
  <c r="L413" i="2"/>
  <c r="M413" i="2"/>
  <c r="N413" i="2"/>
  <c r="O413" i="2"/>
  <c r="L414" i="2"/>
  <c r="M414" i="2"/>
  <c r="N414" i="2"/>
  <c r="O414" i="2"/>
  <c r="L415" i="2"/>
  <c r="M415" i="2"/>
  <c r="N415" i="2"/>
  <c r="O415" i="2"/>
  <c r="L416" i="2"/>
  <c r="M416" i="2"/>
  <c r="N416" i="2"/>
  <c r="O416" i="2"/>
  <c r="L417" i="2"/>
  <c r="M417" i="2"/>
  <c r="N417" i="2"/>
  <c r="O417" i="2"/>
  <c r="L418" i="2"/>
  <c r="M418" i="2"/>
  <c r="N418" i="2"/>
  <c r="O418" i="2"/>
  <c r="L419" i="2"/>
  <c r="M419" i="2"/>
  <c r="N419" i="2"/>
  <c r="O419" i="2"/>
  <c r="L420" i="2"/>
  <c r="M420" i="2"/>
  <c r="N420" i="2"/>
  <c r="O420" i="2"/>
  <c r="L421" i="2"/>
  <c r="M421" i="2"/>
  <c r="N421" i="2"/>
  <c r="O421" i="2"/>
  <c r="L422" i="2"/>
  <c r="M422" i="2"/>
  <c r="N422" i="2"/>
  <c r="O422" i="2"/>
  <c r="L423" i="2"/>
  <c r="M423" i="2"/>
  <c r="N423" i="2"/>
  <c r="O423" i="2"/>
  <c r="L424" i="2"/>
  <c r="M424" i="2"/>
  <c r="N424" i="2"/>
  <c r="O424" i="2"/>
  <c r="L425" i="2"/>
  <c r="M425" i="2"/>
  <c r="N425" i="2"/>
  <c r="O425" i="2"/>
  <c r="L426" i="2"/>
  <c r="M426" i="2"/>
  <c r="N426" i="2"/>
  <c r="O426" i="2"/>
  <c r="L427" i="2"/>
  <c r="M427" i="2"/>
  <c r="N427" i="2"/>
  <c r="O427" i="2"/>
  <c r="L428" i="2"/>
  <c r="M428" i="2"/>
  <c r="N428" i="2"/>
  <c r="O428" i="2"/>
  <c r="L429" i="2"/>
  <c r="M429" i="2"/>
  <c r="N429" i="2"/>
  <c r="O429" i="2"/>
  <c r="L430" i="2"/>
  <c r="M430" i="2"/>
  <c r="N430" i="2"/>
  <c r="O430" i="2"/>
  <c r="L431" i="2"/>
  <c r="M431" i="2"/>
  <c r="N431" i="2"/>
  <c r="O431" i="2"/>
  <c r="L432" i="2"/>
  <c r="M432" i="2"/>
  <c r="N432" i="2"/>
  <c r="O432" i="2"/>
  <c r="L433" i="2"/>
  <c r="M433" i="2"/>
  <c r="N433" i="2"/>
  <c r="O433" i="2"/>
  <c r="L434" i="2"/>
  <c r="M434" i="2"/>
  <c r="N434" i="2"/>
  <c r="O434" i="2"/>
  <c r="L435" i="2"/>
  <c r="M435" i="2"/>
  <c r="N435" i="2"/>
  <c r="O435" i="2"/>
  <c r="L436" i="2"/>
  <c r="M436" i="2"/>
  <c r="N436" i="2"/>
  <c r="O436" i="2"/>
  <c r="L437" i="2"/>
  <c r="M437" i="2"/>
  <c r="N437" i="2"/>
  <c r="O437" i="2"/>
  <c r="L438" i="2"/>
  <c r="M438" i="2"/>
  <c r="N438" i="2"/>
  <c r="O438" i="2"/>
  <c r="L439" i="2"/>
  <c r="M439" i="2"/>
  <c r="N439" i="2"/>
  <c r="O439" i="2"/>
  <c r="L440" i="2"/>
  <c r="M440" i="2"/>
  <c r="N440" i="2"/>
  <c r="O440" i="2"/>
  <c r="L441" i="2"/>
  <c r="M441" i="2"/>
  <c r="N441" i="2"/>
  <c r="O441" i="2"/>
  <c r="L442" i="2"/>
  <c r="M442" i="2"/>
  <c r="N442" i="2"/>
  <c r="O442" i="2"/>
  <c r="L443" i="2"/>
  <c r="M443" i="2"/>
  <c r="N443" i="2"/>
  <c r="O443" i="2"/>
  <c r="L444" i="2"/>
  <c r="M444" i="2"/>
  <c r="N444" i="2"/>
  <c r="O444" i="2"/>
  <c r="L445" i="2"/>
  <c r="M445" i="2"/>
  <c r="N445" i="2"/>
  <c r="O445" i="2"/>
  <c r="L446" i="2"/>
  <c r="M446" i="2"/>
  <c r="N446" i="2"/>
  <c r="O446" i="2"/>
  <c r="L447" i="2"/>
  <c r="M447" i="2"/>
  <c r="N447" i="2"/>
  <c r="O447" i="2"/>
  <c r="L448" i="2"/>
  <c r="M448" i="2"/>
  <c r="N448" i="2"/>
  <c r="O448" i="2"/>
  <c r="L449" i="2"/>
  <c r="M449" i="2"/>
  <c r="N449" i="2"/>
  <c r="O449" i="2"/>
  <c r="L450" i="2"/>
  <c r="M450" i="2"/>
  <c r="N450" i="2"/>
  <c r="O450" i="2"/>
  <c r="L451" i="2"/>
  <c r="M451" i="2"/>
  <c r="N451" i="2"/>
  <c r="O451" i="2"/>
  <c r="L452" i="2"/>
  <c r="M452" i="2"/>
  <c r="N452" i="2"/>
  <c r="O452" i="2"/>
  <c r="L453" i="2"/>
  <c r="M453" i="2"/>
  <c r="N453" i="2"/>
  <c r="O453" i="2"/>
  <c r="L454" i="2"/>
  <c r="M454" i="2"/>
  <c r="N454" i="2"/>
  <c r="O454" i="2"/>
  <c r="L455" i="2"/>
  <c r="M455" i="2"/>
  <c r="N455" i="2"/>
  <c r="O455" i="2"/>
  <c r="L456" i="2"/>
  <c r="M456" i="2"/>
  <c r="N456" i="2"/>
  <c r="O456" i="2"/>
  <c r="L457" i="2"/>
  <c r="M457" i="2"/>
  <c r="N457" i="2"/>
  <c r="O457" i="2"/>
  <c r="L458" i="2"/>
  <c r="M458" i="2"/>
  <c r="N458" i="2"/>
  <c r="O458" i="2"/>
  <c r="L459" i="2"/>
  <c r="M459" i="2"/>
  <c r="N459" i="2"/>
  <c r="O459" i="2"/>
  <c r="L460" i="2"/>
  <c r="M460" i="2"/>
  <c r="N460" i="2"/>
  <c r="O460" i="2"/>
  <c r="L461" i="2"/>
  <c r="M461" i="2"/>
  <c r="N461" i="2"/>
  <c r="O461" i="2"/>
  <c r="L462" i="2"/>
  <c r="M462" i="2"/>
  <c r="N462" i="2"/>
  <c r="O462" i="2"/>
  <c r="L463" i="2"/>
  <c r="M463" i="2"/>
  <c r="N463" i="2"/>
  <c r="O463" i="2"/>
  <c r="L464" i="2"/>
  <c r="M464" i="2"/>
  <c r="N464" i="2"/>
  <c r="O464" i="2"/>
  <c r="L465" i="2"/>
  <c r="M465" i="2"/>
  <c r="N465" i="2"/>
  <c r="O465" i="2"/>
  <c r="L466" i="2"/>
  <c r="M466" i="2"/>
  <c r="N466" i="2"/>
  <c r="O466" i="2"/>
  <c r="L467" i="2"/>
  <c r="M467" i="2"/>
  <c r="N467" i="2"/>
  <c r="O467" i="2"/>
  <c r="L468" i="2"/>
  <c r="M468" i="2"/>
  <c r="N468" i="2"/>
  <c r="O468" i="2"/>
  <c r="L469" i="2"/>
  <c r="M469" i="2"/>
  <c r="N469" i="2"/>
  <c r="O469" i="2"/>
  <c r="L470" i="2"/>
  <c r="M470" i="2"/>
  <c r="N470" i="2"/>
  <c r="O470" i="2"/>
  <c r="L471" i="2"/>
  <c r="M471" i="2"/>
  <c r="N471" i="2"/>
  <c r="O471" i="2"/>
  <c r="L472" i="2"/>
  <c r="M472" i="2"/>
  <c r="N472" i="2"/>
  <c r="O472" i="2"/>
  <c r="L473" i="2"/>
  <c r="M473" i="2"/>
  <c r="N473" i="2"/>
  <c r="O473" i="2"/>
  <c r="L474" i="2"/>
  <c r="M474" i="2"/>
  <c r="N474" i="2"/>
  <c r="O474" i="2"/>
  <c r="L475" i="2"/>
  <c r="M475" i="2"/>
  <c r="N475" i="2"/>
  <c r="O475" i="2"/>
  <c r="L476" i="2"/>
  <c r="M476" i="2"/>
  <c r="N476" i="2"/>
  <c r="O476" i="2"/>
  <c r="L477" i="2"/>
  <c r="M477" i="2"/>
  <c r="N477" i="2"/>
  <c r="O477" i="2"/>
  <c r="L478" i="2"/>
  <c r="M478" i="2"/>
  <c r="N478" i="2"/>
  <c r="O478" i="2"/>
  <c r="L479" i="2"/>
  <c r="M479" i="2"/>
  <c r="N479" i="2"/>
  <c r="O479" i="2"/>
  <c r="L480" i="2"/>
  <c r="M480" i="2"/>
  <c r="N480" i="2"/>
  <c r="O480" i="2"/>
  <c r="L481" i="2"/>
  <c r="M481" i="2"/>
  <c r="N481" i="2"/>
  <c r="O481" i="2"/>
  <c r="L482" i="2"/>
  <c r="M482" i="2"/>
  <c r="N482" i="2"/>
  <c r="O482" i="2"/>
  <c r="L483" i="2"/>
  <c r="M483" i="2"/>
  <c r="N483" i="2"/>
  <c r="O483" i="2"/>
  <c r="L484" i="2"/>
  <c r="M484" i="2"/>
  <c r="N484" i="2"/>
  <c r="O484" i="2"/>
  <c r="L485" i="2"/>
  <c r="M485" i="2"/>
  <c r="N485" i="2"/>
  <c r="O485" i="2"/>
  <c r="L486" i="2"/>
  <c r="M486" i="2"/>
  <c r="N486" i="2"/>
  <c r="O486" i="2"/>
  <c r="L487" i="2"/>
  <c r="M487" i="2"/>
  <c r="N487" i="2"/>
  <c r="O487" i="2"/>
  <c r="L488" i="2"/>
  <c r="M488" i="2"/>
  <c r="N488" i="2"/>
  <c r="O488" i="2"/>
  <c r="L489" i="2"/>
  <c r="M489" i="2"/>
  <c r="N489" i="2"/>
  <c r="O489" i="2"/>
  <c r="L490" i="2"/>
  <c r="M490" i="2"/>
  <c r="N490" i="2"/>
  <c r="O490" i="2"/>
  <c r="L491" i="2"/>
  <c r="M491" i="2"/>
  <c r="N491" i="2"/>
  <c r="O491" i="2"/>
  <c r="L492" i="2"/>
  <c r="M492" i="2"/>
  <c r="N492" i="2"/>
  <c r="O492" i="2"/>
  <c r="L493" i="2"/>
  <c r="M493" i="2"/>
  <c r="N493" i="2"/>
  <c r="O493" i="2"/>
  <c r="L494" i="2"/>
  <c r="M494" i="2"/>
  <c r="N494" i="2"/>
  <c r="O494" i="2"/>
  <c r="L495" i="2"/>
  <c r="M495" i="2"/>
  <c r="N495" i="2"/>
  <c r="O495" i="2"/>
  <c r="L496" i="2"/>
  <c r="M496" i="2"/>
  <c r="N496" i="2"/>
  <c r="O496" i="2"/>
  <c r="L497" i="2"/>
  <c r="M497" i="2"/>
  <c r="N497" i="2"/>
  <c r="O497" i="2"/>
  <c r="L498" i="2"/>
  <c r="M498" i="2"/>
  <c r="N498" i="2"/>
  <c r="O498" i="2"/>
  <c r="L499" i="2"/>
  <c r="M499" i="2"/>
  <c r="N499" i="2"/>
  <c r="O499" i="2"/>
  <c r="L500" i="2"/>
  <c r="M500" i="2"/>
  <c r="N500" i="2"/>
  <c r="O500" i="2"/>
  <c r="L501" i="2"/>
  <c r="M501" i="2"/>
  <c r="N501" i="2"/>
  <c r="O501" i="2"/>
  <c r="L502" i="2"/>
  <c r="M502" i="2"/>
  <c r="N502" i="2"/>
  <c r="O502" i="2"/>
  <c r="L503" i="2"/>
  <c r="M503" i="2"/>
  <c r="N503" i="2"/>
  <c r="O503" i="2"/>
  <c r="L504" i="2"/>
  <c r="M504" i="2"/>
  <c r="N504" i="2"/>
  <c r="O504" i="2"/>
  <c r="L505" i="2"/>
  <c r="M505" i="2"/>
  <c r="N505" i="2"/>
  <c r="O505" i="2"/>
  <c r="L506" i="2"/>
  <c r="M506" i="2"/>
  <c r="N506" i="2"/>
  <c r="O506" i="2"/>
  <c r="L507" i="2"/>
  <c r="M507" i="2"/>
  <c r="N507" i="2"/>
  <c r="O507" i="2"/>
  <c r="L508" i="2"/>
  <c r="M508" i="2"/>
  <c r="N508" i="2"/>
  <c r="O508" i="2"/>
  <c r="L509" i="2"/>
  <c r="M509" i="2"/>
  <c r="N509" i="2"/>
  <c r="O509" i="2"/>
  <c r="L510" i="2"/>
  <c r="M510" i="2"/>
  <c r="N510" i="2"/>
  <c r="O510" i="2"/>
  <c r="L511" i="2"/>
  <c r="M511" i="2"/>
  <c r="N511" i="2"/>
  <c r="O511" i="2"/>
  <c r="L512" i="2"/>
  <c r="M512" i="2"/>
  <c r="N512" i="2"/>
  <c r="O512" i="2"/>
  <c r="L513" i="2"/>
  <c r="M513" i="2"/>
  <c r="N513" i="2"/>
  <c r="O513" i="2"/>
  <c r="L514" i="2"/>
  <c r="M514" i="2"/>
  <c r="N514" i="2"/>
  <c r="O514" i="2"/>
  <c r="L515" i="2"/>
  <c r="M515" i="2"/>
  <c r="N515" i="2"/>
  <c r="O515" i="2"/>
  <c r="L516" i="2"/>
  <c r="M516" i="2"/>
  <c r="N516" i="2"/>
  <c r="O516" i="2"/>
  <c r="L517" i="2"/>
  <c r="M517" i="2"/>
  <c r="N517" i="2"/>
  <c r="O517" i="2"/>
  <c r="L518" i="2"/>
  <c r="M518" i="2"/>
  <c r="N518" i="2"/>
  <c r="O518" i="2"/>
  <c r="L519" i="2"/>
  <c r="M519" i="2"/>
  <c r="N519" i="2"/>
  <c r="O519" i="2"/>
  <c r="L520" i="2"/>
  <c r="M520" i="2"/>
  <c r="N520" i="2"/>
  <c r="O520" i="2"/>
  <c r="L521" i="2"/>
  <c r="M521" i="2"/>
  <c r="N521" i="2"/>
  <c r="O521" i="2"/>
  <c r="L522" i="2"/>
  <c r="M522" i="2"/>
  <c r="N522" i="2"/>
  <c r="O522" i="2"/>
  <c r="L523" i="2"/>
  <c r="M523" i="2"/>
  <c r="N523" i="2"/>
  <c r="O523" i="2"/>
  <c r="L524" i="2"/>
  <c r="M524" i="2"/>
  <c r="N524" i="2"/>
  <c r="O524" i="2"/>
  <c r="L525" i="2"/>
  <c r="M525" i="2"/>
  <c r="N525" i="2"/>
  <c r="O525" i="2"/>
  <c r="L526" i="2"/>
  <c r="M526" i="2"/>
  <c r="N526" i="2"/>
  <c r="O526" i="2"/>
  <c r="L527" i="2"/>
  <c r="M527" i="2"/>
  <c r="N527" i="2"/>
  <c r="O527" i="2"/>
  <c r="L528" i="2"/>
  <c r="M528" i="2"/>
  <c r="N528" i="2"/>
  <c r="O528" i="2"/>
  <c r="L529" i="2"/>
  <c r="M529" i="2"/>
  <c r="N529" i="2"/>
  <c r="O529" i="2"/>
  <c r="L530" i="2"/>
  <c r="M530" i="2"/>
  <c r="N530" i="2"/>
  <c r="O530" i="2"/>
  <c r="L531" i="2"/>
  <c r="M531" i="2"/>
  <c r="N531" i="2"/>
  <c r="O531" i="2"/>
  <c r="L532" i="2"/>
  <c r="M532" i="2"/>
  <c r="N532" i="2"/>
  <c r="O532" i="2"/>
  <c r="L533" i="2"/>
  <c r="M533" i="2"/>
  <c r="N533" i="2"/>
  <c r="O533" i="2"/>
  <c r="L534" i="2"/>
  <c r="M534" i="2"/>
  <c r="N534" i="2"/>
  <c r="O534" i="2"/>
  <c r="L535" i="2"/>
  <c r="M535" i="2"/>
  <c r="N535" i="2"/>
  <c r="O535" i="2"/>
  <c r="L536" i="2"/>
  <c r="M536" i="2"/>
  <c r="N536" i="2"/>
  <c r="O536" i="2"/>
  <c r="L537" i="2"/>
  <c r="M537" i="2"/>
  <c r="N537" i="2"/>
  <c r="O537" i="2"/>
  <c r="L538" i="2"/>
  <c r="M538" i="2"/>
  <c r="N538" i="2"/>
  <c r="O538" i="2"/>
  <c r="L539" i="2"/>
  <c r="M539" i="2"/>
  <c r="N539" i="2"/>
  <c r="O539" i="2"/>
  <c r="L540" i="2"/>
  <c r="M540" i="2"/>
  <c r="N540" i="2"/>
  <c r="O540" i="2"/>
  <c r="L541" i="2"/>
  <c r="M541" i="2"/>
  <c r="N541" i="2"/>
  <c r="O541" i="2"/>
  <c r="L542" i="2"/>
  <c r="M542" i="2"/>
  <c r="N542" i="2"/>
  <c r="O542" i="2"/>
  <c r="L543" i="2"/>
  <c r="M543" i="2"/>
  <c r="N543" i="2"/>
  <c r="O543" i="2"/>
  <c r="L544" i="2"/>
  <c r="M544" i="2"/>
  <c r="N544" i="2"/>
  <c r="O544" i="2"/>
  <c r="L545" i="2"/>
  <c r="M545" i="2"/>
  <c r="N545" i="2"/>
  <c r="O545" i="2"/>
  <c r="L546" i="2"/>
  <c r="M546" i="2"/>
  <c r="N546" i="2"/>
  <c r="O546" i="2"/>
  <c r="L547" i="2"/>
  <c r="M547" i="2"/>
  <c r="N547" i="2"/>
  <c r="O547" i="2"/>
  <c r="L548" i="2"/>
  <c r="M548" i="2"/>
  <c r="N548" i="2"/>
  <c r="O548" i="2"/>
  <c r="L549" i="2"/>
  <c r="M549" i="2"/>
  <c r="N549" i="2"/>
  <c r="O549" i="2"/>
  <c r="L550" i="2"/>
  <c r="M550" i="2"/>
  <c r="N550" i="2"/>
  <c r="O550" i="2"/>
  <c r="L551" i="2"/>
  <c r="M551" i="2"/>
  <c r="N551" i="2"/>
  <c r="O551" i="2"/>
  <c r="L552" i="2"/>
  <c r="M552" i="2"/>
  <c r="N552" i="2"/>
  <c r="O552" i="2"/>
  <c r="L553" i="2"/>
  <c r="M553" i="2"/>
  <c r="N553" i="2"/>
  <c r="O553" i="2"/>
  <c r="L554" i="2"/>
  <c r="M554" i="2"/>
  <c r="N554" i="2"/>
  <c r="O554" i="2"/>
  <c r="L555" i="2"/>
  <c r="M555" i="2"/>
  <c r="N555" i="2"/>
  <c r="O555" i="2"/>
  <c r="L556" i="2"/>
  <c r="M556" i="2"/>
  <c r="N556" i="2"/>
  <c r="O556" i="2"/>
  <c r="L557" i="2"/>
  <c r="M557" i="2"/>
  <c r="N557" i="2"/>
  <c r="O557" i="2"/>
  <c r="L558" i="2"/>
  <c r="M558" i="2"/>
  <c r="N558" i="2"/>
  <c r="O558" i="2"/>
  <c r="L559" i="2"/>
  <c r="M559" i="2"/>
  <c r="N559" i="2"/>
  <c r="O559" i="2"/>
  <c r="L560" i="2"/>
  <c r="M560" i="2"/>
  <c r="N560" i="2"/>
  <c r="O560" i="2"/>
  <c r="L561" i="2"/>
  <c r="M561" i="2"/>
  <c r="N561" i="2"/>
  <c r="O561" i="2"/>
  <c r="L562" i="2"/>
  <c r="M562" i="2"/>
  <c r="N562" i="2"/>
  <c r="O562" i="2"/>
  <c r="L563" i="2"/>
  <c r="M563" i="2"/>
  <c r="N563" i="2"/>
  <c r="O563" i="2"/>
  <c r="L564" i="2"/>
  <c r="M564" i="2"/>
  <c r="N564" i="2"/>
  <c r="O564" i="2"/>
  <c r="L565" i="2"/>
  <c r="M565" i="2"/>
  <c r="N565" i="2"/>
  <c r="O565" i="2"/>
  <c r="L566" i="2"/>
  <c r="M566" i="2"/>
  <c r="N566" i="2"/>
  <c r="O566" i="2"/>
  <c r="L567" i="2"/>
  <c r="M567" i="2"/>
  <c r="N567" i="2"/>
  <c r="O567" i="2"/>
  <c r="L568" i="2"/>
  <c r="M568" i="2"/>
  <c r="N568" i="2"/>
  <c r="O568" i="2"/>
  <c r="L569" i="2"/>
  <c r="M569" i="2"/>
  <c r="N569" i="2"/>
  <c r="O569" i="2"/>
  <c r="L570" i="2"/>
  <c r="M570" i="2"/>
  <c r="N570" i="2"/>
  <c r="O570" i="2"/>
  <c r="L571" i="2"/>
  <c r="M571" i="2"/>
  <c r="N571" i="2"/>
  <c r="O571" i="2"/>
  <c r="L572" i="2"/>
  <c r="M572" i="2"/>
  <c r="N572" i="2"/>
  <c r="O572" i="2"/>
  <c r="L573" i="2"/>
  <c r="M573" i="2"/>
  <c r="N573" i="2"/>
  <c r="O573" i="2"/>
  <c r="L574" i="2"/>
  <c r="M574" i="2"/>
  <c r="N574" i="2"/>
  <c r="O574" i="2"/>
  <c r="L575" i="2"/>
  <c r="M575" i="2"/>
  <c r="N575" i="2"/>
  <c r="O575" i="2"/>
  <c r="L576" i="2"/>
  <c r="M576" i="2"/>
  <c r="N576" i="2"/>
  <c r="O576" i="2"/>
  <c r="L577" i="2"/>
  <c r="M577" i="2"/>
  <c r="N577" i="2"/>
  <c r="O577" i="2"/>
  <c r="L578" i="2"/>
  <c r="M578" i="2"/>
  <c r="N578" i="2"/>
  <c r="O578" i="2"/>
  <c r="L579" i="2"/>
  <c r="M579" i="2"/>
  <c r="N579" i="2"/>
  <c r="O579" i="2"/>
  <c r="L580" i="2"/>
  <c r="M580" i="2"/>
  <c r="N580" i="2"/>
  <c r="O580" i="2"/>
  <c r="L581" i="2"/>
  <c r="M581" i="2"/>
  <c r="N581" i="2"/>
  <c r="O581" i="2"/>
  <c r="L582" i="2"/>
  <c r="M582" i="2"/>
  <c r="N582" i="2"/>
  <c r="O582" i="2"/>
  <c r="L583" i="2"/>
  <c r="M583" i="2"/>
  <c r="N583" i="2"/>
  <c r="O583" i="2"/>
  <c r="L584" i="2"/>
  <c r="M584" i="2"/>
  <c r="N584" i="2"/>
  <c r="O584" i="2"/>
  <c r="L585" i="2"/>
  <c r="M585" i="2"/>
  <c r="N585" i="2"/>
  <c r="O585" i="2"/>
  <c r="L586" i="2"/>
  <c r="M586" i="2"/>
  <c r="N586" i="2"/>
  <c r="O586" i="2"/>
  <c r="L587" i="2"/>
  <c r="M587" i="2"/>
  <c r="N587" i="2"/>
  <c r="O587" i="2"/>
  <c r="L588" i="2"/>
  <c r="M588" i="2"/>
  <c r="N588" i="2"/>
  <c r="O588" i="2"/>
  <c r="L589" i="2"/>
  <c r="M589" i="2"/>
  <c r="N589" i="2"/>
  <c r="O589" i="2"/>
  <c r="L590" i="2"/>
  <c r="M590" i="2"/>
  <c r="N590" i="2"/>
  <c r="O590" i="2"/>
  <c r="L591" i="2"/>
  <c r="M591" i="2"/>
  <c r="N591" i="2"/>
  <c r="O591" i="2"/>
  <c r="L592" i="2"/>
  <c r="M592" i="2"/>
  <c r="N592" i="2"/>
  <c r="O592" i="2"/>
  <c r="L593" i="2"/>
  <c r="M593" i="2"/>
  <c r="N593" i="2"/>
  <c r="O593" i="2"/>
  <c r="L594" i="2"/>
  <c r="M594" i="2"/>
  <c r="N594" i="2"/>
  <c r="O594" i="2"/>
  <c r="L595" i="2"/>
  <c r="M595" i="2"/>
  <c r="N595" i="2"/>
  <c r="O595" i="2"/>
  <c r="L596" i="2"/>
  <c r="M596" i="2"/>
  <c r="N596" i="2"/>
  <c r="O596" i="2"/>
  <c r="L597" i="2"/>
  <c r="M597" i="2"/>
  <c r="N597" i="2"/>
  <c r="O597" i="2"/>
  <c r="L598" i="2"/>
  <c r="M598" i="2"/>
  <c r="N598" i="2"/>
  <c r="O598" i="2"/>
  <c r="L599" i="2"/>
  <c r="M599" i="2"/>
  <c r="N599" i="2"/>
  <c r="O599" i="2"/>
  <c r="L600" i="2"/>
  <c r="M600" i="2"/>
  <c r="N600" i="2"/>
  <c r="O600" i="2"/>
  <c r="L601" i="2"/>
  <c r="M601" i="2"/>
  <c r="N601" i="2"/>
  <c r="O601" i="2"/>
  <c r="L602" i="2"/>
  <c r="M602" i="2"/>
  <c r="N602" i="2"/>
  <c r="O602" i="2"/>
  <c r="L603" i="2"/>
  <c r="M603" i="2"/>
  <c r="N603" i="2"/>
  <c r="O603" i="2"/>
  <c r="L604" i="2"/>
  <c r="M604" i="2"/>
  <c r="N604" i="2"/>
  <c r="O604" i="2"/>
  <c r="L605" i="2"/>
  <c r="M605" i="2"/>
  <c r="N605" i="2"/>
  <c r="O605" i="2"/>
  <c r="L606" i="2"/>
  <c r="M606" i="2"/>
  <c r="N606" i="2"/>
  <c r="O606" i="2"/>
  <c r="L607" i="2"/>
  <c r="M607" i="2"/>
  <c r="N607" i="2"/>
  <c r="O607" i="2"/>
  <c r="L608" i="2"/>
  <c r="M608" i="2"/>
  <c r="N608" i="2"/>
  <c r="O608" i="2"/>
  <c r="L609" i="2"/>
  <c r="M609" i="2"/>
  <c r="N609" i="2"/>
  <c r="O609" i="2"/>
  <c r="L610" i="2"/>
  <c r="M610" i="2"/>
  <c r="N610" i="2"/>
  <c r="O610" i="2"/>
  <c r="L611" i="2"/>
  <c r="M611" i="2"/>
  <c r="N611" i="2"/>
  <c r="O611" i="2"/>
  <c r="L612" i="2"/>
  <c r="M612" i="2"/>
  <c r="N612" i="2"/>
  <c r="O612" i="2"/>
  <c r="L613" i="2"/>
  <c r="M613" i="2"/>
  <c r="N613" i="2"/>
  <c r="O613" i="2"/>
  <c r="L614" i="2"/>
  <c r="M614" i="2"/>
  <c r="N614" i="2"/>
  <c r="O614" i="2"/>
  <c r="L615" i="2"/>
  <c r="M615" i="2"/>
  <c r="N615" i="2"/>
  <c r="O615" i="2"/>
  <c r="L616" i="2"/>
  <c r="M616" i="2"/>
  <c r="N616" i="2"/>
  <c r="O616" i="2"/>
  <c r="L617" i="2"/>
  <c r="M617" i="2"/>
  <c r="N617" i="2"/>
  <c r="O617" i="2"/>
  <c r="L618" i="2"/>
  <c r="M618" i="2"/>
  <c r="N618" i="2"/>
  <c r="O618" i="2"/>
  <c r="L619" i="2"/>
  <c r="M619" i="2"/>
  <c r="N619" i="2"/>
  <c r="O619" i="2"/>
  <c r="L620" i="2"/>
  <c r="M620" i="2"/>
  <c r="N620" i="2"/>
  <c r="O620" i="2"/>
  <c r="L621" i="2"/>
  <c r="M621" i="2"/>
  <c r="N621" i="2"/>
  <c r="O621" i="2"/>
  <c r="L622" i="2"/>
  <c r="M622" i="2"/>
  <c r="N622" i="2"/>
  <c r="O622" i="2"/>
  <c r="L623" i="2"/>
  <c r="M623" i="2"/>
  <c r="N623" i="2"/>
  <c r="O623" i="2"/>
  <c r="L624" i="2"/>
  <c r="M624" i="2"/>
  <c r="N624" i="2"/>
  <c r="O624" i="2"/>
  <c r="L625" i="2"/>
  <c r="M625" i="2"/>
  <c r="N625" i="2"/>
  <c r="O625" i="2"/>
  <c r="L626" i="2"/>
  <c r="M626" i="2"/>
  <c r="N626" i="2"/>
  <c r="O626" i="2"/>
  <c r="L627" i="2"/>
  <c r="M627" i="2"/>
  <c r="N627" i="2"/>
  <c r="O627" i="2"/>
  <c r="L628" i="2"/>
  <c r="M628" i="2"/>
  <c r="N628" i="2"/>
  <c r="O628" i="2"/>
  <c r="L629" i="2"/>
  <c r="M629" i="2"/>
  <c r="N629" i="2"/>
  <c r="O629" i="2"/>
  <c r="L630" i="2"/>
  <c r="M630" i="2"/>
  <c r="N630" i="2"/>
  <c r="O630" i="2"/>
  <c r="L631" i="2"/>
  <c r="M631" i="2"/>
  <c r="N631" i="2"/>
  <c r="O631" i="2"/>
  <c r="L632" i="2"/>
  <c r="M632" i="2"/>
  <c r="N632" i="2"/>
  <c r="O632" i="2"/>
  <c r="L633" i="2"/>
  <c r="M633" i="2"/>
  <c r="N633" i="2"/>
  <c r="O633" i="2"/>
  <c r="L634" i="2"/>
  <c r="M634" i="2"/>
  <c r="N634" i="2"/>
  <c r="O634" i="2"/>
  <c r="L635" i="2"/>
  <c r="M635" i="2"/>
  <c r="N635" i="2"/>
  <c r="O635" i="2"/>
  <c r="L636" i="2"/>
  <c r="M636" i="2"/>
  <c r="N636" i="2"/>
  <c r="O636" i="2"/>
  <c r="L637" i="2"/>
  <c r="M637" i="2"/>
  <c r="N637" i="2"/>
  <c r="O637" i="2"/>
  <c r="L638" i="2"/>
  <c r="M638" i="2"/>
  <c r="N638" i="2"/>
  <c r="O638" i="2"/>
  <c r="L639" i="2"/>
  <c r="M639" i="2"/>
  <c r="N639" i="2"/>
  <c r="O639" i="2"/>
  <c r="L640" i="2"/>
  <c r="M640" i="2"/>
  <c r="N640" i="2"/>
  <c r="O640" i="2"/>
  <c r="L641" i="2"/>
  <c r="M641" i="2"/>
  <c r="N641" i="2"/>
  <c r="O641" i="2"/>
  <c r="L642" i="2"/>
  <c r="M642" i="2"/>
  <c r="N642" i="2"/>
  <c r="O642" i="2"/>
  <c r="L643" i="2"/>
  <c r="M643" i="2"/>
  <c r="N643" i="2"/>
  <c r="O643" i="2"/>
  <c r="L644" i="2"/>
  <c r="M644" i="2"/>
  <c r="N644" i="2"/>
  <c r="O644" i="2"/>
  <c r="L645" i="2"/>
  <c r="M645" i="2"/>
  <c r="N645" i="2"/>
  <c r="O645" i="2"/>
  <c r="L646" i="2"/>
  <c r="M646" i="2"/>
  <c r="N646" i="2"/>
  <c r="O646" i="2"/>
  <c r="L647" i="2"/>
  <c r="M647" i="2"/>
  <c r="N647" i="2"/>
  <c r="O647" i="2"/>
  <c r="L648" i="2"/>
  <c r="M648" i="2"/>
  <c r="N648" i="2"/>
  <c r="O648" i="2"/>
  <c r="L649" i="2"/>
  <c r="M649" i="2"/>
  <c r="N649" i="2"/>
  <c r="O649" i="2"/>
  <c r="L650" i="2"/>
  <c r="M650" i="2"/>
  <c r="N650" i="2"/>
  <c r="O650" i="2"/>
  <c r="L651" i="2"/>
  <c r="M651" i="2"/>
  <c r="N651" i="2"/>
  <c r="O651" i="2"/>
  <c r="L652" i="2"/>
  <c r="M652" i="2"/>
  <c r="N652" i="2"/>
  <c r="O652" i="2"/>
  <c r="L653" i="2"/>
  <c r="M653" i="2"/>
  <c r="N653" i="2"/>
  <c r="O653" i="2"/>
  <c r="L654" i="2"/>
  <c r="M654" i="2"/>
  <c r="N654" i="2"/>
  <c r="O654" i="2"/>
  <c r="L655" i="2"/>
  <c r="M655" i="2"/>
  <c r="N655" i="2"/>
  <c r="O655" i="2"/>
  <c r="L656" i="2"/>
  <c r="M656" i="2"/>
  <c r="N656" i="2"/>
  <c r="O656" i="2"/>
  <c r="L657" i="2"/>
  <c r="M657" i="2"/>
  <c r="N657" i="2"/>
  <c r="O657" i="2"/>
  <c r="L658" i="2"/>
  <c r="M658" i="2"/>
  <c r="N658" i="2"/>
  <c r="O658" i="2"/>
  <c r="L659" i="2"/>
  <c r="M659" i="2"/>
  <c r="N659" i="2"/>
  <c r="O659" i="2"/>
  <c r="L660" i="2"/>
  <c r="M660" i="2"/>
  <c r="N660" i="2"/>
  <c r="O660" i="2"/>
  <c r="L661" i="2"/>
  <c r="M661" i="2"/>
  <c r="N661" i="2"/>
  <c r="O661" i="2"/>
  <c r="L662" i="2"/>
  <c r="M662" i="2"/>
  <c r="N662" i="2"/>
  <c r="O662" i="2"/>
  <c r="L663" i="2"/>
  <c r="M663" i="2"/>
  <c r="N663" i="2"/>
  <c r="O663" i="2"/>
  <c r="L664" i="2"/>
  <c r="M664" i="2"/>
  <c r="N664" i="2"/>
  <c r="O664" i="2"/>
  <c r="L665" i="2"/>
  <c r="M665" i="2"/>
  <c r="N665" i="2"/>
  <c r="O665" i="2"/>
  <c r="L666" i="2"/>
  <c r="M666" i="2"/>
  <c r="N666" i="2"/>
  <c r="O666" i="2"/>
  <c r="L667" i="2"/>
  <c r="M667" i="2"/>
  <c r="N667" i="2"/>
  <c r="O667" i="2"/>
  <c r="L668" i="2"/>
  <c r="M668" i="2"/>
  <c r="N668" i="2"/>
  <c r="O668" i="2"/>
  <c r="L669" i="2"/>
  <c r="M669" i="2"/>
  <c r="N669" i="2"/>
  <c r="O669" i="2"/>
  <c r="L670" i="2"/>
  <c r="M670" i="2"/>
  <c r="N670" i="2"/>
  <c r="O670" i="2"/>
  <c r="L671" i="2"/>
  <c r="M671" i="2"/>
  <c r="N671" i="2"/>
  <c r="O671" i="2"/>
  <c r="L672" i="2"/>
  <c r="M672" i="2"/>
  <c r="N672" i="2"/>
  <c r="O672" i="2"/>
  <c r="L673" i="2"/>
  <c r="M673" i="2"/>
  <c r="N673" i="2"/>
  <c r="O673" i="2"/>
  <c r="L674" i="2"/>
  <c r="M674" i="2"/>
  <c r="N674" i="2"/>
  <c r="O674" i="2"/>
  <c r="L675" i="2"/>
  <c r="M675" i="2"/>
  <c r="N675" i="2"/>
  <c r="O675" i="2"/>
  <c r="L676" i="2"/>
  <c r="M676" i="2"/>
  <c r="N676" i="2"/>
  <c r="O676" i="2"/>
  <c r="L677" i="2"/>
  <c r="M677" i="2"/>
  <c r="N677" i="2"/>
  <c r="O677" i="2"/>
  <c r="L678" i="2"/>
  <c r="M678" i="2"/>
  <c r="N678" i="2"/>
  <c r="O678" i="2"/>
  <c r="L679" i="2"/>
  <c r="M679" i="2"/>
  <c r="N679" i="2"/>
  <c r="O679" i="2"/>
  <c r="L680" i="2"/>
  <c r="M680" i="2"/>
  <c r="N680" i="2"/>
  <c r="O680" i="2"/>
  <c r="L681" i="2"/>
  <c r="M681" i="2"/>
  <c r="N681" i="2"/>
  <c r="O681" i="2"/>
  <c r="L682" i="2"/>
  <c r="M682" i="2"/>
  <c r="N682" i="2"/>
  <c r="O682" i="2"/>
  <c r="L683" i="2"/>
  <c r="M683" i="2"/>
  <c r="N683" i="2"/>
  <c r="O683" i="2"/>
  <c r="L684" i="2"/>
  <c r="M684" i="2"/>
  <c r="N684" i="2"/>
  <c r="O684" i="2"/>
  <c r="L685" i="2"/>
  <c r="M685" i="2"/>
  <c r="N685" i="2"/>
  <c r="O685" i="2"/>
  <c r="L686" i="2"/>
  <c r="M686" i="2"/>
  <c r="N686" i="2"/>
  <c r="O686" i="2"/>
  <c r="L687" i="2"/>
  <c r="M687" i="2"/>
  <c r="N687" i="2"/>
  <c r="O687" i="2"/>
  <c r="L688" i="2"/>
  <c r="M688" i="2"/>
  <c r="N688" i="2"/>
  <c r="O688" i="2"/>
  <c r="L689" i="2"/>
  <c r="M689" i="2"/>
  <c r="N689" i="2"/>
  <c r="O689" i="2"/>
  <c r="L690" i="2"/>
  <c r="M690" i="2"/>
  <c r="N690" i="2"/>
  <c r="O690" i="2"/>
  <c r="L691" i="2"/>
  <c r="M691" i="2"/>
  <c r="N691" i="2"/>
  <c r="O691" i="2"/>
  <c r="L692" i="2"/>
  <c r="M692" i="2"/>
  <c r="N692" i="2"/>
  <c r="O692" i="2"/>
  <c r="L693" i="2"/>
  <c r="M693" i="2"/>
  <c r="N693" i="2"/>
  <c r="O693" i="2"/>
  <c r="L694" i="2"/>
  <c r="M694" i="2"/>
  <c r="N694" i="2"/>
  <c r="O694" i="2"/>
  <c r="L695" i="2"/>
  <c r="M695" i="2"/>
  <c r="N695" i="2"/>
  <c r="O695" i="2"/>
  <c r="L696" i="2"/>
  <c r="M696" i="2"/>
  <c r="N696" i="2"/>
  <c r="O696" i="2"/>
  <c r="L697" i="2"/>
  <c r="M697" i="2"/>
  <c r="N697" i="2"/>
  <c r="O697" i="2"/>
  <c r="L698" i="2"/>
  <c r="M698" i="2"/>
  <c r="N698" i="2"/>
  <c r="O698" i="2"/>
  <c r="L699" i="2"/>
  <c r="M699" i="2"/>
  <c r="N699" i="2"/>
  <c r="O699" i="2"/>
  <c r="L700" i="2"/>
  <c r="M700" i="2"/>
  <c r="N700" i="2"/>
  <c r="O700" i="2"/>
  <c r="L701" i="2"/>
  <c r="M701" i="2"/>
  <c r="N701" i="2"/>
  <c r="O701" i="2"/>
  <c r="L702" i="2"/>
  <c r="M702" i="2"/>
  <c r="N702" i="2"/>
  <c r="O702" i="2"/>
  <c r="L703" i="2"/>
  <c r="M703" i="2"/>
  <c r="N703" i="2"/>
  <c r="O703" i="2"/>
  <c r="L704" i="2"/>
  <c r="M704" i="2"/>
  <c r="N704" i="2"/>
  <c r="O704" i="2"/>
  <c r="L705" i="2"/>
  <c r="M705" i="2"/>
  <c r="N705" i="2"/>
  <c r="O705" i="2"/>
  <c r="L706" i="2"/>
  <c r="M706" i="2"/>
  <c r="N706" i="2"/>
  <c r="O706" i="2"/>
  <c r="L707" i="2"/>
  <c r="M707" i="2"/>
  <c r="N707" i="2"/>
  <c r="O707" i="2"/>
  <c r="L708" i="2"/>
  <c r="M708" i="2"/>
  <c r="N708" i="2"/>
  <c r="O708" i="2"/>
  <c r="L709" i="2"/>
  <c r="M709" i="2"/>
  <c r="N709" i="2"/>
  <c r="O709" i="2"/>
  <c r="L710" i="2"/>
  <c r="M710" i="2"/>
  <c r="N710" i="2"/>
  <c r="O710" i="2"/>
  <c r="L711" i="2"/>
  <c r="M711" i="2"/>
  <c r="N711" i="2"/>
  <c r="O711" i="2"/>
  <c r="L712" i="2"/>
  <c r="M712" i="2"/>
  <c r="N712" i="2"/>
  <c r="O712" i="2"/>
  <c r="L713" i="2"/>
  <c r="M713" i="2"/>
  <c r="N713" i="2"/>
  <c r="O713" i="2"/>
  <c r="L714" i="2"/>
  <c r="M714" i="2"/>
  <c r="N714" i="2"/>
  <c r="O714" i="2"/>
  <c r="L715" i="2"/>
  <c r="M715" i="2"/>
  <c r="N715" i="2"/>
  <c r="O715" i="2"/>
  <c r="L716" i="2"/>
  <c r="M716" i="2"/>
  <c r="N716" i="2"/>
  <c r="O716" i="2"/>
  <c r="L717" i="2"/>
  <c r="M717" i="2"/>
  <c r="N717" i="2"/>
  <c r="O717" i="2"/>
  <c r="L718" i="2"/>
  <c r="M718" i="2"/>
  <c r="N718" i="2"/>
  <c r="O718" i="2"/>
  <c r="L719" i="2"/>
  <c r="M719" i="2"/>
  <c r="N719" i="2"/>
  <c r="O719" i="2"/>
  <c r="L720" i="2"/>
  <c r="M720" i="2"/>
  <c r="N720" i="2"/>
  <c r="O720" i="2"/>
  <c r="L721" i="2"/>
  <c r="M721" i="2"/>
  <c r="N721" i="2"/>
  <c r="O721" i="2"/>
  <c r="L722" i="2"/>
  <c r="M722" i="2"/>
  <c r="N722" i="2"/>
  <c r="O722" i="2"/>
  <c r="L723" i="2"/>
  <c r="M723" i="2"/>
  <c r="N723" i="2"/>
  <c r="O723" i="2"/>
  <c r="L724" i="2"/>
  <c r="M724" i="2"/>
  <c r="N724" i="2"/>
  <c r="O724" i="2"/>
  <c r="L725" i="2"/>
  <c r="M725" i="2"/>
  <c r="N725" i="2"/>
  <c r="O725" i="2"/>
  <c r="L726" i="2"/>
  <c r="M726" i="2"/>
  <c r="N726" i="2"/>
  <c r="O726" i="2"/>
  <c r="L727" i="2"/>
  <c r="M727" i="2"/>
  <c r="N727" i="2"/>
  <c r="O727" i="2"/>
  <c r="L728" i="2"/>
  <c r="M728" i="2"/>
  <c r="N728" i="2"/>
  <c r="O728" i="2"/>
  <c r="L729" i="2"/>
  <c r="M729" i="2"/>
  <c r="N729" i="2"/>
  <c r="O729" i="2"/>
  <c r="L730" i="2"/>
  <c r="M730" i="2"/>
  <c r="N730" i="2"/>
  <c r="O730" i="2"/>
  <c r="L731" i="2"/>
  <c r="M731" i="2"/>
  <c r="N731" i="2"/>
  <c r="O731" i="2"/>
  <c r="L732" i="2"/>
  <c r="M732" i="2"/>
  <c r="N732" i="2"/>
  <c r="O732" i="2"/>
  <c r="L733" i="2"/>
  <c r="M733" i="2"/>
  <c r="N733" i="2"/>
  <c r="O733" i="2"/>
  <c r="L734" i="2"/>
  <c r="M734" i="2"/>
  <c r="N734" i="2"/>
  <c r="O734" i="2"/>
  <c r="L735" i="2"/>
  <c r="M735" i="2"/>
  <c r="N735" i="2"/>
  <c r="O735" i="2"/>
  <c r="L736" i="2"/>
  <c r="M736" i="2"/>
  <c r="N736" i="2"/>
  <c r="O736" i="2"/>
  <c r="L737" i="2"/>
  <c r="M737" i="2"/>
  <c r="N737" i="2"/>
  <c r="O737" i="2"/>
  <c r="L738" i="2"/>
  <c r="M738" i="2"/>
  <c r="N738" i="2"/>
  <c r="O738" i="2"/>
  <c r="L739" i="2"/>
  <c r="M739" i="2"/>
  <c r="N739" i="2"/>
  <c r="O739" i="2"/>
  <c r="L740" i="2"/>
  <c r="M740" i="2"/>
  <c r="N740" i="2"/>
  <c r="O740" i="2"/>
  <c r="L741" i="2"/>
  <c r="M741" i="2"/>
  <c r="N741" i="2"/>
  <c r="O741" i="2"/>
  <c r="L742" i="2"/>
  <c r="M742" i="2"/>
  <c r="N742" i="2"/>
  <c r="O742" i="2"/>
  <c r="L743" i="2"/>
  <c r="M743" i="2"/>
  <c r="N743" i="2"/>
  <c r="O743" i="2"/>
  <c r="L744" i="2"/>
  <c r="M744" i="2"/>
  <c r="N744" i="2"/>
  <c r="O744" i="2"/>
  <c r="L745" i="2"/>
  <c r="M745" i="2"/>
  <c r="N745" i="2"/>
  <c r="O745" i="2"/>
  <c r="L746" i="2"/>
  <c r="M746" i="2"/>
  <c r="N746" i="2"/>
  <c r="O746" i="2"/>
  <c r="L747" i="2"/>
  <c r="M747" i="2"/>
  <c r="N747" i="2"/>
  <c r="O747" i="2"/>
  <c r="L748" i="2"/>
  <c r="M748" i="2"/>
  <c r="N748" i="2"/>
  <c r="O748" i="2"/>
  <c r="L749" i="2"/>
  <c r="M749" i="2"/>
  <c r="N749" i="2"/>
  <c r="O749" i="2"/>
  <c r="L750" i="2"/>
  <c r="M750" i="2"/>
  <c r="N750" i="2"/>
  <c r="O750" i="2"/>
  <c r="L751" i="2"/>
  <c r="M751" i="2"/>
  <c r="N751" i="2"/>
  <c r="O751" i="2"/>
  <c r="L752" i="2"/>
  <c r="M752" i="2"/>
  <c r="N752" i="2"/>
  <c r="O752" i="2"/>
  <c r="L753" i="2"/>
  <c r="M753" i="2"/>
  <c r="N753" i="2"/>
  <c r="O753" i="2"/>
  <c r="L754" i="2"/>
  <c r="M754" i="2"/>
  <c r="N754" i="2"/>
  <c r="O754" i="2"/>
  <c r="L755" i="2"/>
  <c r="M755" i="2"/>
  <c r="N755" i="2"/>
  <c r="O755" i="2"/>
  <c r="L756" i="2"/>
  <c r="M756" i="2"/>
  <c r="N756" i="2"/>
  <c r="O756" i="2"/>
  <c r="L757" i="2"/>
  <c r="M757" i="2"/>
  <c r="N757" i="2"/>
  <c r="O757" i="2"/>
  <c r="L758" i="2"/>
  <c r="M758" i="2"/>
  <c r="N758" i="2"/>
  <c r="O758" i="2"/>
  <c r="L759" i="2"/>
  <c r="M759" i="2"/>
  <c r="N759" i="2"/>
  <c r="O759" i="2"/>
  <c r="L760" i="2"/>
  <c r="M760" i="2"/>
  <c r="N760" i="2"/>
  <c r="O760" i="2"/>
  <c r="L761" i="2"/>
  <c r="M761" i="2"/>
  <c r="N761" i="2"/>
  <c r="O761" i="2"/>
  <c r="L762" i="2"/>
  <c r="M762" i="2"/>
  <c r="N762" i="2"/>
  <c r="O762" i="2"/>
  <c r="L763" i="2"/>
  <c r="M763" i="2"/>
  <c r="N763" i="2"/>
  <c r="O763" i="2"/>
  <c r="L764" i="2"/>
  <c r="M764" i="2"/>
  <c r="N764" i="2"/>
  <c r="O764" i="2"/>
  <c r="L765" i="2"/>
  <c r="M765" i="2"/>
  <c r="N765" i="2"/>
  <c r="O765" i="2"/>
  <c r="L766" i="2"/>
  <c r="M766" i="2"/>
  <c r="N766" i="2"/>
  <c r="O766" i="2"/>
  <c r="L767" i="2"/>
  <c r="M767" i="2"/>
  <c r="N767" i="2"/>
  <c r="O767" i="2"/>
  <c r="L768" i="2"/>
  <c r="M768" i="2"/>
  <c r="N768" i="2"/>
  <c r="O768" i="2"/>
  <c r="L769" i="2"/>
  <c r="M769" i="2"/>
  <c r="N769" i="2"/>
  <c r="O769" i="2"/>
  <c r="L770" i="2"/>
  <c r="M770" i="2"/>
  <c r="N770" i="2"/>
  <c r="O770" i="2"/>
  <c r="L771" i="2"/>
  <c r="M771" i="2"/>
  <c r="N771" i="2"/>
  <c r="O771" i="2"/>
  <c r="L772" i="2"/>
  <c r="M772" i="2"/>
  <c r="N772" i="2"/>
  <c r="O772" i="2"/>
  <c r="L773" i="2"/>
  <c r="M773" i="2"/>
  <c r="N773" i="2"/>
  <c r="O773" i="2"/>
  <c r="L774" i="2"/>
  <c r="M774" i="2"/>
  <c r="N774" i="2"/>
  <c r="O774" i="2"/>
  <c r="L775" i="2"/>
  <c r="M775" i="2"/>
  <c r="N775" i="2"/>
  <c r="O775" i="2"/>
  <c r="L776" i="2"/>
  <c r="M776" i="2"/>
  <c r="N776" i="2"/>
  <c r="O776" i="2"/>
  <c r="L777" i="2"/>
  <c r="M777" i="2"/>
  <c r="N777" i="2"/>
  <c r="O777" i="2"/>
  <c r="L778" i="2"/>
  <c r="M778" i="2"/>
  <c r="N778" i="2"/>
  <c r="O778" i="2"/>
  <c r="L779" i="2"/>
  <c r="M779" i="2"/>
  <c r="N779" i="2"/>
  <c r="O779" i="2"/>
  <c r="L780" i="2"/>
  <c r="M780" i="2"/>
  <c r="N780" i="2"/>
  <c r="O780" i="2"/>
  <c r="L781" i="2"/>
  <c r="M781" i="2"/>
  <c r="N781" i="2"/>
  <c r="O781" i="2"/>
  <c r="L782" i="2"/>
  <c r="M782" i="2"/>
  <c r="N782" i="2"/>
  <c r="O782" i="2"/>
  <c r="L783" i="2"/>
  <c r="M783" i="2"/>
  <c r="N783" i="2"/>
  <c r="O783" i="2"/>
  <c r="L784" i="2"/>
  <c r="M784" i="2"/>
  <c r="N784" i="2"/>
  <c r="O784" i="2"/>
  <c r="L785" i="2"/>
  <c r="M785" i="2"/>
  <c r="N785" i="2"/>
  <c r="O785" i="2"/>
  <c r="L786" i="2"/>
  <c r="M786" i="2"/>
  <c r="N786" i="2"/>
  <c r="O786" i="2"/>
  <c r="L787" i="2"/>
  <c r="M787" i="2"/>
  <c r="N787" i="2"/>
  <c r="O787" i="2"/>
  <c r="L788" i="2"/>
  <c r="M788" i="2"/>
  <c r="N788" i="2"/>
  <c r="O788" i="2"/>
  <c r="L789" i="2"/>
  <c r="M789" i="2"/>
  <c r="N789" i="2"/>
  <c r="O789" i="2"/>
  <c r="L790" i="2"/>
  <c r="M790" i="2"/>
  <c r="N790" i="2"/>
  <c r="O790" i="2"/>
  <c r="L791" i="2"/>
  <c r="M791" i="2"/>
  <c r="N791" i="2"/>
  <c r="O791" i="2"/>
  <c r="L792" i="2"/>
  <c r="M792" i="2"/>
  <c r="N792" i="2"/>
  <c r="O792" i="2"/>
  <c r="L793" i="2"/>
  <c r="M793" i="2"/>
  <c r="N793" i="2"/>
  <c r="O793" i="2"/>
  <c r="L794" i="2"/>
  <c r="M794" i="2"/>
  <c r="N794" i="2"/>
  <c r="O794" i="2"/>
  <c r="L795" i="2"/>
  <c r="M795" i="2"/>
  <c r="N795" i="2"/>
  <c r="O795" i="2"/>
  <c r="L796" i="2"/>
  <c r="M796" i="2"/>
  <c r="N796" i="2"/>
  <c r="O796" i="2"/>
  <c r="L797" i="2"/>
  <c r="M797" i="2"/>
  <c r="N797" i="2"/>
  <c r="O797" i="2"/>
  <c r="L798" i="2"/>
  <c r="M798" i="2"/>
  <c r="N798" i="2"/>
  <c r="O798" i="2"/>
  <c r="L799" i="2"/>
  <c r="M799" i="2"/>
  <c r="N799" i="2"/>
  <c r="O799" i="2"/>
  <c r="L800" i="2"/>
  <c r="M800" i="2"/>
  <c r="N800" i="2"/>
  <c r="O800" i="2"/>
  <c r="L801" i="2"/>
  <c r="M801" i="2"/>
  <c r="N801" i="2"/>
  <c r="O801" i="2"/>
  <c r="L802" i="2"/>
  <c r="M802" i="2"/>
  <c r="N802" i="2"/>
  <c r="O802" i="2"/>
  <c r="L803" i="2"/>
  <c r="M803" i="2"/>
  <c r="N803" i="2"/>
  <c r="O803" i="2"/>
  <c r="L804" i="2"/>
  <c r="M804" i="2"/>
  <c r="N804" i="2"/>
  <c r="O804" i="2"/>
  <c r="L805" i="2"/>
  <c r="M805" i="2"/>
  <c r="N805" i="2"/>
  <c r="O805" i="2"/>
  <c r="L806" i="2"/>
  <c r="M806" i="2"/>
  <c r="N806" i="2"/>
  <c r="O806" i="2"/>
  <c r="L807" i="2"/>
  <c r="M807" i="2"/>
  <c r="N807" i="2"/>
  <c r="O807" i="2"/>
  <c r="L808" i="2"/>
  <c r="M808" i="2"/>
  <c r="N808" i="2"/>
  <c r="O808" i="2"/>
  <c r="L809" i="2"/>
  <c r="M809" i="2"/>
  <c r="N809" i="2"/>
  <c r="O809" i="2"/>
  <c r="L810" i="2"/>
  <c r="M810" i="2"/>
  <c r="N810" i="2"/>
  <c r="O810" i="2"/>
  <c r="L811" i="2"/>
  <c r="M811" i="2"/>
  <c r="N811" i="2"/>
  <c r="O811" i="2"/>
  <c r="L812" i="2"/>
  <c r="M812" i="2"/>
  <c r="N812" i="2"/>
  <c r="O812" i="2"/>
  <c r="L813" i="2"/>
  <c r="M813" i="2"/>
  <c r="N813" i="2"/>
  <c r="O813" i="2"/>
  <c r="L814" i="2"/>
  <c r="M814" i="2"/>
  <c r="N814" i="2"/>
  <c r="O814" i="2"/>
  <c r="L815" i="2"/>
  <c r="M815" i="2"/>
  <c r="N815" i="2"/>
  <c r="O815" i="2"/>
  <c r="L816" i="2"/>
  <c r="M816" i="2"/>
  <c r="N816" i="2"/>
  <c r="O816" i="2"/>
  <c r="L817" i="2"/>
  <c r="M817" i="2"/>
  <c r="N817" i="2"/>
  <c r="O817" i="2"/>
  <c r="L818" i="2"/>
  <c r="M818" i="2"/>
  <c r="N818" i="2"/>
  <c r="O818" i="2"/>
  <c r="L819" i="2"/>
  <c r="M819" i="2"/>
  <c r="N819" i="2"/>
  <c r="O819" i="2"/>
  <c r="L820" i="2"/>
  <c r="M820" i="2"/>
  <c r="N820" i="2"/>
  <c r="O820" i="2"/>
  <c r="L821" i="2"/>
  <c r="M821" i="2"/>
  <c r="N821" i="2"/>
  <c r="O821" i="2"/>
  <c r="L822" i="2"/>
  <c r="M822" i="2"/>
  <c r="N822" i="2"/>
  <c r="O822" i="2"/>
  <c r="L823" i="2"/>
  <c r="M823" i="2"/>
  <c r="N823" i="2"/>
  <c r="O823" i="2"/>
  <c r="L824" i="2"/>
  <c r="M824" i="2"/>
  <c r="N824" i="2"/>
  <c r="O824" i="2"/>
  <c r="L825" i="2"/>
  <c r="M825" i="2"/>
  <c r="N825" i="2"/>
  <c r="O825" i="2"/>
  <c r="L826" i="2"/>
  <c r="M826" i="2"/>
  <c r="N826" i="2"/>
  <c r="O826" i="2"/>
  <c r="L827" i="2"/>
  <c r="M827" i="2"/>
  <c r="N827" i="2"/>
  <c r="O827" i="2"/>
  <c r="L828" i="2"/>
  <c r="M828" i="2"/>
  <c r="N828" i="2"/>
  <c r="O828" i="2"/>
  <c r="L829" i="2"/>
  <c r="M829" i="2"/>
  <c r="N829" i="2"/>
  <c r="O829" i="2"/>
  <c r="L830" i="2"/>
  <c r="M830" i="2"/>
  <c r="N830" i="2"/>
  <c r="O830" i="2"/>
  <c r="L831" i="2"/>
  <c r="M831" i="2"/>
  <c r="N831" i="2"/>
  <c r="O831" i="2"/>
  <c r="L832" i="2"/>
  <c r="M832" i="2"/>
  <c r="N832" i="2"/>
  <c r="O832" i="2"/>
  <c r="L833" i="2"/>
  <c r="M833" i="2"/>
  <c r="N833" i="2"/>
  <c r="O833" i="2"/>
  <c r="L834" i="2"/>
  <c r="M834" i="2"/>
  <c r="N834" i="2"/>
  <c r="O834" i="2"/>
  <c r="L835" i="2"/>
  <c r="M835" i="2"/>
  <c r="N835" i="2"/>
  <c r="O835" i="2"/>
  <c r="L836" i="2"/>
  <c r="M836" i="2"/>
  <c r="N836" i="2"/>
  <c r="O836" i="2"/>
  <c r="L837" i="2"/>
  <c r="M837" i="2"/>
  <c r="N837" i="2"/>
  <c r="O837" i="2"/>
  <c r="L838" i="2"/>
  <c r="M838" i="2"/>
  <c r="N838" i="2"/>
  <c r="O838" i="2"/>
  <c r="L839" i="2"/>
  <c r="M839" i="2"/>
  <c r="N839" i="2"/>
  <c r="O839" i="2"/>
  <c r="L840" i="2"/>
  <c r="M840" i="2"/>
  <c r="N840" i="2"/>
  <c r="O840" i="2"/>
  <c r="L841" i="2"/>
  <c r="M841" i="2"/>
  <c r="N841" i="2"/>
  <c r="O841" i="2"/>
  <c r="L842" i="2"/>
  <c r="M842" i="2"/>
  <c r="N842" i="2"/>
  <c r="O842" i="2"/>
  <c r="L843" i="2"/>
  <c r="M843" i="2"/>
  <c r="N843" i="2"/>
  <c r="O843" i="2"/>
  <c r="L844" i="2"/>
  <c r="M844" i="2"/>
  <c r="N844" i="2"/>
  <c r="O844" i="2"/>
  <c r="L845" i="2"/>
  <c r="M845" i="2"/>
  <c r="N845" i="2"/>
  <c r="O845" i="2"/>
  <c r="L846" i="2"/>
  <c r="M846" i="2"/>
  <c r="N846" i="2"/>
  <c r="O846" i="2"/>
  <c r="L847" i="2"/>
  <c r="M847" i="2"/>
  <c r="N847" i="2"/>
  <c r="O847" i="2"/>
  <c r="L848" i="2"/>
  <c r="M848" i="2"/>
  <c r="N848" i="2"/>
  <c r="O848" i="2"/>
  <c r="L849" i="2"/>
  <c r="M849" i="2"/>
  <c r="N849" i="2"/>
  <c r="O849" i="2"/>
  <c r="L850" i="2"/>
  <c r="M850" i="2"/>
  <c r="N850" i="2"/>
  <c r="O850" i="2"/>
  <c r="L851" i="2"/>
  <c r="M851" i="2"/>
  <c r="N851" i="2"/>
  <c r="O851" i="2"/>
  <c r="L852" i="2"/>
  <c r="M852" i="2"/>
  <c r="N852" i="2"/>
  <c r="O852" i="2"/>
  <c r="L853" i="2"/>
  <c r="M853" i="2"/>
  <c r="N853" i="2"/>
  <c r="O853" i="2"/>
  <c r="L854" i="2"/>
  <c r="M854" i="2"/>
  <c r="N854" i="2"/>
  <c r="O854" i="2"/>
  <c r="L855" i="2"/>
  <c r="M855" i="2"/>
  <c r="N855" i="2"/>
  <c r="O855" i="2"/>
  <c r="L856" i="2"/>
  <c r="M856" i="2"/>
  <c r="N856" i="2"/>
  <c r="O856" i="2"/>
  <c r="L857" i="2"/>
  <c r="M857" i="2"/>
  <c r="N857" i="2"/>
  <c r="O857" i="2"/>
  <c r="L858" i="2"/>
  <c r="M858" i="2"/>
  <c r="N858" i="2"/>
  <c r="O858" i="2"/>
  <c r="L859" i="2"/>
  <c r="M859" i="2"/>
  <c r="N859" i="2"/>
  <c r="O859" i="2"/>
  <c r="L860" i="2"/>
  <c r="M860" i="2"/>
  <c r="N860" i="2"/>
  <c r="O860" i="2"/>
  <c r="L861" i="2"/>
  <c r="M861" i="2"/>
  <c r="N861" i="2"/>
  <c r="O861" i="2"/>
  <c r="L862" i="2"/>
  <c r="M862" i="2"/>
  <c r="N862" i="2"/>
  <c r="O862" i="2"/>
  <c r="L863" i="2"/>
  <c r="M863" i="2"/>
  <c r="N863" i="2"/>
  <c r="O863" i="2"/>
  <c r="L864" i="2"/>
  <c r="M864" i="2"/>
  <c r="N864" i="2"/>
  <c r="O864" i="2"/>
  <c r="L865" i="2"/>
  <c r="M865" i="2"/>
  <c r="N865" i="2"/>
  <c r="O865" i="2"/>
  <c r="L866" i="2"/>
  <c r="M866" i="2"/>
  <c r="N866" i="2"/>
  <c r="O866" i="2"/>
  <c r="L867" i="2"/>
  <c r="M867" i="2"/>
  <c r="N867" i="2"/>
  <c r="O867" i="2"/>
  <c r="L868" i="2"/>
  <c r="M868" i="2"/>
  <c r="N868" i="2"/>
  <c r="O868" i="2"/>
  <c r="L869" i="2"/>
  <c r="M869" i="2"/>
  <c r="N869" i="2"/>
  <c r="O869" i="2"/>
  <c r="L870" i="2"/>
  <c r="M870" i="2"/>
  <c r="N870" i="2"/>
  <c r="O870" i="2"/>
  <c r="L871" i="2"/>
  <c r="M871" i="2"/>
  <c r="N871" i="2"/>
  <c r="O871" i="2"/>
  <c r="L872" i="2"/>
  <c r="M872" i="2"/>
  <c r="N872" i="2"/>
  <c r="O872" i="2"/>
  <c r="L873" i="2"/>
  <c r="M873" i="2"/>
  <c r="N873" i="2"/>
  <c r="O873" i="2"/>
  <c r="L874" i="2"/>
  <c r="M874" i="2"/>
  <c r="N874" i="2"/>
  <c r="O874" i="2"/>
  <c r="L875" i="2"/>
  <c r="M875" i="2"/>
  <c r="N875" i="2"/>
  <c r="O875" i="2"/>
  <c r="L876" i="2"/>
  <c r="M876" i="2"/>
  <c r="N876" i="2"/>
  <c r="O876" i="2"/>
  <c r="L877" i="2"/>
  <c r="M877" i="2"/>
  <c r="N877" i="2"/>
  <c r="O877" i="2"/>
  <c r="L878" i="2"/>
  <c r="M878" i="2"/>
  <c r="N878" i="2"/>
  <c r="O878" i="2"/>
  <c r="L879" i="2"/>
  <c r="M879" i="2"/>
  <c r="N879" i="2"/>
  <c r="O879" i="2"/>
  <c r="L880" i="2"/>
  <c r="M880" i="2"/>
  <c r="N880" i="2"/>
  <c r="O880" i="2"/>
  <c r="L881" i="2"/>
  <c r="M881" i="2"/>
  <c r="N881" i="2"/>
  <c r="O881" i="2"/>
  <c r="L882" i="2"/>
  <c r="M882" i="2"/>
  <c r="N882" i="2"/>
  <c r="O882" i="2"/>
  <c r="L883" i="2"/>
  <c r="M883" i="2"/>
  <c r="N883" i="2"/>
  <c r="O883" i="2"/>
  <c r="L884" i="2"/>
  <c r="M884" i="2"/>
  <c r="N884" i="2"/>
  <c r="O884" i="2"/>
  <c r="L885" i="2"/>
  <c r="M885" i="2"/>
  <c r="N885" i="2"/>
  <c r="O885" i="2"/>
  <c r="L886" i="2"/>
  <c r="M886" i="2"/>
  <c r="N886" i="2"/>
  <c r="O886" i="2"/>
  <c r="L887" i="2"/>
  <c r="M887" i="2"/>
  <c r="N887" i="2"/>
  <c r="O887" i="2"/>
  <c r="L888" i="2"/>
  <c r="M888" i="2"/>
  <c r="N888" i="2"/>
  <c r="O888" i="2"/>
  <c r="L889" i="2"/>
  <c r="M889" i="2"/>
  <c r="N889" i="2"/>
  <c r="O889" i="2"/>
  <c r="L890" i="2"/>
  <c r="M890" i="2"/>
  <c r="N890" i="2"/>
  <c r="O890" i="2"/>
  <c r="L891" i="2"/>
  <c r="M891" i="2"/>
  <c r="N891" i="2"/>
  <c r="O891" i="2"/>
  <c r="L892" i="2"/>
  <c r="M892" i="2"/>
  <c r="N892" i="2"/>
  <c r="O892" i="2"/>
  <c r="L893" i="2"/>
  <c r="M893" i="2"/>
  <c r="N893" i="2"/>
  <c r="O893" i="2"/>
  <c r="L894" i="2"/>
  <c r="M894" i="2"/>
  <c r="N894" i="2"/>
  <c r="O894" i="2"/>
  <c r="L895" i="2"/>
  <c r="M895" i="2"/>
  <c r="N895" i="2"/>
  <c r="O895" i="2"/>
  <c r="L896" i="2"/>
  <c r="M896" i="2"/>
  <c r="N896" i="2"/>
  <c r="O896" i="2"/>
  <c r="L897" i="2"/>
  <c r="M897" i="2"/>
  <c r="N897" i="2"/>
  <c r="O897" i="2"/>
  <c r="L898" i="2"/>
  <c r="M898" i="2"/>
  <c r="N898" i="2"/>
  <c r="O898" i="2"/>
  <c r="L899" i="2"/>
  <c r="M899" i="2"/>
  <c r="N899" i="2"/>
  <c r="O899" i="2"/>
  <c r="L900" i="2"/>
  <c r="M900" i="2"/>
  <c r="N900" i="2"/>
  <c r="O900" i="2"/>
  <c r="L901" i="2"/>
  <c r="M901" i="2"/>
  <c r="N901" i="2"/>
  <c r="O901" i="2"/>
  <c r="L902" i="2"/>
  <c r="M902" i="2"/>
  <c r="N902" i="2"/>
  <c r="O902" i="2"/>
  <c r="L903" i="2"/>
  <c r="M903" i="2"/>
  <c r="N903" i="2"/>
  <c r="O903" i="2"/>
  <c r="L904" i="2"/>
  <c r="M904" i="2"/>
  <c r="N904" i="2"/>
  <c r="O904" i="2"/>
  <c r="L905" i="2"/>
  <c r="M905" i="2"/>
  <c r="N905" i="2"/>
  <c r="O905" i="2"/>
  <c r="L906" i="2"/>
  <c r="M906" i="2"/>
  <c r="N906" i="2"/>
  <c r="O906" i="2"/>
  <c r="L907" i="2"/>
  <c r="M907" i="2"/>
  <c r="N907" i="2"/>
  <c r="O907" i="2"/>
  <c r="L908" i="2"/>
  <c r="M908" i="2"/>
  <c r="N908" i="2"/>
  <c r="O908" i="2"/>
  <c r="L909" i="2"/>
  <c r="M909" i="2"/>
  <c r="N909" i="2"/>
  <c r="O909" i="2"/>
  <c r="L910" i="2"/>
  <c r="M910" i="2"/>
  <c r="N910" i="2"/>
  <c r="O910" i="2"/>
  <c r="L911" i="2"/>
  <c r="M911" i="2"/>
  <c r="N911" i="2"/>
  <c r="O911" i="2"/>
  <c r="L912" i="2"/>
  <c r="M912" i="2"/>
  <c r="N912" i="2"/>
  <c r="O912" i="2"/>
  <c r="L913" i="2"/>
  <c r="M913" i="2"/>
  <c r="N913" i="2"/>
  <c r="O913" i="2"/>
  <c r="L914" i="2"/>
  <c r="M914" i="2"/>
  <c r="N914" i="2"/>
  <c r="O914" i="2"/>
  <c r="L915" i="2"/>
  <c r="M915" i="2"/>
  <c r="N915" i="2"/>
  <c r="O915" i="2"/>
  <c r="L916" i="2"/>
  <c r="M916" i="2"/>
  <c r="N916" i="2"/>
  <c r="O916" i="2"/>
  <c r="L917" i="2"/>
  <c r="M917" i="2"/>
  <c r="N917" i="2"/>
  <c r="O917" i="2"/>
  <c r="L918" i="2"/>
  <c r="M918" i="2"/>
  <c r="N918" i="2"/>
  <c r="O918" i="2"/>
  <c r="L919" i="2"/>
  <c r="M919" i="2"/>
  <c r="N919" i="2"/>
  <c r="O919" i="2"/>
  <c r="L920" i="2"/>
  <c r="M920" i="2"/>
  <c r="N920" i="2"/>
  <c r="O920" i="2"/>
  <c r="L921" i="2"/>
  <c r="M921" i="2"/>
  <c r="N921" i="2"/>
  <c r="O921" i="2"/>
  <c r="L922" i="2"/>
  <c r="M922" i="2"/>
  <c r="N922" i="2"/>
  <c r="O922" i="2"/>
  <c r="L923" i="2"/>
  <c r="M923" i="2"/>
  <c r="N923" i="2"/>
  <c r="O923" i="2"/>
  <c r="L924" i="2"/>
  <c r="M924" i="2"/>
  <c r="N924" i="2"/>
  <c r="O924" i="2"/>
  <c r="L925" i="2"/>
  <c r="M925" i="2"/>
  <c r="N925" i="2"/>
  <c r="O925" i="2"/>
  <c r="L926" i="2"/>
  <c r="M926" i="2"/>
  <c r="N926" i="2"/>
  <c r="O926" i="2"/>
  <c r="L927" i="2"/>
  <c r="M927" i="2"/>
  <c r="N927" i="2"/>
  <c r="O927" i="2"/>
  <c r="L928" i="2"/>
  <c r="M928" i="2"/>
  <c r="N928" i="2"/>
  <c r="O928" i="2"/>
  <c r="L929" i="2"/>
  <c r="M929" i="2"/>
  <c r="N929" i="2"/>
  <c r="O929" i="2"/>
  <c r="L930" i="2"/>
  <c r="M930" i="2"/>
  <c r="N930" i="2"/>
  <c r="O930" i="2"/>
  <c r="L931" i="2"/>
  <c r="M931" i="2"/>
  <c r="N931" i="2"/>
  <c r="O931" i="2"/>
  <c r="L932" i="2"/>
  <c r="M932" i="2"/>
  <c r="N932" i="2"/>
  <c r="O932" i="2"/>
  <c r="L933" i="2"/>
  <c r="M933" i="2"/>
  <c r="N933" i="2"/>
  <c r="O933" i="2"/>
  <c r="L934" i="2"/>
  <c r="M934" i="2"/>
  <c r="N934" i="2"/>
  <c r="O934" i="2"/>
  <c r="L935" i="2"/>
  <c r="M935" i="2"/>
  <c r="N935" i="2"/>
  <c r="O935" i="2"/>
  <c r="L936" i="2"/>
  <c r="M936" i="2"/>
  <c r="N936" i="2"/>
  <c r="O936" i="2"/>
  <c r="L937" i="2"/>
  <c r="M937" i="2"/>
  <c r="N937" i="2"/>
  <c r="O937" i="2"/>
  <c r="L938" i="2"/>
  <c r="M938" i="2"/>
  <c r="N938" i="2"/>
  <c r="O938" i="2"/>
  <c r="L939" i="2"/>
  <c r="M939" i="2"/>
  <c r="N939" i="2"/>
  <c r="O939" i="2"/>
  <c r="L940" i="2"/>
  <c r="M940" i="2"/>
  <c r="N940" i="2"/>
  <c r="O940" i="2"/>
  <c r="L941" i="2"/>
  <c r="M941" i="2"/>
  <c r="N941" i="2"/>
  <c r="O941" i="2"/>
  <c r="L942" i="2"/>
  <c r="M942" i="2"/>
  <c r="N942" i="2"/>
  <c r="O942" i="2"/>
  <c r="L943" i="2"/>
  <c r="M943" i="2"/>
  <c r="N943" i="2"/>
  <c r="O943" i="2"/>
  <c r="L944" i="2"/>
  <c r="M944" i="2"/>
  <c r="N944" i="2"/>
  <c r="O944" i="2"/>
  <c r="L945" i="2"/>
  <c r="M945" i="2"/>
  <c r="N945" i="2"/>
  <c r="O945" i="2"/>
  <c r="L946" i="2"/>
  <c r="M946" i="2"/>
  <c r="N946" i="2"/>
  <c r="O946" i="2"/>
  <c r="L947" i="2"/>
  <c r="M947" i="2"/>
  <c r="N947" i="2"/>
  <c r="O947" i="2"/>
  <c r="L948" i="2"/>
  <c r="M948" i="2"/>
  <c r="N948" i="2"/>
  <c r="O948" i="2"/>
  <c r="L949" i="2"/>
  <c r="M949" i="2"/>
  <c r="N949" i="2"/>
  <c r="O949" i="2"/>
  <c r="L950" i="2"/>
  <c r="M950" i="2"/>
  <c r="N950" i="2"/>
  <c r="O950" i="2"/>
  <c r="L951" i="2"/>
  <c r="M951" i="2"/>
  <c r="N951" i="2"/>
  <c r="O951" i="2"/>
  <c r="L952" i="2"/>
  <c r="M952" i="2"/>
  <c r="N952" i="2"/>
  <c r="O952" i="2"/>
  <c r="L953" i="2"/>
  <c r="M953" i="2"/>
  <c r="N953" i="2"/>
  <c r="O953" i="2"/>
  <c r="L954" i="2"/>
  <c r="M954" i="2"/>
  <c r="N954" i="2"/>
  <c r="O954" i="2"/>
  <c r="L955" i="2"/>
  <c r="M955" i="2"/>
  <c r="N955" i="2"/>
  <c r="O955" i="2"/>
  <c r="L956" i="2"/>
  <c r="M956" i="2"/>
  <c r="N956" i="2"/>
  <c r="O956" i="2"/>
  <c r="L957" i="2"/>
  <c r="M957" i="2"/>
  <c r="N957" i="2"/>
  <c r="O957" i="2"/>
  <c r="L958" i="2"/>
  <c r="M958" i="2"/>
  <c r="N958" i="2"/>
  <c r="O958" i="2"/>
  <c r="L959" i="2"/>
  <c r="M959" i="2"/>
  <c r="N959" i="2"/>
  <c r="O959" i="2"/>
  <c r="L960" i="2"/>
  <c r="M960" i="2"/>
  <c r="N960" i="2"/>
  <c r="O960" i="2"/>
  <c r="L961" i="2"/>
  <c r="M961" i="2"/>
  <c r="N961" i="2"/>
  <c r="O961" i="2"/>
  <c r="L962" i="2"/>
  <c r="M962" i="2"/>
  <c r="N962" i="2"/>
  <c r="O962" i="2"/>
  <c r="L963" i="2"/>
  <c r="M963" i="2"/>
  <c r="N963" i="2"/>
  <c r="O963" i="2"/>
  <c r="L964" i="2"/>
  <c r="M964" i="2"/>
  <c r="N964" i="2"/>
  <c r="O964" i="2"/>
  <c r="L965" i="2"/>
  <c r="M965" i="2"/>
  <c r="N965" i="2"/>
  <c r="O965" i="2"/>
  <c r="L966" i="2"/>
  <c r="M966" i="2"/>
  <c r="N966" i="2"/>
  <c r="O966" i="2"/>
  <c r="L967" i="2"/>
  <c r="M967" i="2"/>
  <c r="N967" i="2"/>
  <c r="O967" i="2"/>
  <c r="L968" i="2"/>
  <c r="M968" i="2"/>
  <c r="N968" i="2"/>
  <c r="O968" i="2"/>
  <c r="L969" i="2"/>
  <c r="M969" i="2"/>
  <c r="N969" i="2"/>
  <c r="O969" i="2"/>
  <c r="L970" i="2"/>
  <c r="M970" i="2"/>
  <c r="N970" i="2"/>
  <c r="O970" i="2"/>
  <c r="L971" i="2"/>
  <c r="M971" i="2"/>
  <c r="N971" i="2"/>
  <c r="O971" i="2"/>
  <c r="L972" i="2"/>
  <c r="M972" i="2"/>
  <c r="N972" i="2"/>
  <c r="O972" i="2"/>
  <c r="L973" i="2"/>
  <c r="M973" i="2"/>
  <c r="N973" i="2"/>
  <c r="O973" i="2"/>
  <c r="L974" i="2"/>
  <c r="M974" i="2"/>
  <c r="N974" i="2"/>
  <c r="O974" i="2"/>
  <c r="L975" i="2"/>
  <c r="M975" i="2"/>
  <c r="N975" i="2"/>
  <c r="O975" i="2"/>
  <c r="L976" i="2"/>
  <c r="M976" i="2"/>
  <c r="N976" i="2"/>
  <c r="O976" i="2"/>
  <c r="L977" i="2"/>
  <c r="M977" i="2"/>
  <c r="N977" i="2"/>
  <c r="O977" i="2"/>
  <c r="L978" i="2"/>
  <c r="M978" i="2"/>
  <c r="N978" i="2"/>
  <c r="O978" i="2"/>
  <c r="L979" i="2"/>
  <c r="M979" i="2"/>
  <c r="N979" i="2"/>
  <c r="O979" i="2"/>
  <c r="L980" i="2"/>
  <c r="M980" i="2"/>
  <c r="N980" i="2"/>
  <c r="O980" i="2"/>
  <c r="L981" i="2"/>
  <c r="M981" i="2"/>
  <c r="N981" i="2"/>
  <c r="O981" i="2"/>
  <c r="L982" i="2"/>
  <c r="M982" i="2"/>
  <c r="N982" i="2"/>
  <c r="O982" i="2"/>
  <c r="L983" i="2"/>
  <c r="M983" i="2"/>
  <c r="N983" i="2"/>
  <c r="O983" i="2"/>
  <c r="L984" i="2"/>
  <c r="M984" i="2"/>
  <c r="N984" i="2"/>
  <c r="O984" i="2"/>
  <c r="L985" i="2"/>
  <c r="M985" i="2"/>
  <c r="N985" i="2"/>
  <c r="O985" i="2"/>
  <c r="L986" i="2"/>
  <c r="M986" i="2"/>
  <c r="N986" i="2"/>
  <c r="O986" i="2"/>
  <c r="L987" i="2"/>
  <c r="M987" i="2"/>
  <c r="N987" i="2"/>
  <c r="O987" i="2"/>
  <c r="L988" i="2"/>
  <c r="M988" i="2"/>
  <c r="N988" i="2"/>
  <c r="O988" i="2"/>
  <c r="L989" i="2"/>
  <c r="M989" i="2"/>
  <c r="N989" i="2"/>
  <c r="O989" i="2"/>
  <c r="L990" i="2"/>
  <c r="M990" i="2"/>
  <c r="N990" i="2"/>
  <c r="O990" i="2"/>
  <c r="L991" i="2"/>
  <c r="M991" i="2"/>
  <c r="N991" i="2"/>
  <c r="O991" i="2"/>
  <c r="L992" i="2"/>
  <c r="M992" i="2"/>
  <c r="N992" i="2"/>
  <c r="O992" i="2"/>
  <c r="L993" i="2"/>
  <c r="M993" i="2"/>
  <c r="N993" i="2"/>
  <c r="O993" i="2"/>
  <c r="L994" i="2"/>
  <c r="M994" i="2"/>
  <c r="N994" i="2"/>
  <c r="O994" i="2"/>
  <c r="L995" i="2"/>
  <c r="M995" i="2"/>
  <c r="N995" i="2"/>
  <c r="O995" i="2"/>
  <c r="L996" i="2"/>
  <c r="M996" i="2"/>
  <c r="N996" i="2"/>
  <c r="O996" i="2"/>
  <c r="L997" i="2"/>
  <c r="M997" i="2"/>
  <c r="N997" i="2"/>
  <c r="O997" i="2"/>
  <c r="L998" i="2"/>
  <c r="M998" i="2"/>
  <c r="N998" i="2"/>
  <c r="O998" i="2"/>
  <c r="L999" i="2"/>
  <c r="M999" i="2"/>
  <c r="N999" i="2"/>
  <c r="O999" i="2"/>
  <c r="L1000" i="2"/>
  <c r="M1000" i="2"/>
  <c r="N1000" i="2"/>
  <c r="O1000" i="2"/>
  <c r="L1001" i="2"/>
  <c r="M1001" i="2"/>
  <c r="N1001" i="2"/>
  <c r="O1001" i="2"/>
  <c r="L1002" i="2"/>
  <c r="M1002" i="2"/>
  <c r="N1002" i="2"/>
  <c r="O1002" i="2"/>
  <c r="L1003" i="2"/>
  <c r="M1003" i="2"/>
  <c r="N1003" i="2"/>
  <c r="O1003" i="2"/>
  <c r="L1004" i="2"/>
  <c r="M1004" i="2"/>
  <c r="N1004" i="2"/>
  <c r="O1004" i="2"/>
  <c r="L1005" i="2"/>
  <c r="M1005" i="2"/>
  <c r="N1005" i="2"/>
  <c r="O1005" i="2"/>
  <c r="L1006" i="2"/>
  <c r="M1006" i="2"/>
  <c r="N1006" i="2"/>
  <c r="O1006" i="2"/>
  <c r="L1007" i="2"/>
  <c r="M1007" i="2"/>
  <c r="N1007" i="2"/>
  <c r="O1007" i="2"/>
  <c r="L1008" i="2"/>
  <c r="M1008" i="2"/>
  <c r="N1008" i="2"/>
  <c r="O1008" i="2"/>
  <c r="L1009" i="2"/>
  <c r="M1009" i="2"/>
  <c r="N1009" i="2"/>
  <c r="O1009" i="2"/>
  <c r="L1010" i="2"/>
  <c r="M1010" i="2"/>
  <c r="N1010" i="2"/>
  <c r="O1010" i="2"/>
  <c r="L1011" i="2"/>
  <c r="M1011" i="2"/>
  <c r="N1011" i="2"/>
  <c r="O1011" i="2"/>
  <c r="L1012" i="2"/>
  <c r="M1012" i="2"/>
  <c r="N1012" i="2"/>
  <c r="O1012" i="2"/>
  <c r="L1013" i="2"/>
  <c r="M1013" i="2"/>
  <c r="N1013" i="2"/>
  <c r="O1013" i="2"/>
  <c r="L1014" i="2"/>
  <c r="M1014" i="2"/>
  <c r="N1014" i="2"/>
  <c r="O1014" i="2"/>
  <c r="L1015" i="2"/>
  <c r="M1015" i="2"/>
  <c r="N1015" i="2"/>
  <c r="O1015" i="2"/>
  <c r="L1016" i="2"/>
  <c r="M1016" i="2"/>
  <c r="N1016" i="2"/>
  <c r="O1016" i="2"/>
  <c r="L1017" i="2"/>
  <c r="M1017" i="2"/>
  <c r="N1017" i="2"/>
  <c r="O1017" i="2"/>
  <c r="L1018" i="2"/>
  <c r="M1018" i="2"/>
  <c r="N1018" i="2"/>
  <c r="O1018" i="2"/>
  <c r="L1019" i="2"/>
  <c r="M1019" i="2"/>
  <c r="N1019" i="2"/>
  <c r="O1019" i="2"/>
  <c r="L1020" i="2"/>
  <c r="M1020" i="2"/>
  <c r="N1020" i="2"/>
  <c r="O1020" i="2"/>
  <c r="L1021" i="2"/>
  <c r="M1021" i="2"/>
  <c r="N1021" i="2"/>
  <c r="O1021" i="2"/>
  <c r="L1022" i="2"/>
  <c r="M1022" i="2"/>
  <c r="N1022" i="2"/>
  <c r="O1022" i="2"/>
  <c r="L1023" i="2"/>
  <c r="M1023" i="2"/>
  <c r="N1023" i="2"/>
  <c r="O1023" i="2"/>
  <c r="L1024" i="2"/>
  <c r="M1024" i="2"/>
  <c r="N1024" i="2"/>
  <c r="O1024" i="2"/>
  <c r="L1025" i="2"/>
  <c r="M1025" i="2"/>
  <c r="N1025" i="2"/>
  <c r="O1025" i="2"/>
  <c r="L1026" i="2"/>
  <c r="M1026" i="2"/>
  <c r="N1026" i="2"/>
  <c r="O1026" i="2"/>
  <c r="L1027" i="2"/>
  <c r="M1027" i="2"/>
  <c r="N1027" i="2"/>
  <c r="O1027" i="2"/>
  <c r="L1028" i="2"/>
  <c r="M1028" i="2"/>
  <c r="N1028" i="2"/>
  <c r="O1028" i="2"/>
  <c r="L1029" i="2"/>
  <c r="M1029" i="2"/>
  <c r="N1029" i="2"/>
  <c r="O1029" i="2"/>
  <c r="L1030" i="2"/>
  <c r="M1030" i="2"/>
  <c r="N1030" i="2"/>
  <c r="O1030" i="2"/>
  <c r="L1031" i="2"/>
  <c r="M1031" i="2"/>
  <c r="N1031" i="2"/>
  <c r="O1031" i="2"/>
  <c r="L1032" i="2"/>
  <c r="M1032" i="2"/>
  <c r="N1032" i="2"/>
  <c r="O1032" i="2"/>
  <c r="L1033" i="2"/>
  <c r="M1033" i="2"/>
  <c r="N1033" i="2"/>
  <c r="O1033" i="2"/>
  <c r="L1034" i="2"/>
  <c r="M1034" i="2"/>
  <c r="N1034" i="2"/>
  <c r="O1034" i="2"/>
  <c r="L1035" i="2"/>
  <c r="M1035" i="2"/>
  <c r="N1035" i="2"/>
  <c r="O1035" i="2"/>
  <c r="L1036" i="2"/>
  <c r="M1036" i="2"/>
  <c r="N1036" i="2"/>
  <c r="O1036" i="2"/>
  <c r="L1037" i="2"/>
  <c r="M1037" i="2"/>
  <c r="N1037" i="2"/>
  <c r="O1037" i="2"/>
  <c r="L1038" i="2"/>
  <c r="M1038" i="2"/>
  <c r="N1038" i="2"/>
  <c r="O1038" i="2"/>
  <c r="L1039" i="2"/>
  <c r="M1039" i="2"/>
  <c r="N1039" i="2"/>
  <c r="O1039" i="2"/>
  <c r="L1040" i="2"/>
  <c r="M1040" i="2"/>
  <c r="N1040" i="2"/>
  <c r="O1040" i="2"/>
  <c r="L1041" i="2"/>
  <c r="M1041" i="2"/>
  <c r="N1041" i="2"/>
  <c r="O1041" i="2"/>
  <c r="L1042" i="2"/>
  <c r="M1042" i="2"/>
  <c r="N1042" i="2"/>
  <c r="O1042" i="2"/>
  <c r="L1043" i="2"/>
  <c r="M1043" i="2"/>
  <c r="N1043" i="2"/>
  <c r="O1043" i="2"/>
  <c r="L1044" i="2"/>
  <c r="M1044" i="2"/>
  <c r="N1044" i="2"/>
  <c r="O1044" i="2"/>
  <c r="L1045" i="2"/>
  <c r="M1045" i="2"/>
  <c r="N1045" i="2"/>
  <c r="O1045" i="2"/>
  <c r="L1046" i="2"/>
  <c r="M1046" i="2"/>
  <c r="N1046" i="2"/>
  <c r="O1046" i="2"/>
  <c r="L1047" i="2"/>
  <c r="M1047" i="2"/>
  <c r="N1047" i="2"/>
  <c r="O1047" i="2"/>
  <c r="L1048" i="2"/>
  <c r="M1048" i="2"/>
  <c r="N1048" i="2"/>
  <c r="O1048" i="2"/>
  <c r="L1049" i="2"/>
  <c r="M1049" i="2"/>
  <c r="N1049" i="2"/>
  <c r="O1049" i="2"/>
  <c r="L1050" i="2"/>
  <c r="M1050" i="2"/>
  <c r="N1050" i="2"/>
  <c r="O1050" i="2"/>
  <c r="L1051" i="2"/>
  <c r="M1051" i="2"/>
  <c r="N1051" i="2"/>
  <c r="O1051" i="2"/>
  <c r="L1052" i="2"/>
  <c r="M1052" i="2"/>
  <c r="N1052" i="2"/>
  <c r="O1052" i="2"/>
  <c r="L1053" i="2"/>
  <c r="M1053" i="2"/>
  <c r="N1053" i="2"/>
  <c r="O1053" i="2"/>
  <c r="L1054" i="2"/>
  <c r="M1054" i="2"/>
  <c r="N1054" i="2"/>
  <c r="O1054" i="2"/>
  <c r="L1055" i="2"/>
  <c r="M1055" i="2"/>
  <c r="N1055" i="2"/>
  <c r="O1055" i="2"/>
  <c r="L1056" i="2"/>
  <c r="M1056" i="2"/>
  <c r="N1056" i="2"/>
  <c r="O1056" i="2"/>
  <c r="L1057" i="2"/>
  <c r="M1057" i="2"/>
  <c r="N1057" i="2"/>
  <c r="O1057" i="2"/>
  <c r="L1058" i="2"/>
  <c r="M1058" i="2"/>
  <c r="N1058" i="2"/>
  <c r="O1058" i="2"/>
  <c r="L1059" i="2"/>
  <c r="M1059" i="2"/>
  <c r="N1059" i="2"/>
  <c r="O1059" i="2"/>
  <c r="L1060" i="2"/>
  <c r="M1060" i="2"/>
  <c r="N1060" i="2"/>
  <c r="O1060" i="2"/>
  <c r="L1061" i="2"/>
  <c r="M1061" i="2"/>
  <c r="N1061" i="2"/>
  <c r="O1061" i="2"/>
  <c r="L1062" i="2"/>
  <c r="M1062" i="2"/>
  <c r="N1062" i="2"/>
  <c r="O1062" i="2"/>
  <c r="L1063" i="2"/>
  <c r="M1063" i="2"/>
  <c r="N1063" i="2"/>
  <c r="O1063" i="2"/>
  <c r="L1064" i="2"/>
  <c r="M1064" i="2"/>
  <c r="N1064" i="2"/>
  <c r="O1064" i="2"/>
  <c r="L1065" i="2"/>
  <c r="M1065" i="2"/>
  <c r="N1065" i="2"/>
  <c r="O1065" i="2"/>
  <c r="L1066" i="2"/>
  <c r="M1066" i="2"/>
  <c r="N1066" i="2"/>
  <c r="O1066" i="2"/>
  <c r="L1067" i="2"/>
  <c r="M1067" i="2"/>
  <c r="N1067" i="2"/>
  <c r="O1067" i="2"/>
  <c r="L1068" i="2"/>
  <c r="M1068" i="2"/>
  <c r="N1068" i="2"/>
  <c r="O1068" i="2"/>
  <c r="L1069" i="2"/>
  <c r="M1069" i="2"/>
  <c r="N1069" i="2"/>
  <c r="O1069" i="2"/>
  <c r="L1070" i="2"/>
  <c r="M1070" i="2"/>
  <c r="N1070" i="2"/>
  <c r="O1070" i="2"/>
  <c r="L1071" i="2"/>
  <c r="M1071" i="2"/>
  <c r="N1071" i="2"/>
  <c r="O1071" i="2"/>
  <c r="L1072" i="2"/>
  <c r="M1072" i="2"/>
  <c r="N1072" i="2"/>
  <c r="O1072" i="2"/>
  <c r="L1073" i="2"/>
  <c r="M1073" i="2"/>
  <c r="N1073" i="2"/>
  <c r="O1073" i="2"/>
  <c r="L1074" i="2"/>
  <c r="M1074" i="2"/>
  <c r="N1074" i="2"/>
  <c r="O1074" i="2"/>
  <c r="L1075" i="2"/>
  <c r="M1075" i="2"/>
  <c r="N1075" i="2"/>
  <c r="O1075" i="2"/>
  <c r="L1076" i="2"/>
  <c r="M1076" i="2"/>
  <c r="N1076" i="2"/>
  <c r="O1076" i="2"/>
  <c r="L1077" i="2"/>
  <c r="M1077" i="2"/>
  <c r="N1077" i="2"/>
  <c r="O1077" i="2"/>
  <c r="L1078" i="2"/>
  <c r="M1078" i="2"/>
  <c r="N1078" i="2"/>
  <c r="O1078" i="2"/>
  <c r="L1079" i="2"/>
  <c r="M1079" i="2"/>
  <c r="N1079" i="2"/>
  <c r="O1079" i="2"/>
  <c r="L1080" i="2"/>
  <c r="M1080" i="2"/>
  <c r="N1080" i="2"/>
  <c r="O1080" i="2"/>
  <c r="L1081" i="2"/>
  <c r="M1081" i="2"/>
  <c r="N1081" i="2"/>
  <c r="O1081" i="2"/>
  <c r="L1082" i="2"/>
  <c r="M1082" i="2"/>
  <c r="N1082" i="2"/>
  <c r="O1082" i="2"/>
  <c r="L1083" i="2"/>
  <c r="M1083" i="2"/>
  <c r="N1083" i="2"/>
  <c r="O1083" i="2"/>
  <c r="L1084" i="2"/>
  <c r="M1084" i="2"/>
  <c r="N1084" i="2"/>
  <c r="O1084" i="2"/>
  <c r="L1085" i="2"/>
  <c r="M1085" i="2"/>
  <c r="N1085" i="2"/>
  <c r="O1085" i="2"/>
  <c r="L1086" i="2"/>
  <c r="M1086" i="2"/>
  <c r="N1086" i="2"/>
  <c r="O1086" i="2"/>
  <c r="L1087" i="2"/>
  <c r="M1087" i="2"/>
  <c r="N1087" i="2"/>
  <c r="O1087" i="2"/>
  <c r="L1088" i="2"/>
  <c r="M1088" i="2"/>
  <c r="N1088" i="2"/>
  <c r="O1088" i="2"/>
  <c r="L1089" i="2"/>
  <c r="M1089" i="2"/>
  <c r="N1089" i="2"/>
  <c r="O1089" i="2"/>
  <c r="L1090" i="2"/>
  <c r="M1090" i="2"/>
  <c r="N1090" i="2"/>
  <c r="O1090" i="2"/>
  <c r="L1091" i="2"/>
  <c r="M1091" i="2"/>
  <c r="N1091" i="2"/>
  <c r="O1091" i="2"/>
  <c r="L1092" i="2"/>
  <c r="M1092" i="2"/>
  <c r="N1092" i="2"/>
  <c r="O1092" i="2"/>
  <c r="L1093" i="2"/>
  <c r="M1093" i="2"/>
  <c r="N1093" i="2"/>
  <c r="O1093" i="2"/>
  <c r="L1094" i="2"/>
  <c r="M1094" i="2"/>
  <c r="N1094" i="2"/>
  <c r="O1094" i="2"/>
  <c r="L1095" i="2"/>
  <c r="M1095" i="2"/>
  <c r="N1095" i="2"/>
  <c r="O1095" i="2"/>
  <c r="L1096" i="2"/>
  <c r="M1096" i="2"/>
  <c r="N1096" i="2"/>
  <c r="O1096" i="2"/>
  <c r="L1097" i="2"/>
  <c r="M1097" i="2"/>
  <c r="N1097" i="2"/>
  <c r="O1097" i="2"/>
  <c r="L1098" i="2"/>
  <c r="M1098" i="2"/>
  <c r="N1098" i="2"/>
  <c r="O1098" i="2"/>
  <c r="L1099" i="2"/>
  <c r="M1099" i="2"/>
  <c r="N1099" i="2"/>
  <c r="O1099" i="2"/>
  <c r="L1100" i="2"/>
  <c r="M1100" i="2"/>
  <c r="N1100" i="2"/>
  <c r="O1100" i="2"/>
  <c r="L1101" i="2"/>
  <c r="M1101" i="2"/>
  <c r="N1101" i="2"/>
  <c r="O1101" i="2"/>
  <c r="L1102" i="2"/>
  <c r="M1102" i="2"/>
  <c r="N1102" i="2"/>
  <c r="O1102" i="2"/>
  <c r="L1103" i="2"/>
  <c r="M1103" i="2"/>
  <c r="N1103" i="2"/>
  <c r="O1103" i="2"/>
  <c r="L1104" i="2"/>
  <c r="M1104" i="2"/>
  <c r="N1104" i="2"/>
  <c r="O1104" i="2"/>
  <c r="L1105" i="2"/>
  <c r="M1105" i="2"/>
  <c r="N1105" i="2"/>
  <c r="O1105" i="2"/>
  <c r="L1106" i="2"/>
  <c r="M1106" i="2"/>
  <c r="N1106" i="2"/>
  <c r="O1106" i="2"/>
  <c r="L1107" i="2"/>
  <c r="M1107" i="2"/>
  <c r="N1107" i="2"/>
  <c r="O1107" i="2"/>
  <c r="L1108" i="2"/>
  <c r="M1108" i="2"/>
  <c r="N1108" i="2"/>
  <c r="O1108" i="2"/>
  <c r="L1109" i="2"/>
  <c r="M1109" i="2"/>
  <c r="N1109" i="2"/>
  <c r="O1109" i="2"/>
  <c r="L1110" i="2"/>
  <c r="M1110" i="2"/>
  <c r="N1110" i="2"/>
  <c r="O1110" i="2"/>
  <c r="L1111" i="2"/>
  <c r="M1111" i="2"/>
  <c r="N1111" i="2"/>
  <c r="O1111" i="2"/>
  <c r="L1112" i="2"/>
  <c r="M1112" i="2"/>
  <c r="N1112" i="2"/>
  <c r="O1112" i="2"/>
  <c r="L1113" i="2"/>
  <c r="M1113" i="2"/>
  <c r="N1113" i="2"/>
  <c r="O1113" i="2"/>
  <c r="L1114" i="2"/>
  <c r="M1114" i="2"/>
  <c r="N1114" i="2"/>
  <c r="O1114" i="2"/>
  <c r="L1115" i="2"/>
  <c r="M1115" i="2"/>
  <c r="N1115" i="2"/>
  <c r="O1115" i="2"/>
  <c r="L1116" i="2"/>
  <c r="M1116" i="2"/>
  <c r="N1116" i="2"/>
  <c r="O1116" i="2"/>
  <c r="L1117" i="2"/>
  <c r="M1117" i="2"/>
  <c r="N1117" i="2"/>
  <c r="O1117" i="2"/>
  <c r="L1118" i="2"/>
  <c r="M1118" i="2"/>
  <c r="N1118" i="2"/>
  <c r="O1118" i="2"/>
  <c r="L1119" i="2"/>
  <c r="M1119" i="2"/>
  <c r="N1119" i="2"/>
  <c r="O1119" i="2"/>
  <c r="L1120" i="2"/>
  <c r="M1120" i="2"/>
  <c r="N1120" i="2"/>
  <c r="O1120" i="2"/>
  <c r="L1121" i="2"/>
  <c r="M1121" i="2"/>
  <c r="N1121" i="2"/>
  <c r="O1121" i="2"/>
  <c r="L1122" i="2"/>
  <c r="M1122" i="2"/>
  <c r="N1122" i="2"/>
  <c r="O1122" i="2"/>
  <c r="L1123" i="2"/>
  <c r="M1123" i="2"/>
  <c r="N1123" i="2"/>
  <c r="O1123" i="2"/>
  <c r="L1124" i="2"/>
  <c r="M1124" i="2"/>
  <c r="N1124" i="2"/>
  <c r="O1124" i="2"/>
  <c r="L1125" i="2"/>
  <c r="M1125" i="2"/>
  <c r="N1125" i="2"/>
  <c r="O1125" i="2"/>
  <c r="L1126" i="2"/>
  <c r="M1126" i="2"/>
  <c r="N1126" i="2"/>
  <c r="O1126" i="2"/>
  <c r="L1127" i="2"/>
  <c r="M1127" i="2"/>
  <c r="N1127" i="2"/>
  <c r="O1127" i="2"/>
  <c r="L1128" i="2"/>
  <c r="M1128" i="2"/>
  <c r="N1128" i="2"/>
  <c r="O1128" i="2"/>
  <c r="L1129" i="2"/>
  <c r="M1129" i="2"/>
  <c r="N1129" i="2"/>
  <c r="O1129" i="2"/>
  <c r="L1130" i="2"/>
  <c r="M1130" i="2"/>
  <c r="N1130" i="2"/>
  <c r="O1130" i="2"/>
  <c r="L1131" i="2"/>
  <c r="M1131" i="2"/>
  <c r="N1131" i="2"/>
  <c r="O1131" i="2"/>
  <c r="L1132" i="2"/>
  <c r="M1132" i="2"/>
  <c r="N1132" i="2"/>
  <c r="O1132" i="2"/>
  <c r="L1133" i="2"/>
  <c r="M1133" i="2"/>
  <c r="N1133" i="2"/>
  <c r="O1133" i="2"/>
  <c r="L1134" i="2"/>
  <c r="M1134" i="2"/>
  <c r="N1134" i="2"/>
  <c r="O1134" i="2"/>
  <c r="L1135" i="2"/>
  <c r="M1135" i="2"/>
  <c r="N1135" i="2"/>
  <c r="O1135" i="2"/>
  <c r="L1136" i="2"/>
  <c r="M1136" i="2"/>
  <c r="N1136" i="2"/>
  <c r="O1136" i="2"/>
  <c r="L1137" i="2"/>
  <c r="M1137" i="2"/>
  <c r="N1137" i="2"/>
  <c r="O1137" i="2"/>
  <c r="L1138" i="2"/>
  <c r="M1138" i="2"/>
  <c r="N1138" i="2"/>
  <c r="O1138" i="2"/>
  <c r="L1139" i="2"/>
  <c r="M1139" i="2"/>
  <c r="N1139" i="2"/>
  <c r="O1139" i="2"/>
  <c r="L1140" i="2"/>
  <c r="M1140" i="2"/>
  <c r="N1140" i="2"/>
  <c r="O1140" i="2"/>
  <c r="L1141" i="2"/>
  <c r="M1141" i="2"/>
  <c r="N1141" i="2"/>
  <c r="O1141" i="2"/>
  <c r="L1142" i="2"/>
  <c r="M1142" i="2"/>
  <c r="N1142" i="2"/>
  <c r="O1142" i="2"/>
  <c r="L1143" i="2"/>
  <c r="M1143" i="2"/>
  <c r="N1143" i="2"/>
  <c r="O1143" i="2"/>
  <c r="L1144" i="2"/>
  <c r="M1144" i="2"/>
  <c r="N1144" i="2"/>
  <c r="O1144" i="2"/>
  <c r="L1145" i="2"/>
  <c r="M1145" i="2"/>
  <c r="N1145" i="2"/>
  <c r="O1145" i="2"/>
  <c r="L1146" i="2"/>
  <c r="M1146" i="2"/>
  <c r="N1146" i="2"/>
  <c r="O1146" i="2"/>
  <c r="L1147" i="2"/>
  <c r="M1147" i="2"/>
  <c r="N1147" i="2"/>
  <c r="O1147" i="2"/>
  <c r="L1148" i="2"/>
  <c r="M1148" i="2"/>
  <c r="N1148" i="2"/>
  <c r="O1148" i="2"/>
  <c r="L1149" i="2"/>
  <c r="M1149" i="2"/>
  <c r="N1149" i="2"/>
  <c r="O1149" i="2"/>
  <c r="L1150" i="2"/>
  <c r="M1150" i="2"/>
  <c r="N1150" i="2"/>
  <c r="O1150" i="2"/>
  <c r="L1151" i="2"/>
  <c r="M1151" i="2"/>
  <c r="N1151" i="2"/>
  <c r="O1151" i="2"/>
  <c r="L1152" i="2"/>
  <c r="M1152" i="2"/>
  <c r="N1152" i="2"/>
  <c r="O1152" i="2"/>
  <c r="L1153" i="2"/>
  <c r="M1153" i="2"/>
  <c r="N1153" i="2"/>
  <c r="O1153" i="2"/>
  <c r="L1154" i="2"/>
  <c r="M1154" i="2"/>
  <c r="N1154" i="2"/>
  <c r="O1154" i="2"/>
  <c r="L1155" i="2"/>
  <c r="M1155" i="2"/>
  <c r="N1155" i="2"/>
  <c r="O1155" i="2"/>
  <c r="L1156" i="2"/>
  <c r="M1156" i="2"/>
  <c r="N1156" i="2"/>
  <c r="O1156" i="2"/>
  <c r="L1157" i="2"/>
  <c r="M1157" i="2"/>
  <c r="N1157" i="2"/>
  <c r="O1157" i="2"/>
  <c r="L1158" i="2"/>
  <c r="M1158" i="2"/>
  <c r="N1158" i="2"/>
  <c r="O1158" i="2"/>
  <c r="L1159" i="2"/>
  <c r="M1159" i="2"/>
  <c r="N1159" i="2"/>
  <c r="O1159" i="2"/>
  <c r="L1160" i="2"/>
  <c r="M1160" i="2"/>
  <c r="N1160" i="2"/>
  <c r="O1160" i="2"/>
  <c r="L1161" i="2"/>
  <c r="M1161" i="2"/>
  <c r="N1161" i="2"/>
  <c r="O1161" i="2"/>
  <c r="L1162" i="2"/>
  <c r="M1162" i="2"/>
  <c r="N1162" i="2"/>
  <c r="O1162" i="2"/>
  <c r="L1163" i="2"/>
  <c r="M1163" i="2"/>
  <c r="N1163" i="2"/>
  <c r="O1163" i="2"/>
  <c r="L1164" i="2"/>
  <c r="M1164" i="2"/>
  <c r="N1164" i="2"/>
  <c r="O1164" i="2"/>
  <c r="L1165" i="2"/>
  <c r="M1165" i="2"/>
  <c r="N1165" i="2"/>
  <c r="O1165" i="2"/>
  <c r="L1166" i="2"/>
  <c r="M1166" i="2"/>
  <c r="N1166" i="2"/>
  <c r="O1166" i="2"/>
  <c r="L1167" i="2"/>
  <c r="M1167" i="2"/>
  <c r="N1167" i="2"/>
  <c r="O1167" i="2"/>
  <c r="L1168" i="2"/>
  <c r="M1168" i="2"/>
  <c r="N1168" i="2"/>
  <c r="O1168" i="2"/>
  <c r="L1169" i="2"/>
  <c r="M1169" i="2"/>
  <c r="N1169" i="2"/>
  <c r="O1169" i="2"/>
  <c r="L1170" i="2"/>
  <c r="M1170" i="2"/>
  <c r="N1170" i="2"/>
  <c r="O1170" i="2"/>
  <c r="L1171" i="2"/>
  <c r="M1171" i="2"/>
  <c r="N1171" i="2"/>
  <c r="O1171" i="2"/>
  <c r="L1172" i="2"/>
  <c r="M1172" i="2"/>
  <c r="N1172" i="2"/>
  <c r="O1172" i="2"/>
  <c r="L1173" i="2"/>
  <c r="M1173" i="2"/>
  <c r="N1173" i="2"/>
  <c r="O1173" i="2"/>
  <c r="L1174" i="2"/>
  <c r="M1174" i="2"/>
  <c r="N1174" i="2"/>
  <c r="O1174" i="2"/>
  <c r="L1175" i="2"/>
  <c r="M1175" i="2"/>
  <c r="N1175" i="2"/>
  <c r="O1175" i="2"/>
  <c r="L1176" i="2"/>
  <c r="M1176" i="2"/>
  <c r="N1176" i="2"/>
  <c r="O1176" i="2"/>
  <c r="L1177" i="2"/>
  <c r="M1177" i="2"/>
  <c r="N1177" i="2"/>
  <c r="O1177" i="2"/>
  <c r="L1178" i="2"/>
  <c r="M1178" i="2"/>
  <c r="N1178" i="2"/>
  <c r="O1178" i="2"/>
  <c r="L1179" i="2"/>
  <c r="M1179" i="2"/>
  <c r="N1179" i="2"/>
  <c r="O1179" i="2"/>
  <c r="L1180" i="2"/>
  <c r="M1180" i="2"/>
  <c r="N1180" i="2"/>
  <c r="O1180" i="2"/>
  <c r="L1181" i="2"/>
  <c r="M1181" i="2"/>
  <c r="N1181" i="2"/>
  <c r="O1181" i="2"/>
  <c r="L1182" i="2"/>
  <c r="M1182" i="2"/>
  <c r="N1182" i="2"/>
  <c r="O1182" i="2"/>
  <c r="L1183" i="2"/>
  <c r="M1183" i="2"/>
  <c r="N1183" i="2"/>
  <c r="O1183" i="2"/>
  <c r="L1184" i="2"/>
  <c r="M1184" i="2"/>
  <c r="N1184" i="2"/>
  <c r="O1184" i="2"/>
  <c r="L1185" i="2"/>
  <c r="M1185" i="2"/>
  <c r="N1185" i="2"/>
  <c r="O1185" i="2"/>
  <c r="L1186" i="2"/>
  <c r="M1186" i="2"/>
  <c r="N1186" i="2"/>
  <c r="O1186" i="2"/>
  <c r="L1187" i="2"/>
  <c r="M1187" i="2"/>
  <c r="N1187" i="2"/>
  <c r="O1187" i="2"/>
  <c r="L1188" i="2"/>
  <c r="M1188" i="2"/>
  <c r="N1188" i="2"/>
  <c r="O1188" i="2"/>
  <c r="L1189" i="2"/>
  <c r="M1189" i="2"/>
  <c r="N1189" i="2"/>
  <c r="O1189" i="2"/>
  <c r="L1190" i="2"/>
  <c r="M1190" i="2"/>
  <c r="N1190" i="2"/>
  <c r="O1190" i="2"/>
  <c r="L1191" i="2"/>
  <c r="M1191" i="2"/>
  <c r="N1191" i="2"/>
  <c r="O1191" i="2"/>
  <c r="L1192" i="2"/>
  <c r="M1192" i="2"/>
  <c r="N1192" i="2"/>
  <c r="O1192" i="2"/>
  <c r="L1193" i="2"/>
  <c r="M1193" i="2"/>
  <c r="N1193" i="2"/>
  <c r="O1193" i="2"/>
  <c r="L1194" i="2"/>
  <c r="M1194" i="2"/>
  <c r="N1194" i="2"/>
  <c r="O1194" i="2"/>
  <c r="L1195" i="2"/>
  <c r="M1195" i="2"/>
  <c r="N1195" i="2"/>
  <c r="O1195" i="2"/>
  <c r="L1196" i="2"/>
  <c r="M1196" i="2"/>
  <c r="N1196" i="2"/>
  <c r="O1196" i="2"/>
  <c r="L1197" i="2"/>
  <c r="M1197" i="2"/>
  <c r="N1197" i="2"/>
  <c r="O1197" i="2"/>
  <c r="L1198" i="2"/>
  <c r="M1198" i="2"/>
  <c r="N1198" i="2"/>
  <c r="O1198" i="2"/>
  <c r="L1199" i="2"/>
  <c r="M1199" i="2"/>
  <c r="N1199" i="2"/>
  <c r="O1199" i="2"/>
  <c r="L1200" i="2"/>
  <c r="M1200" i="2"/>
  <c r="N1200" i="2"/>
  <c r="O1200" i="2"/>
  <c r="L1201" i="2"/>
  <c r="M1201" i="2"/>
  <c r="N1201" i="2"/>
  <c r="O1201" i="2"/>
  <c r="L1202" i="2"/>
  <c r="M1202" i="2"/>
  <c r="N1202" i="2"/>
  <c r="O1202" i="2"/>
  <c r="L1203" i="2"/>
  <c r="M1203" i="2"/>
  <c r="N1203" i="2"/>
  <c r="O1203" i="2"/>
  <c r="L1204" i="2"/>
  <c r="M1204" i="2"/>
  <c r="N1204" i="2"/>
  <c r="O1204" i="2"/>
  <c r="L1205" i="2"/>
  <c r="M1205" i="2"/>
  <c r="N1205" i="2"/>
  <c r="O1205" i="2"/>
  <c r="L1206" i="2"/>
  <c r="M1206" i="2"/>
  <c r="N1206" i="2"/>
  <c r="O1206" i="2"/>
  <c r="L1207" i="2"/>
  <c r="M1207" i="2"/>
  <c r="N1207" i="2"/>
  <c r="O1207" i="2"/>
  <c r="L1208" i="2"/>
  <c r="M1208" i="2"/>
  <c r="N1208" i="2"/>
  <c r="O1208" i="2"/>
  <c r="L1209" i="2"/>
  <c r="M1209" i="2"/>
  <c r="N1209" i="2"/>
  <c r="O1209" i="2"/>
  <c r="L1210" i="2"/>
  <c r="M1210" i="2"/>
  <c r="N1210" i="2"/>
  <c r="O1210" i="2"/>
  <c r="L1211" i="2"/>
  <c r="M1211" i="2"/>
  <c r="N1211" i="2"/>
  <c r="O1211" i="2"/>
  <c r="L1212" i="2"/>
  <c r="M1212" i="2"/>
  <c r="N1212" i="2"/>
  <c r="O1212" i="2"/>
  <c r="L1213" i="2"/>
  <c r="M1213" i="2"/>
  <c r="N1213" i="2"/>
  <c r="O1213" i="2"/>
  <c r="L1214" i="2"/>
  <c r="M1214" i="2"/>
  <c r="N1214" i="2"/>
  <c r="O1214" i="2"/>
  <c r="L1215" i="2"/>
  <c r="M1215" i="2"/>
  <c r="N1215" i="2"/>
  <c r="O1215" i="2"/>
  <c r="L1216" i="2"/>
  <c r="M1216" i="2"/>
  <c r="N1216" i="2"/>
  <c r="O1216" i="2"/>
  <c r="L1217" i="2"/>
  <c r="M1217" i="2"/>
  <c r="N1217" i="2"/>
  <c r="O1217" i="2"/>
  <c r="L1218" i="2"/>
  <c r="M1218" i="2"/>
  <c r="N1218" i="2"/>
  <c r="O1218" i="2"/>
  <c r="L1219" i="2"/>
  <c r="M1219" i="2"/>
  <c r="N1219" i="2"/>
  <c r="O1219" i="2"/>
  <c r="L1220" i="2"/>
  <c r="M1220" i="2"/>
  <c r="N1220" i="2"/>
  <c r="O1220" i="2"/>
  <c r="L1221" i="2"/>
  <c r="M1221" i="2"/>
  <c r="N1221" i="2"/>
  <c r="O1221" i="2"/>
  <c r="L1222" i="2"/>
  <c r="M1222" i="2"/>
  <c r="N1222" i="2"/>
  <c r="O1222" i="2"/>
  <c r="L1223" i="2"/>
  <c r="M1223" i="2"/>
  <c r="N1223" i="2"/>
  <c r="O1223" i="2"/>
  <c r="L1224" i="2"/>
  <c r="M1224" i="2"/>
  <c r="N1224" i="2"/>
  <c r="O1224" i="2"/>
  <c r="L1225" i="2"/>
  <c r="M1225" i="2"/>
  <c r="N1225" i="2"/>
  <c r="O1225" i="2"/>
  <c r="L1226" i="2"/>
  <c r="M1226" i="2"/>
  <c r="N1226" i="2"/>
  <c r="O1226" i="2"/>
  <c r="L1227" i="2"/>
  <c r="M1227" i="2"/>
  <c r="N1227" i="2"/>
  <c r="O1227" i="2"/>
  <c r="L1228" i="2"/>
  <c r="M1228" i="2"/>
  <c r="N1228" i="2"/>
  <c r="O1228" i="2"/>
  <c r="L1229" i="2"/>
  <c r="M1229" i="2"/>
  <c r="N1229" i="2"/>
  <c r="O1229" i="2"/>
  <c r="L1230" i="2"/>
  <c r="M1230" i="2"/>
  <c r="N1230" i="2"/>
  <c r="O1230" i="2"/>
  <c r="L1231" i="2"/>
  <c r="M1231" i="2"/>
  <c r="N1231" i="2"/>
  <c r="O1231" i="2"/>
  <c r="L1232" i="2"/>
  <c r="M1232" i="2"/>
  <c r="N1232" i="2"/>
  <c r="O1232" i="2"/>
  <c r="L1233" i="2"/>
  <c r="M1233" i="2"/>
  <c r="N1233" i="2"/>
  <c r="O1233" i="2"/>
  <c r="L1234" i="2"/>
  <c r="M1234" i="2"/>
  <c r="N1234" i="2"/>
  <c r="O1234" i="2"/>
  <c r="L1235" i="2"/>
  <c r="M1235" i="2"/>
  <c r="N1235" i="2"/>
  <c r="O1235" i="2"/>
  <c r="L1236" i="2"/>
  <c r="M1236" i="2"/>
  <c r="N1236" i="2"/>
  <c r="O1236" i="2"/>
  <c r="L1237" i="2"/>
  <c r="M1237" i="2"/>
  <c r="N1237" i="2"/>
  <c r="O1237" i="2"/>
  <c r="L1238" i="2"/>
  <c r="M1238" i="2"/>
  <c r="N1238" i="2"/>
  <c r="O1238" i="2"/>
  <c r="L1239" i="2"/>
  <c r="M1239" i="2"/>
  <c r="N1239" i="2"/>
  <c r="O1239" i="2"/>
  <c r="L1240" i="2"/>
  <c r="M1240" i="2"/>
  <c r="N1240" i="2"/>
  <c r="O1240" i="2"/>
  <c r="L1241" i="2"/>
  <c r="M1241" i="2"/>
  <c r="N1241" i="2"/>
  <c r="O1241" i="2"/>
  <c r="L1242" i="2"/>
  <c r="M1242" i="2"/>
  <c r="N1242" i="2"/>
  <c r="O1242" i="2"/>
  <c r="L1243" i="2"/>
  <c r="M1243" i="2"/>
  <c r="N1243" i="2"/>
  <c r="O1243" i="2"/>
  <c r="L1244" i="2"/>
  <c r="M1244" i="2"/>
  <c r="N1244" i="2"/>
  <c r="O1244" i="2"/>
  <c r="L1245" i="2"/>
  <c r="M1245" i="2"/>
  <c r="N1245" i="2"/>
  <c r="O1245" i="2"/>
  <c r="L1246" i="2"/>
  <c r="M1246" i="2"/>
  <c r="N1246" i="2"/>
  <c r="O1246" i="2"/>
  <c r="L1247" i="2"/>
  <c r="M1247" i="2"/>
  <c r="N1247" i="2"/>
  <c r="O1247" i="2"/>
  <c r="L1248" i="2"/>
  <c r="M1248" i="2"/>
  <c r="N1248" i="2"/>
  <c r="O1248" i="2"/>
  <c r="L1249" i="2"/>
  <c r="M1249" i="2"/>
  <c r="N1249" i="2"/>
  <c r="O1249" i="2"/>
  <c r="L1250" i="2"/>
  <c r="M1250" i="2"/>
  <c r="N1250" i="2"/>
  <c r="O1250" i="2"/>
  <c r="L1251" i="2"/>
  <c r="M1251" i="2"/>
  <c r="N1251" i="2"/>
  <c r="O1251" i="2"/>
  <c r="L1252" i="2"/>
  <c r="M1252" i="2"/>
  <c r="N1252" i="2"/>
  <c r="O1252" i="2"/>
  <c r="L1253" i="2"/>
  <c r="M1253" i="2"/>
  <c r="N1253" i="2"/>
  <c r="O1253" i="2"/>
  <c r="L1254" i="2"/>
  <c r="M1254" i="2"/>
  <c r="N1254" i="2"/>
  <c r="O1254" i="2"/>
  <c r="L1255" i="2"/>
  <c r="M1255" i="2"/>
  <c r="N1255" i="2"/>
  <c r="O1255" i="2"/>
  <c r="L1256" i="2"/>
  <c r="M1256" i="2"/>
  <c r="N1256" i="2"/>
  <c r="O1256" i="2"/>
  <c r="L1257" i="2"/>
  <c r="M1257" i="2"/>
  <c r="N1257" i="2"/>
  <c r="O1257" i="2"/>
  <c r="L1258" i="2"/>
  <c r="M1258" i="2"/>
  <c r="N1258" i="2"/>
  <c r="O1258" i="2"/>
  <c r="L1259" i="2"/>
  <c r="M1259" i="2"/>
  <c r="N1259" i="2"/>
  <c r="O1259" i="2"/>
  <c r="L1260" i="2"/>
  <c r="M1260" i="2"/>
  <c r="N1260" i="2"/>
  <c r="O1260" i="2"/>
  <c r="L1261" i="2"/>
  <c r="M1261" i="2"/>
  <c r="N1261" i="2"/>
  <c r="O1261" i="2"/>
  <c r="L1262" i="2"/>
  <c r="M1262" i="2"/>
  <c r="N1262" i="2"/>
  <c r="O1262" i="2"/>
  <c r="L1263" i="2"/>
  <c r="M1263" i="2"/>
  <c r="N1263" i="2"/>
  <c r="O1263" i="2"/>
  <c r="L1264" i="2"/>
  <c r="M1264" i="2"/>
  <c r="N1264" i="2"/>
  <c r="O1264" i="2"/>
  <c r="L1265" i="2"/>
  <c r="M1265" i="2"/>
  <c r="N1265" i="2"/>
  <c r="O1265" i="2"/>
  <c r="L1266" i="2"/>
  <c r="M1266" i="2"/>
  <c r="N1266" i="2"/>
  <c r="O1266" i="2"/>
  <c r="L1267" i="2"/>
  <c r="M1267" i="2"/>
  <c r="N1267" i="2"/>
  <c r="O1267" i="2"/>
  <c r="L1268" i="2"/>
  <c r="M1268" i="2"/>
  <c r="N1268" i="2"/>
  <c r="O1268" i="2"/>
  <c r="L1269" i="2"/>
  <c r="M1269" i="2"/>
  <c r="N1269" i="2"/>
  <c r="O1269" i="2"/>
  <c r="L1270" i="2"/>
  <c r="M1270" i="2"/>
  <c r="N1270" i="2"/>
  <c r="O1270" i="2"/>
  <c r="L1271" i="2"/>
  <c r="M1271" i="2"/>
  <c r="N1271" i="2"/>
  <c r="O1271" i="2"/>
  <c r="L1272" i="2"/>
  <c r="M1272" i="2"/>
  <c r="N1272" i="2"/>
  <c r="O1272" i="2"/>
  <c r="L1273" i="2"/>
  <c r="M1273" i="2"/>
  <c r="N1273" i="2"/>
  <c r="O1273" i="2"/>
  <c r="L1274" i="2"/>
  <c r="M1274" i="2"/>
  <c r="N1274" i="2"/>
  <c r="O1274" i="2"/>
  <c r="L1275" i="2"/>
  <c r="M1275" i="2"/>
  <c r="N1275" i="2"/>
  <c r="O1275" i="2"/>
  <c r="L1276" i="2"/>
  <c r="M1276" i="2"/>
  <c r="N1276" i="2"/>
  <c r="O1276" i="2"/>
  <c r="L1277" i="2"/>
  <c r="M1277" i="2"/>
  <c r="N1277" i="2"/>
  <c r="O1277" i="2"/>
  <c r="L1278" i="2"/>
  <c r="M1278" i="2"/>
  <c r="N1278" i="2"/>
  <c r="O1278" i="2"/>
  <c r="L1279" i="2"/>
  <c r="M1279" i="2"/>
  <c r="N1279" i="2"/>
  <c r="O1279" i="2"/>
  <c r="L1280" i="2"/>
  <c r="M1280" i="2"/>
  <c r="N1280" i="2"/>
  <c r="O1280" i="2"/>
  <c r="L1281" i="2"/>
  <c r="M1281" i="2"/>
  <c r="N1281" i="2"/>
  <c r="O1281" i="2"/>
  <c r="L1282" i="2"/>
  <c r="M1282" i="2"/>
  <c r="N1282" i="2"/>
  <c r="O1282" i="2"/>
  <c r="L1283" i="2"/>
  <c r="M1283" i="2"/>
  <c r="N1283" i="2"/>
  <c r="O1283" i="2"/>
  <c r="L1284" i="2"/>
  <c r="M1284" i="2"/>
  <c r="N1284" i="2"/>
  <c r="O1284" i="2"/>
  <c r="L1285" i="2"/>
  <c r="M1285" i="2"/>
  <c r="N1285" i="2"/>
  <c r="O1285" i="2"/>
  <c r="L1286" i="2"/>
  <c r="M1286" i="2"/>
  <c r="N1286" i="2"/>
  <c r="O1286" i="2"/>
  <c r="L1287" i="2"/>
  <c r="M1287" i="2"/>
  <c r="N1287" i="2"/>
  <c r="O1287" i="2"/>
  <c r="L1288" i="2"/>
  <c r="M1288" i="2"/>
  <c r="N1288" i="2"/>
  <c r="O1288" i="2"/>
  <c r="L1289" i="2"/>
  <c r="M1289" i="2"/>
  <c r="N1289" i="2"/>
  <c r="O1289" i="2"/>
  <c r="L1290" i="2"/>
  <c r="M1290" i="2"/>
  <c r="N1290" i="2"/>
  <c r="O1290" i="2"/>
  <c r="L1291" i="2"/>
  <c r="M1291" i="2"/>
  <c r="N1291" i="2"/>
  <c r="O1291" i="2"/>
  <c r="L1292" i="2"/>
  <c r="M1292" i="2"/>
  <c r="N1292" i="2"/>
  <c r="O1292" i="2"/>
  <c r="L1293" i="2"/>
  <c r="M1293" i="2"/>
  <c r="N1293" i="2"/>
  <c r="O1293" i="2"/>
  <c r="L1294" i="2"/>
  <c r="M1294" i="2"/>
  <c r="N1294" i="2"/>
  <c r="O1294" i="2"/>
  <c r="L1295" i="2"/>
  <c r="M1295" i="2"/>
  <c r="N1295" i="2"/>
  <c r="O1295" i="2"/>
  <c r="L1296" i="2"/>
  <c r="M1296" i="2"/>
  <c r="N1296" i="2"/>
  <c r="O1296" i="2"/>
  <c r="L1297" i="2"/>
  <c r="M1297" i="2"/>
  <c r="N1297" i="2"/>
  <c r="O1297" i="2"/>
  <c r="L1298" i="2"/>
  <c r="M1298" i="2"/>
  <c r="N1298" i="2"/>
  <c r="O1298" i="2"/>
  <c r="L1299" i="2"/>
  <c r="M1299" i="2"/>
  <c r="N1299" i="2"/>
  <c r="O1299" i="2"/>
  <c r="L1300" i="2"/>
  <c r="M1300" i="2"/>
  <c r="N1300" i="2"/>
  <c r="O1300" i="2"/>
  <c r="L1301" i="2"/>
  <c r="M1301" i="2"/>
  <c r="N1301" i="2"/>
  <c r="O1301" i="2"/>
  <c r="L1302" i="2"/>
  <c r="M1302" i="2"/>
  <c r="N1302" i="2"/>
  <c r="O1302" i="2"/>
  <c r="L1303" i="2"/>
  <c r="M1303" i="2"/>
  <c r="N1303" i="2"/>
  <c r="O1303" i="2"/>
  <c r="L1304" i="2"/>
  <c r="M1304" i="2"/>
  <c r="N1304" i="2"/>
  <c r="O1304" i="2"/>
  <c r="L1305" i="2"/>
  <c r="M1305" i="2"/>
  <c r="N1305" i="2"/>
  <c r="O1305" i="2"/>
  <c r="L1306" i="2"/>
  <c r="M1306" i="2"/>
  <c r="N1306" i="2"/>
  <c r="O1306" i="2"/>
  <c r="L1307" i="2"/>
  <c r="M1307" i="2"/>
  <c r="N1307" i="2"/>
  <c r="O1307" i="2"/>
  <c r="L1308" i="2"/>
  <c r="M1308" i="2"/>
  <c r="N1308" i="2"/>
  <c r="O1308" i="2"/>
  <c r="L1309" i="2"/>
  <c r="M1309" i="2"/>
  <c r="N1309" i="2"/>
  <c r="O1309" i="2"/>
  <c r="L1310" i="2"/>
  <c r="M1310" i="2"/>
  <c r="N1310" i="2"/>
  <c r="O1310" i="2"/>
  <c r="L1311" i="2"/>
  <c r="M1311" i="2"/>
  <c r="N1311" i="2"/>
  <c r="O1311" i="2"/>
  <c r="L1312" i="2"/>
  <c r="M1312" i="2"/>
  <c r="N1312" i="2"/>
  <c r="O1312" i="2"/>
  <c r="L1313" i="2"/>
  <c r="M1313" i="2"/>
  <c r="N1313" i="2"/>
  <c r="O1313" i="2"/>
  <c r="L1314" i="2"/>
  <c r="M1314" i="2"/>
  <c r="N1314" i="2"/>
  <c r="O1314" i="2"/>
  <c r="L1315" i="2"/>
  <c r="M1315" i="2"/>
  <c r="N1315" i="2"/>
  <c r="O1315" i="2"/>
  <c r="L1316" i="2"/>
  <c r="M1316" i="2"/>
  <c r="N1316" i="2"/>
  <c r="O1316" i="2"/>
  <c r="L1317" i="2"/>
  <c r="M1317" i="2"/>
  <c r="N1317" i="2"/>
  <c r="O1317" i="2"/>
  <c r="L1318" i="2"/>
  <c r="M1318" i="2"/>
  <c r="N1318" i="2"/>
  <c r="O1318" i="2"/>
  <c r="L1319" i="2"/>
  <c r="M1319" i="2"/>
  <c r="N1319" i="2"/>
  <c r="O1319" i="2"/>
  <c r="L1320" i="2"/>
  <c r="M1320" i="2"/>
  <c r="N1320" i="2"/>
  <c r="O1320" i="2"/>
  <c r="L1321" i="2"/>
  <c r="M1321" i="2"/>
  <c r="N1321" i="2"/>
  <c r="O1321" i="2"/>
  <c r="L1322" i="2"/>
  <c r="M1322" i="2"/>
  <c r="N1322" i="2"/>
  <c r="O1322" i="2"/>
  <c r="L1323" i="2"/>
  <c r="M1323" i="2"/>
  <c r="N1323" i="2"/>
  <c r="O1323" i="2"/>
  <c r="L1324" i="2"/>
  <c r="M1324" i="2"/>
  <c r="N1324" i="2"/>
  <c r="O1324" i="2"/>
  <c r="L1325" i="2"/>
  <c r="M1325" i="2"/>
  <c r="N1325" i="2"/>
  <c r="O1325" i="2"/>
  <c r="L1326" i="2"/>
  <c r="M1326" i="2"/>
  <c r="N1326" i="2"/>
  <c r="O1326" i="2"/>
  <c r="L1327" i="2"/>
  <c r="M1327" i="2"/>
  <c r="N1327" i="2"/>
  <c r="O1327" i="2"/>
  <c r="L1328" i="2"/>
  <c r="M1328" i="2"/>
  <c r="N1328" i="2"/>
  <c r="O1328" i="2"/>
  <c r="L1329" i="2"/>
  <c r="M1329" i="2"/>
  <c r="N1329" i="2"/>
  <c r="O1329" i="2"/>
  <c r="L1330" i="2"/>
  <c r="M1330" i="2"/>
  <c r="N1330" i="2"/>
  <c r="O1330" i="2"/>
  <c r="L1331" i="2"/>
  <c r="M1331" i="2"/>
  <c r="N1331" i="2"/>
  <c r="O1331" i="2"/>
  <c r="L1332" i="2"/>
  <c r="M1332" i="2"/>
  <c r="N1332" i="2"/>
  <c r="O1332" i="2"/>
  <c r="L1333" i="2"/>
  <c r="M1333" i="2"/>
  <c r="N1333" i="2"/>
  <c r="O1333" i="2"/>
  <c r="L1334" i="2"/>
  <c r="M1334" i="2"/>
  <c r="N1334" i="2"/>
  <c r="O1334" i="2"/>
  <c r="L1335" i="2"/>
  <c r="M1335" i="2"/>
  <c r="N1335" i="2"/>
  <c r="O1335" i="2"/>
  <c r="L1336" i="2"/>
  <c r="M1336" i="2"/>
  <c r="N1336" i="2"/>
  <c r="O1336" i="2"/>
  <c r="L1337" i="2"/>
  <c r="M1337" i="2"/>
  <c r="N1337" i="2"/>
  <c r="O1337" i="2"/>
  <c r="L1338" i="2"/>
  <c r="M1338" i="2"/>
  <c r="N1338" i="2"/>
  <c r="O1338" i="2"/>
  <c r="L1339" i="2"/>
  <c r="M1339" i="2"/>
  <c r="N1339" i="2"/>
  <c r="O1339" i="2"/>
  <c r="L1340" i="2"/>
  <c r="M1340" i="2"/>
  <c r="N1340" i="2"/>
  <c r="O1340" i="2"/>
  <c r="L1341" i="2"/>
  <c r="M1341" i="2"/>
  <c r="N1341" i="2"/>
  <c r="O1341" i="2"/>
  <c r="L1342" i="2"/>
  <c r="M1342" i="2"/>
  <c r="N1342" i="2"/>
  <c r="O1342" i="2"/>
  <c r="L1343" i="2"/>
  <c r="M1343" i="2"/>
  <c r="N1343" i="2"/>
  <c r="O1343" i="2"/>
  <c r="L1344" i="2"/>
  <c r="M1344" i="2"/>
  <c r="N1344" i="2"/>
  <c r="O1344" i="2"/>
  <c r="L1345" i="2"/>
  <c r="M1345" i="2"/>
  <c r="N1345" i="2"/>
  <c r="O1345" i="2"/>
  <c r="L1346" i="2"/>
  <c r="M1346" i="2"/>
  <c r="N1346" i="2"/>
  <c r="O1346" i="2"/>
  <c r="L1347" i="2"/>
  <c r="M1347" i="2"/>
  <c r="N1347" i="2"/>
  <c r="O1347" i="2"/>
  <c r="L1348" i="2"/>
  <c r="M1348" i="2"/>
  <c r="N1348" i="2"/>
  <c r="O1348" i="2"/>
  <c r="L1349" i="2"/>
  <c r="M1349" i="2"/>
  <c r="N1349" i="2"/>
  <c r="O1349" i="2"/>
  <c r="L1350" i="2"/>
  <c r="M1350" i="2"/>
  <c r="N1350" i="2"/>
  <c r="O1350" i="2"/>
  <c r="L1351" i="2"/>
  <c r="M1351" i="2"/>
  <c r="N1351" i="2"/>
  <c r="O1351" i="2"/>
  <c r="L1352" i="2"/>
  <c r="M1352" i="2"/>
  <c r="N1352" i="2"/>
  <c r="O1352" i="2"/>
  <c r="L1353" i="2"/>
  <c r="M1353" i="2"/>
  <c r="N1353" i="2"/>
  <c r="O1353" i="2"/>
  <c r="L1354" i="2"/>
  <c r="M1354" i="2"/>
  <c r="N1354" i="2"/>
  <c r="O1354" i="2"/>
  <c r="L1355" i="2"/>
  <c r="M1355" i="2"/>
  <c r="N1355" i="2"/>
  <c r="O1355" i="2"/>
  <c r="L1356" i="2"/>
  <c r="M1356" i="2"/>
  <c r="N1356" i="2"/>
  <c r="O1356" i="2"/>
  <c r="L1357" i="2"/>
  <c r="M1357" i="2"/>
  <c r="N1357" i="2"/>
  <c r="O1357" i="2"/>
  <c r="L1358" i="2"/>
  <c r="M1358" i="2"/>
  <c r="N1358" i="2"/>
  <c r="O1358" i="2"/>
  <c r="L1359" i="2"/>
  <c r="M1359" i="2"/>
  <c r="N1359" i="2"/>
  <c r="O1359" i="2"/>
  <c r="L1360" i="2"/>
  <c r="M1360" i="2"/>
  <c r="N1360" i="2"/>
  <c r="O1360" i="2"/>
  <c r="L1361" i="2"/>
  <c r="M1361" i="2"/>
  <c r="N1361" i="2"/>
  <c r="O1361" i="2"/>
  <c r="L1362" i="2"/>
  <c r="M1362" i="2"/>
  <c r="N1362" i="2"/>
  <c r="O1362" i="2"/>
  <c r="L1363" i="2"/>
  <c r="M1363" i="2"/>
  <c r="N1363" i="2"/>
  <c r="O1363" i="2"/>
  <c r="L1364" i="2"/>
  <c r="M1364" i="2"/>
  <c r="N1364" i="2"/>
  <c r="O1364" i="2"/>
  <c r="L1365" i="2"/>
  <c r="M1365" i="2"/>
  <c r="N1365" i="2"/>
  <c r="O1365" i="2"/>
  <c r="L1366" i="2"/>
  <c r="M1366" i="2"/>
  <c r="N1366" i="2"/>
  <c r="O1366" i="2"/>
  <c r="L1367" i="2"/>
  <c r="M1367" i="2"/>
  <c r="N1367" i="2"/>
  <c r="O1367" i="2"/>
  <c r="L1368" i="2"/>
  <c r="M1368" i="2"/>
  <c r="N1368" i="2"/>
  <c r="O1368" i="2"/>
  <c r="L1369" i="2"/>
  <c r="M1369" i="2"/>
  <c r="N1369" i="2"/>
  <c r="O1369" i="2"/>
  <c r="L1370" i="2"/>
  <c r="M1370" i="2"/>
  <c r="N1370" i="2"/>
  <c r="O1370" i="2"/>
  <c r="L1371" i="2"/>
  <c r="M1371" i="2"/>
  <c r="N1371" i="2"/>
  <c r="O1371" i="2"/>
  <c r="L1372" i="2"/>
  <c r="M1372" i="2"/>
  <c r="N1372" i="2"/>
  <c r="O1372" i="2"/>
  <c r="L1373" i="2"/>
  <c r="M1373" i="2"/>
  <c r="N1373" i="2"/>
  <c r="O1373" i="2"/>
  <c r="L1374" i="2"/>
  <c r="M1374" i="2"/>
  <c r="N1374" i="2"/>
  <c r="O1374" i="2"/>
  <c r="L1375" i="2"/>
  <c r="M1375" i="2"/>
  <c r="N1375" i="2"/>
  <c r="O1375" i="2"/>
  <c r="L1376" i="2"/>
  <c r="M1376" i="2"/>
  <c r="N1376" i="2"/>
  <c r="O1376" i="2"/>
  <c r="L1377" i="2"/>
  <c r="M1377" i="2"/>
  <c r="N1377" i="2"/>
  <c r="O1377" i="2"/>
  <c r="L1378" i="2"/>
  <c r="M1378" i="2"/>
  <c r="N1378" i="2"/>
  <c r="O1378" i="2"/>
  <c r="L1379" i="2"/>
  <c r="M1379" i="2"/>
  <c r="N1379" i="2"/>
  <c r="O1379" i="2"/>
  <c r="L1380" i="2"/>
  <c r="M1380" i="2"/>
  <c r="N1380" i="2"/>
  <c r="O1380" i="2"/>
  <c r="L1381" i="2"/>
  <c r="M1381" i="2"/>
  <c r="N1381" i="2"/>
  <c r="O1381" i="2"/>
  <c r="L1382" i="2"/>
  <c r="M1382" i="2"/>
  <c r="N1382" i="2"/>
  <c r="O1382" i="2"/>
  <c r="L1383" i="2"/>
  <c r="M1383" i="2"/>
  <c r="N1383" i="2"/>
  <c r="O1383" i="2"/>
  <c r="L1384" i="2"/>
  <c r="M1384" i="2"/>
  <c r="N1384" i="2"/>
  <c r="O1384" i="2"/>
  <c r="L1385" i="2"/>
  <c r="M1385" i="2"/>
  <c r="N1385" i="2"/>
  <c r="O1385" i="2"/>
  <c r="L1386" i="2"/>
  <c r="M1386" i="2"/>
  <c r="N1386" i="2"/>
  <c r="O1386" i="2"/>
  <c r="L1387" i="2"/>
  <c r="M1387" i="2"/>
  <c r="N1387" i="2"/>
  <c r="O1387" i="2"/>
  <c r="L1388" i="2"/>
  <c r="M1388" i="2"/>
  <c r="N1388" i="2"/>
  <c r="O1388" i="2"/>
  <c r="L1389" i="2"/>
  <c r="M1389" i="2"/>
  <c r="N1389" i="2"/>
  <c r="O1389" i="2"/>
  <c r="L1390" i="2"/>
  <c r="M1390" i="2"/>
  <c r="N1390" i="2"/>
  <c r="O1390" i="2"/>
  <c r="L1391" i="2"/>
  <c r="M1391" i="2"/>
  <c r="N1391" i="2"/>
  <c r="O1391" i="2"/>
  <c r="L1392" i="2"/>
  <c r="M1392" i="2"/>
  <c r="N1392" i="2"/>
  <c r="O1392" i="2"/>
  <c r="L1393" i="2"/>
  <c r="M1393" i="2"/>
  <c r="N1393" i="2"/>
  <c r="O1393" i="2"/>
  <c r="L1394" i="2"/>
  <c r="M1394" i="2"/>
  <c r="N1394" i="2"/>
  <c r="O1394" i="2"/>
  <c r="L1395" i="2"/>
  <c r="M1395" i="2"/>
  <c r="N1395" i="2"/>
  <c r="O1395" i="2"/>
  <c r="L1396" i="2"/>
  <c r="M1396" i="2"/>
  <c r="N1396" i="2"/>
  <c r="O1396" i="2"/>
  <c r="L1397" i="2"/>
  <c r="M1397" i="2"/>
  <c r="N1397" i="2"/>
  <c r="O1397" i="2"/>
  <c r="L1398" i="2"/>
  <c r="M1398" i="2"/>
  <c r="N1398" i="2"/>
  <c r="O1398" i="2"/>
  <c r="L1399" i="2"/>
  <c r="M1399" i="2"/>
  <c r="N1399" i="2"/>
  <c r="O1399" i="2"/>
  <c r="L1400" i="2"/>
  <c r="M1400" i="2"/>
  <c r="N1400" i="2"/>
  <c r="O1400" i="2"/>
  <c r="L1401" i="2"/>
  <c r="M1401" i="2"/>
  <c r="N1401" i="2"/>
  <c r="O1401" i="2"/>
  <c r="L1402" i="2"/>
  <c r="M1402" i="2"/>
  <c r="N1402" i="2"/>
  <c r="O1402" i="2"/>
  <c r="L1403" i="2"/>
  <c r="M1403" i="2"/>
  <c r="N1403" i="2"/>
  <c r="O1403" i="2"/>
  <c r="L1404" i="2"/>
  <c r="M1404" i="2"/>
  <c r="N1404" i="2"/>
  <c r="O1404" i="2"/>
  <c r="L1405" i="2"/>
  <c r="M1405" i="2"/>
  <c r="N1405" i="2"/>
  <c r="O1405" i="2"/>
  <c r="L1406" i="2"/>
  <c r="M1406" i="2"/>
  <c r="N1406" i="2"/>
  <c r="O1406" i="2"/>
  <c r="L1407" i="2"/>
  <c r="M1407" i="2"/>
  <c r="N1407" i="2"/>
  <c r="O1407" i="2"/>
  <c r="L1408" i="2"/>
  <c r="M1408" i="2"/>
  <c r="N1408" i="2"/>
  <c r="O1408" i="2"/>
  <c r="L1409" i="2"/>
  <c r="M1409" i="2"/>
  <c r="N1409" i="2"/>
  <c r="O1409" i="2"/>
  <c r="L1410" i="2"/>
  <c r="M1410" i="2"/>
  <c r="N1410" i="2"/>
  <c r="O1410" i="2"/>
  <c r="L1411" i="2"/>
  <c r="M1411" i="2"/>
  <c r="N1411" i="2"/>
  <c r="O1411" i="2"/>
  <c r="L1412" i="2"/>
  <c r="M1412" i="2"/>
  <c r="N1412" i="2"/>
  <c r="O1412" i="2"/>
  <c r="L1413" i="2"/>
  <c r="M1413" i="2"/>
  <c r="N1413" i="2"/>
  <c r="O1413" i="2"/>
  <c r="L1414" i="2"/>
  <c r="M1414" i="2"/>
  <c r="N1414" i="2"/>
  <c r="O1414" i="2"/>
  <c r="L1415" i="2"/>
  <c r="M1415" i="2"/>
  <c r="N1415" i="2"/>
  <c r="O1415" i="2"/>
  <c r="L1416" i="2"/>
  <c r="M1416" i="2"/>
  <c r="N1416" i="2"/>
  <c r="O1416" i="2"/>
  <c r="L1417" i="2"/>
  <c r="M1417" i="2"/>
  <c r="N1417" i="2"/>
  <c r="O1417" i="2"/>
  <c r="L1418" i="2"/>
  <c r="M1418" i="2"/>
  <c r="N1418" i="2"/>
  <c r="O1418" i="2"/>
  <c r="L1419" i="2"/>
  <c r="M1419" i="2"/>
  <c r="N1419" i="2"/>
  <c r="O1419" i="2"/>
  <c r="L1420" i="2"/>
  <c r="M1420" i="2"/>
  <c r="N1420" i="2"/>
  <c r="O1420" i="2"/>
  <c r="L1421" i="2"/>
  <c r="M1421" i="2"/>
  <c r="N1421" i="2"/>
  <c r="O1421" i="2"/>
  <c r="L1422" i="2"/>
  <c r="M1422" i="2"/>
  <c r="N1422" i="2"/>
  <c r="O1422" i="2"/>
  <c r="L1423" i="2"/>
  <c r="M1423" i="2"/>
  <c r="N1423" i="2"/>
  <c r="O1423" i="2"/>
  <c r="L1424" i="2"/>
  <c r="M1424" i="2"/>
  <c r="N1424" i="2"/>
  <c r="O1424" i="2"/>
  <c r="L1425" i="2"/>
  <c r="M1425" i="2"/>
  <c r="N1425" i="2"/>
  <c r="O1425" i="2"/>
  <c r="L1426" i="2"/>
  <c r="M1426" i="2"/>
  <c r="N1426" i="2"/>
  <c r="O1426" i="2"/>
  <c r="L1427" i="2"/>
  <c r="M1427" i="2"/>
  <c r="N1427" i="2"/>
  <c r="O1427" i="2"/>
  <c r="L1428" i="2"/>
  <c r="M1428" i="2"/>
  <c r="N1428" i="2"/>
  <c r="O1428" i="2"/>
  <c r="L1429" i="2"/>
  <c r="M1429" i="2"/>
  <c r="N1429" i="2"/>
  <c r="O1429" i="2"/>
  <c r="L1430" i="2"/>
  <c r="M1430" i="2"/>
  <c r="N1430" i="2"/>
  <c r="O1430" i="2"/>
  <c r="L1431" i="2"/>
  <c r="M1431" i="2"/>
  <c r="N1431" i="2"/>
  <c r="O1431" i="2"/>
  <c r="L1432" i="2"/>
  <c r="M1432" i="2"/>
  <c r="N1432" i="2"/>
  <c r="O1432" i="2"/>
  <c r="L1433" i="2"/>
  <c r="M1433" i="2"/>
  <c r="N1433" i="2"/>
  <c r="O1433" i="2"/>
  <c r="L1434" i="2"/>
  <c r="M1434" i="2"/>
  <c r="N1434" i="2"/>
  <c r="O1434" i="2"/>
  <c r="L1435" i="2"/>
  <c r="M1435" i="2"/>
  <c r="N1435" i="2"/>
  <c r="O1435" i="2"/>
  <c r="L1436" i="2"/>
  <c r="M1436" i="2"/>
  <c r="N1436" i="2"/>
  <c r="O1436" i="2"/>
  <c r="L1437" i="2"/>
  <c r="M1437" i="2"/>
  <c r="N1437" i="2"/>
  <c r="O1437" i="2"/>
  <c r="L1438" i="2"/>
  <c r="M1438" i="2"/>
  <c r="N1438" i="2"/>
  <c r="O1438" i="2"/>
  <c r="L1439" i="2"/>
  <c r="M1439" i="2"/>
  <c r="N1439" i="2"/>
  <c r="O1439" i="2"/>
  <c r="L1440" i="2"/>
  <c r="M1440" i="2"/>
  <c r="N1440" i="2"/>
  <c r="O1440" i="2"/>
  <c r="L1441" i="2"/>
  <c r="M1441" i="2"/>
  <c r="N1441" i="2"/>
  <c r="O1441" i="2"/>
  <c r="L1442" i="2"/>
  <c r="M1442" i="2"/>
  <c r="N1442" i="2"/>
  <c r="O1442" i="2"/>
  <c r="L1443" i="2"/>
  <c r="M1443" i="2"/>
  <c r="N1443" i="2"/>
  <c r="O1443" i="2"/>
  <c r="L1444" i="2"/>
  <c r="M1444" i="2"/>
  <c r="N1444" i="2"/>
  <c r="O1444" i="2"/>
  <c r="L1445" i="2"/>
  <c r="M1445" i="2"/>
  <c r="N1445" i="2"/>
  <c r="O1445" i="2"/>
  <c r="L1446" i="2"/>
  <c r="M1446" i="2"/>
  <c r="N1446" i="2"/>
  <c r="O1446" i="2"/>
  <c r="L1447" i="2"/>
  <c r="M1447" i="2"/>
  <c r="N1447" i="2"/>
  <c r="O1447" i="2"/>
  <c r="L1448" i="2"/>
  <c r="M1448" i="2"/>
  <c r="N1448" i="2"/>
  <c r="O1448" i="2"/>
  <c r="L1449" i="2"/>
  <c r="M1449" i="2"/>
  <c r="N1449" i="2"/>
  <c r="O1449" i="2"/>
  <c r="L1450" i="2"/>
  <c r="M1450" i="2"/>
  <c r="N1450" i="2"/>
  <c r="O1450" i="2"/>
  <c r="L1451" i="2"/>
  <c r="M1451" i="2"/>
  <c r="N1451" i="2"/>
  <c r="O1451" i="2"/>
  <c r="L1452" i="2"/>
  <c r="M1452" i="2"/>
  <c r="N1452" i="2"/>
  <c r="O1452" i="2"/>
  <c r="L1453" i="2"/>
  <c r="M1453" i="2"/>
  <c r="N1453" i="2"/>
  <c r="O1453" i="2"/>
  <c r="L1454" i="2"/>
  <c r="M1454" i="2"/>
  <c r="N1454" i="2"/>
  <c r="O1454" i="2"/>
  <c r="L1455" i="2"/>
  <c r="M1455" i="2"/>
  <c r="N1455" i="2"/>
  <c r="O1455" i="2"/>
  <c r="L1456" i="2"/>
  <c r="M1456" i="2"/>
  <c r="N1456" i="2"/>
  <c r="O1456" i="2"/>
  <c r="L1457" i="2"/>
  <c r="M1457" i="2"/>
  <c r="N1457" i="2"/>
  <c r="O1457" i="2"/>
  <c r="L1458" i="2"/>
  <c r="M1458" i="2"/>
  <c r="N1458" i="2"/>
  <c r="O1458" i="2"/>
  <c r="L1459" i="2"/>
  <c r="M1459" i="2"/>
  <c r="N1459" i="2"/>
  <c r="O1459" i="2"/>
  <c r="L1460" i="2"/>
  <c r="M1460" i="2"/>
  <c r="N1460" i="2"/>
  <c r="O1460" i="2"/>
  <c r="L1461" i="2"/>
  <c r="M1461" i="2"/>
  <c r="N1461" i="2"/>
  <c r="O1461" i="2"/>
  <c r="L1462" i="2"/>
  <c r="M1462" i="2"/>
  <c r="N1462" i="2"/>
  <c r="O1462" i="2"/>
  <c r="L1463" i="2"/>
  <c r="M1463" i="2"/>
  <c r="N1463" i="2"/>
  <c r="O1463" i="2"/>
  <c r="L1464" i="2"/>
  <c r="M1464" i="2"/>
  <c r="N1464" i="2"/>
  <c r="O1464" i="2"/>
  <c r="L1465" i="2"/>
  <c r="M1465" i="2"/>
  <c r="N1465" i="2"/>
  <c r="O1465" i="2"/>
  <c r="L1466" i="2"/>
  <c r="M1466" i="2"/>
  <c r="N1466" i="2"/>
  <c r="O1466" i="2"/>
  <c r="L1467" i="2"/>
  <c r="M1467" i="2"/>
  <c r="N1467" i="2"/>
  <c r="O1467" i="2"/>
  <c r="L1468" i="2"/>
  <c r="M1468" i="2"/>
  <c r="N1468" i="2"/>
  <c r="O1468" i="2"/>
  <c r="L1469" i="2"/>
  <c r="M1469" i="2"/>
  <c r="N1469" i="2"/>
  <c r="O1469" i="2"/>
  <c r="L1470" i="2"/>
  <c r="M1470" i="2"/>
  <c r="N1470" i="2"/>
  <c r="O1470" i="2"/>
  <c r="L1471" i="2"/>
  <c r="M1471" i="2"/>
  <c r="N1471" i="2"/>
  <c r="O1471" i="2"/>
  <c r="L1472" i="2"/>
  <c r="M1472" i="2"/>
  <c r="N1472" i="2"/>
  <c r="O1472" i="2"/>
  <c r="L1473" i="2"/>
  <c r="M1473" i="2"/>
  <c r="N1473" i="2"/>
  <c r="O1473" i="2"/>
  <c r="L1474" i="2"/>
  <c r="M1474" i="2"/>
  <c r="N1474" i="2"/>
  <c r="O1474" i="2"/>
  <c r="L1475" i="2"/>
  <c r="M1475" i="2"/>
  <c r="N1475" i="2"/>
  <c r="O1475" i="2"/>
  <c r="L1476" i="2"/>
  <c r="M1476" i="2"/>
  <c r="N1476" i="2"/>
  <c r="O1476" i="2"/>
  <c r="L1477" i="2"/>
  <c r="M1477" i="2"/>
  <c r="N1477" i="2"/>
  <c r="O1477" i="2"/>
  <c r="L1478" i="2"/>
  <c r="M1478" i="2"/>
  <c r="N1478" i="2"/>
  <c r="O1478" i="2"/>
  <c r="L1479" i="2"/>
  <c r="M1479" i="2"/>
  <c r="N1479" i="2"/>
  <c r="O1479" i="2"/>
  <c r="L1480" i="2"/>
  <c r="M1480" i="2"/>
  <c r="N1480" i="2"/>
  <c r="O1480" i="2"/>
  <c r="L1481" i="2"/>
  <c r="M1481" i="2"/>
  <c r="N1481" i="2"/>
  <c r="O1481" i="2"/>
  <c r="L1482" i="2"/>
  <c r="M1482" i="2"/>
  <c r="N1482" i="2"/>
  <c r="O1482" i="2"/>
  <c r="L1483" i="2"/>
  <c r="M1483" i="2"/>
  <c r="N1483" i="2"/>
  <c r="O1483" i="2"/>
  <c r="L1484" i="2"/>
  <c r="M1484" i="2"/>
  <c r="N1484" i="2"/>
  <c r="O1484" i="2"/>
  <c r="L1485" i="2"/>
  <c r="M1485" i="2"/>
  <c r="N1485" i="2"/>
  <c r="O1485" i="2"/>
  <c r="L1486" i="2"/>
  <c r="M1486" i="2"/>
  <c r="N1486" i="2"/>
  <c r="O1486" i="2"/>
  <c r="L1487" i="2"/>
  <c r="M1487" i="2"/>
  <c r="N1487" i="2"/>
  <c r="O1487" i="2"/>
  <c r="L1488" i="2"/>
  <c r="M1488" i="2"/>
  <c r="N1488" i="2"/>
  <c r="O1488" i="2"/>
  <c r="L1489" i="2"/>
  <c r="M1489" i="2"/>
  <c r="N1489" i="2"/>
  <c r="O1489" i="2"/>
  <c r="L1490" i="2"/>
  <c r="M1490" i="2"/>
  <c r="N1490" i="2"/>
  <c r="O1490" i="2"/>
  <c r="L1491" i="2"/>
  <c r="M1491" i="2"/>
  <c r="N1491" i="2"/>
  <c r="O1491" i="2"/>
  <c r="L1492" i="2"/>
  <c r="M1492" i="2"/>
  <c r="N1492" i="2"/>
  <c r="O1492" i="2"/>
  <c r="L1493" i="2"/>
  <c r="M1493" i="2"/>
  <c r="N1493" i="2"/>
  <c r="O1493" i="2"/>
  <c r="L1494" i="2"/>
  <c r="M1494" i="2"/>
  <c r="N1494" i="2"/>
  <c r="O1494" i="2"/>
  <c r="L1495" i="2"/>
  <c r="M1495" i="2"/>
  <c r="N1495" i="2"/>
  <c r="O1495" i="2"/>
  <c r="L1496" i="2"/>
  <c r="M1496" i="2"/>
  <c r="N1496" i="2"/>
  <c r="O1496" i="2"/>
  <c r="L1497" i="2"/>
  <c r="M1497" i="2"/>
  <c r="N1497" i="2"/>
  <c r="O1497" i="2"/>
  <c r="L1498" i="2"/>
  <c r="M1498" i="2"/>
  <c r="N1498" i="2"/>
  <c r="O1498" i="2"/>
  <c r="L1499" i="2"/>
  <c r="M1499" i="2"/>
  <c r="N1499" i="2"/>
  <c r="O1499" i="2"/>
  <c r="L1500" i="2"/>
  <c r="M1500" i="2"/>
  <c r="N1500" i="2"/>
  <c r="O1500" i="2"/>
  <c r="L1501" i="2"/>
  <c r="M1501" i="2"/>
  <c r="N1501" i="2"/>
  <c r="O1501" i="2"/>
  <c r="L1502" i="2"/>
  <c r="M1502" i="2"/>
  <c r="N1502" i="2"/>
  <c r="O1502" i="2"/>
  <c r="L1503" i="2"/>
  <c r="M1503" i="2"/>
  <c r="N1503" i="2"/>
  <c r="O1503" i="2"/>
  <c r="L1504" i="2"/>
  <c r="M1504" i="2"/>
  <c r="N1504" i="2"/>
  <c r="O1504" i="2"/>
  <c r="L1505" i="2"/>
  <c r="M1505" i="2"/>
  <c r="N1505" i="2"/>
  <c r="O1505" i="2"/>
  <c r="L1506" i="2"/>
  <c r="M1506" i="2"/>
  <c r="N1506" i="2"/>
  <c r="O1506" i="2"/>
  <c r="L1507" i="2"/>
  <c r="M1507" i="2"/>
  <c r="N1507" i="2"/>
  <c r="O1507" i="2"/>
  <c r="L1508" i="2"/>
  <c r="M1508" i="2"/>
  <c r="N1508" i="2"/>
  <c r="O1508" i="2"/>
  <c r="L1509" i="2"/>
  <c r="M1509" i="2"/>
  <c r="N1509" i="2"/>
  <c r="O1509" i="2"/>
  <c r="L1510" i="2"/>
  <c r="M1510" i="2"/>
  <c r="N1510" i="2"/>
  <c r="O1510" i="2"/>
  <c r="L1511" i="2"/>
  <c r="M1511" i="2"/>
  <c r="N1511" i="2"/>
  <c r="O1511" i="2"/>
  <c r="L1512" i="2"/>
  <c r="M1512" i="2"/>
  <c r="N1512" i="2"/>
  <c r="O1512" i="2"/>
  <c r="L1513" i="2"/>
  <c r="M1513" i="2"/>
  <c r="N1513" i="2"/>
  <c r="O1513" i="2"/>
  <c r="L1514" i="2"/>
  <c r="M1514" i="2"/>
  <c r="N1514" i="2"/>
  <c r="O1514" i="2"/>
  <c r="L1515" i="2"/>
  <c r="M1515" i="2"/>
  <c r="N1515" i="2"/>
  <c r="O1515" i="2"/>
  <c r="L1516" i="2"/>
  <c r="M1516" i="2"/>
  <c r="N1516" i="2"/>
  <c r="O1516" i="2"/>
  <c r="L1517" i="2"/>
  <c r="M1517" i="2"/>
  <c r="N1517" i="2"/>
  <c r="O1517" i="2"/>
  <c r="L1518" i="2"/>
  <c r="M1518" i="2"/>
  <c r="N1518" i="2"/>
  <c r="O1518" i="2"/>
  <c r="L1519" i="2"/>
  <c r="M1519" i="2"/>
  <c r="N1519" i="2"/>
  <c r="O1519" i="2"/>
  <c r="L1520" i="2"/>
  <c r="M1520" i="2"/>
  <c r="N1520" i="2"/>
  <c r="O1520" i="2"/>
  <c r="L1521" i="2"/>
  <c r="M1521" i="2"/>
  <c r="N1521" i="2"/>
  <c r="O1521" i="2"/>
  <c r="L1522" i="2"/>
  <c r="M1522" i="2"/>
  <c r="N1522" i="2"/>
  <c r="O1522" i="2"/>
  <c r="L1523" i="2"/>
  <c r="M1523" i="2"/>
  <c r="N1523" i="2"/>
  <c r="O1523" i="2"/>
  <c r="L1524" i="2"/>
  <c r="M1524" i="2"/>
  <c r="N1524" i="2"/>
  <c r="O1524" i="2"/>
  <c r="L1525" i="2"/>
  <c r="M1525" i="2"/>
  <c r="N1525" i="2"/>
  <c r="O1525" i="2"/>
  <c r="L1526" i="2"/>
  <c r="M1526" i="2"/>
  <c r="N1526" i="2"/>
  <c r="O1526" i="2"/>
  <c r="L1527" i="2"/>
  <c r="M1527" i="2"/>
  <c r="N1527" i="2"/>
  <c r="O1527" i="2"/>
  <c r="L1528" i="2"/>
  <c r="M1528" i="2"/>
  <c r="N1528" i="2"/>
  <c r="O1528" i="2"/>
  <c r="L1529" i="2"/>
  <c r="M1529" i="2"/>
  <c r="N1529" i="2"/>
  <c r="O1529" i="2"/>
  <c r="L1530" i="2"/>
  <c r="M1530" i="2"/>
  <c r="N1530" i="2"/>
  <c r="O1530" i="2"/>
  <c r="L1531" i="2"/>
  <c r="M1531" i="2"/>
  <c r="N1531" i="2"/>
  <c r="O1531" i="2"/>
  <c r="L1532" i="2"/>
  <c r="M1532" i="2"/>
  <c r="N1532" i="2"/>
  <c r="O1532" i="2"/>
  <c r="L1533" i="2"/>
  <c r="M1533" i="2"/>
  <c r="N1533" i="2"/>
  <c r="O1533" i="2"/>
  <c r="L1534" i="2"/>
  <c r="M1534" i="2"/>
  <c r="N1534" i="2"/>
  <c r="O1534" i="2"/>
  <c r="L1535" i="2"/>
  <c r="M1535" i="2"/>
  <c r="N1535" i="2"/>
  <c r="O1535" i="2"/>
  <c r="L1536" i="2"/>
  <c r="M1536" i="2"/>
  <c r="N1536" i="2"/>
  <c r="O1536" i="2"/>
  <c r="L1537" i="2"/>
  <c r="M1537" i="2"/>
  <c r="N1537" i="2"/>
  <c r="O1537" i="2"/>
  <c r="L1538" i="2"/>
  <c r="M1538" i="2"/>
  <c r="N1538" i="2"/>
  <c r="O1538" i="2"/>
  <c r="L1539" i="2"/>
  <c r="M1539" i="2"/>
  <c r="N1539" i="2"/>
  <c r="O1539" i="2"/>
  <c r="L1540" i="2"/>
  <c r="M1540" i="2"/>
  <c r="N1540" i="2"/>
  <c r="O1540" i="2"/>
  <c r="L1541" i="2"/>
  <c r="M1541" i="2"/>
  <c r="N1541" i="2"/>
  <c r="O1541" i="2"/>
  <c r="L1542" i="2"/>
  <c r="M1542" i="2"/>
  <c r="N1542" i="2"/>
  <c r="O1542" i="2"/>
  <c r="L1543" i="2"/>
  <c r="M1543" i="2"/>
  <c r="N1543" i="2"/>
  <c r="O1543" i="2"/>
  <c r="L1544" i="2"/>
  <c r="M1544" i="2"/>
  <c r="N1544" i="2"/>
  <c r="O1544" i="2"/>
  <c r="L1545" i="2"/>
  <c r="M1545" i="2"/>
  <c r="N1545" i="2"/>
  <c r="O1545" i="2"/>
  <c r="L1546" i="2"/>
  <c r="M1546" i="2"/>
  <c r="N1546" i="2"/>
  <c r="O1546" i="2"/>
  <c r="L1547" i="2"/>
  <c r="M1547" i="2"/>
  <c r="N1547" i="2"/>
  <c r="O1547" i="2"/>
  <c r="L1548" i="2"/>
  <c r="M1548" i="2"/>
  <c r="N1548" i="2"/>
  <c r="O1548" i="2"/>
  <c r="L1549" i="2"/>
  <c r="M1549" i="2"/>
  <c r="N1549" i="2"/>
  <c r="O1549" i="2"/>
  <c r="L1550" i="2"/>
  <c r="M1550" i="2"/>
  <c r="N1550" i="2"/>
  <c r="O1550" i="2"/>
  <c r="L1551" i="2"/>
  <c r="M1551" i="2"/>
  <c r="N1551" i="2"/>
  <c r="O1551" i="2"/>
  <c r="L1552" i="2"/>
  <c r="M1552" i="2"/>
  <c r="N1552" i="2"/>
  <c r="O1552" i="2"/>
  <c r="L1553" i="2"/>
  <c r="M1553" i="2"/>
  <c r="N1553" i="2"/>
  <c r="O1553" i="2"/>
  <c r="L1554" i="2"/>
  <c r="M1554" i="2"/>
  <c r="N1554" i="2"/>
  <c r="O1554" i="2"/>
  <c r="L1555" i="2"/>
  <c r="M1555" i="2"/>
  <c r="N1555" i="2"/>
  <c r="O1555" i="2"/>
  <c r="L1556" i="2"/>
  <c r="M1556" i="2"/>
  <c r="N1556" i="2"/>
  <c r="O1556" i="2"/>
  <c r="L1557" i="2"/>
  <c r="M1557" i="2"/>
  <c r="N1557" i="2"/>
  <c r="O1557" i="2"/>
  <c r="L1558" i="2"/>
  <c r="M1558" i="2"/>
  <c r="N1558" i="2"/>
  <c r="O1558" i="2"/>
  <c r="L1559" i="2"/>
  <c r="M1559" i="2"/>
  <c r="N1559" i="2"/>
  <c r="O1559" i="2"/>
  <c r="L1560" i="2"/>
  <c r="M1560" i="2"/>
  <c r="N1560" i="2"/>
  <c r="O1560" i="2"/>
  <c r="L1561" i="2"/>
  <c r="M1561" i="2"/>
  <c r="N1561" i="2"/>
  <c r="O1561" i="2"/>
  <c r="L1562" i="2"/>
  <c r="M1562" i="2"/>
  <c r="N1562" i="2"/>
  <c r="O1562" i="2"/>
  <c r="L1563" i="2"/>
  <c r="M1563" i="2"/>
  <c r="N1563" i="2"/>
  <c r="O1563" i="2"/>
  <c r="L1564" i="2"/>
  <c r="M1564" i="2"/>
  <c r="N1564" i="2"/>
  <c r="O1564" i="2"/>
  <c r="L1565" i="2"/>
  <c r="M1565" i="2"/>
  <c r="N1565" i="2"/>
  <c r="O1565" i="2"/>
  <c r="L1566" i="2"/>
  <c r="M1566" i="2"/>
  <c r="N1566" i="2"/>
  <c r="O1566" i="2"/>
  <c r="L1567" i="2"/>
  <c r="M1567" i="2"/>
  <c r="N1567" i="2"/>
  <c r="O1567" i="2"/>
  <c r="L1568" i="2"/>
  <c r="M1568" i="2"/>
  <c r="N1568" i="2"/>
  <c r="O1568" i="2"/>
  <c r="L1569" i="2"/>
  <c r="M1569" i="2"/>
  <c r="N1569" i="2"/>
  <c r="O1569" i="2"/>
  <c r="L1570" i="2"/>
  <c r="M1570" i="2"/>
  <c r="N1570" i="2"/>
  <c r="O1570" i="2"/>
  <c r="L1571" i="2"/>
  <c r="M1571" i="2"/>
  <c r="N1571" i="2"/>
  <c r="O1571" i="2"/>
  <c r="L1572" i="2"/>
  <c r="M1572" i="2"/>
  <c r="N1572" i="2"/>
  <c r="O1572" i="2"/>
  <c r="L1573" i="2"/>
  <c r="M1573" i="2"/>
  <c r="N1573" i="2"/>
  <c r="O1573" i="2"/>
  <c r="L1574" i="2"/>
  <c r="M1574" i="2"/>
  <c r="N1574" i="2"/>
  <c r="O1574" i="2"/>
  <c r="L1575" i="2"/>
  <c r="M1575" i="2"/>
  <c r="N1575" i="2"/>
  <c r="O1575" i="2"/>
  <c r="L1576" i="2"/>
  <c r="M1576" i="2"/>
  <c r="N1576" i="2"/>
  <c r="O1576" i="2"/>
  <c r="L1577" i="2"/>
  <c r="M1577" i="2"/>
  <c r="N1577" i="2"/>
  <c r="O1577" i="2"/>
  <c r="L1578" i="2"/>
  <c r="M1578" i="2"/>
  <c r="N1578" i="2"/>
  <c r="O1578" i="2"/>
  <c r="L1579" i="2"/>
  <c r="M1579" i="2"/>
  <c r="N1579" i="2"/>
  <c r="O1579" i="2"/>
  <c r="L1580" i="2"/>
  <c r="M1580" i="2"/>
  <c r="N1580" i="2"/>
  <c r="O1580" i="2"/>
  <c r="L1581" i="2"/>
  <c r="M1581" i="2"/>
  <c r="N1581" i="2"/>
  <c r="O1581" i="2"/>
  <c r="L1582" i="2"/>
  <c r="M1582" i="2"/>
  <c r="N1582" i="2"/>
  <c r="O1582" i="2"/>
  <c r="L1583" i="2"/>
  <c r="M1583" i="2"/>
  <c r="N1583" i="2"/>
  <c r="O1583" i="2"/>
  <c r="L1584" i="2"/>
  <c r="M1584" i="2"/>
  <c r="N1584" i="2"/>
  <c r="O1584" i="2"/>
  <c r="L1585" i="2"/>
  <c r="M1585" i="2"/>
  <c r="N1585" i="2"/>
  <c r="O1585" i="2"/>
  <c r="L1586" i="2"/>
  <c r="M1586" i="2"/>
  <c r="N1586" i="2"/>
  <c r="O1586" i="2"/>
  <c r="L1587" i="2"/>
  <c r="M1587" i="2"/>
  <c r="N1587" i="2"/>
  <c r="O1587" i="2"/>
  <c r="L1588" i="2"/>
  <c r="M1588" i="2"/>
  <c r="N1588" i="2"/>
  <c r="O1588" i="2"/>
  <c r="L1589" i="2"/>
  <c r="M1589" i="2"/>
  <c r="N1589" i="2"/>
  <c r="O1589" i="2"/>
  <c r="L1590" i="2"/>
  <c r="M1590" i="2"/>
  <c r="N1590" i="2"/>
  <c r="O1590" i="2"/>
  <c r="L1591" i="2"/>
  <c r="M1591" i="2"/>
  <c r="N1591" i="2"/>
  <c r="O1591" i="2"/>
  <c r="L1592" i="2"/>
  <c r="M1592" i="2"/>
  <c r="N1592" i="2"/>
  <c r="O1592" i="2"/>
  <c r="L1593" i="2"/>
  <c r="M1593" i="2"/>
  <c r="N1593" i="2"/>
  <c r="O1593" i="2"/>
  <c r="L1594" i="2"/>
  <c r="M1594" i="2"/>
  <c r="N1594" i="2"/>
  <c r="O1594" i="2"/>
  <c r="L1595" i="2"/>
  <c r="M1595" i="2"/>
  <c r="N1595" i="2"/>
  <c r="O1595" i="2"/>
  <c r="L1596" i="2"/>
  <c r="M1596" i="2"/>
  <c r="N1596" i="2"/>
  <c r="O1596" i="2"/>
  <c r="L1597" i="2"/>
  <c r="M1597" i="2"/>
  <c r="N1597" i="2"/>
  <c r="O1597" i="2"/>
  <c r="L1598" i="2"/>
  <c r="M1598" i="2"/>
  <c r="N1598" i="2"/>
  <c r="O1598" i="2"/>
  <c r="L1599" i="2"/>
  <c r="M1599" i="2"/>
  <c r="N1599" i="2"/>
  <c r="O1599" i="2"/>
  <c r="L1600" i="2"/>
  <c r="M1600" i="2"/>
  <c r="N1600" i="2"/>
  <c r="O1600" i="2"/>
  <c r="L1601" i="2"/>
  <c r="M1601" i="2"/>
  <c r="N1601" i="2"/>
  <c r="O1601" i="2"/>
  <c r="L1602" i="2"/>
  <c r="M1602" i="2"/>
  <c r="N1602" i="2"/>
  <c r="O1602" i="2"/>
  <c r="L1603" i="2"/>
  <c r="M1603" i="2"/>
  <c r="N1603" i="2"/>
  <c r="O1603" i="2"/>
  <c r="L1604" i="2"/>
  <c r="M1604" i="2"/>
  <c r="N1604" i="2"/>
  <c r="O1604" i="2"/>
  <c r="L1605" i="2"/>
  <c r="M1605" i="2"/>
  <c r="N1605" i="2"/>
  <c r="O1605" i="2"/>
  <c r="L1606" i="2"/>
  <c r="M1606" i="2"/>
  <c r="N1606" i="2"/>
  <c r="O1606" i="2"/>
  <c r="L1607" i="2"/>
  <c r="M1607" i="2"/>
  <c r="N1607" i="2"/>
  <c r="O1607" i="2"/>
  <c r="L1608" i="2"/>
  <c r="M1608" i="2"/>
  <c r="N1608" i="2"/>
  <c r="O1608" i="2"/>
  <c r="L1609" i="2"/>
  <c r="M1609" i="2"/>
  <c r="N1609" i="2"/>
  <c r="O1609" i="2"/>
  <c r="L1610" i="2"/>
  <c r="M1610" i="2"/>
  <c r="N1610" i="2"/>
  <c r="O1610" i="2"/>
  <c r="L1611" i="2"/>
  <c r="M1611" i="2"/>
  <c r="N1611" i="2"/>
  <c r="O1611" i="2"/>
  <c r="L1612" i="2"/>
  <c r="M1612" i="2"/>
  <c r="N1612" i="2"/>
  <c r="O1612" i="2"/>
  <c r="L1613" i="2"/>
  <c r="M1613" i="2"/>
  <c r="N1613" i="2"/>
  <c r="O1613" i="2"/>
  <c r="L1614" i="2"/>
  <c r="M1614" i="2"/>
  <c r="N1614" i="2"/>
  <c r="O1614" i="2"/>
  <c r="L1615" i="2"/>
  <c r="M1615" i="2"/>
  <c r="N1615" i="2"/>
  <c r="O1615" i="2"/>
  <c r="L1616" i="2"/>
  <c r="M1616" i="2"/>
  <c r="N1616" i="2"/>
  <c r="O1616" i="2"/>
  <c r="L1617" i="2"/>
  <c r="M1617" i="2"/>
  <c r="N1617" i="2"/>
  <c r="O1617" i="2"/>
  <c r="L1618" i="2"/>
  <c r="M1618" i="2"/>
  <c r="N1618" i="2"/>
  <c r="O1618" i="2"/>
  <c r="L1619" i="2"/>
  <c r="M1619" i="2"/>
  <c r="N1619" i="2"/>
  <c r="O1619" i="2"/>
  <c r="L1620" i="2"/>
  <c r="M1620" i="2"/>
  <c r="N1620" i="2"/>
  <c r="O1620" i="2"/>
  <c r="L1621" i="2"/>
  <c r="M1621" i="2"/>
  <c r="N1621" i="2"/>
  <c r="O1621" i="2"/>
  <c r="L1622" i="2"/>
  <c r="M1622" i="2"/>
  <c r="N1622" i="2"/>
  <c r="O1622" i="2"/>
  <c r="L1623" i="2"/>
  <c r="M1623" i="2"/>
  <c r="N1623" i="2"/>
  <c r="O1623" i="2"/>
  <c r="L1624" i="2"/>
  <c r="M1624" i="2"/>
  <c r="N1624" i="2"/>
  <c r="O1624" i="2"/>
  <c r="L1625" i="2"/>
  <c r="M1625" i="2"/>
  <c r="N1625" i="2"/>
  <c r="O1625" i="2"/>
  <c r="L1626" i="2"/>
  <c r="M1626" i="2"/>
  <c r="N1626" i="2"/>
  <c r="O1626" i="2"/>
  <c r="L1627" i="2"/>
  <c r="M1627" i="2"/>
  <c r="N1627" i="2"/>
  <c r="O1627" i="2"/>
  <c r="L1628" i="2"/>
  <c r="M1628" i="2"/>
  <c r="N1628" i="2"/>
  <c r="O1628" i="2"/>
  <c r="L1629" i="2"/>
  <c r="M1629" i="2"/>
  <c r="N1629" i="2"/>
  <c r="O1629" i="2"/>
  <c r="L1630" i="2"/>
  <c r="M1630" i="2"/>
  <c r="N1630" i="2"/>
  <c r="O1630" i="2"/>
  <c r="L1631" i="2"/>
  <c r="M1631" i="2"/>
  <c r="N1631" i="2"/>
  <c r="O1631" i="2"/>
  <c r="L1632" i="2"/>
  <c r="M1632" i="2"/>
  <c r="N1632" i="2"/>
  <c r="O1632" i="2"/>
  <c r="L1633" i="2"/>
  <c r="M1633" i="2"/>
  <c r="N1633" i="2"/>
  <c r="O1633" i="2"/>
  <c r="L1634" i="2"/>
  <c r="M1634" i="2"/>
  <c r="N1634" i="2"/>
  <c r="O1634" i="2"/>
  <c r="L1635" i="2"/>
  <c r="M1635" i="2"/>
  <c r="N1635" i="2"/>
  <c r="O1635" i="2"/>
  <c r="L1636" i="2"/>
  <c r="M1636" i="2"/>
  <c r="N1636" i="2"/>
  <c r="O1636" i="2"/>
  <c r="L1637" i="2"/>
  <c r="M1637" i="2"/>
  <c r="N1637" i="2"/>
  <c r="O1637" i="2"/>
  <c r="L1638" i="2"/>
  <c r="M1638" i="2"/>
  <c r="N1638" i="2"/>
  <c r="O1638" i="2"/>
  <c r="L1639" i="2"/>
  <c r="M1639" i="2"/>
  <c r="N1639" i="2"/>
  <c r="O1639" i="2"/>
  <c r="L1640" i="2"/>
  <c r="M1640" i="2"/>
  <c r="N1640" i="2"/>
  <c r="O1640" i="2"/>
  <c r="L1641" i="2"/>
  <c r="M1641" i="2"/>
  <c r="N1641" i="2"/>
  <c r="O1641" i="2"/>
  <c r="L1642" i="2"/>
  <c r="M1642" i="2"/>
  <c r="N1642" i="2"/>
  <c r="O1642" i="2"/>
  <c r="L1643" i="2"/>
  <c r="M1643" i="2"/>
  <c r="N1643" i="2"/>
  <c r="O1643" i="2"/>
  <c r="L1644" i="2"/>
  <c r="M1644" i="2"/>
  <c r="N1644" i="2"/>
  <c r="O1644" i="2"/>
  <c r="L1645" i="2"/>
  <c r="M1645" i="2"/>
  <c r="N1645" i="2"/>
  <c r="O1645" i="2"/>
  <c r="L1646" i="2"/>
  <c r="M1646" i="2"/>
  <c r="N1646" i="2"/>
  <c r="O1646" i="2"/>
  <c r="L1647" i="2"/>
  <c r="M1647" i="2"/>
  <c r="N1647" i="2"/>
  <c r="O1647" i="2"/>
  <c r="L1648" i="2"/>
  <c r="M1648" i="2"/>
  <c r="N1648" i="2"/>
  <c r="O1648" i="2"/>
  <c r="L1649" i="2"/>
  <c r="M1649" i="2"/>
  <c r="N1649" i="2"/>
  <c r="O1649" i="2"/>
  <c r="L1650" i="2"/>
  <c r="M1650" i="2"/>
  <c r="N1650" i="2"/>
  <c r="O1650" i="2"/>
  <c r="L1651" i="2"/>
  <c r="M1651" i="2"/>
  <c r="N1651" i="2"/>
  <c r="O1651" i="2"/>
  <c r="L1652" i="2"/>
  <c r="M1652" i="2"/>
  <c r="N1652" i="2"/>
  <c r="O1652" i="2"/>
  <c r="L1653" i="2"/>
  <c r="M1653" i="2"/>
  <c r="N1653" i="2"/>
  <c r="O1653" i="2"/>
  <c r="L1654" i="2"/>
  <c r="M1654" i="2"/>
  <c r="N1654" i="2"/>
  <c r="O1654" i="2"/>
  <c r="L1655" i="2"/>
  <c r="M1655" i="2"/>
  <c r="N1655" i="2"/>
  <c r="O1655" i="2"/>
  <c r="L1656" i="2"/>
  <c r="M1656" i="2"/>
  <c r="N1656" i="2"/>
  <c r="O1656" i="2"/>
  <c r="L1657" i="2"/>
  <c r="M1657" i="2"/>
  <c r="N1657" i="2"/>
  <c r="O1657" i="2"/>
  <c r="L1658" i="2"/>
  <c r="M1658" i="2"/>
  <c r="N1658" i="2"/>
  <c r="O1658" i="2"/>
  <c r="L1659" i="2"/>
  <c r="M1659" i="2"/>
  <c r="N1659" i="2"/>
  <c r="O1659" i="2"/>
  <c r="L1660" i="2"/>
  <c r="M1660" i="2"/>
  <c r="N1660" i="2"/>
  <c r="O1660" i="2"/>
  <c r="L1661" i="2"/>
  <c r="M1661" i="2"/>
  <c r="N1661" i="2"/>
  <c r="O1661" i="2"/>
  <c r="L1662" i="2"/>
  <c r="M1662" i="2"/>
  <c r="N1662" i="2"/>
  <c r="O1662" i="2"/>
  <c r="L1663" i="2"/>
  <c r="M1663" i="2"/>
  <c r="N1663" i="2"/>
  <c r="O1663" i="2"/>
  <c r="L1664" i="2"/>
  <c r="M1664" i="2"/>
  <c r="N1664" i="2"/>
  <c r="O1664" i="2"/>
  <c r="L1665" i="2"/>
  <c r="M1665" i="2"/>
  <c r="N1665" i="2"/>
  <c r="O1665" i="2"/>
  <c r="L1666" i="2"/>
  <c r="M1666" i="2"/>
  <c r="N1666" i="2"/>
  <c r="O1666" i="2"/>
  <c r="L1667" i="2"/>
  <c r="M1667" i="2"/>
  <c r="N1667" i="2"/>
  <c r="O1667" i="2"/>
  <c r="L1668" i="2"/>
  <c r="M1668" i="2"/>
  <c r="N1668" i="2"/>
  <c r="O1668" i="2"/>
  <c r="L1669" i="2"/>
  <c r="M1669" i="2"/>
  <c r="N1669" i="2"/>
  <c r="O1669" i="2"/>
  <c r="L1670" i="2"/>
  <c r="M1670" i="2"/>
  <c r="N1670" i="2"/>
  <c r="O1670" i="2"/>
  <c r="L1671" i="2"/>
  <c r="M1671" i="2"/>
  <c r="N1671" i="2"/>
  <c r="O1671" i="2"/>
  <c r="L1672" i="2"/>
  <c r="M1672" i="2"/>
  <c r="N1672" i="2"/>
  <c r="O1672" i="2"/>
  <c r="L1673" i="2"/>
  <c r="M1673" i="2"/>
  <c r="N1673" i="2"/>
  <c r="O1673" i="2"/>
  <c r="L1674" i="2"/>
  <c r="M1674" i="2"/>
  <c r="N1674" i="2"/>
  <c r="O1674" i="2"/>
  <c r="L1675" i="2"/>
  <c r="M1675" i="2"/>
  <c r="N1675" i="2"/>
  <c r="O1675" i="2"/>
  <c r="L1676" i="2"/>
  <c r="M1676" i="2"/>
  <c r="N1676" i="2"/>
  <c r="O1676" i="2"/>
  <c r="L1677" i="2"/>
  <c r="M1677" i="2"/>
  <c r="N1677" i="2"/>
  <c r="O1677" i="2"/>
  <c r="L1678" i="2"/>
  <c r="M1678" i="2"/>
  <c r="N1678" i="2"/>
  <c r="O1678" i="2"/>
  <c r="L1679" i="2"/>
  <c r="M1679" i="2"/>
  <c r="N1679" i="2"/>
  <c r="O1679" i="2"/>
  <c r="L1680" i="2"/>
  <c r="M1680" i="2"/>
  <c r="N1680" i="2"/>
  <c r="O1680" i="2"/>
  <c r="L1681" i="2"/>
  <c r="M1681" i="2"/>
  <c r="N1681" i="2"/>
  <c r="O1681" i="2"/>
  <c r="L1682" i="2"/>
  <c r="M1682" i="2"/>
  <c r="N1682" i="2"/>
  <c r="O1682" i="2"/>
  <c r="L1683" i="2"/>
  <c r="M1683" i="2"/>
  <c r="N1683" i="2"/>
  <c r="O1683" i="2"/>
  <c r="L1684" i="2"/>
  <c r="M1684" i="2"/>
  <c r="N1684" i="2"/>
  <c r="O1684" i="2"/>
  <c r="L1685" i="2"/>
  <c r="M1685" i="2"/>
  <c r="N1685" i="2"/>
  <c r="O1685" i="2"/>
  <c r="L1686" i="2"/>
  <c r="M1686" i="2"/>
  <c r="N1686" i="2"/>
  <c r="O1686" i="2"/>
  <c r="L1687" i="2"/>
  <c r="M1687" i="2"/>
  <c r="N1687" i="2"/>
  <c r="O1687" i="2"/>
  <c r="L1688" i="2"/>
  <c r="M1688" i="2"/>
  <c r="N1688" i="2"/>
  <c r="O1688" i="2"/>
  <c r="L1689" i="2"/>
  <c r="M1689" i="2"/>
  <c r="N1689" i="2"/>
  <c r="O1689" i="2"/>
  <c r="L1690" i="2"/>
  <c r="M1690" i="2"/>
  <c r="N1690" i="2"/>
  <c r="O1690" i="2"/>
  <c r="L1691" i="2"/>
  <c r="M1691" i="2"/>
  <c r="N1691" i="2"/>
  <c r="O1691" i="2"/>
  <c r="L1692" i="2"/>
  <c r="M1692" i="2"/>
  <c r="N1692" i="2"/>
  <c r="O1692" i="2"/>
  <c r="L1693" i="2"/>
  <c r="M1693" i="2"/>
  <c r="N1693" i="2"/>
  <c r="O1693" i="2"/>
  <c r="L1694" i="2"/>
  <c r="M1694" i="2"/>
  <c r="N1694" i="2"/>
  <c r="O1694" i="2"/>
  <c r="L1695" i="2"/>
  <c r="M1695" i="2"/>
  <c r="N1695" i="2"/>
  <c r="O1695" i="2"/>
  <c r="L1696" i="2"/>
  <c r="M1696" i="2"/>
  <c r="N1696" i="2"/>
  <c r="O1696" i="2"/>
  <c r="L1697" i="2"/>
  <c r="M1697" i="2"/>
  <c r="N1697" i="2"/>
  <c r="O1697" i="2"/>
  <c r="L1698" i="2"/>
  <c r="M1698" i="2"/>
  <c r="N1698" i="2"/>
  <c r="O1698" i="2"/>
  <c r="L1699" i="2"/>
  <c r="M1699" i="2"/>
  <c r="N1699" i="2"/>
  <c r="O1699" i="2"/>
  <c r="L1700" i="2"/>
  <c r="M1700" i="2"/>
  <c r="N1700" i="2"/>
  <c r="O1700" i="2"/>
  <c r="L1701" i="2"/>
  <c r="M1701" i="2"/>
  <c r="N1701" i="2"/>
  <c r="O1701" i="2"/>
  <c r="L1702" i="2"/>
  <c r="M1702" i="2"/>
  <c r="N1702" i="2"/>
  <c r="O1702" i="2"/>
  <c r="L1703" i="2"/>
  <c r="M1703" i="2"/>
  <c r="N1703" i="2"/>
  <c r="O1703" i="2"/>
  <c r="L1704" i="2"/>
  <c r="M1704" i="2"/>
  <c r="N1704" i="2"/>
  <c r="O1704" i="2"/>
  <c r="L1705" i="2"/>
  <c r="M1705" i="2"/>
  <c r="N1705" i="2"/>
  <c r="O1705" i="2"/>
  <c r="L1706" i="2"/>
  <c r="M1706" i="2"/>
  <c r="N1706" i="2"/>
  <c r="O1706" i="2"/>
  <c r="L1707" i="2"/>
  <c r="M1707" i="2"/>
  <c r="N1707" i="2"/>
  <c r="O1707" i="2"/>
  <c r="L1708" i="2"/>
  <c r="M1708" i="2"/>
  <c r="N1708" i="2"/>
  <c r="O1708" i="2"/>
  <c r="L1709" i="2"/>
  <c r="M1709" i="2"/>
  <c r="N1709" i="2"/>
  <c r="O1709" i="2"/>
  <c r="L1710" i="2"/>
  <c r="M1710" i="2"/>
  <c r="N1710" i="2"/>
  <c r="O1710" i="2"/>
  <c r="L1711" i="2"/>
  <c r="M1711" i="2"/>
  <c r="N1711" i="2"/>
  <c r="O1711" i="2"/>
  <c r="L1712" i="2"/>
  <c r="M1712" i="2"/>
  <c r="N1712" i="2"/>
  <c r="O1712" i="2"/>
  <c r="L1713" i="2"/>
  <c r="M1713" i="2"/>
  <c r="N1713" i="2"/>
  <c r="O1713" i="2"/>
  <c r="L1714" i="2"/>
  <c r="M1714" i="2"/>
  <c r="N1714" i="2"/>
  <c r="O1714" i="2"/>
  <c r="L1715" i="2"/>
  <c r="M1715" i="2"/>
  <c r="N1715" i="2"/>
  <c r="O1715" i="2"/>
  <c r="L1716" i="2"/>
  <c r="M1716" i="2"/>
  <c r="N1716" i="2"/>
  <c r="O1716" i="2"/>
  <c r="L1717" i="2"/>
  <c r="M1717" i="2"/>
  <c r="N1717" i="2"/>
  <c r="O1717" i="2"/>
  <c r="L1718" i="2"/>
  <c r="M1718" i="2"/>
  <c r="N1718" i="2"/>
  <c r="O1718" i="2"/>
  <c r="L1719" i="2"/>
  <c r="M1719" i="2"/>
  <c r="N1719" i="2"/>
  <c r="O1719" i="2"/>
  <c r="L1720" i="2"/>
  <c r="M1720" i="2"/>
  <c r="N1720" i="2"/>
  <c r="O1720" i="2"/>
  <c r="L1721" i="2"/>
  <c r="M1721" i="2"/>
  <c r="N1721" i="2"/>
  <c r="O1721" i="2"/>
  <c r="L1722" i="2"/>
  <c r="M1722" i="2"/>
  <c r="N1722" i="2"/>
  <c r="O1722" i="2"/>
  <c r="L1723" i="2"/>
  <c r="M1723" i="2"/>
  <c r="N1723" i="2"/>
  <c r="O1723" i="2"/>
  <c r="L1724" i="2"/>
  <c r="M1724" i="2"/>
  <c r="N1724" i="2"/>
  <c r="O1724" i="2"/>
  <c r="L1725" i="2"/>
  <c r="M1725" i="2"/>
  <c r="N1725" i="2"/>
  <c r="O1725" i="2"/>
  <c r="L1726" i="2"/>
  <c r="M1726" i="2"/>
  <c r="N1726" i="2"/>
  <c r="O1726" i="2"/>
  <c r="L1727" i="2"/>
  <c r="M1727" i="2"/>
  <c r="N1727" i="2"/>
  <c r="O1727" i="2"/>
  <c r="L1728" i="2"/>
  <c r="M1728" i="2"/>
  <c r="N1728" i="2"/>
  <c r="O1728" i="2"/>
  <c r="L1729" i="2"/>
  <c r="M1729" i="2"/>
  <c r="N1729" i="2"/>
  <c r="O1729" i="2"/>
  <c r="L1730" i="2"/>
  <c r="M1730" i="2"/>
  <c r="N1730" i="2"/>
  <c r="O1730" i="2"/>
  <c r="L1731" i="2"/>
  <c r="M1731" i="2"/>
  <c r="N1731" i="2"/>
  <c r="O1731" i="2"/>
  <c r="L1732" i="2"/>
  <c r="M1732" i="2"/>
  <c r="N1732" i="2"/>
  <c r="O1732" i="2"/>
  <c r="L1733" i="2"/>
  <c r="M1733" i="2"/>
  <c r="N1733" i="2"/>
  <c r="O1733" i="2"/>
  <c r="L1734" i="2"/>
  <c r="M1734" i="2"/>
  <c r="N1734" i="2"/>
  <c r="O1734" i="2"/>
  <c r="L1735" i="2"/>
  <c r="M1735" i="2"/>
  <c r="N1735" i="2"/>
  <c r="O1735" i="2"/>
  <c r="L1736" i="2"/>
  <c r="M1736" i="2"/>
  <c r="N1736" i="2"/>
  <c r="O1736" i="2"/>
  <c r="L1737" i="2"/>
  <c r="M1737" i="2"/>
  <c r="N1737" i="2"/>
  <c r="O1737" i="2"/>
  <c r="L1738" i="2"/>
  <c r="M1738" i="2"/>
  <c r="N1738" i="2"/>
  <c r="O1738" i="2"/>
  <c r="L1739" i="2"/>
  <c r="M1739" i="2"/>
  <c r="N1739" i="2"/>
  <c r="O1739" i="2"/>
  <c r="L1740" i="2"/>
  <c r="M1740" i="2"/>
  <c r="N1740" i="2"/>
  <c r="O1740" i="2"/>
  <c r="L1741" i="2"/>
  <c r="M1741" i="2"/>
  <c r="N1741" i="2"/>
  <c r="O1741" i="2"/>
  <c r="L1742" i="2"/>
  <c r="M1742" i="2"/>
  <c r="N1742" i="2"/>
  <c r="O1742" i="2"/>
  <c r="L1743" i="2"/>
  <c r="M1743" i="2"/>
  <c r="N1743" i="2"/>
  <c r="O1743" i="2"/>
  <c r="L1744" i="2"/>
  <c r="M1744" i="2"/>
  <c r="N1744" i="2"/>
  <c r="O1744" i="2"/>
  <c r="L1745" i="2"/>
  <c r="M1745" i="2"/>
  <c r="N1745" i="2"/>
  <c r="O1745" i="2"/>
  <c r="L1746" i="2"/>
  <c r="M1746" i="2"/>
  <c r="N1746" i="2"/>
  <c r="O1746" i="2"/>
  <c r="L1747" i="2"/>
  <c r="M1747" i="2"/>
  <c r="N1747" i="2"/>
  <c r="O1747" i="2"/>
  <c r="L1748" i="2"/>
  <c r="M1748" i="2"/>
  <c r="N1748" i="2"/>
  <c r="O1748" i="2"/>
  <c r="L1749" i="2"/>
  <c r="M1749" i="2"/>
  <c r="N1749" i="2"/>
  <c r="O1749" i="2"/>
  <c r="L1750" i="2"/>
  <c r="M1750" i="2"/>
  <c r="N1750" i="2"/>
  <c r="O1750" i="2"/>
  <c r="L1751" i="2"/>
  <c r="M1751" i="2"/>
  <c r="N1751" i="2"/>
  <c r="O1751" i="2"/>
  <c r="L1752" i="2"/>
  <c r="M1752" i="2"/>
  <c r="N1752" i="2"/>
  <c r="O1752" i="2"/>
  <c r="L1753" i="2"/>
  <c r="M1753" i="2"/>
  <c r="N1753" i="2"/>
  <c r="O1753" i="2"/>
  <c r="L1754" i="2"/>
  <c r="M1754" i="2"/>
  <c r="N1754" i="2"/>
  <c r="O1754" i="2"/>
  <c r="L1755" i="2"/>
  <c r="M1755" i="2"/>
  <c r="N1755" i="2"/>
  <c r="O1755" i="2"/>
  <c r="L1756" i="2"/>
  <c r="M1756" i="2"/>
  <c r="N1756" i="2"/>
  <c r="O1756" i="2"/>
  <c r="L1757" i="2"/>
  <c r="M1757" i="2"/>
  <c r="N1757" i="2"/>
  <c r="O1757" i="2"/>
  <c r="L1758" i="2"/>
  <c r="M1758" i="2"/>
  <c r="N1758" i="2"/>
  <c r="O1758" i="2"/>
  <c r="L1759" i="2"/>
  <c r="M1759" i="2"/>
  <c r="N1759" i="2"/>
  <c r="O1759" i="2"/>
  <c r="L1760" i="2"/>
  <c r="M1760" i="2"/>
  <c r="N1760" i="2"/>
  <c r="O1760" i="2"/>
  <c r="L1761" i="2"/>
  <c r="M1761" i="2"/>
  <c r="N1761" i="2"/>
  <c r="O1761" i="2"/>
  <c r="L1762" i="2"/>
  <c r="M1762" i="2"/>
  <c r="N1762" i="2"/>
  <c r="O1762" i="2"/>
  <c r="L1763" i="2"/>
  <c r="M1763" i="2"/>
  <c r="N1763" i="2"/>
  <c r="O1763" i="2"/>
  <c r="L1764" i="2"/>
  <c r="M1764" i="2"/>
  <c r="N1764" i="2"/>
  <c r="O1764" i="2"/>
  <c r="L1765" i="2"/>
  <c r="M1765" i="2"/>
  <c r="N1765" i="2"/>
  <c r="O1765" i="2"/>
  <c r="L1766" i="2"/>
  <c r="M1766" i="2"/>
  <c r="N1766" i="2"/>
  <c r="O1766" i="2"/>
  <c r="L1767" i="2"/>
  <c r="M1767" i="2"/>
  <c r="N1767" i="2"/>
  <c r="O1767" i="2"/>
  <c r="L1768" i="2"/>
  <c r="M1768" i="2"/>
  <c r="N1768" i="2"/>
  <c r="O1768" i="2"/>
  <c r="L1769" i="2"/>
  <c r="M1769" i="2"/>
  <c r="N1769" i="2"/>
  <c r="O1769" i="2"/>
  <c r="L1770" i="2"/>
  <c r="M1770" i="2"/>
  <c r="N1770" i="2"/>
  <c r="O1770" i="2"/>
  <c r="L1771" i="2"/>
  <c r="M1771" i="2"/>
  <c r="N1771" i="2"/>
  <c r="O1771" i="2"/>
  <c r="L1772" i="2"/>
  <c r="M1772" i="2"/>
  <c r="N1772" i="2"/>
  <c r="O1772" i="2"/>
  <c r="L1773" i="2"/>
  <c r="M1773" i="2"/>
  <c r="N1773" i="2"/>
  <c r="O1773" i="2"/>
  <c r="L1774" i="2"/>
  <c r="M1774" i="2"/>
  <c r="N1774" i="2"/>
  <c r="O1774" i="2"/>
  <c r="L1775" i="2"/>
  <c r="M1775" i="2"/>
  <c r="N1775" i="2"/>
  <c r="O1775" i="2"/>
  <c r="L1776" i="2"/>
  <c r="M1776" i="2"/>
  <c r="N1776" i="2"/>
  <c r="O1776" i="2"/>
  <c r="L1777" i="2"/>
  <c r="M1777" i="2"/>
  <c r="N1777" i="2"/>
  <c r="O1777" i="2"/>
  <c r="L1778" i="2"/>
  <c r="M1778" i="2"/>
  <c r="N1778" i="2"/>
  <c r="O1778" i="2"/>
  <c r="L1779" i="2"/>
  <c r="M1779" i="2"/>
  <c r="N1779" i="2"/>
  <c r="O1779" i="2"/>
  <c r="L1780" i="2"/>
  <c r="M1780" i="2"/>
  <c r="N1780" i="2"/>
  <c r="O1780" i="2"/>
  <c r="L1781" i="2"/>
  <c r="M1781" i="2"/>
  <c r="N1781" i="2"/>
  <c r="O1781" i="2"/>
  <c r="L1782" i="2"/>
  <c r="M1782" i="2"/>
  <c r="N1782" i="2"/>
  <c r="O1782" i="2"/>
  <c r="L1783" i="2"/>
  <c r="M1783" i="2"/>
  <c r="N1783" i="2"/>
  <c r="O1783" i="2"/>
  <c r="L1784" i="2"/>
  <c r="M1784" i="2"/>
  <c r="N1784" i="2"/>
  <c r="O1784" i="2"/>
  <c r="L1785" i="2"/>
  <c r="M1785" i="2"/>
  <c r="N1785" i="2"/>
  <c r="O1785" i="2"/>
  <c r="L1786" i="2"/>
  <c r="M1786" i="2"/>
  <c r="N1786" i="2"/>
  <c r="O1786" i="2"/>
  <c r="L1787" i="2"/>
  <c r="M1787" i="2"/>
  <c r="N1787" i="2"/>
  <c r="O1787" i="2"/>
  <c r="L1788" i="2"/>
  <c r="M1788" i="2"/>
  <c r="N1788" i="2"/>
  <c r="O1788" i="2"/>
  <c r="L1789" i="2"/>
  <c r="M1789" i="2"/>
  <c r="N1789" i="2"/>
  <c r="O1789" i="2"/>
  <c r="L1790" i="2"/>
  <c r="M1790" i="2"/>
  <c r="N1790" i="2"/>
  <c r="O1790" i="2"/>
  <c r="L1791" i="2"/>
  <c r="M1791" i="2"/>
  <c r="N1791" i="2"/>
  <c r="O1791" i="2"/>
  <c r="L1792" i="2"/>
  <c r="M1792" i="2"/>
  <c r="N1792" i="2"/>
  <c r="O1792" i="2"/>
  <c r="L1793" i="2"/>
  <c r="M1793" i="2"/>
  <c r="N1793" i="2"/>
  <c r="O1793" i="2"/>
  <c r="L1794" i="2"/>
  <c r="M1794" i="2"/>
  <c r="N1794" i="2"/>
  <c r="O1794" i="2"/>
  <c r="L1795" i="2"/>
  <c r="M1795" i="2"/>
  <c r="N1795" i="2"/>
  <c r="O1795" i="2"/>
  <c r="L1796" i="2"/>
  <c r="M1796" i="2"/>
  <c r="N1796" i="2"/>
  <c r="O1796" i="2"/>
  <c r="L1797" i="2"/>
  <c r="M1797" i="2"/>
  <c r="N1797" i="2"/>
  <c r="O1797" i="2"/>
  <c r="L1798" i="2"/>
  <c r="M1798" i="2"/>
  <c r="N1798" i="2"/>
  <c r="O1798" i="2"/>
  <c r="L1799" i="2"/>
  <c r="M1799" i="2"/>
  <c r="N1799" i="2"/>
  <c r="O1799" i="2"/>
  <c r="L1800" i="2"/>
  <c r="M1800" i="2"/>
  <c r="N1800" i="2"/>
  <c r="O1800" i="2"/>
  <c r="L1801" i="2"/>
  <c r="M1801" i="2"/>
  <c r="N1801" i="2"/>
  <c r="O1801" i="2"/>
  <c r="L1802" i="2"/>
  <c r="M1802" i="2"/>
  <c r="N1802" i="2"/>
  <c r="O1802" i="2"/>
  <c r="L1803" i="2"/>
  <c r="M1803" i="2"/>
  <c r="N1803" i="2"/>
  <c r="O1803" i="2"/>
  <c r="L1804" i="2"/>
  <c r="M1804" i="2"/>
  <c r="N1804" i="2"/>
  <c r="O1804" i="2"/>
  <c r="L1805" i="2"/>
  <c r="M1805" i="2"/>
  <c r="N1805" i="2"/>
  <c r="O1805" i="2"/>
  <c r="L1806" i="2"/>
  <c r="M1806" i="2"/>
  <c r="N1806" i="2"/>
  <c r="O1806" i="2"/>
  <c r="L1807" i="2"/>
  <c r="M1807" i="2"/>
  <c r="N1807" i="2"/>
  <c r="O1807" i="2"/>
  <c r="L1808" i="2"/>
  <c r="M1808" i="2"/>
  <c r="N1808" i="2"/>
  <c r="O1808" i="2"/>
  <c r="L1809" i="2"/>
  <c r="M1809" i="2"/>
  <c r="N1809" i="2"/>
  <c r="O1809" i="2"/>
  <c r="L1810" i="2"/>
  <c r="M1810" i="2"/>
  <c r="N1810" i="2"/>
  <c r="O1810" i="2"/>
  <c r="L1811" i="2"/>
  <c r="M1811" i="2"/>
  <c r="N1811" i="2"/>
  <c r="O1811" i="2"/>
  <c r="L1812" i="2"/>
  <c r="M1812" i="2"/>
  <c r="N1812" i="2"/>
  <c r="O1812" i="2"/>
  <c r="L1813" i="2"/>
  <c r="M1813" i="2"/>
  <c r="N1813" i="2"/>
  <c r="O1813" i="2"/>
  <c r="L1814" i="2"/>
  <c r="M1814" i="2"/>
  <c r="N1814" i="2"/>
  <c r="O1814" i="2"/>
  <c r="L1815" i="2"/>
  <c r="M1815" i="2"/>
  <c r="N1815" i="2"/>
  <c r="O1815" i="2"/>
  <c r="L1816" i="2"/>
  <c r="M1816" i="2"/>
  <c r="N1816" i="2"/>
  <c r="O1816" i="2"/>
  <c r="L1817" i="2"/>
  <c r="M1817" i="2"/>
  <c r="N1817" i="2"/>
  <c r="O1817" i="2"/>
  <c r="L1818" i="2"/>
  <c r="M1818" i="2"/>
  <c r="N1818" i="2"/>
  <c r="O1818" i="2"/>
  <c r="L1819" i="2"/>
  <c r="M1819" i="2"/>
  <c r="N1819" i="2"/>
  <c r="O1819" i="2"/>
  <c r="L1820" i="2"/>
  <c r="M1820" i="2"/>
  <c r="N1820" i="2"/>
  <c r="O1820" i="2"/>
  <c r="L1821" i="2"/>
  <c r="M1821" i="2"/>
  <c r="N1821" i="2"/>
  <c r="O1821" i="2"/>
  <c r="L1822" i="2"/>
  <c r="M1822" i="2"/>
  <c r="N1822" i="2"/>
  <c r="O1822" i="2"/>
  <c r="L1823" i="2"/>
  <c r="M1823" i="2"/>
  <c r="N1823" i="2"/>
  <c r="O1823" i="2"/>
  <c r="L1824" i="2"/>
  <c r="M1824" i="2"/>
  <c r="N1824" i="2"/>
  <c r="O1824" i="2"/>
  <c r="L1825" i="2"/>
  <c r="M1825" i="2"/>
  <c r="N1825" i="2"/>
  <c r="O1825" i="2"/>
  <c r="L1826" i="2"/>
  <c r="M1826" i="2"/>
  <c r="N1826" i="2"/>
  <c r="O1826" i="2"/>
  <c r="L1827" i="2"/>
  <c r="M1827" i="2"/>
  <c r="N1827" i="2"/>
  <c r="O1827" i="2"/>
  <c r="L1828" i="2"/>
  <c r="M1828" i="2"/>
  <c r="N1828" i="2"/>
  <c r="O1828" i="2"/>
  <c r="L1829" i="2"/>
  <c r="M1829" i="2"/>
  <c r="N1829" i="2"/>
  <c r="O1829" i="2"/>
  <c r="L1830" i="2"/>
  <c r="M1830" i="2"/>
  <c r="N1830" i="2"/>
  <c r="O1830" i="2"/>
  <c r="L1831" i="2"/>
  <c r="M1831" i="2"/>
  <c r="N1831" i="2"/>
  <c r="O1831" i="2"/>
  <c r="L1832" i="2"/>
  <c r="M1832" i="2"/>
  <c r="N1832" i="2"/>
  <c r="O1832" i="2"/>
  <c r="L1833" i="2"/>
  <c r="M1833" i="2"/>
  <c r="N1833" i="2"/>
  <c r="O1833" i="2"/>
  <c r="L1834" i="2"/>
  <c r="M1834" i="2"/>
  <c r="N1834" i="2"/>
  <c r="O1834" i="2"/>
  <c r="L1835" i="2"/>
  <c r="M1835" i="2"/>
  <c r="N1835" i="2"/>
  <c r="O1835" i="2"/>
  <c r="L1836" i="2"/>
  <c r="M1836" i="2"/>
  <c r="N1836" i="2"/>
  <c r="O1836" i="2"/>
  <c r="L1837" i="2"/>
  <c r="M1837" i="2"/>
  <c r="N1837" i="2"/>
  <c r="O1837" i="2"/>
  <c r="L1838" i="2"/>
  <c r="M1838" i="2"/>
  <c r="N1838" i="2"/>
  <c r="O1838" i="2"/>
  <c r="L1839" i="2"/>
  <c r="M1839" i="2"/>
  <c r="N1839" i="2"/>
  <c r="O1839" i="2"/>
  <c r="L1840" i="2"/>
  <c r="M1840" i="2"/>
  <c r="N1840" i="2"/>
  <c r="O1840" i="2"/>
  <c r="L1841" i="2"/>
  <c r="M1841" i="2"/>
  <c r="N1841" i="2"/>
  <c r="O1841" i="2"/>
  <c r="L1842" i="2"/>
  <c r="M1842" i="2"/>
  <c r="N1842" i="2"/>
  <c r="O1842" i="2"/>
  <c r="L1843" i="2"/>
  <c r="M1843" i="2"/>
  <c r="N1843" i="2"/>
  <c r="O1843" i="2"/>
  <c r="L1844" i="2"/>
  <c r="M1844" i="2"/>
  <c r="N1844" i="2"/>
  <c r="O1844" i="2"/>
  <c r="L1845" i="2"/>
  <c r="M1845" i="2"/>
  <c r="N1845" i="2"/>
  <c r="O1845" i="2"/>
  <c r="L1846" i="2"/>
  <c r="M1846" i="2"/>
  <c r="N1846" i="2"/>
  <c r="O1846" i="2"/>
  <c r="L1847" i="2"/>
  <c r="M1847" i="2"/>
  <c r="N1847" i="2"/>
  <c r="O1847" i="2"/>
  <c r="L1848" i="2"/>
  <c r="M1848" i="2"/>
  <c r="N1848" i="2"/>
  <c r="O1848" i="2"/>
  <c r="L1849" i="2"/>
  <c r="M1849" i="2"/>
  <c r="N1849" i="2"/>
  <c r="O1849" i="2"/>
  <c r="L1850" i="2"/>
  <c r="M1850" i="2"/>
  <c r="N1850" i="2"/>
  <c r="O1850" i="2"/>
  <c r="L1851" i="2"/>
  <c r="M1851" i="2"/>
  <c r="N1851" i="2"/>
  <c r="O1851" i="2"/>
  <c r="L1852" i="2"/>
  <c r="M1852" i="2"/>
  <c r="N1852" i="2"/>
  <c r="O1852" i="2"/>
  <c r="L1853" i="2"/>
  <c r="M1853" i="2"/>
  <c r="N1853" i="2"/>
  <c r="O1853" i="2"/>
  <c r="L1854" i="2"/>
  <c r="M1854" i="2"/>
  <c r="N1854" i="2"/>
  <c r="O1854" i="2"/>
  <c r="L1855" i="2"/>
  <c r="M1855" i="2"/>
  <c r="N1855" i="2"/>
  <c r="O1855" i="2"/>
  <c r="L1856" i="2"/>
  <c r="M1856" i="2"/>
  <c r="N1856" i="2"/>
  <c r="O1856" i="2"/>
  <c r="L1857" i="2"/>
  <c r="M1857" i="2"/>
  <c r="N1857" i="2"/>
  <c r="O1857" i="2"/>
  <c r="L1858" i="2"/>
  <c r="M1858" i="2"/>
  <c r="N1858" i="2"/>
  <c r="O1858" i="2"/>
  <c r="L1859" i="2"/>
  <c r="M1859" i="2"/>
  <c r="N1859" i="2"/>
  <c r="O1859" i="2"/>
  <c r="L1860" i="2"/>
  <c r="M1860" i="2"/>
  <c r="N1860" i="2"/>
  <c r="O1860" i="2"/>
  <c r="L1861" i="2"/>
  <c r="M1861" i="2"/>
  <c r="N1861" i="2"/>
  <c r="O1861" i="2"/>
  <c r="L1862" i="2"/>
  <c r="M1862" i="2"/>
  <c r="N1862" i="2"/>
  <c r="O1862" i="2"/>
  <c r="L1863" i="2"/>
  <c r="M1863" i="2"/>
  <c r="N1863" i="2"/>
  <c r="O1863" i="2"/>
  <c r="L1864" i="2"/>
  <c r="M1864" i="2"/>
  <c r="N1864" i="2"/>
  <c r="O1864" i="2"/>
  <c r="L1865" i="2"/>
  <c r="M1865" i="2"/>
  <c r="N1865" i="2"/>
  <c r="O1865" i="2"/>
  <c r="L1866" i="2"/>
  <c r="M1866" i="2"/>
  <c r="N1866" i="2"/>
  <c r="O1866" i="2"/>
  <c r="L1867" i="2"/>
  <c r="M1867" i="2"/>
  <c r="N1867" i="2"/>
  <c r="O1867" i="2"/>
  <c r="L1868" i="2"/>
  <c r="M1868" i="2"/>
  <c r="N1868" i="2"/>
  <c r="O1868" i="2"/>
  <c r="L1869" i="2"/>
  <c r="M1869" i="2"/>
  <c r="N1869" i="2"/>
  <c r="O1869" i="2"/>
  <c r="L1870" i="2"/>
  <c r="M1870" i="2"/>
  <c r="N1870" i="2"/>
  <c r="O1870" i="2"/>
  <c r="L1871" i="2"/>
  <c r="M1871" i="2"/>
  <c r="N1871" i="2"/>
  <c r="O1871" i="2"/>
  <c r="L1872" i="2"/>
  <c r="M1872" i="2"/>
  <c r="N1872" i="2"/>
  <c r="O1872" i="2"/>
  <c r="L1873" i="2"/>
  <c r="M1873" i="2"/>
  <c r="N1873" i="2"/>
  <c r="O1873" i="2"/>
  <c r="L1874" i="2"/>
  <c r="M1874" i="2"/>
  <c r="N1874" i="2"/>
  <c r="O1874" i="2"/>
  <c r="L1875" i="2"/>
  <c r="M1875" i="2"/>
  <c r="N1875" i="2"/>
  <c r="O1875" i="2"/>
  <c r="L1876" i="2"/>
  <c r="M1876" i="2"/>
  <c r="N1876" i="2"/>
  <c r="O1876" i="2"/>
  <c r="L1877" i="2"/>
  <c r="M1877" i="2"/>
  <c r="N1877" i="2"/>
  <c r="O1877" i="2"/>
  <c r="L1878" i="2"/>
  <c r="M1878" i="2"/>
  <c r="N1878" i="2"/>
  <c r="O1878" i="2"/>
  <c r="L1879" i="2"/>
  <c r="M1879" i="2"/>
  <c r="N1879" i="2"/>
  <c r="O1879" i="2"/>
  <c r="L1880" i="2"/>
  <c r="M1880" i="2"/>
  <c r="N1880" i="2"/>
  <c r="O1880" i="2"/>
  <c r="L1881" i="2"/>
  <c r="M1881" i="2"/>
  <c r="N1881" i="2"/>
  <c r="O1881" i="2"/>
  <c r="L1882" i="2"/>
  <c r="M1882" i="2"/>
  <c r="N1882" i="2"/>
  <c r="O1882" i="2"/>
  <c r="L1883" i="2"/>
  <c r="M1883" i="2"/>
  <c r="N1883" i="2"/>
  <c r="O1883" i="2"/>
  <c r="L1884" i="2"/>
  <c r="M1884" i="2"/>
  <c r="N1884" i="2"/>
  <c r="O1884" i="2"/>
  <c r="L1885" i="2"/>
  <c r="M1885" i="2"/>
  <c r="N1885" i="2"/>
  <c r="O1885" i="2"/>
  <c r="L1886" i="2"/>
  <c r="M1886" i="2"/>
  <c r="N1886" i="2"/>
  <c r="O1886" i="2"/>
  <c r="L1887" i="2"/>
  <c r="M1887" i="2"/>
  <c r="N1887" i="2"/>
  <c r="O1887" i="2"/>
  <c r="L1888" i="2"/>
  <c r="M1888" i="2"/>
  <c r="N1888" i="2"/>
  <c r="O1888" i="2"/>
  <c r="L1889" i="2"/>
  <c r="M1889" i="2"/>
  <c r="N1889" i="2"/>
  <c r="O1889" i="2"/>
  <c r="L1890" i="2"/>
  <c r="M1890" i="2"/>
  <c r="N1890" i="2"/>
  <c r="O1890" i="2"/>
  <c r="L1891" i="2"/>
  <c r="M1891" i="2"/>
  <c r="N1891" i="2"/>
  <c r="O1891" i="2"/>
  <c r="L1892" i="2"/>
  <c r="M1892" i="2"/>
  <c r="N1892" i="2"/>
  <c r="O1892" i="2"/>
  <c r="L1893" i="2"/>
  <c r="M1893" i="2"/>
  <c r="N1893" i="2"/>
  <c r="O1893" i="2"/>
  <c r="L1894" i="2"/>
  <c r="M1894" i="2"/>
  <c r="N1894" i="2"/>
  <c r="O1894" i="2"/>
  <c r="L1895" i="2"/>
  <c r="M1895" i="2"/>
  <c r="N1895" i="2"/>
  <c r="O1895" i="2"/>
  <c r="L1896" i="2"/>
  <c r="M1896" i="2"/>
  <c r="N1896" i="2"/>
  <c r="O1896" i="2"/>
  <c r="L1897" i="2"/>
  <c r="M1897" i="2"/>
  <c r="N1897" i="2"/>
  <c r="O1897" i="2"/>
  <c r="L1898" i="2"/>
  <c r="M1898" i="2"/>
  <c r="N1898" i="2"/>
  <c r="O1898" i="2"/>
  <c r="L1899" i="2"/>
  <c r="M1899" i="2"/>
  <c r="N1899" i="2"/>
  <c r="O1899" i="2"/>
  <c r="L1900" i="2"/>
  <c r="M1900" i="2"/>
  <c r="N1900" i="2"/>
  <c r="O1900" i="2"/>
  <c r="L1901" i="2"/>
  <c r="M1901" i="2"/>
  <c r="N1901" i="2"/>
  <c r="O1901" i="2"/>
  <c r="L1902" i="2"/>
  <c r="M1902" i="2"/>
  <c r="N1902" i="2"/>
  <c r="O1902" i="2"/>
  <c r="L1903" i="2"/>
  <c r="M1903" i="2"/>
  <c r="N1903" i="2"/>
  <c r="O1903" i="2"/>
  <c r="L1904" i="2"/>
  <c r="M1904" i="2"/>
  <c r="N1904" i="2"/>
  <c r="O1904" i="2"/>
  <c r="L1905" i="2"/>
  <c r="M1905" i="2"/>
  <c r="N1905" i="2"/>
  <c r="O1905" i="2"/>
  <c r="L1906" i="2"/>
  <c r="M1906" i="2"/>
  <c r="N1906" i="2"/>
  <c r="O1906" i="2"/>
  <c r="L1907" i="2"/>
  <c r="M1907" i="2"/>
  <c r="N1907" i="2"/>
  <c r="O1907" i="2"/>
  <c r="L1908" i="2"/>
  <c r="M1908" i="2"/>
  <c r="N1908" i="2"/>
  <c r="O1908" i="2"/>
  <c r="L1909" i="2"/>
  <c r="M1909" i="2"/>
  <c r="N1909" i="2"/>
  <c r="O1909" i="2"/>
  <c r="L1910" i="2"/>
  <c r="M1910" i="2"/>
  <c r="N1910" i="2"/>
  <c r="O1910" i="2"/>
  <c r="L1911" i="2"/>
  <c r="M1911" i="2"/>
  <c r="N1911" i="2"/>
  <c r="O1911" i="2"/>
  <c r="L1912" i="2"/>
  <c r="M1912" i="2"/>
  <c r="N1912" i="2"/>
  <c r="O1912" i="2"/>
  <c r="L1913" i="2"/>
  <c r="M1913" i="2"/>
  <c r="N1913" i="2"/>
  <c r="O1913" i="2"/>
  <c r="L1914" i="2"/>
  <c r="M1914" i="2"/>
  <c r="N1914" i="2"/>
  <c r="O1914" i="2"/>
  <c r="L1915" i="2"/>
  <c r="M1915" i="2"/>
  <c r="N1915" i="2"/>
  <c r="O1915" i="2"/>
  <c r="L1916" i="2"/>
  <c r="M1916" i="2"/>
  <c r="N1916" i="2"/>
  <c r="O1916" i="2"/>
  <c r="L1917" i="2"/>
  <c r="M1917" i="2"/>
  <c r="N1917" i="2"/>
  <c r="O1917" i="2"/>
  <c r="L1918" i="2"/>
  <c r="M1918" i="2"/>
  <c r="N1918" i="2"/>
  <c r="O1918" i="2"/>
  <c r="L1919" i="2"/>
  <c r="M1919" i="2"/>
  <c r="N1919" i="2"/>
  <c r="O1919" i="2"/>
  <c r="L1920" i="2"/>
  <c r="M1920" i="2"/>
  <c r="N1920" i="2"/>
  <c r="O1920" i="2"/>
  <c r="L1921" i="2"/>
  <c r="M1921" i="2"/>
  <c r="N1921" i="2"/>
  <c r="O1921" i="2"/>
  <c r="L1922" i="2"/>
  <c r="M1922" i="2"/>
  <c r="N1922" i="2"/>
  <c r="O1922" i="2"/>
  <c r="L1923" i="2"/>
  <c r="M1923" i="2"/>
  <c r="N1923" i="2"/>
  <c r="O1923" i="2"/>
  <c r="L1924" i="2"/>
  <c r="M1924" i="2"/>
  <c r="N1924" i="2"/>
  <c r="O1924" i="2"/>
  <c r="L1925" i="2"/>
  <c r="M1925" i="2"/>
  <c r="N1925" i="2"/>
  <c r="O1925" i="2"/>
  <c r="L1926" i="2"/>
  <c r="M1926" i="2"/>
  <c r="N1926" i="2"/>
  <c r="O1926" i="2"/>
  <c r="L1927" i="2"/>
  <c r="M1927" i="2"/>
  <c r="N1927" i="2"/>
  <c r="O1927" i="2"/>
  <c r="L1928" i="2"/>
  <c r="M1928" i="2"/>
  <c r="N1928" i="2"/>
  <c r="O1928" i="2"/>
  <c r="L1929" i="2"/>
  <c r="M1929" i="2"/>
  <c r="N1929" i="2"/>
  <c r="O1929" i="2"/>
  <c r="L1930" i="2"/>
  <c r="M1930" i="2"/>
  <c r="N1930" i="2"/>
  <c r="O1930" i="2"/>
  <c r="L1931" i="2"/>
  <c r="M1931" i="2"/>
  <c r="N1931" i="2"/>
  <c r="O1931" i="2"/>
  <c r="L1932" i="2"/>
  <c r="M1932" i="2"/>
  <c r="N1932" i="2"/>
  <c r="O1932" i="2"/>
  <c r="L1933" i="2"/>
  <c r="M1933" i="2"/>
  <c r="N1933" i="2"/>
  <c r="O1933" i="2"/>
  <c r="L1934" i="2"/>
  <c r="M1934" i="2"/>
  <c r="N1934" i="2"/>
  <c r="O1934" i="2"/>
  <c r="L1935" i="2"/>
  <c r="M1935" i="2"/>
  <c r="N1935" i="2"/>
  <c r="O1935" i="2"/>
  <c r="L1936" i="2"/>
  <c r="M1936" i="2"/>
  <c r="N1936" i="2"/>
  <c r="O1936" i="2"/>
  <c r="L1937" i="2"/>
  <c r="M1937" i="2"/>
  <c r="N1937" i="2"/>
  <c r="O1937" i="2"/>
  <c r="L1938" i="2"/>
  <c r="M1938" i="2"/>
  <c r="N1938" i="2"/>
  <c r="O1938" i="2"/>
  <c r="L1939" i="2"/>
  <c r="M1939" i="2"/>
  <c r="N1939" i="2"/>
  <c r="O1939" i="2"/>
  <c r="L1940" i="2"/>
  <c r="M1940" i="2"/>
  <c r="N1940" i="2"/>
  <c r="O1940" i="2"/>
  <c r="L1941" i="2"/>
  <c r="M1941" i="2"/>
  <c r="N1941" i="2"/>
  <c r="O1941" i="2"/>
  <c r="L1942" i="2"/>
  <c r="M1942" i="2"/>
  <c r="N1942" i="2"/>
  <c r="O1942" i="2"/>
  <c r="L1943" i="2"/>
  <c r="M1943" i="2"/>
  <c r="N1943" i="2"/>
  <c r="O1943" i="2"/>
  <c r="L1944" i="2"/>
  <c r="M1944" i="2"/>
  <c r="N1944" i="2"/>
  <c r="O1944" i="2"/>
  <c r="L1945" i="2"/>
  <c r="M1945" i="2"/>
  <c r="N1945" i="2"/>
  <c r="O1945" i="2"/>
  <c r="L1946" i="2"/>
  <c r="M1946" i="2"/>
  <c r="N1946" i="2"/>
  <c r="O1946" i="2"/>
  <c r="L1947" i="2"/>
  <c r="M1947" i="2"/>
  <c r="N1947" i="2"/>
  <c r="O1947" i="2"/>
  <c r="L1948" i="2"/>
  <c r="M1948" i="2"/>
  <c r="N1948" i="2"/>
  <c r="O1948" i="2"/>
  <c r="L1949" i="2"/>
  <c r="M1949" i="2"/>
  <c r="N1949" i="2"/>
  <c r="O1949" i="2"/>
  <c r="L1950" i="2"/>
  <c r="M1950" i="2"/>
  <c r="N1950" i="2"/>
  <c r="O1950" i="2"/>
  <c r="L1951" i="2"/>
  <c r="M1951" i="2"/>
  <c r="N1951" i="2"/>
  <c r="O1951" i="2"/>
  <c r="L1952" i="2"/>
  <c r="M1952" i="2"/>
  <c r="N1952" i="2"/>
  <c r="O1952" i="2"/>
  <c r="L1953" i="2"/>
  <c r="M1953" i="2"/>
  <c r="N1953" i="2"/>
  <c r="O1953" i="2"/>
  <c r="L1954" i="2"/>
  <c r="M1954" i="2"/>
  <c r="N1954" i="2"/>
  <c r="O1954" i="2"/>
  <c r="L1955" i="2"/>
  <c r="M1955" i="2"/>
  <c r="N1955" i="2"/>
  <c r="O1955" i="2"/>
  <c r="L1956" i="2"/>
  <c r="M1956" i="2"/>
  <c r="N1956" i="2"/>
  <c r="O1956" i="2"/>
  <c r="L1957" i="2"/>
  <c r="M1957" i="2"/>
  <c r="N1957" i="2"/>
  <c r="O1957" i="2"/>
  <c r="L1958" i="2"/>
  <c r="M1958" i="2"/>
  <c r="N1958" i="2"/>
  <c r="O1958" i="2"/>
  <c r="L1959" i="2"/>
  <c r="M1959" i="2"/>
  <c r="N1959" i="2"/>
  <c r="O1959" i="2"/>
  <c r="L1960" i="2"/>
  <c r="M1960" i="2"/>
  <c r="N1960" i="2"/>
  <c r="O1960" i="2"/>
  <c r="L1961" i="2"/>
  <c r="M1961" i="2"/>
  <c r="N1961" i="2"/>
  <c r="O1961" i="2"/>
  <c r="L1962" i="2"/>
  <c r="M1962" i="2"/>
  <c r="N1962" i="2"/>
  <c r="O1962" i="2"/>
  <c r="L1963" i="2"/>
  <c r="M1963" i="2"/>
  <c r="N1963" i="2"/>
  <c r="O1963" i="2"/>
  <c r="L1964" i="2"/>
  <c r="M1964" i="2"/>
  <c r="N1964" i="2"/>
  <c r="O1964" i="2"/>
  <c r="L1965" i="2"/>
  <c r="M1965" i="2"/>
  <c r="N1965" i="2"/>
  <c r="O1965" i="2"/>
  <c r="L1966" i="2"/>
  <c r="M1966" i="2"/>
  <c r="N1966" i="2"/>
  <c r="O1966" i="2"/>
  <c r="L1967" i="2"/>
  <c r="M1967" i="2"/>
  <c r="N1967" i="2"/>
  <c r="O1967" i="2"/>
  <c r="L1968" i="2"/>
  <c r="M1968" i="2"/>
  <c r="N1968" i="2"/>
  <c r="O1968" i="2"/>
  <c r="L1969" i="2"/>
  <c r="M1969" i="2"/>
  <c r="N1969" i="2"/>
  <c r="O1969" i="2"/>
  <c r="L1970" i="2"/>
  <c r="M1970" i="2"/>
  <c r="N1970" i="2"/>
  <c r="O1970" i="2"/>
  <c r="L1971" i="2"/>
  <c r="M1971" i="2"/>
  <c r="N1971" i="2"/>
  <c r="O1971" i="2"/>
  <c r="L1972" i="2"/>
  <c r="M1972" i="2"/>
  <c r="N1972" i="2"/>
  <c r="O1972" i="2"/>
  <c r="L1973" i="2"/>
  <c r="M1973" i="2"/>
  <c r="N1973" i="2"/>
  <c r="O1973" i="2"/>
  <c r="L1974" i="2"/>
  <c r="M1974" i="2"/>
  <c r="N1974" i="2"/>
  <c r="O1974" i="2"/>
  <c r="L1975" i="2"/>
  <c r="M1975" i="2"/>
  <c r="N1975" i="2"/>
  <c r="O1975" i="2"/>
  <c r="L1976" i="2"/>
  <c r="M1976" i="2"/>
  <c r="N1976" i="2"/>
  <c r="O1976" i="2"/>
  <c r="L1977" i="2"/>
  <c r="M1977" i="2"/>
  <c r="N1977" i="2"/>
  <c r="O1977" i="2"/>
  <c r="L1978" i="2"/>
  <c r="M1978" i="2"/>
  <c r="N1978" i="2"/>
  <c r="O1978" i="2"/>
  <c r="L1979" i="2"/>
  <c r="M1979" i="2"/>
  <c r="N1979" i="2"/>
  <c r="O1979" i="2"/>
  <c r="L1980" i="2"/>
  <c r="M1980" i="2"/>
  <c r="N1980" i="2"/>
  <c r="O1980" i="2"/>
  <c r="L1981" i="2"/>
  <c r="M1981" i="2"/>
  <c r="N1981" i="2"/>
  <c r="O1981" i="2"/>
  <c r="L1982" i="2"/>
  <c r="M1982" i="2"/>
  <c r="N1982" i="2"/>
  <c r="O1982" i="2"/>
  <c r="L1983" i="2"/>
  <c r="M1983" i="2"/>
  <c r="N1983" i="2"/>
  <c r="O1983" i="2"/>
  <c r="L1984" i="2"/>
  <c r="M1984" i="2"/>
  <c r="N1984" i="2"/>
  <c r="O1984" i="2"/>
  <c r="L1985" i="2"/>
  <c r="M1985" i="2"/>
  <c r="N1985" i="2"/>
  <c r="O1985" i="2"/>
  <c r="L1986" i="2"/>
  <c r="M1986" i="2"/>
  <c r="N1986" i="2"/>
  <c r="O1986" i="2"/>
  <c r="L1987" i="2"/>
  <c r="M1987" i="2"/>
  <c r="N1987" i="2"/>
  <c r="O1987" i="2"/>
  <c r="L1988" i="2"/>
  <c r="M1988" i="2"/>
  <c r="N1988" i="2"/>
  <c r="O1988" i="2"/>
  <c r="L1989" i="2"/>
  <c r="M1989" i="2"/>
  <c r="N1989" i="2"/>
  <c r="O1989" i="2"/>
  <c r="L1990" i="2"/>
  <c r="M1990" i="2"/>
  <c r="N1990" i="2"/>
  <c r="O1990" i="2"/>
  <c r="L1991" i="2"/>
  <c r="M1991" i="2"/>
  <c r="N1991" i="2"/>
  <c r="O1991" i="2"/>
  <c r="L1992" i="2"/>
  <c r="M1992" i="2"/>
  <c r="N1992" i="2"/>
  <c r="O1992" i="2"/>
  <c r="L1993" i="2"/>
  <c r="M1993" i="2"/>
  <c r="N1993" i="2"/>
  <c r="O1993" i="2"/>
  <c r="L1994" i="2"/>
  <c r="M1994" i="2"/>
  <c r="N1994" i="2"/>
  <c r="O1994" i="2"/>
  <c r="L1995" i="2"/>
  <c r="M1995" i="2"/>
  <c r="N1995" i="2"/>
  <c r="O1995" i="2"/>
  <c r="L1996" i="2"/>
  <c r="M1996" i="2"/>
  <c r="N1996" i="2"/>
  <c r="O1996" i="2"/>
  <c r="L1997" i="2"/>
  <c r="M1997" i="2"/>
  <c r="N1997" i="2"/>
  <c r="O1997" i="2"/>
  <c r="L1998" i="2"/>
  <c r="M1998" i="2"/>
  <c r="N1998" i="2"/>
  <c r="O1998" i="2"/>
  <c r="L1999" i="2"/>
  <c r="M1999" i="2"/>
  <c r="N1999" i="2"/>
  <c r="O1999" i="2"/>
  <c r="L2000" i="2"/>
  <c r="M2000" i="2"/>
  <c r="N2000" i="2"/>
  <c r="O2000" i="2"/>
  <c r="L2001" i="2"/>
  <c r="M2001" i="2"/>
  <c r="N2001" i="2"/>
  <c r="O2001" i="2"/>
  <c r="L2002" i="2"/>
  <c r="M2002" i="2"/>
  <c r="N2002" i="2"/>
  <c r="O2002" i="2"/>
  <c r="L2003" i="2"/>
  <c r="M2003" i="2"/>
  <c r="N2003" i="2"/>
  <c r="O2003" i="2"/>
  <c r="L2004" i="2"/>
  <c r="M2004" i="2"/>
  <c r="N2004" i="2"/>
  <c r="O2004" i="2"/>
  <c r="L2005" i="2"/>
  <c r="M2005" i="2"/>
  <c r="N2005" i="2"/>
  <c r="O2005" i="2"/>
  <c r="L2006" i="2"/>
  <c r="M2006" i="2"/>
  <c r="N2006" i="2"/>
  <c r="O2006" i="2"/>
  <c r="L2007" i="2"/>
  <c r="M2007" i="2"/>
  <c r="N2007" i="2"/>
  <c r="O2007" i="2"/>
  <c r="L2008" i="2"/>
  <c r="M2008" i="2"/>
  <c r="N2008" i="2"/>
  <c r="O2008" i="2"/>
  <c r="L2009" i="2"/>
  <c r="M2009" i="2"/>
  <c r="N2009" i="2"/>
  <c r="O2009" i="2"/>
  <c r="L2010" i="2"/>
  <c r="M2010" i="2"/>
  <c r="N2010" i="2"/>
  <c r="O2010" i="2"/>
  <c r="L2011" i="2"/>
  <c r="M2011" i="2"/>
  <c r="N2011" i="2"/>
  <c r="O2011" i="2"/>
  <c r="L2012" i="2"/>
  <c r="M2012" i="2"/>
  <c r="N2012" i="2"/>
  <c r="O2012" i="2"/>
  <c r="L2013" i="2"/>
  <c r="M2013" i="2"/>
  <c r="N2013" i="2"/>
  <c r="O2013" i="2"/>
  <c r="L2014" i="2"/>
  <c r="M2014" i="2"/>
  <c r="N2014" i="2"/>
  <c r="O2014" i="2"/>
  <c r="L2015" i="2"/>
  <c r="M2015" i="2"/>
  <c r="N2015" i="2"/>
  <c r="O2015" i="2"/>
  <c r="L2016" i="2"/>
  <c r="M2016" i="2"/>
  <c r="N2016" i="2"/>
  <c r="O2016" i="2"/>
  <c r="L2017" i="2"/>
  <c r="M2017" i="2"/>
  <c r="N2017" i="2"/>
  <c r="O2017" i="2"/>
  <c r="L2018" i="2"/>
  <c r="M2018" i="2"/>
  <c r="N2018" i="2"/>
  <c r="O2018" i="2"/>
  <c r="L2019" i="2"/>
  <c r="M2019" i="2"/>
  <c r="N2019" i="2"/>
  <c r="O2019" i="2"/>
  <c r="L2020" i="2"/>
  <c r="M2020" i="2"/>
  <c r="N2020" i="2"/>
  <c r="O2020" i="2"/>
  <c r="L2021" i="2"/>
  <c r="M2021" i="2"/>
  <c r="N2021" i="2"/>
  <c r="O2021" i="2"/>
  <c r="L2022" i="2"/>
  <c r="M2022" i="2"/>
  <c r="N2022" i="2"/>
  <c r="O2022" i="2"/>
  <c r="L2023" i="2"/>
  <c r="M2023" i="2"/>
  <c r="N2023" i="2"/>
  <c r="O2023" i="2"/>
  <c r="L2024" i="2"/>
  <c r="M2024" i="2"/>
  <c r="N2024" i="2"/>
  <c r="O2024" i="2"/>
  <c r="L2025" i="2"/>
  <c r="M2025" i="2"/>
  <c r="N2025" i="2"/>
  <c r="O2025" i="2"/>
  <c r="L2026" i="2"/>
  <c r="M2026" i="2"/>
  <c r="N2026" i="2"/>
  <c r="O2026" i="2"/>
  <c r="L2027" i="2"/>
  <c r="M2027" i="2"/>
  <c r="N2027" i="2"/>
  <c r="O2027" i="2"/>
  <c r="L2028" i="2"/>
  <c r="M2028" i="2"/>
  <c r="N2028" i="2"/>
  <c r="O2028" i="2"/>
  <c r="L2029" i="2"/>
  <c r="M2029" i="2"/>
  <c r="N2029" i="2"/>
  <c r="O2029" i="2"/>
  <c r="L2030" i="2"/>
  <c r="M2030" i="2"/>
  <c r="N2030" i="2"/>
  <c r="O2030" i="2"/>
  <c r="L2031" i="2"/>
  <c r="M2031" i="2"/>
  <c r="N2031" i="2"/>
  <c r="O2031" i="2"/>
  <c r="L2032" i="2"/>
  <c r="M2032" i="2"/>
  <c r="N2032" i="2"/>
  <c r="O2032" i="2"/>
  <c r="L2033" i="2"/>
  <c r="M2033" i="2"/>
  <c r="N2033" i="2"/>
  <c r="O2033" i="2"/>
  <c r="L2034" i="2"/>
  <c r="M2034" i="2"/>
  <c r="N2034" i="2"/>
  <c r="O2034" i="2"/>
  <c r="L2035" i="2"/>
  <c r="M2035" i="2"/>
  <c r="N2035" i="2"/>
  <c r="O2035" i="2"/>
  <c r="L2036" i="2"/>
  <c r="M2036" i="2"/>
  <c r="N2036" i="2"/>
  <c r="O2036" i="2"/>
  <c r="L2037" i="2"/>
  <c r="M2037" i="2"/>
  <c r="N2037" i="2"/>
  <c r="O2037" i="2"/>
  <c r="L2038" i="2"/>
  <c r="M2038" i="2"/>
  <c r="N2038" i="2"/>
  <c r="O2038" i="2"/>
  <c r="L2039" i="2"/>
  <c r="M2039" i="2"/>
  <c r="N2039" i="2"/>
  <c r="O2039" i="2"/>
  <c r="L2040" i="2"/>
  <c r="M2040" i="2"/>
  <c r="N2040" i="2"/>
  <c r="O2040" i="2"/>
  <c r="L2041" i="2"/>
  <c r="M2041" i="2"/>
  <c r="N2041" i="2"/>
  <c r="O2041" i="2"/>
  <c r="L2042" i="2"/>
  <c r="M2042" i="2"/>
  <c r="N2042" i="2"/>
  <c r="O2042" i="2"/>
  <c r="L2043" i="2"/>
  <c r="M2043" i="2"/>
  <c r="N2043" i="2"/>
  <c r="O2043" i="2"/>
  <c r="L2044" i="2"/>
  <c r="M2044" i="2"/>
  <c r="N2044" i="2"/>
  <c r="O2044" i="2"/>
  <c r="L2045" i="2"/>
  <c r="M2045" i="2"/>
  <c r="N2045" i="2"/>
  <c r="O2045" i="2"/>
  <c r="L2046" i="2"/>
  <c r="M2046" i="2"/>
  <c r="N2046" i="2"/>
  <c r="O2046" i="2"/>
  <c r="L2047" i="2"/>
  <c r="M2047" i="2"/>
  <c r="N2047" i="2"/>
  <c r="O2047" i="2"/>
  <c r="L2048" i="2"/>
  <c r="M2048" i="2"/>
  <c r="N2048" i="2"/>
  <c r="O2048" i="2"/>
  <c r="L2049" i="2"/>
  <c r="M2049" i="2"/>
  <c r="N2049" i="2"/>
  <c r="O2049" i="2"/>
  <c r="L2050" i="2"/>
  <c r="M2050" i="2"/>
  <c r="N2050" i="2"/>
  <c r="O2050" i="2"/>
  <c r="L2051" i="2"/>
  <c r="M2051" i="2"/>
  <c r="N2051" i="2"/>
  <c r="O2051" i="2"/>
  <c r="L2052" i="2"/>
  <c r="M2052" i="2"/>
  <c r="N2052" i="2"/>
  <c r="O2052" i="2"/>
  <c r="L2053" i="2"/>
  <c r="M2053" i="2"/>
  <c r="N2053" i="2"/>
  <c r="O2053" i="2"/>
  <c r="L2054" i="2"/>
  <c r="M2054" i="2"/>
  <c r="N2054" i="2"/>
  <c r="O2054" i="2"/>
  <c r="L2055" i="2"/>
  <c r="M2055" i="2"/>
  <c r="N2055" i="2"/>
  <c r="O2055" i="2"/>
  <c r="L2056" i="2"/>
  <c r="M2056" i="2"/>
  <c r="N2056" i="2"/>
  <c r="O2056" i="2"/>
  <c r="L2057" i="2"/>
  <c r="M2057" i="2"/>
  <c r="N2057" i="2"/>
  <c r="O2057" i="2"/>
  <c r="L2058" i="2"/>
  <c r="M2058" i="2"/>
  <c r="N2058" i="2"/>
  <c r="O2058" i="2"/>
  <c r="L2059" i="2"/>
  <c r="M2059" i="2"/>
  <c r="N2059" i="2"/>
  <c r="O2059" i="2"/>
  <c r="L2060" i="2"/>
  <c r="M2060" i="2"/>
  <c r="N2060" i="2"/>
  <c r="O2060" i="2"/>
  <c r="L2061" i="2"/>
  <c r="M2061" i="2"/>
  <c r="N2061" i="2"/>
  <c r="O2061" i="2"/>
  <c r="L2062" i="2"/>
  <c r="M2062" i="2"/>
  <c r="N2062" i="2"/>
  <c r="O2062" i="2"/>
  <c r="L2063" i="2"/>
  <c r="M2063" i="2"/>
  <c r="N2063" i="2"/>
  <c r="O2063" i="2"/>
  <c r="L2064" i="2"/>
  <c r="M2064" i="2"/>
  <c r="N2064" i="2"/>
  <c r="O2064" i="2"/>
  <c r="L2065" i="2"/>
  <c r="M2065" i="2"/>
  <c r="N2065" i="2"/>
  <c r="O2065" i="2"/>
  <c r="L2066" i="2"/>
  <c r="M2066" i="2"/>
  <c r="N2066" i="2"/>
  <c r="O2066" i="2"/>
  <c r="L2067" i="2"/>
  <c r="M2067" i="2"/>
  <c r="N2067" i="2"/>
  <c r="O2067" i="2"/>
  <c r="L2068" i="2"/>
  <c r="M2068" i="2"/>
  <c r="N2068" i="2"/>
  <c r="O2068" i="2"/>
  <c r="L2069" i="2"/>
  <c r="M2069" i="2"/>
  <c r="N2069" i="2"/>
  <c r="O2069" i="2"/>
  <c r="L2070" i="2"/>
  <c r="M2070" i="2"/>
  <c r="N2070" i="2"/>
  <c r="O2070" i="2"/>
  <c r="L2071" i="2"/>
  <c r="M2071" i="2"/>
  <c r="N2071" i="2"/>
  <c r="O2071" i="2"/>
  <c r="L2072" i="2"/>
  <c r="M2072" i="2"/>
  <c r="N2072" i="2"/>
  <c r="O2072" i="2"/>
  <c r="L2073" i="2"/>
  <c r="M2073" i="2"/>
  <c r="N2073" i="2"/>
  <c r="O2073" i="2"/>
  <c r="L2074" i="2"/>
  <c r="M2074" i="2"/>
  <c r="N2074" i="2"/>
  <c r="O2074" i="2"/>
  <c r="L2075" i="2"/>
  <c r="M2075" i="2"/>
  <c r="N2075" i="2"/>
  <c r="O2075" i="2"/>
  <c r="L2076" i="2"/>
  <c r="M2076" i="2"/>
  <c r="N2076" i="2"/>
  <c r="O2076" i="2"/>
  <c r="L2077" i="2"/>
  <c r="M2077" i="2"/>
  <c r="N2077" i="2"/>
  <c r="O2077" i="2"/>
  <c r="L2078" i="2"/>
  <c r="M2078" i="2"/>
  <c r="N2078" i="2"/>
  <c r="O2078" i="2"/>
  <c r="L2079" i="2"/>
  <c r="M2079" i="2"/>
  <c r="N2079" i="2"/>
  <c r="O2079" i="2"/>
  <c r="L2080" i="2"/>
  <c r="M2080" i="2"/>
  <c r="N2080" i="2"/>
  <c r="O2080" i="2"/>
  <c r="L2081" i="2"/>
  <c r="M2081" i="2"/>
  <c r="N2081" i="2"/>
  <c r="O2081" i="2"/>
  <c r="L2082" i="2"/>
  <c r="M2082" i="2"/>
  <c r="N2082" i="2"/>
  <c r="O2082" i="2"/>
  <c r="L2083" i="2"/>
  <c r="M2083" i="2"/>
  <c r="N2083" i="2"/>
  <c r="O2083" i="2"/>
  <c r="L2084" i="2"/>
  <c r="M2084" i="2"/>
  <c r="N2084" i="2"/>
  <c r="O2084" i="2"/>
  <c r="L2085" i="2"/>
  <c r="M2085" i="2"/>
  <c r="N2085" i="2"/>
  <c r="O2085" i="2"/>
  <c r="L2086" i="2"/>
  <c r="M2086" i="2"/>
  <c r="N2086" i="2"/>
  <c r="O2086" i="2"/>
  <c r="L2087" i="2"/>
  <c r="M2087" i="2"/>
  <c r="N2087" i="2"/>
  <c r="O2087" i="2"/>
  <c r="L2088" i="2"/>
  <c r="M2088" i="2"/>
  <c r="N2088" i="2"/>
  <c r="O2088" i="2"/>
  <c r="L2089" i="2"/>
  <c r="M2089" i="2"/>
  <c r="N2089" i="2"/>
  <c r="O2089" i="2"/>
  <c r="L2090" i="2"/>
  <c r="M2090" i="2"/>
  <c r="N2090" i="2"/>
  <c r="O2090" i="2"/>
  <c r="L2091" i="2"/>
  <c r="M2091" i="2"/>
  <c r="N2091" i="2"/>
  <c r="O2091" i="2"/>
  <c r="L2092" i="2"/>
  <c r="M2092" i="2"/>
  <c r="N2092" i="2"/>
  <c r="O2092" i="2"/>
  <c r="L2093" i="2"/>
  <c r="M2093" i="2"/>
  <c r="N2093" i="2"/>
  <c r="O2093" i="2"/>
  <c r="L2094" i="2"/>
  <c r="M2094" i="2"/>
  <c r="N2094" i="2"/>
  <c r="O2094" i="2"/>
  <c r="L2095" i="2"/>
  <c r="M2095" i="2"/>
  <c r="N2095" i="2"/>
  <c r="O2095" i="2"/>
  <c r="L2096" i="2"/>
  <c r="M2096" i="2"/>
  <c r="N2096" i="2"/>
  <c r="O2096" i="2"/>
  <c r="L2097" i="2"/>
  <c r="M2097" i="2"/>
  <c r="N2097" i="2"/>
  <c r="O2097" i="2"/>
  <c r="L2098" i="2"/>
  <c r="M2098" i="2"/>
  <c r="N2098" i="2"/>
  <c r="O2098" i="2"/>
  <c r="L2099" i="2"/>
  <c r="M2099" i="2"/>
  <c r="N2099" i="2"/>
  <c r="O2099" i="2"/>
  <c r="L2100" i="2"/>
  <c r="M2100" i="2"/>
  <c r="N2100" i="2"/>
  <c r="O2100" i="2"/>
  <c r="L2101" i="2"/>
  <c r="M2101" i="2"/>
  <c r="N2101" i="2"/>
  <c r="O2101" i="2"/>
  <c r="L2102" i="2"/>
  <c r="M2102" i="2"/>
  <c r="N2102" i="2"/>
  <c r="O2102" i="2"/>
  <c r="L2103" i="2"/>
  <c r="M2103" i="2"/>
  <c r="N2103" i="2"/>
  <c r="O2103" i="2"/>
  <c r="L2104" i="2"/>
  <c r="M2104" i="2"/>
  <c r="N2104" i="2"/>
  <c r="O2104" i="2"/>
  <c r="L2105" i="2"/>
  <c r="M2105" i="2"/>
  <c r="N2105" i="2"/>
  <c r="O2105" i="2"/>
  <c r="L2106" i="2"/>
  <c r="M2106" i="2"/>
  <c r="N2106" i="2"/>
  <c r="O2106" i="2"/>
  <c r="L2107" i="2"/>
  <c r="M2107" i="2"/>
  <c r="N2107" i="2"/>
  <c r="O2107" i="2"/>
  <c r="L2108" i="2"/>
  <c r="M2108" i="2"/>
  <c r="N2108" i="2"/>
  <c r="O2108" i="2"/>
  <c r="L2109" i="2"/>
  <c r="M2109" i="2"/>
  <c r="N2109" i="2"/>
  <c r="O2109" i="2"/>
  <c r="L2110" i="2"/>
  <c r="M2110" i="2"/>
  <c r="N2110" i="2"/>
  <c r="O2110" i="2"/>
  <c r="L2111" i="2"/>
  <c r="M2111" i="2"/>
  <c r="N2111" i="2"/>
  <c r="O2111" i="2"/>
  <c r="L2112" i="2"/>
  <c r="M2112" i="2"/>
  <c r="N2112" i="2"/>
  <c r="O2112" i="2"/>
  <c r="L2113" i="2"/>
  <c r="M2113" i="2"/>
  <c r="N2113" i="2"/>
  <c r="O2113" i="2"/>
  <c r="L2114" i="2"/>
  <c r="M2114" i="2"/>
  <c r="N2114" i="2"/>
  <c r="O2114" i="2"/>
  <c r="L2115" i="2"/>
  <c r="M2115" i="2"/>
  <c r="N2115" i="2"/>
  <c r="O2115" i="2"/>
  <c r="L2116" i="2"/>
  <c r="M2116" i="2"/>
  <c r="N2116" i="2"/>
  <c r="O2116" i="2"/>
  <c r="L2117" i="2"/>
  <c r="M2117" i="2"/>
  <c r="N2117" i="2"/>
  <c r="O2117" i="2"/>
  <c r="L2118" i="2"/>
  <c r="M2118" i="2"/>
  <c r="N2118" i="2"/>
  <c r="O2118" i="2"/>
  <c r="L2119" i="2"/>
  <c r="M2119" i="2"/>
  <c r="N2119" i="2"/>
  <c r="O2119" i="2"/>
  <c r="L2120" i="2"/>
  <c r="M2120" i="2"/>
  <c r="N2120" i="2"/>
  <c r="O2120" i="2"/>
  <c r="L2121" i="2"/>
  <c r="M2121" i="2"/>
  <c r="N2121" i="2"/>
  <c r="O2121" i="2"/>
  <c r="L2122" i="2"/>
  <c r="M2122" i="2"/>
  <c r="N2122" i="2"/>
  <c r="O2122" i="2"/>
  <c r="L2123" i="2"/>
  <c r="M2123" i="2"/>
  <c r="N2123" i="2"/>
  <c r="O2123" i="2"/>
  <c r="L2124" i="2"/>
  <c r="M2124" i="2"/>
  <c r="N2124" i="2"/>
  <c r="O2124" i="2"/>
  <c r="L2125" i="2"/>
  <c r="M2125" i="2"/>
  <c r="N2125" i="2"/>
  <c r="O2125" i="2"/>
  <c r="L2126" i="2"/>
  <c r="M2126" i="2"/>
  <c r="N2126" i="2"/>
  <c r="O2126" i="2"/>
  <c r="L2127" i="2"/>
  <c r="M2127" i="2"/>
  <c r="N2127" i="2"/>
  <c r="O2127" i="2"/>
  <c r="L2128" i="2"/>
  <c r="M2128" i="2"/>
  <c r="N2128" i="2"/>
  <c r="O2128" i="2"/>
  <c r="L2129" i="2"/>
  <c r="M2129" i="2"/>
  <c r="N2129" i="2"/>
  <c r="O2129" i="2"/>
  <c r="L2130" i="2"/>
  <c r="M2130" i="2"/>
  <c r="N2130" i="2"/>
  <c r="O2130" i="2"/>
  <c r="L2131" i="2"/>
  <c r="M2131" i="2"/>
  <c r="N2131" i="2"/>
  <c r="O2131" i="2"/>
  <c r="L2132" i="2"/>
  <c r="M2132" i="2"/>
  <c r="N2132" i="2"/>
  <c r="O2132" i="2"/>
  <c r="L2133" i="2"/>
  <c r="M2133" i="2"/>
  <c r="N2133" i="2"/>
  <c r="O2133" i="2"/>
  <c r="L2134" i="2"/>
  <c r="M2134" i="2"/>
  <c r="N2134" i="2"/>
  <c r="O2134" i="2"/>
  <c r="L2135" i="2"/>
  <c r="M2135" i="2"/>
  <c r="N2135" i="2"/>
  <c r="O2135" i="2"/>
  <c r="L2136" i="2"/>
  <c r="M2136" i="2"/>
  <c r="N2136" i="2"/>
  <c r="O2136" i="2"/>
  <c r="L2137" i="2"/>
  <c r="M2137" i="2"/>
  <c r="N2137" i="2"/>
  <c r="O2137" i="2"/>
  <c r="L2138" i="2"/>
  <c r="M2138" i="2"/>
  <c r="N2138" i="2"/>
  <c r="O2138" i="2"/>
  <c r="L2139" i="2"/>
  <c r="M2139" i="2"/>
  <c r="N2139" i="2"/>
  <c r="O2139" i="2"/>
  <c r="L2140" i="2"/>
  <c r="M2140" i="2"/>
  <c r="N2140" i="2"/>
  <c r="O2140" i="2"/>
  <c r="L2141" i="2"/>
  <c r="M2141" i="2"/>
  <c r="N2141" i="2"/>
  <c r="O2141" i="2"/>
  <c r="L2142" i="2"/>
  <c r="M2142" i="2"/>
  <c r="N2142" i="2"/>
  <c r="O2142" i="2"/>
  <c r="L2143" i="2"/>
  <c r="M2143" i="2"/>
  <c r="N2143" i="2"/>
  <c r="O2143" i="2"/>
  <c r="L2144" i="2"/>
  <c r="M2144" i="2"/>
  <c r="N2144" i="2"/>
  <c r="O2144" i="2"/>
  <c r="L2145" i="2"/>
  <c r="M2145" i="2"/>
  <c r="N2145" i="2"/>
  <c r="O2145" i="2"/>
  <c r="L2146" i="2"/>
  <c r="M2146" i="2"/>
  <c r="N2146" i="2"/>
  <c r="O2146" i="2"/>
  <c r="L2147" i="2"/>
  <c r="M2147" i="2"/>
  <c r="N2147" i="2"/>
  <c r="O2147" i="2"/>
  <c r="L2148" i="2"/>
  <c r="M2148" i="2"/>
  <c r="N2148" i="2"/>
  <c r="O2148" i="2"/>
  <c r="L2149" i="2"/>
  <c r="M2149" i="2"/>
  <c r="N2149" i="2"/>
  <c r="O2149" i="2"/>
  <c r="L2150" i="2"/>
  <c r="M2150" i="2"/>
  <c r="N2150" i="2"/>
  <c r="O2150" i="2"/>
  <c r="L2151" i="2"/>
  <c r="M2151" i="2"/>
  <c r="N2151" i="2"/>
  <c r="O2151" i="2"/>
  <c r="L2152" i="2"/>
  <c r="M2152" i="2"/>
  <c r="N2152" i="2"/>
  <c r="O2152" i="2"/>
  <c r="L2153" i="2"/>
  <c r="M2153" i="2"/>
  <c r="N2153" i="2"/>
  <c r="O2153" i="2"/>
  <c r="L2154" i="2"/>
  <c r="M2154" i="2"/>
  <c r="N2154" i="2"/>
  <c r="O2154" i="2"/>
  <c r="L2155" i="2"/>
  <c r="M2155" i="2"/>
  <c r="N2155" i="2"/>
  <c r="O2155" i="2"/>
  <c r="L2156" i="2"/>
  <c r="M2156" i="2"/>
  <c r="N2156" i="2"/>
  <c r="O2156" i="2"/>
  <c r="L2157" i="2"/>
  <c r="M2157" i="2"/>
  <c r="N2157" i="2"/>
  <c r="O2157" i="2"/>
  <c r="L2158" i="2"/>
  <c r="M2158" i="2"/>
  <c r="N2158" i="2"/>
  <c r="O2158" i="2"/>
  <c r="L2159" i="2"/>
  <c r="M2159" i="2"/>
  <c r="N2159" i="2"/>
  <c r="O2159" i="2"/>
  <c r="L2160" i="2"/>
  <c r="M2160" i="2"/>
  <c r="N2160" i="2"/>
  <c r="O2160" i="2"/>
  <c r="L2161" i="2"/>
  <c r="M2161" i="2"/>
  <c r="N2161" i="2"/>
  <c r="O2161" i="2"/>
  <c r="L2162" i="2"/>
  <c r="M2162" i="2"/>
  <c r="N2162" i="2"/>
  <c r="O2162" i="2"/>
  <c r="L2163" i="2"/>
  <c r="M2163" i="2"/>
  <c r="N2163" i="2"/>
  <c r="O2163" i="2"/>
  <c r="L2164" i="2"/>
  <c r="M2164" i="2"/>
  <c r="N2164" i="2"/>
  <c r="O2164" i="2"/>
  <c r="L2165" i="2"/>
  <c r="M2165" i="2"/>
  <c r="N2165" i="2"/>
  <c r="O2165" i="2"/>
  <c r="L2166" i="2"/>
  <c r="M2166" i="2"/>
  <c r="N2166" i="2"/>
  <c r="O2166" i="2"/>
  <c r="L2167" i="2"/>
  <c r="M2167" i="2"/>
  <c r="N2167" i="2"/>
  <c r="O2167" i="2"/>
  <c r="L2168" i="2"/>
  <c r="M2168" i="2"/>
  <c r="N2168" i="2"/>
  <c r="O2168" i="2"/>
  <c r="L2169" i="2"/>
  <c r="M2169" i="2"/>
  <c r="N2169" i="2"/>
  <c r="O2169" i="2"/>
  <c r="L2170" i="2"/>
  <c r="M2170" i="2"/>
  <c r="N2170" i="2"/>
  <c r="O2170" i="2"/>
  <c r="L2171" i="2"/>
  <c r="M2171" i="2"/>
  <c r="N2171" i="2"/>
  <c r="O2171" i="2"/>
  <c r="L2172" i="2"/>
  <c r="M2172" i="2"/>
  <c r="N2172" i="2"/>
  <c r="O2172" i="2"/>
  <c r="L2173" i="2"/>
  <c r="M2173" i="2"/>
  <c r="N2173" i="2"/>
  <c r="O2173" i="2"/>
  <c r="L2174" i="2"/>
  <c r="M2174" i="2"/>
  <c r="N2174" i="2"/>
  <c r="O2174" i="2"/>
  <c r="L2175" i="2"/>
  <c r="M2175" i="2"/>
  <c r="N2175" i="2"/>
  <c r="O2175" i="2"/>
  <c r="L2176" i="2"/>
  <c r="M2176" i="2"/>
  <c r="N2176" i="2"/>
  <c r="O2176" i="2"/>
  <c r="L2177" i="2"/>
  <c r="M2177" i="2"/>
  <c r="N2177" i="2"/>
  <c r="O2177" i="2"/>
  <c r="L2178" i="2"/>
  <c r="M2178" i="2"/>
  <c r="N2178" i="2"/>
  <c r="O2178" i="2"/>
  <c r="L2179" i="2"/>
  <c r="M2179" i="2"/>
  <c r="N2179" i="2"/>
  <c r="O2179" i="2"/>
  <c r="L2180" i="2"/>
  <c r="M2180" i="2"/>
  <c r="N2180" i="2"/>
  <c r="O2180" i="2"/>
  <c r="L2181" i="2"/>
  <c r="M2181" i="2"/>
  <c r="N2181" i="2"/>
  <c r="O2181" i="2"/>
  <c r="L2182" i="2"/>
  <c r="M2182" i="2"/>
  <c r="N2182" i="2"/>
  <c r="O2182" i="2"/>
  <c r="L2183" i="2"/>
  <c r="M2183" i="2"/>
  <c r="N2183" i="2"/>
  <c r="O2183" i="2"/>
  <c r="L2184" i="2"/>
  <c r="M2184" i="2"/>
  <c r="N2184" i="2"/>
  <c r="O2184" i="2"/>
  <c r="L2185" i="2"/>
  <c r="M2185" i="2"/>
  <c r="N2185" i="2"/>
  <c r="O2185" i="2"/>
  <c r="L2186" i="2"/>
  <c r="M2186" i="2"/>
  <c r="N2186" i="2"/>
  <c r="O2186" i="2"/>
  <c r="L2187" i="2"/>
  <c r="M2187" i="2"/>
  <c r="N2187" i="2"/>
  <c r="O2187" i="2"/>
  <c r="L2188" i="2"/>
  <c r="M2188" i="2"/>
  <c r="N2188" i="2"/>
  <c r="O2188" i="2"/>
  <c r="L2189" i="2"/>
  <c r="M2189" i="2"/>
  <c r="N2189" i="2"/>
  <c r="O2189" i="2"/>
  <c r="L2190" i="2"/>
  <c r="M2190" i="2"/>
  <c r="N2190" i="2"/>
  <c r="O2190" i="2"/>
  <c r="L2191" i="2"/>
  <c r="M2191" i="2"/>
  <c r="N2191" i="2"/>
  <c r="O2191" i="2"/>
  <c r="L2192" i="2"/>
  <c r="M2192" i="2"/>
  <c r="N2192" i="2"/>
  <c r="O2192" i="2"/>
  <c r="L2193" i="2"/>
  <c r="M2193" i="2"/>
  <c r="N2193" i="2"/>
  <c r="O2193" i="2"/>
  <c r="L2194" i="2"/>
  <c r="M2194" i="2"/>
  <c r="N2194" i="2"/>
  <c r="O2194" i="2"/>
  <c r="L2195" i="2"/>
  <c r="M2195" i="2"/>
  <c r="N2195" i="2"/>
  <c r="O2195" i="2"/>
  <c r="L2196" i="2"/>
  <c r="M2196" i="2"/>
  <c r="N2196" i="2"/>
  <c r="O2196" i="2"/>
  <c r="L2197" i="2"/>
  <c r="M2197" i="2"/>
  <c r="N2197" i="2"/>
  <c r="O2197" i="2"/>
  <c r="L2198" i="2"/>
  <c r="M2198" i="2"/>
  <c r="N2198" i="2"/>
  <c r="O2198" i="2"/>
  <c r="L2199" i="2"/>
  <c r="M2199" i="2"/>
  <c r="N2199" i="2"/>
  <c r="O2199" i="2"/>
  <c r="L2200" i="2"/>
  <c r="M2200" i="2"/>
  <c r="N2200" i="2"/>
  <c r="O2200" i="2"/>
  <c r="L2201" i="2"/>
  <c r="M2201" i="2"/>
  <c r="N2201" i="2"/>
  <c r="O2201" i="2"/>
  <c r="L2202" i="2"/>
  <c r="M2202" i="2"/>
  <c r="N2202" i="2"/>
  <c r="O2202" i="2"/>
  <c r="L2203" i="2"/>
  <c r="M2203" i="2"/>
  <c r="N2203" i="2"/>
  <c r="O2203" i="2"/>
  <c r="L2204" i="2"/>
  <c r="M2204" i="2"/>
  <c r="N2204" i="2"/>
  <c r="O2204" i="2"/>
  <c r="L2205" i="2"/>
  <c r="M2205" i="2"/>
  <c r="N2205" i="2"/>
  <c r="O2205" i="2"/>
  <c r="L2206" i="2"/>
  <c r="M2206" i="2"/>
  <c r="N2206" i="2"/>
  <c r="O2206" i="2"/>
  <c r="L2207" i="2"/>
  <c r="M2207" i="2"/>
  <c r="N2207" i="2"/>
  <c r="O2207" i="2"/>
  <c r="L2208" i="2"/>
  <c r="M2208" i="2"/>
  <c r="N2208" i="2"/>
  <c r="O2208" i="2"/>
  <c r="L2209" i="2"/>
  <c r="M2209" i="2"/>
  <c r="N2209" i="2"/>
  <c r="O2209" i="2"/>
  <c r="L2210" i="2"/>
  <c r="M2210" i="2"/>
  <c r="N2210" i="2"/>
  <c r="O2210" i="2"/>
  <c r="L2211" i="2"/>
  <c r="M2211" i="2"/>
  <c r="N2211" i="2"/>
  <c r="O2211" i="2"/>
  <c r="L2212" i="2"/>
  <c r="M2212" i="2"/>
  <c r="N2212" i="2"/>
  <c r="O2212" i="2"/>
  <c r="L2213" i="2"/>
  <c r="M2213" i="2"/>
  <c r="N2213" i="2"/>
  <c r="O2213" i="2"/>
  <c r="L2214" i="2"/>
  <c r="M2214" i="2"/>
  <c r="N2214" i="2"/>
  <c r="O2214" i="2"/>
  <c r="L2215" i="2"/>
  <c r="M2215" i="2"/>
  <c r="N2215" i="2"/>
  <c r="O2215" i="2"/>
  <c r="L2216" i="2"/>
  <c r="M2216" i="2"/>
  <c r="N2216" i="2"/>
  <c r="O2216" i="2"/>
  <c r="L2217" i="2"/>
  <c r="M2217" i="2"/>
  <c r="N2217" i="2"/>
  <c r="O2217" i="2"/>
  <c r="L2218" i="2"/>
  <c r="M2218" i="2"/>
  <c r="N2218" i="2"/>
  <c r="O2218" i="2"/>
  <c r="L2219" i="2"/>
  <c r="M2219" i="2"/>
  <c r="N2219" i="2"/>
  <c r="O2219" i="2"/>
  <c r="L2220" i="2"/>
  <c r="M2220" i="2"/>
  <c r="N2220" i="2"/>
  <c r="O2220" i="2"/>
  <c r="L2221" i="2"/>
  <c r="M2221" i="2"/>
  <c r="N2221" i="2"/>
  <c r="O2221" i="2"/>
  <c r="L2222" i="2"/>
  <c r="M2222" i="2"/>
  <c r="N2222" i="2"/>
  <c r="O2222" i="2"/>
  <c r="L2223" i="2"/>
  <c r="M2223" i="2"/>
  <c r="N2223" i="2"/>
  <c r="O2223" i="2"/>
  <c r="L2224" i="2"/>
  <c r="M2224" i="2"/>
  <c r="N2224" i="2"/>
  <c r="O2224" i="2"/>
  <c r="L2225" i="2"/>
  <c r="M2225" i="2"/>
  <c r="N2225" i="2"/>
  <c r="O2225" i="2"/>
  <c r="L2226" i="2"/>
  <c r="M2226" i="2"/>
  <c r="N2226" i="2"/>
  <c r="O2226" i="2"/>
  <c r="L2227" i="2"/>
  <c r="M2227" i="2"/>
  <c r="N2227" i="2"/>
  <c r="O2227" i="2"/>
  <c r="L2228" i="2"/>
  <c r="M2228" i="2"/>
  <c r="N2228" i="2"/>
  <c r="O2228" i="2"/>
  <c r="L2229" i="2"/>
  <c r="M2229" i="2"/>
  <c r="N2229" i="2"/>
  <c r="O2229" i="2"/>
  <c r="L2230" i="2"/>
  <c r="M2230" i="2"/>
  <c r="N2230" i="2"/>
  <c r="O2230" i="2"/>
  <c r="L2231" i="2"/>
  <c r="M2231" i="2"/>
  <c r="N2231" i="2"/>
  <c r="O2231" i="2"/>
  <c r="L2232" i="2"/>
  <c r="M2232" i="2"/>
  <c r="N2232" i="2"/>
  <c r="O2232" i="2"/>
  <c r="L2233" i="2"/>
  <c r="M2233" i="2"/>
  <c r="N2233" i="2"/>
  <c r="O2233" i="2"/>
  <c r="L2234" i="2"/>
  <c r="M2234" i="2"/>
  <c r="N2234" i="2"/>
  <c r="O2234" i="2"/>
  <c r="L2235" i="2"/>
  <c r="M2235" i="2"/>
  <c r="N2235" i="2"/>
  <c r="O2235" i="2"/>
  <c r="L2236" i="2"/>
  <c r="M2236" i="2"/>
  <c r="N2236" i="2"/>
  <c r="O2236" i="2"/>
  <c r="L2237" i="2"/>
  <c r="M2237" i="2"/>
  <c r="N2237" i="2"/>
  <c r="O2237" i="2"/>
  <c r="L2238" i="2"/>
  <c r="M2238" i="2"/>
  <c r="N2238" i="2"/>
  <c r="O2238" i="2"/>
  <c r="L2239" i="2"/>
  <c r="M2239" i="2"/>
  <c r="N2239" i="2"/>
  <c r="O2239" i="2"/>
  <c r="L2240" i="2"/>
  <c r="M2240" i="2"/>
  <c r="N2240" i="2"/>
  <c r="O2240" i="2"/>
  <c r="L2241" i="2"/>
  <c r="M2241" i="2"/>
  <c r="N2241" i="2"/>
  <c r="O2241" i="2"/>
  <c r="L2242" i="2"/>
  <c r="M2242" i="2"/>
  <c r="N2242" i="2"/>
  <c r="O2242" i="2"/>
  <c r="L2243" i="2"/>
  <c r="M2243" i="2"/>
  <c r="N2243" i="2"/>
  <c r="O2243" i="2"/>
  <c r="L2244" i="2"/>
  <c r="M2244" i="2"/>
  <c r="N2244" i="2"/>
  <c r="O2244" i="2"/>
  <c r="L2245" i="2"/>
  <c r="M2245" i="2"/>
  <c r="N2245" i="2"/>
  <c r="O2245" i="2"/>
  <c r="L2246" i="2"/>
  <c r="M2246" i="2"/>
  <c r="N2246" i="2"/>
  <c r="O2246" i="2"/>
  <c r="L2247" i="2"/>
  <c r="M2247" i="2"/>
  <c r="N2247" i="2"/>
  <c r="O2247" i="2"/>
  <c r="L2248" i="2"/>
  <c r="M2248" i="2"/>
  <c r="N2248" i="2"/>
  <c r="O2248" i="2"/>
  <c r="L2249" i="2"/>
  <c r="M2249" i="2"/>
  <c r="N2249" i="2"/>
  <c r="O2249" i="2"/>
  <c r="L2250" i="2"/>
  <c r="M2250" i="2"/>
  <c r="N2250" i="2"/>
  <c r="O2250" i="2"/>
  <c r="L2251" i="2"/>
  <c r="M2251" i="2"/>
  <c r="N2251" i="2"/>
  <c r="O2251" i="2"/>
  <c r="L2252" i="2"/>
  <c r="M2252" i="2"/>
  <c r="N2252" i="2"/>
  <c r="O2252" i="2"/>
  <c r="L2253" i="2"/>
  <c r="M2253" i="2"/>
  <c r="N2253" i="2"/>
  <c r="O2253" i="2"/>
  <c r="L2254" i="2"/>
  <c r="M2254" i="2"/>
  <c r="N2254" i="2"/>
  <c r="O2254" i="2"/>
  <c r="L2255" i="2"/>
  <c r="M2255" i="2"/>
  <c r="N2255" i="2"/>
  <c r="O2255" i="2"/>
  <c r="L2256" i="2"/>
  <c r="M2256" i="2"/>
  <c r="N2256" i="2"/>
  <c r="O2256" i="2"/>
  <c r="L2257" i="2"/>
  <c r="M2257" i="2"/>
  <c r="N2257" i="2"/>
  <c r="O2257" i="2"/>
  <c r="L2258" i="2"/>
  <c r="M2258" i="2"/>
  <c r="N2258" i="2"/>
  <c r="O2258" i="2"/>
  <c r="L2259" i="2"/>
  <c r="M2259" i="2"/>
  <c r="N2259" i="2"/>
  <c r="O2259" i="2"/>
  <c r="L2260" i="2"/>
  <c r="M2260" i="2"/>
  <c r="N2260" i="2"/>
  <c r="O2260" i="2"/>
  <c r="L2261" i="2"/>
  <c r="M2261" i="2"/>
  <c r="N2261" i="2"/>
  <c r="O2261" i="2"/>
  <c r="L2262" i="2"/>
  <c r="M2262" i="2"/>
  <c r="N2262" i="2"/>
  <c r="O2262" i="2"/>
  <c r="L2263" i="2"/>
  <c r="M2263" i="2"/>
  <c r="N2263" i="2"/>
  <c r="O2263" i="2"/>
  <c r="L2264" i="2"/>
  <c r="M2264" i="2"/>
  <c r="N2264" i="2"/>
  <c r="O2264" i="2"/>
  <c r="L2265" i="2"/>
  <c r="M2265" i="2"/>
  <c r="N2265" i="2"/>
  <c r="O2265" i="2"/>
  <c r="L2266" i="2"/>
  <c r="M2266" i="2"/>
  <c r="N2266" i="2"/>
  <c r="O2266" i="2"/>
  <c r="L2267" i="2"/>
  <c r="M2267" i="2"/>
  <c r="N2267" i="2"/>
  <c r="O2267" i="2"/>
  <c r="L2268" i="2"/>
  <c r="M2268" i="2"/>
  <c r="N2268" i="2"/>
  <c r="O2268" i="2"/>
  <c r="L2269" i="2"/>
  <c r="M2269" i="2"/>
  <c r="N2269" i="2"/>
  <c r="O2269" i="2"/>
  <c r="L2270" i="2"/>
  <c r="M2270" i="2"/>
  <c r="N2270" i="2"/>
  <c r="O2270" i="2"/>
  <c r="L2271" i="2"/>
  <c r="M2271" i="2"/>
  <c r="N2271" i="2"/>
  <c r="O2271" i="2"/>
  <c r="L2272" i="2"/>
  <c r="M2272" i="2"/>
  <c r="N2272" i="2"/>
  <c r="O2272" i="2"/>
  <c r="L2273" i="2"/>
  <c r="M2273" i="2"/>
  <c r="N2273" i="2"/>
  <c r="O2273" i="2"/>
  <c r="L2274" i="2"/>
  <c r="M2274" i="2"/>
  <c r="N2274" i="2"/>
  <c r="O2274" i="2"/>
  <c r="L2275" i="2"/>
  <c r="M2275" i="2"/>
  <c r="N2275" i="2"/>
  <c r="O2275" i="2"/>
  <c r="L2276" i="2"/>
  <c r="M2276" i="2"/>
  <c r="N2276" i="2"/>
  <c r="O2276" i="2"/>
  <c r="L2277" i="2"/>
  <c r="M2277" i="2"/>
  <c r="N2277" i="2"/>
  <c r="O2277" i="2"/>
  <c r="L2278" i="2"/>
  <c r="M2278" i="2"/>
  <c r="N2278" i="2"/>
  <c r="O2278" i="2"/>
  <c r="L2279" i="2"/>
  <c r="M2279" i="2"/>
  <c r="N2279" i="2"/>
  <c r="O2279" i="2"/>
  <c r="L2280" i="2"/>
  <c r="M2280" i="2"/>
  <c r="N2280" i="2"/>
  <c r="O2280" i="2"/>
  <c r="L2281" i="2"/>
  <c r="M2281" i="2"/>
  <c r="N2281" i="2"/>
  <c r="O2281" i="2"/>
  <c r="L2282" i="2"/>
  <c r="M2282" i="2"/>
  <c r="N2282" i="2"/>
  <c r="O2282" i="2"/>
  <c r="L2283" i="2"/>
  <c r="M2283" i="2"/>
  <c r="N2283" i="2"/>
  <c r="O2283" i="2"/>
  <c r="L2284" i="2"/>
  <c r="M2284" i="2"/>
  <c r="N2284" i="2"/>
  <c r="O2284" i="2"/>
  <c r="L2285" i="2"/>
  <c r="M2285" i="2"/>
  <c r="N2285" i="2"/>
  <c r="O2285" i="2"/>
  <c r="L2286" i="2"/>
  <c r="M2286" i="2"/>
  <c r="N2286" i="2"/>
  <c r="O2286" i="2"/>
  <c r="L2287" i="2"/>
  <c r="M2287" i="2"/>
  <c r="N2287" i="2"/>
  <c r="O2287" i="2"/>
  <c r="L2288" i="2"/>
  <c r="M2288" i="2"/>
  <c r="N2288" i="2"/>
  <c r="O2288" i="2"/>
  <c r="L2289" i="2"/>
  <c r="M2289" i="2"/>
  <c r="N2289" i="2"/>
  <c r="O2289" i="2"/>
  <c r="L2290" i="2"/>
  <c r="M2290" i="2"/>
  <c r="N2290" i="2"/>
  <c r="O2290" i="2"/>
  <c r="L2291" i="2"/>
  <c r="M2291" i="2"/>
  <c r="N2291" i="2"/>
  <c r="O2291" i="2"/>
  <c r="L2292" i="2"/>
  <c r="M2292" i="2"/>
  <c r="N2292" i="2"/>
  <c r="O2292" i="2"/>
  <c r="L2293" i="2"/>
  <c r="M2293" i="2"/>
  <c r="N2293" i="2"/>
  <c r="O2293" i="2"/>
  <c r="L2294" i="2"/>
  <c r="M2294" i="2"/>
  <c r="N2294" i="2"/>
  <c r="O2294" i="2"/>
  <c r="L2295" i="2"/>
  <c r="M2295" i="2"/>
  <c r="N2295" i="2"/>
  <c r="O2295" i="2"/>
  <c r="L2296" i="2"/>
  <c r="M2296" i="2"/>
  <c r="N2296" i="2"/>
  <c r="O2296" i="2"/>
  <c r="L2297" i="2"/>
  <c r="M2297" i="2"/>
  <c r="N2297" i="2"/>
  <c r="O2297" i="2"/>
  <c r="L2298" i="2"/>
  <c r="M2298" i="2"/>
  <c r="N2298" i="2"/>
  <c r="O2298" i="2"/>
  <c r="L2299" i="2"/>
  <c r="M2299" i="2"/>
  <c r="N2299" i="2"/>
  <c r="O2299" i="2"/>
  <c r="L2300" i="2"/>
  <c r="M2300" i="2"/>
  <c r="N2300" i="2"/>
  <c r="O2300" i="2"/>
  <c r="L2301" i="2"/>
  <c r="M2301" i="2"/>
  <c r="N2301" i="2"/>
  <c r="O2301" i="2"/>
  <c r="L2302" i="2"/>
  <c r="M2302" i="2"/>
  <c r="N2302" i="2"/>
  <c r="O2302" i="2"/>
  <c r="L2303" i="2"/>
  <c r="M2303" i="2"/>
  <c r="N2303" i="2"/>
  <c r="O2303" i="2"/>
  <c r="L2304" i="2"/>
  <c r="M2304" i="2"/>
  <c r="N2304" i="2"/>
  <c r="O2304" i="2"/>
  <c r="L2305" i="2"/>
  <c r="M2305" i="2"/>
  <c r="N2305" i="2"/>
  <c r="O2305" i="2"/>
  <c r="L2306" i="2"/>
  <c r="M2306" i="2"/>
  <c r="N2306" i="2"/>
  <c r="O2306" i="2"/>
  <c r="L2307" i="2"/>
  <c r="M2307" i="2"/>
  <c r="N2307" i="2"/>
  <c r="O2307" i="2"/>
  <c r="L2308" i="2"/>
  <c r="M2308" i="2"/>
  <c r="N2308" i="2"/>
  <c r="O2308" i="2"/>
  <c r="L2309" i="2"/>
  <c r="M2309" i="2"/>
  <c r="N2309" i="2"/>
  <c r="O2309" i="2"/>
  <c r="L2310" i="2"/>
  <c r="M2310" i="2"/>
  <c r="N2310" i="2"/>
  <c r="O2310" i="2"/>
  <c r="L2311" i="2"/>
  <c r="M2311" i="2"/>
  <c r="N2311" i="2"/>
  <c r="O2311" i="2"/>
  <c r="L2312" i="2"/>
  <c r="M2312" i="2"/>
  <c r="N2312" i="2"/>
  <c r="O2312" i="2"/>
  <c r="L2313" i="2"/>
  <c r="M2313" i="2"/>
  <c r="N2313" i="2"/>
  <c r="O2313" i="2"/>
  <c r="L2314" i="2"/>
  <c r="M2314" i="2"/>
  <c r="N2314" i="2"/>
  <c r="O2314" i="2"/>
  <c r="L2315" i="2"/>
  <c r="M2315" i="2"/>
  <c r="N2315" i="2"/>
  <c r="O2315" i="2"/>
  <c r="L2316" i="2"/>
  <c r="M2316" i="2"/>
  <c r="N2316" i="2"/>
  <c r="O2316" i="2"/>
  <c r="L2317" i="2"/>
  <c r="M2317" i="2"/>
  <c r="N2317" i="2"/>
  <c r="O2317" i="2"/>
  <c r="L2318" i="2"/>
  <c r="M2318" i="2"/>
  <c r="N2318" i="2"/>
  <c r="O2318" i="2"/>
  <c r="L2319" i="2"/>
  <c r="M2319" i="2"/>
  <c r="N2319" i="2"/>
  <c r="O2319" i="2"/>
  <c r="L2320" i="2"/>
  <c r="M2320" i="2"/>
  <c r="N2320" i="2"/>
  <c r="O2320" i="2"/>
  <c r="L2321" i="2"/>
  <c r="M2321" i="2"/>
  <c r="N2321" i="2"/>
  <c r="O2321" i="2"/>
  <c r="L2322" i="2"/>
  <c r="M2322" i="2"/>
  <c r="N2322" i="2"/>
  <c r="O2322" i="2"/>
  <c r="L2323" i="2"/>
  <c r="M2323" i="2"/>
  <c r="N2323" i="2"/>
  <c r="O2323" i="2"/>
  <c r="L2324" i="2"/>
  <c r="M2324" i="2"/>
  <c r="N2324" i="2"/>
  <c r="O2324" i="2"/>
  <c r="L2325" i="2"/>
  <c r="M2325" i="2"/>
  <c r="N2325" i="2"/>
  <c r="O2325" i="2"/>
  <c r="L2326" i="2"/>
  <c r="M2326" i="2"/>
  <c r="N2326" i="2"/>
  <c r="O2326" i="2"/>
  <c r="L2327" i="2"/>
  <c r="M2327" i="2"/>
  <c r="N2327" i="2"/>
  <c r="O2327" i="2"/>
  <c r="L2328" i="2"/>
  <c r="M2328" i="2"/>
  <c r="N2328" i="2"/>
  <c r="O2328" i="2"/>
  <c r="L2329" i="2"/>
  <c r="M2329" i="2"/>
  <c r="N2329" i="2"/>
  <c r="O2329" i="2"/>
  <c r="L2330" i="2"/>
  <c r="M2330" i="2"/>
  <c r="N2330" i="2"/>
  <c r="O2330" i="2"/>
  <c r="L2331" i="2"/>
  <c r="M2331" i="2"/>
  <c r="N2331" i="2"/>
  <c r="O2331" i="2"/>
  <c r="L2332" i="2"/>
  <c r="M2332" i="2"/>
  <c r="N2332" i="2"/>
  <c r="O2332" i="2"/>
  <c r="L2333" i="2"/>
  <c r="M2333" i="2"/>
  <c r="N2333" i="2"/>
  <c r="O2333" i="2"/>
  <c r="L2334" i="2"/>
  <c r="M2334" i="2"/>
  <c r="N2334" i="2"/>
  <c r="O2334" i="2"/>
  <c r="L2335" i="2"/>
  <c r="M2335" i="2"/>
  <c r="N2335" i="2"/>
  <c r="O2335" i="2"/>
  <c r="L2336" i="2"/>
  <c r="M2336" i="2"/>
  <c r="N2336" i="2"/>
  <c r="O2336" i="2"/>
  <c r="L2337" i="2"/>
  <c r="M2337" i="2"/>
  <c r="N2337" i="2"/>
  <c r="O2337" i="2"/>
  <c r="L2338" i="2"/>
  <c r="M2338" i="2"/>
  <c r="N2338" i="2"/>
  <c r="O2338" i="2"/>
  <c r="L2339" i="2"/>
  <c r="M2339" i="2"/>
  <c r="N2339" i="2"/>
  <c r="O2339" i="2"/>
  <c r="L2340" i="2"/>
  <c r="M2340" i="2"/>
  <c r="N2340" i="2"/>
  <c r="O2340" i="2"/>
  <c r="L2341" i="2"/>
  <c r="M2341" i="2"/>
  <c r="N2341" i="2"/>
  <c r="O2341" i="2"/>
  <c r="L2342" i="2"/>
  <c r="M2342" i="2"/>
  <c r="N2342" i="2"/>
  <c r="O2342" i="2"/>
  <c r="L2343" i="2"/>
  <c r="M2343" i="2"/>
  <c r="N2343" i="2"/>
  <c r="O2343" i="2"/>
  <c r="L2344" i="2"/>
  <c r="M2344" i="2"/>
  <c r="N2344" i="2"/>
  <c r="O2344" i="2"/>
  <c r="L2345" i="2"/>
  <c r="M2345" i="2"/>
  <c r="N2345" i="2"/>
  <c r="O2345" i="2"/>
  <c r="L2346" i="2"/>
  <c r="M2346" i="2"/>
  <c r="N2346" i="2"/>
  <c r="O2346" i="2"/>
  <c r="L2347" i="2"/>
  <c r="M2347" i="2"/>
  <c r="N2347" i="2"/>
  <c r="O2347" i="2"/>
  <c r="L2348" i="2"/>
  <c r="M2348" i="2"/>
  <c r="N2348" i="2"/>
  <c r="O2348" i="2"/>
  <c r="L2349" i="2"/>
  <c r="M2349" i="2"/>
  <c r="N2349" i="2"/>
  <c r="O2349" i="2"/>
  <c r="L2350" i="2"/>
  <c r="M2350" i="2"/>
  <c r="N2350" i="2"/>
  <c r="O2350" i="2"/>
  <c r="L2351" i="2"/>
  <c r="M2351" i="2"/>
  <c r="N2351" i="2"/>
  <c r="O2351" i="2"/>
  <c r="L2352" i="2"/>
  <c r="M2352" i="2"/>
  <c r="N2352" i="2"/>
  <c r="O2352" i="2"/>
  <c r="L2353" i="2"/>
  <c r="M2353" i="2"/>
  <c r="N2353" i="2"/>
  <c r="O2353" i="2"/>
  <c r="L2354" i="2"/>
  <c r="M2354" i="2"/>
  <c r="N2354" i="2"/>
  <c r="O2354" i="2"/>
  <c r="L2355" i="2"/>
  <c r="M2355" i="2"/>
  <c r="N2355" i="2"/>
  <c r="O2355" i="2"/>
  <c r="L2356" i="2"/>
  <c r="M2356" i="2"/>
  <c r="N2356" i="2"/>
  <c r="O2356" i="2"/>
  <c r="L2357" i="2"/>
  <c r="M2357" i="2"/>
  <c r="N2357" i="2"/>
  <c r="O2357" i="2"/>
  <c r="L2358" i="2"/>
  <c r="M2358" i="2"/>
  <c r="N2358" i="2"/>
  <c r="O2358" i="2"/>
  <c r="L2359" i="2"/>
  <c r="M2359" i="2"/>
  <c r="N2359" i="2"/>
  <c r="O2359" i="2"/>
  <c r="L2360" i="2"/>
  <c r="M2360" i="2"/>
  <c r="N2360" i="2"/>
  <c r="O2360" i="2"/>
  <c r="L2361" i="2"/>
  <c r="M2361" i="2"/>
  <c r="N2361" i="2"/>
  <c r="O2361" i="2"/>
  <c r="L2362" i="2"/>
  <c r="M2362" i="2"/>
  <c r="N2362" i="2"/>
  <c r="O2362" i="2"/>
  <c r="L2363" i="2"/>
  <c r="M2363" i="2"/>
  <c r="N2363" i="2"/>
  <c r="O2363" i="2"/>
  <c r="L2364" i="2"/>
  <c r="M2364" i="2"/>
  <c r="N2364" i="2"/>
  <c r="O2364" i="2"/>
  <c r="L2365" i="2"/>
  <c r="M2365" i="2"/>
  <c r="N2365" i="2"/>
  <c r="O2365" i="2"/>
  <c r="L2366" i="2"/>
  <c r="M2366" i="2"/>
  <c r="N2366" i="2"/>
  <c r="O2366" i="2"/>
  <c r="L2367" i="2"/>
  <c r="M2367" i="2"/>
  <c r="N2367" i="2"/>
  <c r="O2367" i="2"/>
  <c r="L2368" i="2"/>
  <c r="M2368" i="2"/>
  <c r="N2368" i="2"/>
  <c r="O2368" i="2"/>
  <c r="L2369" i="2"/>
  <c r="M2369" i="2"/>
  <c r="N2369" i="2"/>
  <c r="O2369" i="2"/>
  <c r="L2370" i="2"/>
  <c r="M2370" i="2"/>
  <c r="N2370" i="2"/>
  <c r="O2370" i="2"/>
  <c r="L2371" i="2"/>
  <c r="M2371" i="2"/>
  <c r="N2371" i="2"/>
  <c r="O2371" i="2"/>
  <c r="L2372" i="2"/>
  <c r="M2372" i="2"/>
  <c r="N2372" i="2"/>
  <c r="O2372" i="2"/>
  <c r="L2373" i="2"/>
  <c r="M2373" i="2"/>
  <c r="N2373" i="2"/>
  <c r="O2373" i="2"/>
  <c r="L2374" i="2"/>
  <c r="M2374" i="2"/>
  <c r="N2374" i="2"/>
  <c r="O2374" i="2"/>
  <c r="L2375" i="2"/>
  <c r="M2375" i="2"/>
  <c r="N2375" i="2"/>
  <c r="O2375" i="2"/>
  <c r="L2376" i="2"/>
  <c r="M2376" i="2"/>
  <c r="N2376" i="2"/>
  <c r="O2376" i="2"/>
  <c r="L2377" i="2"/>
  <c r="M2377" i="2"/>
  <c r="N2377" i="2"/>
  <c r="O2377" i="2"/>
  <c r="L2378" i="2"/>
  <c r="M2378" i="2"/>
  <c r="N2378" i="2"/>
  <c r="O2378" i="2"/>
  <c r="L2379" i="2"/>
  <c r="M2379" i="2"/>
  <c r="N2379" i="2"/>
  <c r="O2379" i="2"/>
  <c r="L2380" i="2"/>
  <c r="M2380" i="2"/>
  <c r="N2380" i="2"/>
  <c r="O2380" i="2"/>
  <c r="L2381" i="2"/>
  <c r="M2381" i="2"/>
  <c r="N2381" i="2"/>
  <c r="O2381" i="2"/>
  <c r="L2382" i="2"/>
  <c r="M2382" i="2"/>
  <c r="N2382" i="2"/>
  <c r="O2382" i="2"/>
  <c r="L2383" i="2"/>
  <c r="M2383" i="2"/>
  <c r="N2383" i="2"/>
  <c r="O2383" i="2"/>
  <c r="L2384" i="2"/>
  <c r="M2384" i="2"/>
  <c r="N2384" i="2"/>
  <c r="O2384" i="2"/>
  <c r="L2385" i="2"/>
  <c r="M2385" i="2"/>
  <c r="N2385" i="2"/>
  <c r="O2385" i="2"/>
  <c r="L2386" i="2"/>
  <c r="M2386" i="2"/>
  <c r="N2386" i="2"/>
  <c r="O2386" i="2"/>
  <c r="L2387" i="2"/>
  <c r="M2387" i="2"/>
  <c r="N2387" i="2"/>
  <c r="O2387" i="2"/>
  <c r="L2388" i="2"/>
  <c r="M2388" i="2"/>
  <c r="N2388" i="2"/>
  <c r="O2388" i="2"/>
  <c r="L2389" i="2"/>
  <c r="M2389" i="2"/>
  <c r="N2389" i="2"/>
  <c r="O2389" i="2"/>
  <c r="L2390" i="2"/>
  <c r="M2390" i="2"/>
  <c r="N2390" i="2"/>
  <c r="O2390" i="2"/>
  <c r="L2391" i="2"/>
  <c r="M2391" i="2"/>
  <c r="N2391" i="2"/>
  <c r="O2391" i="2"/>
  <c r="L2392" i="2"/>
  <c r="M2392" i="2"/>
  <c r="N2392" i="2"/>
  <c r="O2392" i="2"/>
  <c r="L2393" i="2"/>
  <c r="M2393" i="2"/>
  <c r="N2393" i="2"/>
  <c r="O2393" i="2"/>
  <c r="L2394" i="2"/>
  <c r="M2394" i="2"/>
  <c r="N2394" i="2"/>
  <c r="O2394" i="2"/>
  <c r="L2395" i="2"/>
  <c r="M2395" i="2"/>
  <c r="N2395" i="2"/>
  <c r="O2395" i="2"/>
  <c r="L2396" i="2"/>
  <c r="M2396" i="2"/>
  <c r="N2396" i="2"/>
  <c r="O2396" i="2"/>
  <c r="L2397" i="2"/>
  <c r="M2397" i="2"/>
  <c r="N2397" i="2"/>
  <c r="O2397" i="2"/>
  <c r="L2398" i="2"/>
  <c r="M2398" i="2"/>
  <c r="N2398" i="2"/>
  <c r="O2398" i="2"/>
  <c r="L2399" i="2"/>
  <c r="M2399" i="2"/>
  <c r="N2399" i="2"/>
  <c r="O2399" i="2"/>
  <c r="L2400" i="2"/>
  <c r="M2400" i="2"/>
  <c r="N2400" i="2"/>
  <c r="O2400" i="2"/>
  <c r="L2401" i="2"/>
  <c r="M2401" i="2"/>
  <c r="N2401" i="2"/>
  <c r="O2401" i="2"/>
  <c r="L2402" i="2"/>
  <c r="M2402" i="2"/>
  <c r="N2402" i="2"/>
  <c r="O2402" i="2"/>
  <c r="L2403" i="2"/>
  <c r="M2403" i="2"/>
  <c r="N2403" i="2"/>
  <c r="O2403" i="2"/>
  <c r="L2404" i="2"/>
  <c r="M2404" i="2"/>
  <c r="N2404" i="2"/>
  <c r="O2404" i="2"/>
  <c r="L2405" i="2"/>
  <c r="M2405" i="2"/>
  <c r="N2405" i="2"/>
  <c r="O2405" i="2"/>
  <c r="L2406" i="2"/>
  <c r="M2406" i="2"/>
  <c r="N2406" i="2"/>
  <c r="O2406" i="2"/>
  <c r="L2407" i="2"/>
  <c r="M2407" i="2"/>
  <c r="N2407" i="2"/>
  <c r="O2407" i="2"/>
  <c r="L2408" i="2"/>
  <c r="M2408" i="2"/>
  <c r="N2408" i="2"/>
  <c r="O2408" i="2"/>
  <c r="L2409" i="2"/>
  <c r="M2409" i="2"/>
  <c r="N2409" i="2"/>
  <c r="O2409" i="2"/>
  <c r="L2410" i="2"/>
  <c r="M2410" i="2"/>
  <c r="N2410" i="2"/>
  <c r="O2410" i="2"/>
  <c r="L2411" i="2"/>
  <c r="M2411" i="2"/>
  <c r="N2411" i="2"/>
  <c r="O2411" i="2"/>
  <c r="L2412" i="2"/>
  <c r="M2412" i="2"/>
  <c r="N2412" i="2"/>
  <c r="O2412" i="2"/>
  <c r="L2413" i="2"/>
  <c r="M2413" i="2"/>
  <c r="N2413" i="2"/>
  <c r="O2413" i="2"/>
  <c r="L2414" i="2"/>
  <c r="M2414" i="2"/>
  <c r="N2414" i="2"/>
  <c r="O2414" i="2"/>
  <c r="L2415" i="2"/>
  <c r="M2415" i="2"/>
  <c r="N2415" i="2"/>
  <c r="O2415" i="2"/>
  <c r="L2416" i="2"/>
  <c r="M2416" i="2"/>
  <c r="N2416" i="2"/>
  <c r="O2416" i="2"/>
  <c r="L2417" i="2"/>
  <c r="M2417" i="2"/>
  <c r="N2417" i="2"/>
  <c r="O2417" i="2"/>
  <c r="L2418" i="2"/>
  <c r="M2418" i="2"/>
  <c r="N2418" i="2"/>
  <c r="O2418" i="2"/>
  <c r="L2419" i="2"/>
  <c r="M2419" i="2"/>
  <c r="N2419" i="2"/>
  <c r="O2419" i="2"/>
  <c r="L2420" i="2"/>
  <c r="M2420" i="2"/>
  <c r="N2420" i="2"/>
  <c r="O2420" i="2"/>
  <c r="L2421" i="2"/>
  <c r="M2421" i="2"/>
  <c r="N2421" i="2"/>
  <c r="O2421" i="2"/>
  <c r="L2422" i="2"/>
  <c r="M2422" i="2"/>
  <c r="N2422" i="2"/>
  <c r="O2422" i="2"/>
  <c r="L2423" i="2"/>
  <c r="M2423" i="2"/>
  <c r="N2423" i="2"/>
  <c r="O2423" i="2"/>
  <c r="L2424" i="2"/>
  <c r="M2424" i="2"/>
  <c r="N2424" i="2"/>
  <c r="O2424" i="2"/>
  <c r="L2425" i="2"/>
  <c r="M2425" i="2"/>
  <c r="N2425" i="2"/>
  <c r="O2425" i="2"/>
  <c r="L2426" i="2"/>
  <c r="M2426" i="2"/>
  <c r="N2426" i="2"/>
  <c r="O2426" i="2"/>
  <c r="L2427" i="2"/>
  <c r="M2427" i="2"/>
  <c r="N2427" i="2"/>
  <c r="O2427" i="2"/>
  <c r="L2428" i="2"/>
  <c r="M2428" i="2"/>
  <c r="N2428" i="2"/>
  <c r="O2428" i="2"/>
  <c r="L2429" i="2"/>
  <c r="M2429" i="2"/>
  <c r="N2429" i="2"/>
  <c r="O2429" i="2"/>
  <c r="L2430" i="2"/>
  <c r="M2430" i="2"/>
  <c r="N2430" i="2"/>
  <c r="O2430" i="2"/>
  <c r="L2431" i="2"/>
  <c r="M2431" i="2"/>
  <c r="N2431" i="2"/>
  <c r="O2431" i="2"/>
  <c r="L2432" i="2"/>
  <c r="M2432" i="2"/>
  <c r="N2432" i="2"/>
  <c r="O2432" i="2"/>
  <c r="L2433" i="2"/>
  <c r="M2433" i="2"/>
  <c r="N2433" i="2"/>
  <c r="O2433" i="2"/>
  <c r="L2434" i="2"/>
  <c r="M2434" i="2"/>
  <c r="N2434" i="2"/>
  <c r="O2434" i="2"/>
  <c r="L2435" i="2"/>
  <c r="M2435" i="2"/>
  <c r="N2435" i="2"/>
  <c r="O2435" i="2"/>
  <c r="L2436" i="2"/>
  <c r="M2436" i="2"/>
  <c r="N2436" i="2"/>
  <c r="O2436" i="2"/>
  <c r="L2437" i="2"/>
  <c r="M2437" i="2"/>
  <c r="N2437" i="2"/>
  <c r="O2437" i="2"/>
  <c r="L2438" i="2"/>
  <c r="M2438" i="2"/>
  <c r="N2438" i="2"/>
  <c r="O2438" i="2"/>
  <c r="L2439" i="2"/>
  <c r="M2439" i="2"/>
  <c r="N2439" i="2"/>
  <c r="O2439" i="2"/>
  <c r="L2440" i="2"/>
  <c r="M2440" i="2"/>
  <c r="N2440" i="2"/>
  <c r="O2440" i="2"/>
  <c r="L2441" i="2"/>
  <c r="M2441" i="2"/>
  <c r="N2441" i="2"/>
  <c r="O2441" i="2"/>
  <c r="L2442" i="2"/>
  <c r="M2442" i="2"/>
  <c r="N2442" i="2"/>
  <c r="O2442" i="2"/>
  <c r="L2443" i="2"/>
  <c r="M2443" i="2"/>
  <c r="N2443" i="2"/>
  <c r="O2443" i="2"/>
  <c r="L2444" i="2"/>
  <c r="M2444" i="2"/>
  <c r="N2444" i="2"/>
  <c r="O2444" i="2"/>
  <c r="L2445" i="2"/>
  <c r="M2445" i="2"/>
  <c r="N2445" i="2"/>
  <c r="O2445" i="2"/>
  <c r="L2446" i="2"/>
  <c r="M2446" i="2"/>
  <c r="N2446" i="2"/>
  <c r="O2446" i="2"/>
  <c r="L2447" i="2"/>
  <c r="M2447" i="2"/>
  <c r="N2447" i="2"/>
  <c r="O2447" i="2"/>
  <c r="L2448" i="2"/>
  <c r="M2448" i="2"/>
  <c r="N2448" i="2"/>
  <c r="O2448" i="2"/>
  <c r="L2449" i="2"/>
  <c r="M2449" i="2"/>
  <c r="N2449" i="2"/>
  <c r="O2449" i="2"/>
  <c r="L2450" i="2"/>
  <c r="M2450" i="2"/>
  <c r="N2450" i="2"/>
  <c r="O2450" i="2"/>
  <c r="L2451" i="2"/>
  <c r="M2451" i="2"/>
  <c r="N2451" i="2"/>
  <c r="O2451" i="2"/>
  <c r="L2452" i="2"/>
  <c r="M2452" i="2"/>
  <c r="N2452" i="2"/>
  <c r="O2452" i="2"/>
  <c r="L2453" i="2"/>
  <c r="M2453" i="2"/>
  <c r="N2453" i="2"/>
  <c r="O2453" i="2"/>
  <c r="L2454" i="2"/>
  <c r="M2454" i="2"/>
  <c r="N2454" i="2"/>
  <c r="O2454" i="2"/>
  <c r="L2455" i="2"/>
  <c r="M2455" i="2"/>
  <c r="N2455" i="2"/>
  <c r="O2455" i="2"/>
  <c r="L2456" i="2"/>
  <c r="M2456" i="2"/>
  <c r="N2456" i="2"/>
  <c r="O2456" i="2"/>
  <c r="L2457" i="2"/>
  <c r="M2457" i="2"/>
  <c r="N2457" i="2"/>
  <c r="O2457" i="2"/>
  <c r="L2458" i="2"/>
  <c r="M2458" i="2"/>
  <c r="N2458" i="2"/>
  <c r="O2458" i="2"/>
  <c r="L2459" i="2"/>
  <c r="M2459" i="2"/>
  <c r="N2459" i="2"/>
  <c r="O2459" i="2"/>
  <c r="L2460" i="2"/>
  <c r="M2460" i="2"/>
  <c r="N2460" i="2"/>
  <c r="O2460" i="2"/>
  <c r="L2461" i="2"/>
  <c r="M2461" i="2"/>
  <c r="N2461" i="2"/>
  <c r="O2461" i="2"/>
  <c r="L2462" i="2"/>
  <c r="M2462" i="2"/>
  <c r="N2462" i="2"/>
  <c r="O2462" i="2"/>
  <c r="L2463" i="2"/>
  <c r="M2463" i="2"/>
  <c r="N2463" i="2"/>
  <c r="O2463" i="2"/>
  <c r="L2464" i="2"/>
  <c r="M2464" i="2"/>
  <c r="N2464" i="2"/>
  <c r="O2464" i="2"/>
  <c r="L2465" i="2"/>
  <c r="M2465" i="2"/>
  <c r="N2465" i="2"/>
  <c r="O2465" i="2"/>
  <c r="L2466" i="2"/>
  <c r="M2466" i="2"/>
  <c r="N2466" i="2"/>
  <c r="O2466" i="2"/>
  <c r="L2467" i="2"/>
  <c r="M2467" i="2"/>
  <c r="N2467" i="2"/>
  <c r="O2467" i="2"/>
  <c r="L2468" i="2"/>
  <c r="M2468" i="2"/>
  <c r="N2468" i="2"/>
  <c r="O2468" i="2"/>
  <c r="L2469" i="2"/>
  <c r="M2469" i="2"/>
  <c r="N2469" i="2"/>
  <c r="O2469" i="2"/>
  <c r="L2470" i="2"/>
  <c r="M2470" i="2"/>
  <c r="N2470" i="2"/>
  <c r="O2470" i="2"/>
  <c r="L2471" i="2"/>
  <c r="M2471" i="2"/>
  <c r="N2471" i="2"/>
  <c r="O2471" i="2"/>
  <c r="L2472" i="2"/>
  <c r="M2472" i="2"/>
  <c r="N2472" i="2"/>
  <c r="O2472" i="2"/>
  <c r="L2473" i="2"/>
  <c r="M2473" i="2"/>
  <c r="N2473" i="2"/>
  <c r="O2473" i="2"/>
  <c r="L2474" i="2"/>
  <c r="M2474" i="2"/>
  <c r="N2474" i="2"/>
  <c r="O2474" i="2"/>
  <c r="L2475" i="2"/>
  <c r="M2475" i="2"/>
  <c r="N2475" i="2"/>
  <c r="O2475" i="2"/>
  <c r="L2476" i="2"/>
  <c r="M2476" i="2"/>
  <c r="N2476" i="2"/>
  <c r="O2476" i="2"/>
  <c r="L2477" i="2"/>
  <c r="M2477" i="2"/>
  <c r="N2477" i="2"/>
  <c r="O2477" i="2"/>
  <c r="L2478" i="2"/>
  <c r="M2478" i="2"/>
  <c r="N2478" i="2"/>
  <c r="O2478" i="2"/>
  <c r="L2479" i="2"/>
  <c r="M2479" i="2"/>
  <c r="N2479" i="2"/>
  <c r="O2479" i="2"/>
  <c r="L2480" i="2"/>
  <c r="M2480" i="2"/>
  <c r="N2480" i="2"/>
  <c r="O2480" i="2"/>
  <c r="L2481" i="2"/>
  <c r="M2481" i="2"/>
  <c r="N2481" i="2"/>
  <c r="O2481" i="2"/>
  <c r="L2482" i="2"/>
  <c r="M2482" i="2"/>
  <c r="N2482" i="2"/>
  <c r="O2482" i="2"/>
  <c r="L2483" i="2"/>
  <c r="M2483" i="2"/>
  <c r="N2483" i="2"/>
  <c r="O2483" i="2"/>
  <c r="L2484" i="2"/>
  <c r="M2484" i="2"/>
  <c r="N2484" i="2"/>
  <c r="O2484" i="2"/>
  <c r="L2485" i="2"/>
  <c r="M2485" i="2"/>
  <c r="N2485" i="2"/>
  <c r="O2485" i="2"/>
  <c r="L2486" i="2"/>
  <c r="M2486" i="2"/>
  <c r="N2486" i="2"/>
  <c r="O2486" i="2"/>
  <c r="L2487" i="2"/>
  <c r="M2487" i="2"/>
  <c r="N2487" i="2"/>
  <c r="O2487" i="2"/>
  <c r="L2488" i="2"/>
  <c r="M2488" i="2"/>
  <c r="N2488" i="2"/>
  <c r="O2488" i="2"/>
  <c r="L2489" i="2"/>
  <c r="M2489" i="2"/>
  <c r="N2489" i="2"/>
  <c r="O2489" i="2"/>
  <c r="L2490" i="2"/>
  <c r="M2490" i="2"/>
  <c r="N2490" i="2"/>
  <c r="O2490" i="2"/>
  <c r="L2491" i="2"/>
  <c r="M2491" i="2"/>
  <c r="N2491" i="2"/>
  <c r="O2491" i="2"/>
  <c r="L2492" i="2"/>
  <c r="M2492" i="2"/>
  <c r="N2492" i="2"/>
  <c r="O2492" i="2"/>
  <c r="L2493" i="2"/>
  <c r="M2493" i="2"/>
  <c r="N2493" i="2"/>
  <c r="O2493" i="2"/>
  <c r="L2494" i="2"/>
  <c r="M2494" i="2"/>
  <c r="N2494" i="2"/>
  <c r="O2494" i="2"/>
  <c r="L2495" i="2"/>
  <c r="M2495" i="2"/>
  <c r="N2495" i="2"/>
  <c r="O2495" i="2"/>
  <c r="L2496" i="2"/>
  <c r="M2496" i="2"/>
  <c r="N2496" i="2"/>
  <c r="O2496" i="2"/>
  <c r="L2497" i="2"/>
  <c r="M2497" i="2"/>
  <c r="N2497" i="2"/>
  <c r="O2497" i="2"/>
  <c r="L2498" i="2"/>
  <c r="M2498" i="2"/>
  <c r="N2498" i="2"/>
  <c r="O2498" i="2"/>
  <c r="L2499" i="2"/>
  <c r="M2499" i="2"/>
  <c r="N2499" i="2"/>
  <c r="O2499" i="2"/>
  <c r="L2500" i="2"/>
  <c r="M2500" i="2"/>
  <c r="N2500" i="2"/>
  <c r="O2500" i="2"/>
  <c r="L2501" i="2"/>
  <c r="M2501" i="2"/>
  <c r="N2501" i="2"/>
  <c r="O2501" i="2"/>
  <c r="L2502" i="2"/>
  <c r="M2502" i="2"/>
  <c r="N2502" i="2"/>
  <c r="O2502" i="2"/>
  <c r="L2503" i="2"/>
  <c r="M2503" i="2"/>
  <c r="N2503" i="2"/>
  <c r="O2503" i="2"/>
  <c r="L2504" i="2"/>
  <c r="M2504" i="2"/>
  <c r="N2504" i="2"/>
  <c r="O2504" i="2"/>
  <c r="L2505" i="2"/>
  <c r="M2505" i="2"/>
  <c r="N2505" i="2"/>
  <c r="O2505" i="2"/>
  <c r="L2506" i="2"/>
  <c r="M2506" i="2"/>
  <c r="N2506" i="2"/>
  <c r="O2506" i="2"/>
  <c r="L2507" i="2"/>
  <c r="M2507" i="2"/>
  <c r="N2507" i="2"/>
  <c r="O2507" i="2"/>
  <c r="L2508" i="2"/>
  <c r="M2508" i="2"/>
  <c r="N2508" i="2"/>
  <c r="O2508" i="2"/>
  <c r="L2509" i="2"/>
  <c r="M2509" i="2"/>
  <c r="N2509" i="2"/>
  <c r="O2509" i="2"/>
  <c r="L2510" i="2"/>
  <c r="M2510" i="2"/>
  <c r="N2510" i="2"/>
  <c r="O2510" i="2"/>
  <c r="L2511" i="2"/>
  <c r="M2511" i="2"/>
  <c r="N2511" i="2"/>
  <c r="O2511" i="2"/>
  <c r="L2512" i="2"/>
  <c r="M2512" i="2"/>
  <c r="N2512" i="2"/>
  <c r="O2512" i="2"/>
  <c r="L2513" i="2"/>
  <c r="M2513" i="2"/>
  <c r="N2513" i="2"/>
  <c r="O2513" i="2"/>
  <c r="L2514" i="2"/>
  <c r="M2514" i="2"/>
  <c r="N2514" i="2"/>
  <c r="O2514" i="2"/>
  <c r="L2515" i="2"/>
  <c r="M2515" i="2"/>
  <c r="N2515" i="2"/>
  <c r="O2515" i="2"/>
  <c r="L2516" i="2"/>
  <c r="M2516" i="2"/>
  <c r="N2516" i="2"/>
  <c r="O2516" i="2"/>
  <c r="L2517" i="2"/>
  <c r="M2517" i="2"/>
  <c r="N2517" i="2"/>
  <c r="O2517" i="2"/>
  <c r="L2518" i="2"/>
  <c r="M2518" i="2"/>
  <c r="N2518" i="2"/>
  <c r="O2518" i="2"/>
  <c r="L2519" i="2"/>
  <c r="M2519" i="2"/>
  <c r="N2519" i="2"/>
  <c r="O2519" i="2"/>
  <c r="L2520" i="2"/>
  <c r="M2520" i="2"/>
  <c r="N2520" i="2"/>
  <c r="O2520" i="2"/>
  <c r="L2521" i="2"/>
  <c r="M2521" i="2"/>
  <c r="N2521" i="2"/>
  <c r="O2521" i="2"/>
  <c r="L2522" i="2"/>
  <c r="M2522" i="2"/>
  <c r="N2522" i="2"/>
  <c r="O2522" i="2"/>
  <c r="L2523" i="2"/>
  <c r="M2523" i="2"/>
  <c r="N2523" i="2"/>
  <c r="O2523" i="2"/>
  <c r="L2524" i="2"/>
  <c r="M2524" i="2"/>
  <c r="N2524" i="2"/>
  <c r="O2524" i="2"/>
  <c r="L2525" i="2"/>
  <c r="M2525" i="2"/>
  <c r="N2525" i="2"/>
  <c r="O2525" i="2"/>
  <c r="L2526" i="2"/>
  <c r="M2526" i="2"/>
  <c r="N2526" i="2"/>
  <c r="O2526" i="2"/>
  <c r="L2527" i="2"/>
  <c r="M2527" i="2"/>
  <c r="N2527" i="2"/>
  <c r="O2527" i="2"/>
  <c r="L2528" i="2"/>
  <c r="M2528" i="2"/>
  <c r="N2528" i="2"/>
  <c r="O2528" i="2"/>
  <c r="L2529" i="2"/>
  <c r="M2529" i="2"/>
  <c r="N2529" i="2"/>
  <c r="O2529" i="2"/>
  <c r="L2530" i="2"/>
  <c r="M2530" i="2"/>
  <c r="N2530" i="2"/>
  <c r="O2530" i="2"/>
  <c r="L2531" i="2"/>
  <c r="M2531" i="2"/>
  <c r="N2531" i="2"/>
  <c r="O2531" i="2"/>
  <c r="L2532" i="2"/>
  <c r="M2532" i="2"/>
  <c r="N2532" i="2"/>
  <c r="O2532" i="2"/>
  <c r="L2533" i="2"/>
  <c r="M2533" i="2"/>
  <c r="N2533" i="2"/>
  <c r="O2533" i="2"/>
  <c r="L2534" i="2"/>
  <c r="M2534" i="2"/>
  <c r="N2534" i="2"/>
  <c r="O2534" i="2"/>
  <c r="L2535" i="2"/>
  <c r="M2535" i="2"/>
  <c r="N2535" i="2"/>
  <c r="O2535" i="2"/>
  <c r="L2536" i="2"/>
  <c r="M2536" i="2"/>
  <c r="N2536" i="2"/>
  <c r="O2536" i="2"/>
  <c r="L2537" i="2"/>
  <c r="M2537" i="2"/>
  <c r="N2537" i="2"/>
  <c r="O2537" i="2"/>
  <c r="L2538" i="2"/>
  <c r="M2538" i="2"/>
  <c r="N2538" i="2"/>
  <c r="O2538" i="2"/>
  <c r="L2539" i="2"/>
  <c r="M2539" i="2"/>
  <c r="N2539" i="2"/>
  <c r="O2539" i="2"/>
</calcChain>
</file>

<file path=xl/sharedStrings.xml><?xml version="1.0" encoding="utf-8"?>
<sst xmlns="http://schemas.openxmlformats.org/spreadsheetml/2006/main" count="9949" uniqueCount="2793">
  <si>
    <t>--</t>
  </si>
  <si>
    <t>-- ICTVdatabase: query split, merged, promoted, demoted taxa</t>
  </si>
  <si>
    <r>
      <t>select</t>
    </r>
    <r>
      <rPr>
        <sz val="12"/>
        <color rgb="FF000000"/>
        <rFont val="Menlo"/>
        <family val="2"/>
      </rPr>
      <t xml:space="preserve"> </t>
    </r>
    <r>
      <rPr>
        <sz val="12"/>
        <color rgb="FF006464"/>
        <rFont val="Menlo"/>
        <family val="2"/>
      </rPr>
      <t>msl_release_num</t>
    </r>
    <r>
      <rPr>
        <sz val="12"/>
        <color rgb="FF000000"/>
        <rFont val="Menlo"/>
        <family val="2"/>
      </rPr>
      <t>,</t>
    </r>
  </si>
  <si>
    <t>-- prev</t>
  </si>
  <si>
    <r>
      <t>tnd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taxnode_id</t>
    </r>
    <r>
      <rPr>
        <sz val="12"/>
        <color rgb="FF000000"/>
        <rFont val="Menlo"/>
        <family val="2"/>
      </rPr>
      <t xml:space="preserve"> </t>
    </r>
    <r>
      <rPr>
        <b/>
        <sz val="12"/>
        <color rgb="FF800000"/>
        <rFont val="Menlo"/>
        <family val="2"/>
      </rPr>
      <t>as</t>
    </r>
    <r>
      <rPr>
        <sz val="12"/>
        <color rgb="FF000000"/>
        <rFont val="Menlo"/>
        <family val="2"/>
      </rPr>
      <t xml:space="preserve"> </t>
    </r>
    <r>
      <rPr>
        <i/>
        <sz val="12"/>
        <color rgb="FF006464"/>
        <rFont val="Menlo"/>
        <family val="2"/>
      </rPr>
      <t>prev_id</t>
    </r>
    <r>
      <rPr>
        <sz val="12"/>
        <color rgb="FF000000"/>
        <rFont val="Menlo"/>
        <family val="2"/>
      </rPr>
      <t>,</t>
    </r>
  </si>
  <si>
    <r>
      <t>tnd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ictv_id</t>
    </r>
    <r>
      <rPr>
        <sz val="12"/>
        <color rgb="FF000000"/>
        <rFont val="Menlo"/>
        <family val="2"/>
      </rPr>
      <t xml:space="preserve"> </t>
    </r>
    <r>
      <rPr>
        <b/>
        <sz val="12"/>
        <color rgb="FF800000"/>
        <rFont val="Menlo"/>
        <family val="2"/>
      </rPr>
      <t>as</t>
    </r>
    <r>
      <rPr>
        <sz val="12"/>
        <color rgb="FF000000"/>
        <rFont val="Menlo"/>
        <family val="2"/>
      </rPr>
      <t xml:space="preserve"> </t>
    </r>
    <r>
      <rPr>
        <i/>
        <sz val="12"/>
        <color rgb="FF006464"/>
        <rFont val="Menlo"/>
        <family val="2"/>
      </rPr>
      <t>prev_ictv_id</t>
    </r>
    <r>
      <rPr>
        <sz val="12"/>
        <color rgb="FF000000"/>
        <rFont val="Menlo"/>
        <family val="2"/>
      </rPr>
      <t>,</t>
    </r>
  </si>
  <si>
    <r>
      <t>pr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name</t>
    </r>
    <r>
      <rPr>
        <sz val="12"/>
        <color rgb="FF000000"/>
        <rFont val="Menlo"/>
        <family val="2"/>
      </rPr>
      <t xml:space="preserve"> </t>
    </r>
    <r>
      <rPr>
        <b/>
        <sz val="12"/>
        <color rgb="FF800000"/>
        <rFont val="Menlo"/>
        <family val="2"/>
      </rPr>
      <t>as</t>
    </r>
    <r>
      <rPr>
        <sz val="12"/>
        <color rgb="FF000000"/>
        <rFont val="Menlo"/>
        <family val="2"/>
      </rPr>
      <t xml:space="preserve"> </t>
    </r>
    <r>
      <rPr>
        <i/>
        <sz val="12"/>
        <color rgb="FF006464"/>
        <rFont val="Menlo"/>
        <family val="2"/>
      </rPr>
      <t>prev_rank</t>
    </r>
    <r>
      <rPr>
        <sz val="12"/>
        <color rgb="FF000000"/>
        <rFont val="Menlo"/>
        <family val="2"/>
      </rPr>
      <t>,</t>
    </r>
  </si>
  <si>
    <r>
      <t>tnd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name</t>
    </r>
    <r>
      <rPr>
        <sz val="12"/>
        <color rgb="FF000000"/>
        <rFont val="Menlo"/>
        <family val="2"/>
      </rPr>
      <t xml:space="preserve"> </t>
    </r>
    <r>
      <rPr>
        <b/>
        <sz val="12"/>
        <color rgb="FF800000"/>
        <rFont val="Menlo"/>
        <family val="2"/>
      </rPr>
      <t>as</t>
    </r>
    <r>
      <rPr>
        <sz val="12"/>
        <color rgb="FF000000"/>
        <rFont val="Menlo"/>
        <family val="2"/>
      </rPr>
      <t xml:space="preserve"> </t>
    </r>
    <r>
      <rPr>
        <i/>
        <sz val="12"/>
        <color rgb="FF006464"/>
        <rFont val="Menlo"/>
        <family val="2"/>
      </rPr>
      <t>prev_name</t>
    </r>
    <r>
      <rPr>
        <sz val="12"/>
        <color rgb="FF000000"/>
        <rFont val="Menlo"/>
        <family val="2"/>
      </rPr>
      <t>,</t>
    </r>
  </si>
  <si>
    <t>-- change</t>
  </si>
  <si>
    <r>
      <t>next_tags</t>
    </r>
    <r>
      <rPr>
        <sz val="12"/>
        <color rgb="FF000000"/>
        <rFont val="Menlo"/>
        <family val="2"/>
      </rPr>
      <t>,</t>
    </r>
  </si>
  <si>
    <t>-- current</t>
  </si>
  <si>
    <r>
      <t>tnd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next_name</t>
    </r>
    <r>
      <rPr>
        <sz val="12"/>
        <color rgb="FF000000"/>
        <rFont val="Menlo"/>
        <family val="2"/>
      </rPr>
      <t xml:space="preserve"> </t>
    </r>
    <r>
      <rPr>
        <b/>
        <sz val="12"/>
        <color rgb="FF800000"/>
        <rFont val="Menlo"/>
        <family val="2"/>
      </rPr>
      <t>as</t>
    </r>
    <r>
      <rPr>
        <sz val="12"/>
        <color rgb="FF000000"/>
        <rFont val="Menlo"/>
        <family val="2"/>
      </rPr>
      <t xml:space="preserve"> </t>
    </r>
    <r>
      <rPr>
        <i/>
        <sz val="12"/>
        <color rgb="FF006464"/>
        <rFont val="Menlo"/>
        <family val="2"/>
      </rPr>
      <t>next_name</t>
    </r>
    <r>
      <rPr>
        <sz val="12"/>
        <color rgb="FF000000"/>
        <rFont val="Menlo"/>
        <family val="2"/>
      </rPr>
      <t>,</t>
    </r>
  </si>
  <si>
    <r>
      <t>nr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name</t>
    </r>
    <r>
      <rPr>
        <sz val="12"/>
        <color rgb="FF000000"/>
        <rFont val="Menlo"/>
        <family val="2"/>
      </rPr>
      <t xml:space="preserve"> </t>
    </r>
    <r>
      <rPr>
        <b/>
        <sz val="12"/>
        <color rgb="FF800000"/>
        <rFont val="Menlo"/>
        <family val="2"/>
      </rPr>
      <t>as</t>
    </r>
    <r>
      <rPr>
        <sz val="12"/>
        <color rgb="FF000000"/>
        <rFont val="Menlo"/>
        <family val="2"/>
      </rPr>
      <t xml:space="preserve"> </t>
    </r>
    <r>
      <rPr>
        <i/>
        <sz val="12"/>
        <color rgb="FF006464"/>
        <rFont val="Menlo"/>
        <family val="2"/>
      </rPr>
      <t>next_rank</t>
    </r>
    <r>
      <rPr>
        <sz val="12"/>
        <color rgb="FF000000"/>
        <rFont val="Menlo"/>
        <family val="2"/>
      </rPr>
      <t>,</t>
    </r>
  </si>
  <si>
    <r>
      <t>tnd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next_ictv_id</t>
    </r>
    <r>
      <rPr>
        <sz val="12"/>
        <color rgb="FF000000"/>
        <rFont val="Menlo"/>
        <family val="2"/>
      </rPr>
      <t xml:space="preserve"> </t>
    </r>
    <r>
      <rPr>
        <b/>
        <sz val="12"/>
        <color rgb="FF800000"/>
        <rFont val="Menlo"/>
        <family val="2"/>
      </rPr>
      <t>as</t>
    </r>
    <r>
      <rPr>
        <sz val="12"/>
        <color rgb="FF000000"/>
        <rFont val="Menlo"/>
        <family val="2"/>
      </rPr>
      <t xml:space="preserve"> </t>
    </r>
    <r>
      <rPr>
        <i/>
        <sz val="12"/>
        <color rgb="FF006464"/>
        <rFont val="Menlo"/>
        <family val="2"/>
      </rPr>
      <t>next_ictv_id</t>
    </r>
    <r>
      <rPr>
        <sz val="12"/>
        <color rgb="FF000000"/>
        <rFont val="Menlo"/>
        <family val="2"/>
      </rPr>
      <t>,</t>
    </r>
  </si>
  <si>
    <r>
      <t>tnd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next_id</t>
    </r>
    <r>
      <rPr>
        <sz val="12"/>
        <color rgb="FF000000"/>
        <rFont val="Menlo"/>
        <family val="2"/>
      </rPr>
      <t xml:space="preserve"> </t>
    </r>
    <r>
      <rPr>
        <b/>
        <sz val="12"/>
        <color rgb="FF800000"/>
        <rFont val="Menlo"/>
        <family val="2"/>
      </rPr>
      <t>as</t>
    </r>
    <r>
      <rPr>
        <sz val="12"/>
        <color rgb="FF000000"/>
        <rFont val="Menlo"/>
        <family val="2"/>
      </rPr>
      <t xml:space="preserve"> </t>
    </r>
    <r>
      <rPr>
        <i/>
        <sz val="12"/>
        <color rgb="FF006464"/>
        <rFont val="Menlo"/>
        <family val="2"/>
      </rPr>
      <t>next_id</t>
    </r>
    <r>
      <rPr>
        <sz val="12"/>
        <color rgb="FF000000"/>
        <rFont val="Menlo"/>
        <family val="2"/>
      </rPr>
      <t>,</t>
    </r>
  </si>
  <si>
    <t>-- URLs</t>
  </si>
  <si>
    <r>
      <t>from</t>
    </r>
    <r>
      <rPr>
        <sz val="12"/>
        <color rgb="FF000000"/>
        <rFont val="Menlo"/>
        <family val="2"/>
      </rPr>
      <t xml:space="preserve"> </t>
    </r>
    <r>
      <rPr>
        <sz val="12"/>
        <color rgb="FF8E00C6"/>
        <rFont val="Menlo"/>
        <family val="2"/>
      </rPr>
      <t>taxonomy_node_dx</t>
    </r>
    <r>
      <rPr>
        <sz val="12"/>
        <color rgb="FF000000"/>
        <rFont val="Menlo"/>
        <family val="2"/>
      </rPr>
      <t xml:space="preserve"> </t>
    </r>
    <r>
      <rPr>
        <i/>
        <sz val="12"/>
        <color rgb="FF8E00C6"/>
        <rFont val="Menlo"/>
        <family val="2"/>
      </rPr>
      <t>tnd</t>
    </r>
  </si>
  <si>
    <r>
      <t>join</t>
    </r>
    <r>
      <rPr>
        <sz val="12"/>
        <color rgb="FF000000"/>
        <rFont val="Menlo"/>
        <family val="2"/>
      </rPr>
      <t xml:space="preserve"> </t>
    </r>
    <r>
      <rPr>
        <sz val="12"/>
        <color rgb="FF8E00C6"/>
        <rFont val="Menlo"/>
        <family val="2"/>
      </rPr>
      <t>taxonomy_level</t>
    </r>
    <r>
      <rPr>
        <sz val="12"/>
        <color rgb="FF000000"/>
        <rFont val="Menlo"/>
        <family val="2"/>
      </rPr>
      <t xml:space="preserve"> </t>
    </r>
    <r>
      <rPr>
        <i/>
        <sz val="12"/>
        <color rgb="FF8E00C6"/>
        <rFont val="Menlo"/>
        <family val="2"/>
      </rPr>
      <t>pr</t>
    </r>
    <r>
      <rPr>
        <sz val="12"/>
        <color rgb="FF000000"/>
        <rFont val="Menlo"/>
        <family val="2"/>
      </rPr>
      <t xml:space="preserve"> </t>
    </r>
    <r>
      <rPr>
        <b/>
        <sz val="12"/>
        <color rgb="FF800000"/>
        <rFont val="Menlo"/>
        <family val="2"/>
      </rPr>
      <t>on</t>
    </r>
    <r>
      <rPr>
        <sz val="12"/>
        <color rgb="FF000000"/>
        <rFont val="Menlo"/>
        <family val="2"/>
      </rPr>
      <t xml:space="preserve"> </t>
    </r>
    <r>
      <rPr>
        <i/>
        <sz val="12"/>
        <color rgb="FF8E00C6"/>
        <rFont val="Menlo"/>
        <family val="2"/>
      </rPr>
      <t>pr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id</t>
    </r>
    <r>
      <rPr>
        <sz val="12"/>
        <color rgb="FF000000"/>
        <rFont val="Menlo"/>
        <family val="2"/>
      </rPr>
      <t xml:space="preserve"> = </t>
    </r>
    <r>
      <rPr>
        <i/>
        <sz val="12"/>
        <color rgb="FF8E00C6"/>
        <rFont val="Menlo"/>
        <family val="2"/>
      </rPr>
      <t>tnd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level_id</t>
    </r>
  </si>
  <si>
    <r>
      <t>order</t>
    </r>
    <r>
      <rPr>
        <sz val="12"/>
        <color rgb="FF000000"/>
        <rFont val="Menlo"/>
        <family val="2"/>
      </rPr>
      <t xml:space="preserve"> </t>
    </r>
    <r>
      <rPr>
        <b/>
        <sz val="12"/>
        <color rgb="FF800000"/>
        <rFont val="Menlo"/>
        <family val="2"/>
      </rPr>
      <t>by</t>
    </r>
    <r>
      <rPr>
        <sz val="12"/>
        <color rgb="FF000000"/>
        <rFont val="Menlo"/>
        <family val="2"/>
      </rPr>
      <t xml:space="preserve"> </t>
    </r>
    <r>
      <rPr>
        <i/>
        <sz val="12"/>
        <color rgb="FF8E00C6"/>
        <rFont val="Menlo"/>
        <family val="2"/>
      </rPr>
      <t>tnd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msl_release_num</t>
    </r>
  </si>
  <si>
    <t>genus</t>
  </si>
  <si>
    <t>Poxvirus</t>
  </si>
  <si>
    <t>Renamed,Promoted,</t>
  </si>
  <si>
    <t>Poxviridae</t>
  </si>
  <si>
    <t>family</t>
  </si>
  <si>
    <t>Leukovirus</t>
  </si>
  <si>
    <t>Oncovirinae</t>
  </si>
  <si>
    <t>subfamily</t>
  </si>
  <si>
    <t>Rhabdovirus</t>
  </si>
  <si>
    <t>Rhabdoviridae</t>
  </si>
  <si>
    <t>species</t>
  </si>
  <si>
    <t>Mammalian reovirus 1</t>
  </si>
  <si>
    <t>Merged,Assigned as Type Species,</t>
  </si>
  <si>
    <t>Reovirus type 1</t>
  </si>
  <si>
    <t>Merged,</t>
  </si>
  <si>
    <t>Feline leukemia virus</t>
  </si>
  <si>
    <t>Feline sarcoma and leukemia virus</t>
  </si>
  <si>
    <t>Feline sarcoma virus</t>
  </si>
  <si>
    <t>Fowl sarcoma virus</t>
  </si>
  <si>
    <t>Chicken leukosis and sarcoma virus</t>
  </si>
  <si>
    <t>Friend virus</t>
  </si>
  <si>
    <t>Murine sarcoma and leukemia virus</t>
  </si>
  <si>
    <t>Graffi virus</t>
  </si>
  <si>
    <t>Gross virus</t>
  </si>
  <si>
    <t>Moloney virus</t>
  </si>
  <si>
    <t>Mouse leukemia virus</t>
  </si>
  <si>
    <t>Rauscher virus</t>
  </si>
  <si>
    <t>RAV 1-6</t>
  </si>
  <si>
    <t>Rous sarcoma virus</t>
  </si>
  <si>
    <t>Merged,Removed as Type Species,</t>
  </si>
  <si>
    <t>Flanders virus</t>
  </si>
  <si>
    <t>Flanders-Hart Park virus</t>
  </si>
  <si>
    <t>Hart Park virus</t>
  </si>
  <si>
    <t>Plant reovirus group</t>
  </si>
  <si>
    <t>Split,</t>
  </si>
  <si>
    <t>Fijivirus</t>
  </si>
  <si>
    <t>Phytoreovirus</t>
  </si>
  <si>
    <t>Foot-and-mouth disease virus</t>
  </si>
  <si>
    <t>Split,Removed as Type Species,</t>
  </si>
  <si>
    <t>Aphthovirus A</t>
  </si>
  <si>
    <t>Aphthovirus O</t>
  </si>
  <si>
    <t>Bovine enterovirus</t>
  </si>
  <si>
    <t>Bovine enterovirus 1</t>
  </si>
  <si>
    <t>Bovine enterovirus 2</t>
  </si>
  <si>
    <t>Human enteroviruses</t>
  </si>
  <si>
    <t>Human enterovirus 68</t>
  </si>
  <si>
    <t>Human enterovirus 69</t>
  </si>
  <si>
    <t>Human enterovirus 70</t>
  </si>
  <si>
    <t>Human enterovirus 71</t>
  </si>
  <si>
    <t>Porcine enteroviruses</t>
  </si>
  <si>
    <t>Porcine enterovirus 1</t>
  </si>
  <si>
    <t>Porcine enterovirus 2</t>
  </si>
  <si>
    <t>Porcine enterovirus 3</t>
  </si>
  <si>
    <t>Porcine enterovirus 4</t>
  </si>
  <si>
    <t>Porcine enterovirus 5</t>
  </si>
  <si>
    <t>Porcine enterovirus 6</t>
  </si>
  <si>
    <t>Porcine enterovirus 7</t>
  </si>
  <si>
    <t>Porcine enterovirus 8</t>
  </si>
  <si>
    <t>Simian enteroviruses</t>
  </si>
  <si>
    <t>Simian enterovirus 1</t>
  </si>
  <si>
    <t>Simian enterovirus 10</t>
  </si>
  <si>
    <t>Simian enterovirus 11</t>
  </si>
  <si>
    <t>Simian enterovirus 12</t>
  </si>
  <si>
    <t>Simian enterovirus 13</t>
  </si>
  <si>
    <t>Simian enterovirus 14</t>
  </si>
  <si>
    <t>Simian enterovirus 15</t>
  </si>
  <si>
    <t>Simian enterovirus 16</t>
  </si>
  <si>
    <t>Simian enterovirus 17</t>
  </si>
  <si>
    <t>Simian enterovirus 18</t>
  </si>
  <si>
    <t>Simian enterovirus 2</t>
  </si>
  <si>
    <t>Simian enterovirus 3</t>
  </si>
  <si>
    <t>Simian enterovirus 4</t>
  </si>
  <si>
    <t>Simian enterovirus 5</t>
  </si>
  <si>
    <t>Simian enterovirus 6</t>
  </si>
  <si>
    <t>Simian enterovirus 7</t>
  </si>
  <si>
    <t>Simian enterovirus 8</t>
  </si>
  <si>
    <t>Simian enterovirus 9</t>
  </si>
  <si>
    <t>Bovine rhinoviruses</t>
  </si>
  <si>
    <t>Bovine rhinovirus 1</t>
  </si>
  <si>
    <t>Bovine rhinovirus 2</t>
  </si>
  <si>
    <t>Equine rhinoviruses</t>
  </si>
  <si>
    <t>Split,Moved,</t>
  </si>
  <si>
    <t>Equine rhinovirus 1</t>
  </si>
  <si>
    <t>Equine rhinovirus 2</t>
  </si>
  <si>
    <t>Abbsettarov virus</t>
  </si>
  <si>
    <t>Tick-borne encephalitis virus</t>
  </si>
  <si>
    <t>Hanzalova virus</t>
  </si>
  <si>
    <t>Hypr virus</t>
  </si>
  <si>
    <t>Kumlinge virus</t>
  </si>
  <si>
    <t>Russian spring-summer encephalitis virus</t>
  </si>
  <si>
    <t>Phage Dd</t>
  </si>
  <si>
    <t>Phage DdVI</t>
  </si>
  <si>
    <t>Phage Vi</t>
  </si>
  <si>
    <t>Bovine adenovirus</t>
  </si>
  <si>
    <t>Bovine adenovirus 1</t>
  </si>
  <si>
    <t>Bovine adenovirus 2</t>
  </si>
  <si>
    <t>Bovine adenovirus 3</t>
  </si>
  <si>
    <t>Bovine adenovirus 4</t>
  </si>
  <si>
    <t>Bovine adenovirus 5</t>
  </si>
  <si>
    <t>Bovine adenovirus 6</t>
  </si>
  <si>
    <t>Bovine adenovirus 7</t>
  </si>
  <si>
    <t>Bovine adenovirus 8</t>
  </si>
  <si>
    <t>Bovine adenovirus 9</t>
  </si>
  <si>
    <t>Human adenovirus types 3-33</t>
  </si>
  <si>
    <t>Human adenovirus 10</t>
  </si>
  <si>
    <t>Human adenovirus 11</t>
  </si>
  <si>
    <t>Human adenovirus 12</t>
  </si>
  <si>
    <t>Human adenovirus 13</t>
  </si>
  <si>
    <t>Human adenovirus 14</t>
  </si>
  <si>
    <t>Human adenovirus 15</t>
  </si>
  <si>
    <t>Human adenovirus 16</t>
  </si>
  <si>
    <t>Human adenovirus 17</t>
  </si>
  <si>
    <t>Human adenovirus 18</t>
  </si>
  <si>
    <t>Human adenovirus 19</t>
  </si>
  <si>
    <t>Human adenovirus 20</t>
  </si>
  <si>
    <t>Human adenovirus 21</t>
  </si>
  <si>
    <t>Human adenovirus 22</t>
  </si>
  <si>
    <t>Human adenovirus 23</t>
  </si>
  <si>
    <t>Human adenovirus 24</t>
  </si>
  <si>
    <t>Human adenovirus 25</t>
  </si>
  <si>
    <t>Human adenovirus 26</t>
  </si>
  <si>
    <t>Human adenovirus 27</t>
  </si>
  <si>
    <t>Human adenovirus 28</t>
  </si>
  <si>
    <t>Human adenovirus 29</t>
  </si>
  <si>
    <t>Human adenovirus 3</t>
  </si>
  <si>
    <t>Human adenovirus 30</t>
  </si>
  <si>
    <t>Human adenovirus 31</t>
  </si>
  <si>
    <t>Human adenovirus 32</t>
  </si>
  <si>
    <t>Human adenovirus 33</t>
  </si>
  <si>
    <t>Human adenovirus 4</t>
  </si>
  <si>
    <t>Human adenovirus 5</t>
  </si>
  <si>
    <t>Human adenovirus 6</t>
  </si>
  <si>
    <t>Human adenovirus 7</t>
  </si>
  <si>
    <t>Human adenovirus 8</t>
  </si>
  <si>
    <t>Human adenovirus 9</t>
  </si>
  <si>
    <t>Ovine adenovirus</t>
  </si>
  <si>
    <t>Ovine adenovirus 1</t>
  </si>
  <si>
    <t>Ovine adenovirus 2</t>
  </si>
  <si>
    <t>Ovine adenovirus 3</t>
  </si>
  <si>
    <t>Ovine adenovirus 4</t>
  </si>
  <si>
    <t>Ovine adenovirus 5</t>
  </si>
  <si>
    <t>Porcine adenovirus</t>
  </si>
  <si>
    <t>Porcine adenovirus 1</t>
  </si>
  <si>
    <t>Porcine adenovirus 2</t>
  </si>
  <si>
    <t>Porcine adenovirus 3</t>
  </si>
  <si>
    <t>Porcine adenovirus 4</t>
  </si>
  <si>
    <t>Congo virus</t>
  </si>
  <si>
    <t>Merged,Moved,Assigned as Type Species,</t>
  </si>
  <si>
    <t>Crimean-Congo hemorrhagic fever virus</t>
  </si>
  <si>
    <t>Crimean hemorrhagic fever virus</t>
  </si>
  <si>
    <t>Plant rhabdovirus group</t>
  </si>
  <si>
    <t>Plant rhabdovirus subgroup A</t>
  </si>
  <si>
    <t>Plant rhabdovirus subgroup B</t>
  </si>
  <si>
    <t>Alfalfa latent virus</t>
  </si>
  <si>
    <t>Pea streak virus</t>
  </si>
  <si>
    <t>Apple mosaic virus</t>
  </si>
  <si>
    <t>Black raspberry latent virus</t>
  </si>
  <si>
    <t>Tobacco streak virus</t>
  </si>
  <si>
    <t>Cherry rugose mosaic virus</t>
  </si>
  <si>
    <t>Prunus necrotic ringspot virus</t>
  </si>
  <si>
    <t>Danish plum line pattern virus</t>
  </si>
  <si>
    <t>Hop virus A</t>
  </si>
  <si>
    <t>Hop virus C</t>
  </si>
  <si>
    <t>Rose mosaic virus</t>
  </si>
  <si>
    <t>Clover yellow vein virus</t>
  </si>
  <si>
    <t>Pea necrosis virus</t>
  </si>
  <si>
    <t>Gaeumannomyces graminis virus group I</t>
  </si>
  <si>
    <t>Merged,Moved,</t>
  </si>
  <si>
    <t>Partitivirus</t>
  </si>
  <si>
    <t>Gaeumannomyces graminis virus group II</t>
  </si>
  <si>
    <t>Geminivirus group</t>
  </si>
  <si>
    <t>Geminivirus subgroup A</t>
  </si>
  <si>
    <t>Geminivirus subgroup B</t>
  </si>
  <si>
    <t>Baculovirus</t>
  </si>
  <si>
    <t>Granulosis viruses</t>
  </si>
  <si>
    <t>Nuclear polyhedrosis viruses MNPV subgenus</t>
  </si>
  <si>
    <t>Nuclear polyhedrosis viruses SNPV subgenus</t>
  </si>
  <si>
    <t>Non-occluded baculoviruses</t>
  </si>
  <si>
    <t>Polydnavirus</t>
  </si>
  <si>
    <t>Bracovirus</t>
  </si>
  <si>
    <t>Ichnovirus</t>
  </si>
  <si>
    <t>Type C oncovirus group</t>
  </si>
  <si>
    <t>Avian retrovirus group</t>
  </si>
  <si>
    <t>Mammalian type C retrovirus group</t>
  </si>
  <si>
    <t>Phlebovirus</t>
  </si>
  <si>
    <t>Uukuvirus</t>
  </si>
  <si>
    <t>Entomopoxvirus</t>
  </si>
  <si>
    <t>Entomopoxvirus A</t>
  </si>
  <si>
    <t>Entomopoxvirus B</t>
  </si>
  <si>
    <t>Entomopoxvirus C</t>
  </si>
  <si>
    <t>Buffalopox virus</t>
  </si>
  <si>
    <t>Vaccinia virus</t>
  </si>
  <si>
    <t>Rabbitpox virus</t>
  </si>
  <si>
    <t>Arrhenatherum blue dwarf virus</t>
  </si>
  <si>
    <t>Oat sterile dwarf virus</t>
  </si>
  <si>
    <t>Cereal tillering disease virus</t>
  </si>
  <si>
    <t>Maize rough dwarf virus</t>
  </si>
  <si>
    <t>Lolium enation virus</t>
  </si>
  <si>
    <t>Pangola stunt virus</t>
  </si>
  <si>
    <t>Rice black-streaked dwarf virus</t>
  </si>
  <si>
    <t>Human T-lymphotropic viruses</t>
  </si>
  <si>
    <t>Split,Assigned as Type Species,</t>
  </si>
  <si>
    <t>Human T-cell lymphotropic virus 1</t>
  </si>
  <si>
    <t>Human T-cell lymphotropic virus 2</t>
  </si>
  <si>
    <t>Maedi virus</t>
  </si>
  <si>
    <t>Visna/Maedi virus</t>
  </si>
  <si>
    <t>Visna virus</t>
  </si>
  <si>
    <t>Ustilago maydis virus</t>
  </si>
  <si>
    <t>Ustilago maydis virus 1</t>
  </si>
  <si>
    <t>Ustilago maydis virus 4</t>
  </si>
  <si>
    <t>Ustilago maydis virus 6</t>
  </si>
  <si>
    <t>Pepino latent virus</t>
  </si>
  <si>
    <t>Potato virus S</t>
  </si>
  <si>
    <t>Barley yellow dwarf virus</t>
  </si>
  <si>
    <t>Beet mild yellowing virus</t>
  </si>
  <si>
    <t>Beet western yellows virus</t>
  </si>
  <si>
    <t>Legume yellows virus</t>
  </si>
  <si>
    <t>Bean leaf roll virus</t>
  </si>
  <si>
    <t>Malva yellows virus</t>
  </si>
  <si>
    <t>Pea leaf roll virus</t>
  </si>
  <si>
    <t>Potato leaf roll virus</t>
  </si>
  <si>
    <t>Rice giallume virus</t>
  </si>
  <si>
    <t>Solanum yellows virus</t>
  </si>
  <si>
    <t>Soybean dwarf virus</t>
  </si>
  <si>
    <t>Subterranean clover red leaf virus</t>
  </si>
  <si>
    <t>Turnip yellows virus</t>
  </si>
  <si>
    <t>Bearded iris mosaic virus</t>
  </si>
  <si>
    <t>Iris severe mosaic virus</t>
  </si>
  <si>
    <t>Papaya ringspot virus</t>
  </si>
  <si>
    <t>Watermelon mosaic virus 1</t>
  </si>
  <si>
    <t>Cucumber green mottle mosaic virus</t>
  </si>
  <si>
    <t>Cucumber virus 4</t>
  </si>
  <si>
    <t>Nucleopolyhedrovirus</t>
  </si>
  <si>
    <t>Birnavirus</t>
  </si>
  <si>
    <t>Aquabirnavirus</t>
  </si>
  <si>
    <t>Avibirnavirus</t>
  </si>
  <si>
    <t>Entomobirnavirus</t>
  </si>
  <si>
    <t>Ebola virus</t>
  </si>
  <si>
    <t>Ebola virus Reston</t>
  </si>
  <si>
    <t>Ebola virus Sudan</t>
  </si>
  <si>
    <t>Ebola virus Zaire</t>
  </si>
  <si>
    <t>Parainfluenza virus 4</t>
  </si>
  <si>
    <t>Human parainfluenza virus 4a</t>
  </si>
  <si>
    <t>Human parainfluenza virus 4b</t>
  </si>
  <si>
    <t>Cherry rugose virus</t>
  </si>
  <si>
    <t>Human coronavirus</t>
  </si>
  <si>
    <t>Human coronavirus 229E</t>
  </si>
  <si>
    <t>Human coronavirus OC43</t>
  </si>
  <si>
    <t>Tomato leaf curl virus</t>
  </si>
  <si>
    <t>Tomato leaf curl virus - Au</t>
  </si>
  <si>
    <t>Tomato leaf curl virus - In</t>
  </si>
  <si>
    <t>Bovine papilloma virus</t>
  </si>
  <si>
    <t>Bovine papillomavirus 1</t>
  </si>
  <si>
    <t>Bovine papillomavirus 2</t>
  </si>
  <si>
    <t>Bovine papillomavirus 4</t>
  </si>
  <si>
    <t>Human papilloma virus</t>
  </si>
  <si>
    <t>Human papillomavirus 11</t>
  </si>
  <si>
    <t>Human papillomavirus 16</t>
  </si>
  <si>
    <t>Human papillomavirus 18</t>
  </si>
  <si>
    <t>Human papillomavirus 1a</t>
  </si>
  <si>
    <t>Human papillomavirus 31</t>
  </si>
  <si>
    <t>Human papillomavirus 33</t>
  </si>
  <si>
    <t>Human papillomavirus 5</t>
  </si>
  <si>
    <t>Human papillomavirus 6b</t>
  </si>
  <si>
    <t>Human papillomavirus 8</t>
  </si>
  <si>
    <t>Columbia SK virus</t>
  </si>
  <si>
    <t>Encephalomyocarditis virus</t>
  </si>
  <si>
    <t>Mengovirus</t>
  </si>
  <si>
    <t>MM virus</t>
  </si>
  <si>
    <t>Murine encephalomyelitis virus</t>
  </si>
  <si>
    <t>Theiler's murine encephalomyelitis virus</t>
  </si>
  <si>
    <t>Murine poliovirus</t>
  </si>
  <si>
    <t>Bean common mosaic virus</t>
  </si>
  <si>
    <t>Blackeye cowpea mosaic virus</t>
  </si>
  <si>
    <t>Peanut stripe virus</t>
  </si>
  <si>
    <t>Statice virus Y</t>
  </si>
  <si>
    <t>13p2 reovirus</t>
  </si>
  <si>
    <t>Group A aquareovirus</t>
  </si>
  <si>
    <t>Chum salmon virus</t>
  </si>
  <si>
    <t>Avian sarcoma and leukemia viruses</t>
  </si>
  <si>
    <t>Avian carcinoma Mill Hill virus 2</t>
  </si>
  <si>
    <t>Avian myeloblastosis virus</t>
  </si>
  <si>
    <t>Avian myelocytomatosis virus 29</t>
  </si>
  <si>
    <t>Barley yellow dwarf virus-MAV</t>
  </si>
  <si>
    <t>Barley yellow dwarf virus-PAV</t>
  </si>
  <si>
    <t>Barley yellow dwarf virus-RGV</t>
  </si>
  <si>
    <t>Barley yellow dwarf virus-RMV</t>
  </si>
  <si>
    <t>Barley yellow dwarf virus-RPV</t>
  </si>
  <si>
    <t>Barley yellow dwarf virus-SGV</t>
  </si>
  <si>
    <t>Ononis yellow mosaic virus</t>
  </si>
  <si>
    <t>Scrophularia mottle virus</t>
  </si>
  <si>
    <t>Influenza virus A and B</t>
  </si>
  <si>
    <t>Influenzavirus A</t>
  </si>
  <si>
    <t>Influenzavirus B</t>
  </si>
  <si>
    <t>Viroids</t>
  </si>
  <si>
    <t>Promoted,</t>
  </si>
  <si>
    <t>Avsunviroidae</t>
  </si>
  <si>
    <t>Pospiviroidae</t>
  </si>
  <si>
    <t>Mammalian type B retroviruses</t>
  </si>
  <si>
    <t>Betaretrovirus</t>
  </si>
  <si>
    <t>Type D retroviruses</t>
  </si>
  <si>
    <t>Bean golden mosaic virus</t>
  </si>
  <si>
    <t>Bean golden mosaic virus-Brazil</t>
  </si>
  <si>
    <t>Bean golden mosaic virus-Puerto Rico</t>
  </si>
  <si>
    <t>Chino del tomate virus</t>
  </si>
  <si>
    <t>Cotton leaf curl virus</t>
  </si>
  <si>
    <t>Cotton leaf curl virus-Pakistan 1</t>
  </si>
  <si>
    <t>Cotton leaf curl virus-Pakistan 2</t>
  </si>
  <si>
    <t>Serrano golden mosaic virus</t>
  </si>
  <si>
    <t>Texas pepper virus</t>
  </si>
  <si>
    <t>Tomato leaf crumple virus</t>
  </si>
  <si>
    <t>Tomato leaf curl virus-Bangalore I</t>
  </si>
  <si>
    <t>Tomato leaf curl virus-Bangalore II</t>
  </si>
  <si>
    <t>Avian reovirus 1</t>
  </si>
  <si>
    <t>Avian reovirus</t>
  </si>
  <si>
    <t>Avian reovirus 2</t>
  </si>
  <si>
    <t>Avian reovirus 3</t>
  </si>
  <si>
    <t>Avian reovirus 4</t>
  </si>
  <si>
    <t>Avian reovirus 5</t>
  </si>
  <si>
    <t>Avian reovirus 6</t>
  </si>
  <si>
    <t>Avian reovirus 7</t>
  </si>
  <si>
    <t>Avian reovirus 8</t>
  </si>
  <si>
    <t>Avian reovirus 9</t>
  </si>
  <si>
    <t>Mammalian reovirus</t>
  </si>
  <si>
    <t>Mammalian reovirus 2</t>
  </si>
  <si>
    <t>Mammalian reovirus 3</t>
  </si>
  <si>
    <t>WVU virus 2937</t>
  </si>
  <si>
    <t>WVU virus 71 to 212</t>
  </si>
  <si>
    <t>Parsnip yellow fleck virus (Anthriscus strain)</t>
  </si>
  <si>
    <t>Parsnip yellow fleck virus</t>
  </si>
  <si>
    <t>Parsnip yellow fleck virus (parsnip strain)</t>
  </si>
  <si>
    <t>Pea enation mosaic virus</t>
  </si>
  <si>
    <t>Pea enation mosaic virus-1</t>
  </si>
  <si>
    <t>Split,Moved,Removed as Type Species,</t>
  </si>
  <si>
    <t>Pea enation mosaic virus-2</t>
  </si>
  <si>
    <t>Papovaviridae</t>
  </si>
  <si>
    <t>Papillomaviridae</t>
  </si>
  <si>
    <t>Polyomaviridae</t>
  </si>
  <si>
    <t>Bacillus phage SPO1</t>
  </si>
  <si>
    <t>Aeromonas phage 65</t>
  </si>
  <si>
    <t>Aeromonas phage Aeh1</t>
  </si>
  <si>
    <t>Coliphage T2</t>
  </si>
  <si>
    <t>Enterobacteria phage T4</t>
  </si>
  <si>
    <t>Coliphage T4</t>
  </si>
  <si>
    <t>Coliphage T6</t>
  </si>
  <si>
    <t>Enterobacteria phage C16</t>
  </si>
  <si>
    <t>Enterobacteria phage PST</t>
  </si>
  <si>
    <t>Bacillus phage SP8</t>
  </si>
  <si>
    <t>Coliphage T7</t>
  </si>
  <si>
    <t>Enterobacteria phage T7</t>
  </si>
  <si>
    <t>Enterobacteria phage H</t>
  </si>
  <si>
    <t>Enterobacteria phage phiI</t>
  </si>
  <si>
    <t>Enterobacteria phage phiII</t>
  </si>
  <si>
    <t>Enterobacteria phage T3</t>
  </si>
  <si>
    <t>Enterobacteria phage W31</t>
  </si>
  <si>
    <t>Dolphin distemper virus</t>
  </si>
  <si>
    <t>Cetacean morbillivirus virus</t>
  </si>
  <si>
    <t>Porpoise distemper virus</t>
  </si>
  <si>
    <t>Human parainfluenza virus 4</t>
  </si>
  <si>
    <t>Fowl adenovirus 10</t>
  </si>
  <si>
    <t>Fowl adenovirus C</t>
  </si>
  <si>
    <t>Fowl adenovirus 11</t>
  </si>
  <si>
    <t>Fowl adenovirus D</t>
  </si>
  <si>
    <t>Fowl adenovirus 2</t>
  </si>
  <si>
    <t>Fowl adenovirus 3</t>
  </si>
  <si>
    <t>Fowl adenovirus 4</t>
  </si>
  <si>
    <t>Fowl adenovirus 6</t>
  </si>
  <si>
    <t>Fowl adenovirus E</t>
  </si>
  <si>
    <t>Fowl adenovirus 7</t>
  </si>
  <si>
    <t>Fowl adenovirus 8</t>
  </si>
  <si>
    <t>Fowl adenovirus 9</t>
  </si>
  <si>
    <t>Goose adenovirus 1</t>
  </si>
  <si>
    <t>Goose adenovirus</t>
  </si>
  <si>
    <t>Goose adenovirus 2</t>
  </si>
  <si>
    <t>Goose adenovirus 3</t>
  </si>
  <si>
    <t>Ovine adenovirus A</t>
  </si>
  <si>
    <t>Human adenovirus C</t>
  </si>
  <si>
    <t>Canine adenovirus 1</t>
  </si>
  <si>
    <t>Canine adenovirus</t>
  </si>
  <si>
    <t>Canine adenovirus 2</t>
  </si>
  <si>
    <t>Human adenovirus 1</t>
  </si>
  <si>
    <t>Human adenovirus D</t>
  </si>
  <si>
    <t>Human adenovirus B</t>
  </si>
  <si>
    <t>Human adenovirus A</t>
  </si>
  <si>
    <t>Human adenovirus 2</t>
  </si>
  <si>
    <t>Human adenovirus 34</t>
  </si>
  <si>
    <t>Human adenovirus 35</t>
  </si>
  <si>
    <t>Human adenovirus 36</t>
  </si>
  <si>
    <t>Human adenovirus 37</t>
  </si>
  <si>
    <t>Human adenovirus 38</t>
  </si>
  <si>
    <t>Human adenovirus 39</t>
  </si>
  <si>
    <t>Human adenovirus E</t>
  </si>
  <si>
    <t>Human adenovirus 40</t>
  </si>
  <si>
    <t>Human adenovirus F</t>
  </si>
  <si>
    <t>Human adenovirus 41</t>
  </si>
  <si>
    <t>Human adenovirus 42</t>
  </si>
  <si>
    <t>Human adenovirus 43</t>
  </si>
  <si>
    <t>Human adenovirus 44</t>
  </si>
  <si>
    <t>Human adenovirus 45</t>
  </si>
  <si>
    <t>Human adenovirus 46</t>
  </si>
  <si>
    <t>Human adenovirus 47</t>
  </si>
  <si>
    <t>Porcine adenovirus A</t>
  </si>
  <si>
    <t>Simian adenovirus 10</t>
  </si>
  <si>
    <t>Simian adenovirus 11</t>
  </si>
  <si>
    <t>Simian adenovirus 13</t>
  </si>
  <si>
    <t>Simian adenovirus 14</t>
  </si>
  <si>
    <t>Simian adenovirus 16</t>
  </si>
  <si>
    <t>Simian adenovirus 19</t>
  </si>
  <si>
    <t>Simian adenovirus 2</t>
  </si>
  <si>
    <t>Simian adenovirus 21</t>
  </si>
  <si>
    <t>Simian adenovirus 22</t>
  </si>
  <si>
    <t>Simian adenovirus 23</t>
  </si>
  <si>
    <t>Simian adenovirus 24</t>
  </si>
  <si>
    <t>Simian adenovirus 25</t>
  </si>
  <si>
    <t>Simian adenovirus 3</t>
  </si>
  <si>
    <t>Simian adenovirus 4</t>
  </si>
  <si>
    <t>Simian adenovirus 6</t>
  </si>
  <si>
    <t>Simian adenovirus 9</t>
  </si>
  <si>
    <t>Bovine astrovirus 1</t>
  </si>
  <si>
    <t>Bovine astrovirus</t>
  </si>
  <si>
    <t>Bovine astrovirus 2</t>
  </si>
  <si>
    <t>Human astrovirus 1</t>
  </si>
  <si>
    <t>Human astrovirus</t>
  </si>
  <si>
    <t>Human astrovirus 2</t>
  </si>
  <si>
    <t>Human astrovirus 3</t>
  </si>
  <si>
    <t>Human astrovirus 4</t>
  </si>
  <si>
    <t>Human astrovirus 5</t>
  </si>
  <si>
    <t>Artogeia rapae granulovirus</t>
  </si>
  <si>
    <t>Pieris brassicae granulovirus</t>
  </si>
  <si>
    <t>Autographa californica multiple nucleopolyhedrovirus</t>
  </si>
  <si>
    <t>Galleria mellonealla multiple nucleopolyhedrovirus</t>
  </si>
  <si>
    <t>Rachiplusia ou multiple nucleopolyhedrovirus</t>
  </si>
  <si>
    <t>Trichoplusia ni multiple nucleopolyhedrovirus</t>
  </si>
  <si>
    <t>63U11 virus</t>
  </si>
  <si>
    <t>Marituba virus</t>
  </si>
  <si>
    <t>75V-2374 virus</t>
  </si>
  <si>
    <t>Alajuela virus</t>
  </si>
  <si>
    <t>75V-2621 virus</t>
  </si>
  <si>
    <t>Gamboa virus</t>
  </si>
  <si>
    <t>78V-2441 virus</t>
  </si>
  <si>
    <t>Abras virus</t>
  </si>
  <si>
    <t>Patois virus</t>
  </si>
  <si>
    <t>Acara virus</t>
  </si>
  <si>
    <t>Ag83-1746 virus</t>
  </si>
  <si>
    <t>Bunyamwera virus</t>
  </si>
  <si>
    <t>AG83-497 virus</t>
  </si>
  <si>
    <t>California encephalitis virus</t>
  </si>
  <si>
    <t>Aino virus</t>
  </si>
  <si>
    <t>Shuni virus</t>
  </si>
  <si>
    <t>Akabane virus</t>
  </si>
  <si>
    <t>Ananindeua virus</t>
  </si>
  <si>
    <t>Guama virus</t>
  </si>
  <si>
    <t>Anhembi virus</t>
  </si>
  <si>
    <t>Wyeomyia virus</t>
  </si>
  <si>
    <t>Anopheles A virus</t>
  </si>
  <si>
    <t>Anopheles B virus</t>
  </si>
  <si>
    <t>Apeu virus</t>
  </si>
  <si>
    <t>Caraparu virus</t>
  </si>
  <si>
    <t>Babahoyo virus</t>
  </si>
  <si>
    <t>Bahig virus</t>
  </si>
  <si>
    <t>Tete virus</t>
  </si>
  <si>
    <t>Bakau virus</t>
  </si>
  <si>
    <t>Batai virus</t>
  </si>
  <si>
    <t>BeAr328208 virus</t>
  </si>
  <si>
    <t>Benfica virus</t>
  </si>
  <si>
    <t>Bushbush virus</t>
  </si>
  <si>
    <t>Bertioga virus</t>
  </si>
  <si>
    <t>Birao virus</t>
  </si>
  <si>
    <t>Bobia virus</t>
  </si>
  <si>
    <t>Olifantsvlei virus</t>
  </si>
  <si>
    <t>Boraceia virus</t>
  </si>
  <si>
    <t>Bozo virus</t>
  </si>
  <si>
    <t>Bruconha virus</t>
  </si>
  <si>
    <t>Buttonwillow virus</t>
  </si>
  <si>
    <t>Manzanilla virus</t>
  </si>
  <si>
    <t>Bwamba virus</t>
  </si>
  <si>
    <t>Cache Valley virus</t>
  </si>
  <si>
    <t>Cananeia virus</t>
  </si>
  <si>
    <t>CbaAr426 virus</t>
  </si>
  <si>
    <t>CoAr1071 virus</t>
  </si>
  <si>
    <t>Tacaiuma virus</t>
  </si>
  <si>
    <t>CoAr3624 virus</t>
  </si>
  <si>
    <t>CoAr3627 virus</t>
  </si>
  <si>
    <t>CoAr57389 virus</t>
  </si>
  <si>
    <t>Dabakala virus</t>
  </si>
  <si>
    <t>Douglas virus</t>
  </si>
  <si>
    <t>Sathuperi virus</t>
  </si>
  <si>
    <t>Eret-147 virus</t>
  </si>
  <si>
    <t>Nyando virus</t>
  </si>
  <si>
    <t>Facey's Paddock virus</t>
  </si>
  <si>
    <t>Oropouche virus</t>
  </si>
  <si>
    <t>Fort Sherman virus</t>
  </si>
  <si>
    <t>Germiston virus</t>
  </si>
  <si>
    <t>GU71u344 virus</t>
  </si>
  <si>
    <t>GU71u350 virus</t>
  </si>
  <si>
    <t>Guajara virus</t>
  </si>
  <si>
    <t>Guaratuba virus</t>
  </si>
  <si>
    <t>Gumbo Limbo virus</t>
  </si>
  <si>
    <t>H32580 virus</t>
  </si>
  <si>
    <t>Iaco virus</t>
  </si>
  <si>
    <t>Ilehsa virus</t>
  </si>
  <si>
    <t>Ingwavuma virus</t>
  </si>
  <si>
    <t>Inini virus</t>
  </si>
  <si>
    <t>Inkoo virus</t>
  </si>
  <si>
    <t>Itaqui virus</t>
  </si>
  <si>
    <t>Oriboca virus</t>
  </si>
  <si>
    <t>Itimirim virus</t>
  </si>
  <si>
    <t>Jamestown Canyon virus</t>
  </si>
  <si>
    <t>Juan Diaz virus</t>
  </si>
  <si>
    <t>Kaikalur virus</t>
  </si>
  <si>
    <t>Ketapang virus</t>
  </si>
  <si>
    <t>Keystone virus</t>
  </si>
  <si>
    <t>Koongol virus</t>
  </si>
  <si>
    <t>La Crosse virus</t>
  </si>
  <si>
    <t>Las Maloyas virus</t>
  </si>
  <si>
    <t>Lednice virus</t>
  </si>
  <si>
    <t>Turlock virus</t>
  </si>
  <si>
    <t>Lokern virus</t>
  </si>
  <si>
    <t>Lukuni virus</t>
  </si>
  <si>
    <t>Macaua virus</t>
  </si>
  <si>
    <t>Maguari virus</t>
  </si>
  <si>
    <t>Mahogany Hammock virus</t>
  </si>
  <si>
    <t>Matruh virus</t>
  </si>
  <si>
    <t>Mboke virus</t>
  </si>
  <si>
    <t>Melao virus</t>
  </si>
  <si>
    <t>Mermet virus</t>
  </si>
  <si>
    <t>Minatitlan virus</t>
  </si>
  <si>
    <t>Mirim virus</t>
  </si>
  <si>
    <t>Moju virus</t>
  </si>
  <si>
    <t>Moriche virus</t>
  </si>
  <si>
    <t>Murutucu virus</t>
  </si>
  <si>
    <t>Nepuyo virus</t>
  </si>
  <si>
    <t>Ngari virus</t>
  </si>
  <si>
    <t>Nola virus</t>
  </si>
  <si>
    <t>Northway virus</t>
  </si>
  <si>
    <t>Ossa virus</t>
  </si>
  <si>
    <t>Oubi virus</t>
  </si>
  <si>
    <t>Pahayokee virus</t>
  </si>
  <si>
    <t>Palestina virus</t>
  </si>
  <si>
    <t>Peaton virus</t>
  </si>
  <si>
    <t>Shamonda virus</t>
  </si>
  <si>
    <t>Playas virus</t>
  </si>
  <si>
    <t>Pongola virus</t>
  </si>
  <si>
    <t>Potosi virus</t>
  </si>
  <si>
    <t>Pueblo Viejo virus</t>
  </si>
  <si>
    <t>Restan virus</t>
  </si>
  <si>
    <t>Sabo virus</t>
  </si>
  <si>
    <t>San Angelo virus</t>
  </si>
  <si>
    <t>San Juan virus</t>
  </si>
  <si>
    <t>Sango virus</t>
  </si>
  <si>
    <t>Santa Rosa virus</t>
  </si>
  <si>
    <t>Serra do Navio virus</t>
  </si>
  <si>
    <t>Shark River virus</t>
  </si>
  <si>
    <t>Shokwe virus</t>
  </si>
  <si>
    <t>Snowshoe hare virus</t>
  </si>
  <si>
    <t>Sororoca virus</t>
  </si>
  <si>
    <t>South River virus</t>
  </si>
  <si>
    <t>SPAr2317 virus</t>
  </si>
  <si>
    <t>Tahyna virus</t>
  </si>
  <si>
    <t>Taiassui virus</t>
  </si>
  <si>
    <t>Tanjong Rabok virus</t>
  </si>
  <si>
    <t>Telok Forest virus</t>
  </si>
  <si>
    <t>Tensaw virus</t>
  </si>
  <si>
    <t>Tinaroo virus</t>
  </si>
  <si>
    <t>Tlacotalpan virus</t>
  </si>
  <si>
    <t>Trivittatus virus</t>
  </si>
  <si>
    <t>Trombetas virus</t>
  </si>
  <si>
    <t>Tsuruse virus</t>
  </si>
  <si>
    <t>Tucundaba virus</t>
  </si>
  <si>
    <t>Umbre virus</t>
  </si>
  <si>
    <t>Utinga virus</t>
  </si>
  <si>
    <t>Utive virus</t>
  </si>
  <si>
    <t>Vinces virus</t>
  </si>
  <si>
    <t>Virgin River virus</t>
  </si>
  <si>
    <t>Weldona virus</t>
  </si>
  <si>
    <t>Wongal virus</t>
  </si>
  <si>
    <t>Xingu virus</t>
  </si>
  <si>
    <t>Yaba-7 virus</t>
  </si>
  <si>
    <t>Abu Hammad virus</t>
  </si>
  <si>
    <t>Dera Ghazi Khan virus</t>
  </si>
  <si>
    <t>Abu Mina virus</t>
  </si>
  <si>
    <t>Avalon virus</t>
  </si>
  <si>
    <t>Sakhalin virus</t>
  </si>
  <si>
    <t>Bandia virus</t>
  </si>
  <si>
    <t>Qalyub virus</t>
  </si>
  <si>
    <t>Clo Mor virus</t>
  </si>
  <si>
    <t>Erve virus</t>
  </si>
  <si>
    <t>Thiafora virus</t>
  </si>
  <si>
    <t>Farallon virus</t>
  </si>
  <si>
    <t>Hughes virus</t>
  </si>
  <si>
    <t>Fraser Point virus</t>
  </si>
  <si>
    <t>Great Saltee virus</t>
  </si>
  <si>
    <t>Hazara virus</t>
  </si>
  <si>
    <t>Kachemak Bay virus</t>
  </si>
  <si>
    <t>Kao Shuan virus</t>
  </si>
  <si>
    <t>Khasan virus</t>
  </si>
  <si>
    <t>Omo virus</t>
  </si>
  <si>
    <t>Paramushir virus</t>
  </si>
  <si>
    <t>Pathum Thani virus</t>
  </si>
  <si>
    <t>Pretoria virus</t>
  </si>
  <si>
    <t>Puffin Island virus</t>
  </si>
  <si>
    <t>Punta Salinas virus</t>
  </si>
  <si>
    <t>Raza virus</t>
  </si>
  <si>
    <t>Sapphire II virus</t>
  </si>
  <si>
    <t>Soldado virus</t>
  </si>
  <si>
    <t>Taggert virus</t>
  </si>
  <si>
    <t>Tillamook virus</t>
  </si>
  <si>
    <t>Zirqa virus</t>
  </si>
  <si>
    <t>Alenquer virus</t>
  </si>
  <si>
    <t>Chandiru virus</t>
  </si>
  <si>
    <t>Arbia virus</t>
  </si>
  <si>
    <t>Salehebad virus</t>
  </si>
  <si>
    <t>Belterra virus</t>
  </si>
  <si>
    <t>Rift Valley fever virus</t>
  </si>
  <si>
    <t>Buenaventura virus</t>
  </si>
  <si>
    <t>Punta Toro virus</t>
  </si>
  <si>
    <t>Bujaru virus</t>
  </si>
  <si>
    <t>Cacao virus</t>
  </si>
  <si>
    <t>Chilibre virus</t>
  </si>
  <si>
    <t>Candiru virus</t>
  </si>
  <si>
    <t>EgAn1825-61 virus</t>
  </si>
  <si>
    <t>Uukuniemi virus</t>
  </si>
  <si>
    <t>Fin V-707 virus</t>
  </si>
  <si>
    <t>Frijoles virus</t>
  </si>
  <si>
    <t>Grand Arbaud virus</t>
  </si>
  <si>
    <t>Icoaraci virus</t>
  </si>
  <si>
    <t>Itaituba virus</t>
  </si>
  <si>
    <t>Joa virus</t>
  </si>
  <si>
    <t>Karimabad virus</t>
  </si>
  <si>
    <t>Sandfly fever Naples virus</t>
  </si>
  <si>
    <t>Manawa virus</t>
  </si>
  <si>
    <t>Munguba virus</t>
  </si>
  <si>
    <t>Murre virus</t>
  </si>
  <si>
    <t>Nique virus</t>
  </si>
  <si>
    <t>Oceanside virus</t>
  </si>
  <si>
    <t>Oriximina virus</t>
  </si>
  <si>
    <t>Ponteves virus</t>
  </si>
  <si>
    <t>Precarious Point virus</t>
  </si>
  <si>
    <t>RML 105355 virus</t>
  </si>
  <si>
    <t>Salehabad virus</t>
  </si>
  <si>
    <t>St. Abbs Head virus</t>
  </si>
  <si>
    <t>Tehran virus</t>
  </si>
  <si>
    <t>Toscana virus</t>
  </si>
  <si>
    <t>Turuna virus</t>
  </si>
  <si>
    <t>Zaliv-Terpeniya virus</t>
  </si>
  <si>
    <t>San Miguel sea lion virus</t>
  </si>
  <si>
    <t>Vesicular exanthema of swine virus</t>
  </si>
  <si>
    <t>Alfuy virus</t>
  </si>
  <si>
    <t>Murray Valley encephalitis virus</t>
  </si>
  <si>
    <t>Dengue type 1 virus</t>
  </si>
  <si>
    <t>Dengue virus</t>
  </si>
  <si>
    <t>Dengue type 2 virus</t>
  </si>
  <si>
    <t>Dengue type 3 virus</t>
  </si>
  <si>
    <t>Dengue type 4 virus</t>
  </si>
  <si>
    <t>Karshi virus</t>
  </si>
  <si>
    <t>Royal Farm virus</t>
  </si>
  <si>
    <t>Kokobera virus</t>
  </si>
  <si>
    <t>Kunjin virus</t>
  </si>
  <si>
    <t>West Nile virus</t>
  </si>
  <si>
    <t>Stratford virus</t>
  </si>
  <si>
    <t>Bovine diarrhea virus</t>
  </si>
  <si>
    <t>Bovine viral diarrhea virus 1</t>
  </si>
  <si>
    <t>Bovine viral diarrhea virus 2</t>
  </si>
  <si>
    <t>Beet curly top virus</t>
  </si>
  <si>
    <t>Beet curly top virus-Iran</t>
  </si>
  <si>
    <t>Cryphonectria hypovirus 1-EP713</t>
  </si>
  <si>
    <t>Cryphonectria hypovirus 1</t>
  </si>
  <si>
    <t>Cryphonectria hypovirus 1-EP747</t>
  </si>
  <si>
    <t>Coliphage AE2</t>
  </si>
  <si>
    <t>Enterobacteria phage M13</t>
  </si>
  <si>
    <t>Coliphage deltaA</t>
  </si>
  <si>
    <t>Coliphage Ec9</t>
  </si>
  <si>
    <t>Coliphage f1</t>
  </si>
  <si>
    <t>Coliphage fd</t>
  </si>
  <si>
    <t>Coliphage HR</t>
  </si>
  <si>
    <t>Coliphage M13</t>
  </si>
  <si>
    <t>Coliphage ZJ/2</t>
  </si>
  <si>
    <t>Flounder virus</t>
  </si>
  <si>
    <t>Lymphocystis disease virus 1</t>
  </si>
  <si>
    <t>Lymphocystis disease virus</t>
  </si>
  <si>
    <t>Enterobacteria phage FI</t>
  </si>
  <si>
    <t>Enterobacteria phage ID2</t>
  </si>
  <si>
    <t>Enterobacteria phage M11</t>
  </si>
  <si>
    <t>Enterobacteria phage Qbeta</t>
  </si>
  <si>
    <t>Enterobacteria phage NL95</t>
  </si>
  <si>
    <t>Enterobacteria phage SP</t>
  </si>
  <si>
    <t>Enterobacteria phage ST</t>
  </si>
  <si>
    <t>Enterobacteria phage TW18</t>
  </si>
  <si>
    <t>Enterobacteria phage TW28</t>
  </si>
  <si>
    <t>Enterobacteria phage VK</t>
  </si>
  <si>
    <t>Enterobacteria phage BZ13</t>
  </si>
  <si>
    <t>Enterobacteria phage f2</t>
  </si>
  <si>
    <t>Enterobacteria phage MS2</t>
  </si>
  <si>
    <t>Enterobacteria phage fr</t>
  </si>
  <si>
    <t>Enterobacteria phage GA</t>
  </si>
  <si>
    <t>Enterobacteria phage JP34</t>
  </si>
  <si>
    <t>Enterobacteria phage JP501</t>
  </si>
  <si>
    <t>Enterobacteria phage KU1</t>
  </si>
  <si>
    <t>Enterobacteria phage M12</t>
  </si>
  <si>
    <t>Enterobacteria phage R17</t>
  </si>
  <si>
    <t>Enterobacteria phage TH1</t>
  </si>
  <si>
    <t>Potato leafroll virus</t>
  </si>
  <si>
    <t>Tomato yellow top virus</t>
  </si>
  <si>
    <t>Bovine papillomavirus</t>
  </si>
  <si>
    <t>Human papillomavirus</t>
  </si>
  <si>
    <t>Aphthovirus Asia 1</t>
  </si>
  <si>
    <t>Aphthovirus C</t>
  </si>
  <si>
    <t>Aphthovirus SAT1</t>
  </si>
  <si>
    <t>Aphthovirus SAT2</t>
  </si>
  <si>
    <t>Aphthovirus SAT3</t>
  </si>
  <si>
    <t>Theilovirus</t>
  </si>
  <si>
    <t>Vilyuisk human encephalomyelitis virus</t>
  </si>
  <si>
    <t>Human coxsackievirus A1</t>
  </si>
  <si>
    <t>Human enterovirus C</t>
  </si>
  <si>
    <t>Human coxsackievirus A10</t>
  </si>
  <si>
    <t>Human enterovirus A</t>
  </si>
  <si>
    <t>Human coxsackievirus A11</t>
  </si>
  <si>
    <t>Human coxsackievirus A12</t>
  </si>
  <si>
    <t>Human coxsackievirus A13</t>
  </si>
  <si>
    <t>Human coxsackievirus A14</t>
  </si>
  <si>
    <t>Human coxsackievirus A15</t>
  </si>
  <si>
    <t>Human coxsackievirus A16</t>
  </si>
  <si>
    <t>Human coxsackievirus A17</t>
  </si>
  <si>
    <t>Human coxsackievirus A18</t>
  </si>
  <si>
    <t>Human coxsackievirus A19</t>
  </si>
  <si>
    <t>Human coxsackievirus A2</t>
  </si>
  <si>
    <t>Human coxsackievirus A20</t>
  </si>
  <si>
    <t>Human coxsackievirus A21</t>
  </si>
  <si>
    <t>Human coxsackievirus A22</t>
  </si>
  <si>
    <t>Human coxsackievirus A24</t>
  </si>
  <si>
    <t>Human coxsackievirus A3</t>
  </si>
  <si>
    <t>Human coxsackievirus A5</t>
  </si>
  <si>
    <t>Human coxsackievirus A7</t>
  </si>
  <si>
    <t>Human coxsackievirus A8</t>
  </si>
  <si>
    <t>Human coxsackievirus A9</t>
  </si>
  <si>
    <t>Human enterovirus B</t>
  </si>
  <si>
    <t>Human coxsackievirus B1</t>
  </si>
  <si>
    <t>Human coxsackievirus B2</t>
  </si>
  <si>
    <t>Human coxsackievirus B3</t>
  </si>
  <si>
    <t>Human coxsackievirus B4</t>
  </si>
  <si>
    <t>Human coxsackievirus B5</t>
  </si>
  <si>
    <t>Human coxsackievirus B6</t>
  </si>
  <si>
    <t>Human echovirus 1</t>
  </si>
  <si>
    <t>Human echovirus 11</t>
  </si>
  <si>
    <t>Human echovirus 12</t>
  </si>
  <si>
    <t>Human echovirus 13</t>
  </si>
  <si>
    <t>Human echovirus 14</t>
  </si>
  <si>
    <t>Human echovirus 15</t>
  </si>
  <si>
    <t>Human echovirus 16</t>
  </si>
  <si>
    <t>Human echovirus 17</t>
  </si>
  <si>
    <t>Human echovirus 18</t>
  </si>
  <si>
    <t>Human echovirus 19</t>
  </si>
  <si>
    <t>Human echovirus 2</t>
  </si>
  <si>
    <t>Human echovirus 20</t>
  </si>
  <si>
    <t>Human echovirus 21</t>
  </si>
  <si>
    <t>Human echovirus 24</t>
  </si>
  <si>
    <t>Human echovirus 25</t>
  </si>
  <si>
    <t>Human echovirus 26</t>
  </si>
  <si>
    <t>Human echovirus 27</t>
  </si>
  <si>
    <t>Human echovirus 29</t>
  </si>
  <si>
    <t>Human echovirus 3</t>
  </si>
  <si>
    <t>Human echovirus 30</t>
  </si>
  <si>
    <t>Human echovirus 31</t>
  </si>
  <si>
    <t>Human echovirus 32</t>
  </si>
  <si>
    <t>Human echovirus 33</t>
  </si>
  <si>
    <t>Human echovirus 4</t>
  </si>
  <si>
    <t>Human echovirus 5</t>
  </si>
  <si>
    <t>Human echovirus 6</t>
  </si>
  <si>
    <t>Human echovirus 7</t>
  </si>
  <si>
    <t>Human echovirus 9</t>
  </si>
  <si>
    <t>Human enterovirus D</t>
  </si>
  <si>
    <t>Human poliovirus 1</t>
  </si>
  <si>
    <t>Poliovirus</t>
  </si>
  <si>
    <t>Human poliovirus 2</t>
  </si>
  <si>
    <t>Human poliovirus 3</t>
  </si>
  <si>
    <t>Human hepatitis A virus</t>
  </si>
  <si>
    <t>Hepatitis A virus</t>
  </si>
  <si>
    <t>Simian hepatitis A virus</t>
  </si>
  <si>
    <t>Human echovirus 23</t>
  </si>
  <si>
    <t>Human parechovirus</t>
  </si>
  <si>
    <t>Human rhinovirus 11</t>
  </si>
  <si>
    <t>Human rhinovirus A</t>
  </si>
  <si>
    <t>Human rhinovirus 14</t>
  </si>
  <si>
    <t>Human rhinovirus B</t>
  </si>
  <si>
    <t>Human rhinovirus 15</t>
  </si>
  <si>
    <t>Human rhinovirus 16</t>
  </si>
  <si>
    <t>Human rhinovirus 1A</t>
  </si>
  <si>
    <t>Human rhinovirus 1B</t>
  </si>
  <si>
    <t>Human rhinovirus 2</t>
  </si>
  <si>
    <t>Human rhinovirus 21</t>
  </si>
  <si>
    <t>Human rhinovirus 29</t>
  </si>
  <si>
    <t>Human rhinovirus 3</t>
  </si>
  <si>
    <t>Human rhinovirus 36</t>
  </si>
  <si>
    <t>Human rhinovirus 39</t>
  </si>
  <si>
    <t>Human rhinovirus 49</t>
  </si>
  <si>
    <t>Human rhinovirus 50</t>
  </si>
  <si>
    <t>Human rhinovirus 58</t>
  </si>
  <si>
    <t>Human rhinovirus 62</t>
  </si>
  <si>
    <t>Human rhinovirus 65</t>
  </si>
  <si>
    <t>Human rhinovirus 7</t>
  </si>
  <si>
    <t>Human rhinovirus 72</t>
  </si>
  <si>
    <t>Human rhinovirus 85</t>
  </si>
  <si>
    <t>Human rhinovirus 89</t>
  </si>
  <si>
    <t>Human rhinovirus 9</t>
  </si>
  <si>
    <t>Dendrobium mosaic virus</t>
  </si>
  <si>
    <t>Tulip chlorotic blotch virus</t>
  </si>
  <si>
    <t>Turnip mosaic virus</t>
  </si>
  <si>
    <t>Colorado tick fever virus</t>
  </si>
  <si>
    <t>S6-14-03 virus</t>
  </si>
  <si>
    <t>Mason-Pfizer monkey virus</t>
  </si>
  <si>
    <t>Simian type D virus 1</t>
  </si>
  <si>
    <t>Abelson murine leukemia virus</t>
  </si>
  <si>
    <t>Murine leukemia virus</t>
  </si>
  <si>
    <t>AKR (endogenous) murine leukemia virus</t>
  </si>
  <si>
    <t>Friend murine leukemia virus</t>
  </si>
  <si>
    <t>Simian foamy virus</t>
  </si>
  <si>
    <t>Simian foamy virus 1</t>
  </si>
  <si>
    <t>Simian foamy virus 3</t>
  </si>
  <si>
    <t>Babanki virus</t>
  </si>
  <si>
    <t>Sindbis virus</t>
  </si>
  <si>
    <t>Buggy Creek virus</t>
  </si>
  <si>
    <t>Fort Morgan virus</t>
  </si>
  <si>
    <t>Kyzylagach virus</t>
  </si>
  <si>
    <t>Ockelbo virus</t>
  </si>
  <si>
    <t>Ross River virus</t>
  </si>
  <si>
    <t>Sagiyama virus</t>
  </si>
  <si>
    <t>Apple stem grooving virus</t>
  </si>
  <si>
    <t>Citrus tatter leaf virus</t>
  </si>
  <si>
    <t>Oat golden stripe virus</t>
  </si>
  <si>
    <t>Soil-borne wheat mosaic virus</t>
  </si>
  <si>
    <t>Little cherry virus</t>
  </si>
  <si>
    <t>Little cherry virus 2</t>
  </si>
  <si>
    <t>Little cherry virus 1</t>
  </si>
  <si>
    <t>Astrovirus</t>
  </si>
  <si>
    <t>Avastrovirus</t>
  </si>
  <si>
    <t>Mamastrovirus</t>
  </si>
  <si>
    <t>Porcine circovirus</t>
  </si>
  <si>
    <t>Porcine circovirus 1</t>
  </si>
  <si>
    <t>Porcine circovirus 2</t>
  </si>
  <si>
    <t>Chimpanzee foamy virus</t>
  </si>
  <si>
    <t>Split,Moved,Assigned as Type Species,</t>
  </si>
  <si>
    <t>Bovine papillomavirus 5</t>
  </si>
  <si>
    <t>Bovine papillomavirus 3</t>
  </si>
  <si>
    <t>Human papillomavirus 10</t>
  </si>
  <si>
    <t>Human papillomavirus 2</t>
  </si>
  <si>
    <t>Human papillomavirus 26</t>
  </si>
  <si>
    <t>Human papillomavirus 32</t>
  </si>
  <si>
    <t>Human papillomavirus 34</t>
  </si>
  <si>
    <t>Human papillomavirus 53</t>
  </si>
  <si>
    <t>Human papillomavirus 54</t>
  </si>
  <si>
    <t>Human papillomavirus 6</t>
  </si>
  <si>
    <t>Human papillomavirus 61</t>
  </si>
  <si>
    <t>Human papillomavirus 7</t>
  </si>
  <si>
    <t>Human papillomavirus 71</t>
  </si>
  <si>
    <t>Human papillomavirus cand90</t>
  </si>
  <si>
    <t>Human papillomavirus 49</t>
  </si>
  <si>
    <t>Human papillomavirus 9</t>
  </si>
  <si>
    <t>Human papillomavirus cand92</t>
  </si>
  <si>
    <t>Human papillomavirus 4</t>
  </si>
  <si>
    <t>Human papillomavirus 48</t>
  </si>
  <si>
    <t>Human papillomavirus 50</t>
  </si>
  <si>
    <t>Human papillomavirus 60</t>
  </si>
  <si>
    <t>Human papillomavirus 88</t>
  </si>
  <si>
    <t>Human papillomavirus 1</t>
  </si>
  <si>
    <t>Human papillomavirus 63</t>
  </si>
  <si>
    <t>Human papillomavirus 41</t>
  </si>
  <si>
    <t>Canine parvovirus</t>
  </si>
  <si>
    <t>Feline panleukopenia virus</t>
  </si>
  <si>
    <t>Feline parvovirus</t>
  </si>
  <si>
    <t>Mink enteritis virus</t>
  </si>
  <si>
    <t>Raccoon parvovirus</t>
  </si>
  <si>
    <t>Enterobacteria phage P1</t>
  </si>
  <si>
    <t>Enterobacteria phage P1D</t>
  </si>
  <si>
    <t>Mamestra configurata nucleopolyhedrovirus</t>
  </si>
  <si>
    <t>Mamestra configurata nucleopolyhedrovirus A</t>
  </si>
  <si>
    <t>Mamestra configurata nucleopolyhedrovirus B</t>
  </si>
  <si>
    <t>Elm mottle virus</t>
  </si>
  <si>
    <t>Hydrangea mosaic virus</t>
  </si>
  <si>
    <t>Dugbe virus</t>
  </si>
  <si>
    <t>Nairobi sheep disease virus</t>
  </si>
  <si>
    <t>Banana streak virus</t>
  </si>
  <si>
    <t>Banana streak GF virus</t>
  </si>
  <si>
    <t>Banana streak Mysore virus</t>
  </si>
  <si>
    <t>Banana streak OL virus</t>
  </si>
  <si>
    <t>Sugarcane bacilliform virus</t>
  </si>
  <si>
    <t>Sugarcane bacilliform IM virus</t>
  </si>
  <si>
    <t>Sugarcane bacilliform Mor virus</t>
  </si>
  <si>
    <t>Broad bean wilt virus 2</t>
  </si>
  <si>
    <t>Patchouli mild mosaic virus</t>
  </si>
  <si>
    <t>Tomato yellow leaf curl Gezira virus</t>
  </si>
  <si>
    <t>Tomato yellow leaf curl virus</t>
  </si>
  <si>
    <t>Tomato yellow leaf curl virus-Israel</t>
  </si>
  <si>
    <t>Adeno-associated virus 1</t>
  </si>
  <si>
    <t>Adeno-associated virus-1</t>
  </si>
  <si>
    <t>Adeno-associated virus 6</t>
  </si>
  <si>
    <t>Potato virus A</t>
  </si>
  <si>
    <t>Tamarillo mosaic virus</t>
  </si>
  <si>
    <t>Feline immunodeficiency virus</t>
  </si>
  <si>
    <t>Feline immunodeficiency virus (Oma)</t>
  </si>
  <si>
    <t>Alphabaculovirus</t>
  </si>
  <si>
    <t>Deltabaculovirus</t>
  </si>
  <si>
    <t>Gammabaculovirus</t>
  </si>
  <si>
    <t>Asparagus virus 3</t>
  </si>
  <si>
    <t>Scallion virus X</t>
  </si>
  <si>
    <t>Ageratum yellow vein China virus</t>
  </si>
  <si>
    <t>Ageratum yellow vein virus</t>
  </si>
  <si>
    <t>Ageratum yellow vein Taiwan virus</t>
  </si>
  <si>
    <t>Cotton leaf curl Multan virus</t>
  </si>
  <si>
    <t>Cotton leaf curl Rajasthan virus</t>
  </si>
  <si>
    <t>Honeysuckle yellow vein virus</t>
  </si>
  <si>
    <t>Potato yellow mosaic Trinidad virus</t>
  </si>
  <si>
    <t>Potato yellow mosaic virus</t>
  </si>
  <si>
    <t>Tobacco leaf curl Kochi virus</t>
  </si>
  <si>
    <t>Tomato leaf curl Iran virus</t>
  </si>
  <si>
    <t>Tomato leaf curl Karnataka virus</t>
  </si>
  <si>
    <t>Konjac mosaic virus</t>
  </si>
  <si>
    <t>Zantedeschia mosaic virus</t>
  </si>
  <si>
    <t>Eggplant mottled crinkle virus</t>
  </si>
  <si>
    <t>Pear latent virus</t>
  </si>
  <si>
    <t>Comoviridae</t>
  </si>
  <si>
    <t>Secoviridae</t>
  </si>
  <si>
    <t>Sequiviridae</t>
  </si>
  <si>
    <t>Flexiviridae</t>
  </si>
  <si>
    <t>Alphaflexiviridae</t>
  </si>
  <si>
    <t>Betaflexiviridae</t>
  </si>
  <si>
    <t>Coronavirus</t>
  </si>
  <si>
    <t>Alphacoronavirus</t>
  </si>
  <si>
    <t>Betacoronavirus</t>
  </si>
  <si>
    <t>Gammacoronavirus</t>
  </si>
  <si>
    <t>Anellovirus</t>
  </si>
  <si>
    <t>Anelloviridae</t>
  </si>
  <si>
    <t>Bovine coronavirus</t>
  </si>
  <si>
    <t>Betacoronavirus 1</t>
  </si>
  <si>
    <t>Canine coronavirus</t>
  </si>
  <si>
    <t>Alphacoronavirus 1</t>
  </si>
  <si>
    <t>Duck coronavirus</t>
  </si>
  <si>
    <t>Avian coronavirus</t>
  </si>
  <si>
    <t>Equine coronavirus</t>
  </si>
  <si>
    <t>Feline coronavirus</t>
  </si>
  <si>
    <t>Goose coronavirus</t>
  </si>
  <si>
    <t>Human enteric coronavirus</t>
  </si>
  <si>
    <t>Infectious bronchitis virus</t>
  </si>
  <si>
    <t>Murine hepatitis virus</t>
  </si>
  <si>
    <t>Murine coronavirus</t>
  </si>
  <si>
    <t>Pheasant coronavirus</t>
  </si>
  <si>
    <t>Pigeon coronavirus</t>
  </si>
  <si>
    <t>Porcine hemagglutinating encephalomyelitis virus</t>
  </si>
  <si>
    <t>Puffinosis coronavirus</t>
  </si>
  <si>
    <t>Rat coronavirus</t>
  </si>
  <si>
    <t>Transmissible gastroenteritis virus</t>
  </si>
  <si>
    <t>Turkey coronavirus</t>
  </si>
  <si>
    <t>Freesia mosaic virus</t>
  </si>
  <si>
    <t>Spiranthes mosaic virus 2</t>
  </si>
  <si>
    <t>44AHJD</t>
  </si>
  <si>
    <t>Staphylococcus phage 44AHJD</t>
  </si>
  <si>
    <t>Staphylococcus phage AHJD</t>
  </si>
  <si>
    <t>Alphapapillomavirus 14</t>
  </si>
  <si>
    <t>Necrovirus</t>
  </si>
  <si>
    <t>Alphanecrovirus</t>
  </si>
  <si>
    <t>Betanecrovirus</t>
  </si>
  <si>
    <t>Ipomoea yellow vein virus</t>
  </si>
  <si>
    <t>Sweet potato leaf curl virus</t>
  </si>
  <si>
    <t>Sweet potato leaf curl Lanzarote virus</t>
  </si>
  <si>
    <t>Sweet potato leaf curl Spain virus</t>
  </si>
  <si>
    <t>Tomato leaf curl Comoros virus</t>
  </si>
  <si>
    <t>Tomato leaf curl Mayotte virus</t>
  </si>
  <si>
    <t>Aedes aegypti densovirus</t>
  </si>
  <si>
    <t>Dipteran brevidensovirus 1</t>
  </si>
  <si>
    <t>Aedes albopictus densovirus</t>
  </si>
  <si>
    <t>Galleria mellonella densovirus</t>
  </si>
  <si>
    <t>Lepidopteran ambidensovirus 1</t>
  </si>
  <si>
    <t>Junonia coenia densovirus</t>
  </si>
  <si>
    <t>Adeno-associated dependoparvovirus A</t>
  </si>
  <si>
    <t>Adeno-associated virus-2</t>
  </si>
  <si>
    <t>Adeno-associated virus-3</t>
  </si>
  <si>
    <t>Adeno-associated virus-4</t>
  </si>
  <si>
    <t>Adeno-associated virus-5</t>
  </si>
  <si>
    <t>Adeno-associated dependoparvovirus B</t>
  </si>
  <si>
    <t>Bovine adeno-associated virus</t>
  </si>
  <si>
    <t>Duck parvovirus</t>
  </si>
  <si>
    <t>Anseriform dependoparvovirus 1</t>
  </si>
  <si>
    <t>Goose parvovirus</t>
  </si>
  <si>
    <t>H-1 parvovirus</t>
  </si>
  <si>
    <t>Rodent protoparvovirus 1</t>
  </si>
  <si>
    <t>Kilham rat virus</t>
  </si>
  <si>
    <t>LuIII virus</t>
  </si>
  <si>
    <t>Minute virus of mice</t>
  </si>
  <si>
    <t>Mouse parvovirus 1</t>
  </si>
  <si>
    <t>Tumor virus X</t>
  </si>
  <si>
    <t>Leishmania RNA virus 1 - 1</t>
  </si>
  <si>
    <t>Leishmania RNA virus 1</t>
  </si>
  <si>
    <t>Leishmania RNA virus 1 - 11</t>
  </si>
  <si>
    <t>Leishmania RNA virus 1 - 2</t>
  </si>
  <si>
    <t>Leishmania RNA virus 1 - 4</t>
  </si>
  <si>
    <t>Leishmania RNA virus 1 - 7</t>
  </si>
  <si>
    <t>Leishmania RNA virus 1 - 9</t>
  </si>
  <si>
    <t>Helicoverpa armigera nucleopolyhedrovirus</t>
  </si>
  <si>
    <t>Helicoverpa zea single nucleopolyhedrovirus</t>
  </si>
  <si>
    <t>Mexican papita viroid</t>
  </si>
  <si>
    <t>Tomato planta macho viroid</t>
  </si>
  <si>
    <t>Enterobacteria phage T5</t>
  </si>
  <si>
    <t>Escherichia virus T5</t>
  </si>
  <si>
    <t>Escherichia phage T5</t>
  </si>
  <si>
    <t>Pneumovirinae</t>
  </si>
  <si>
    <t>Pneumoviridae</t>
  </si>
  <si>
    <t>Tectivirus</t>
  </si>
  <si>
    <t>Alphatectivirus</t>
  </si>
  <si>
    <t>Betatectivirus</t>
  </si>
  <si>
    <t>Sathuperi orthobunyavirus</t>
  </si>
  <si>
    <t>Schmallenberg orthobunyavirus</t>
  </si>
  <si>
    <t>Shamonda orthobunyavirus</t>
  </si>
  <si>
    <t>Avulavirus</t>
  </si>
  <si>
    <t>Metaavulavirus</t>
  </si>
  <si>
    <t>Orthoavulavirus</t>
  </si>
  <si>
    <t>Paraavulavirus</t>
  </si>
  <si>
    <t>Rubulavirus</t>
  </si>
  <si>
    <t>Orthorubulavirus</t>
  </si>
  <si>
    <t>Pararubulavirus</t>
  </si>
  <si>
    <t>Autographivirinae</t>
  </si>
  <si>
    <t>Autographiviridae</t>
  </si>
  <si>
    <t>Nucleorhabdovirus</t>
  </si>
  <si>
    <t>Gammanucleorhabdovirus</t>
  </si>
  <si>
    <t>Alphanucleorhabdovirus</t>
  </si>
  <si>
    <t>Betanucleorhabdovirus</t>
  </si>
  <si>
    <t>Mink coronavirus 1</t>
  </si>
  <si>
    <t>Densovirinae</t>
  </si>
  <si>
    <t>Hamaparvovirinae</t>
  </si>
  <si>
    <t>Ambidensovirus</t>
  </si>
  <si>
    <t>Aquambidensovirus</t>
  </si>
  <si>
    <t>Scindoambidensovirus</t>
  </si>
  <si>
    <t>Protoambidensovirus</t>
  </si>
  <si>
    <t>Hemiambidensovirus</t>
  </si>
  <si>
    <t>Pefuambidensovirus</t>
  </si>
  <si>
    <t>Blattambidensovirus</t>
  </si>
  <si>
    <t>Ferret coronavirus</t>
  </si>
  <si>
    <t>Arthrobacter virus Sonny</t>
  </si>
  <si>
    <t>Arthrobacter virus Shade</t>
  </si>
  <si>
    <t>Viunavirus</t>
  </si>
  <si>
    <t>Kuttervirus</t>
  </si>
  <si>
    <t>Mandarivirus</t>
  </si>
  <si>
    <t>Demoted,</t>
  </si>
  <si>
    <t>subgenus</t>
  </si>
  <si>
    <t>Plantain virus X</t>
  </si>
  <si>
    <t>Torque teno virus 7</t>
  </si>
  <si>
    <t>Torque teno virus 8</t>
  </si>
  <si>
    <t>Torque teno virus 9</t>
  </si>
  <si>
    <t>Torque teno virus 11</t>
  </si>
  <si>
    <t>Torque teno virus 12</t>
  </si>
  <si>
    <t>Torque teno virus 15</t>
  </si>
  <si>
    <t>Torque teno virus 16</t>
  </si>
  <si>
    <t>Torque teno virus 22</t>
  </si>
  <si>
    <t>Torque teno virus 24</t>
  </si>
  <si>
    <t>Torque teno virus 23</t>
  </si>
  <si>
    <t>Torque teno virus 27</t>
  </si>
  <si>
    <t>Torque teno virus 29</t>
  </si>
  <si>
    <t>Torque teno virus 28</t>
  </si>
  <si>
    <t>Torque teno sus virus 1a</t>
  </si>
  <si>
    <t>Torque teno sus virus 1b</t>
  </si>
  <si>
    <t>Hendrixvirus</t>
  </si>
  <si>
    <t>Hendrixvirinae</t>
  </si>
  <si>
    <t>Actinidia virus X</t>
  </si>
  <si>
    <t>Torque teno seal virus 4</t>
  </si>
  <si>
    <t>Torque teno pinniped virus 4</t>
  </si>
  <si>
    <t>Torque teno seal virus 5</t>
  </si>
  <si>
    <t>Peduovirinae</t>
  </si>
  <si>
    <t>Peduoviridae</t>
  </si>
  <si>
    <t>Sedoreovirinae</t>
  </si>
  <si>
    <t>Sedoreoviridae</t>
  </si>
  <si>
    <t>Spinareovirinae</t>
  </si>
  <si>
    <t>Spinareoviridae</t>
  </si>
  <si>
    <t>European brown hare syndrome virus</t>
  </si>
  <si>
    <t>Lagovirus europaeus</t>
  </si>
  <si>
    <t>Rabbit hemorrhagic disease virus</t>
  </si>
  <si>
    <t>Lavidaviridae</t>
  </si>
  <si>
    <t>Lavidavirales</t>
  </si>
  <si>
    <t>order</t>
  </si>
  <si>
    <t>Cotton leafroll dwarf virus</t>
  </si>
  <si>
    <t>Polerovirus CLDV</t>
  </si>
  <si>
    <t>Chickpea stunt disease associated virus</t>
  </si>
  <si>
    <t>Amdoparvovirus carnivoran1</t>
  </si>
  <si>
    <t>Amdoparvovirus carnivoran9</t>
  </si>
  <si>
    <t>Amdoparvovirus carnivoran10</t>
  </si>
  <si>
    <t>Cytorhabdovirus</t>
  </si>
  <si>
    <t>Alphacytorhabdovirus</t>
  </si>
  <si>
    <t>Betacytorhabdovirus</t>
  </si>
  <si>
    <t>Gammacytorhabdovirus</t>
  </si>
  <si>
    <t>Cystovirus</t>
  </si>
  <si>
    <t>Orthocystovirus</t>
  </si>
  <si>
    <t>Alphacystovirus</t>
  </si>
  <si>
    <t>Betacystovirus</t>
  </si>
  <si>
    <t>Gammacystovirus</t>
  </si>
  <si>
    <t>Deltacystovirus</t>
  </si>
  <si>
    <t>Autographivirales</t>
  </si>
  <si>
    <t>Azeevirinae</t>
  </si>
  <si>
    <t>Casidaviridae</t>
  </si>
  <si>
    <t>Cedratviridae</t>
  </si>
  <si>
    <t>Renamed,Demoted,</t>
  </si>
  <si>
    <t>Orthocedratvirinae</t>
  </si>
  <si>
    <t>Orthoflavivirus encephalitidis</t>
  </si>
  <si>
    <t>Orthoflavivirus zilberi</t>
  </si>
  <si>
    <t>Orthoflavivirus neudoerflense</t>
  </si>
  <si>
    <t>Orthoflavivirus mediterranense</t>
  </si>
  <si>
    <t>Microviridae</t>
  </si>
  <si>
    <t>Microviricetes</t>
  </si>
  <si>
    <t>class</t>
  </si>
  <si>
    <t>Bullavirinae</t>
  </si>
  <si>
    <t>Bullavirales</t>
  </si>
  <si>
    <t>Gokushovirinae</t>
  </si>
  <si>
    <t>Gokushovirales</t>
  </si>
  <si>
    <t>Chlorovirus vanettense</t>
  </si>
  <si>
    <t>Chlorovirus illinoense</t>
  </si>
  <si>
    <t>Chlorovirus americanus</t>
  </si>
  <si>
    <t>Chlorovirus newyorkense</t>
  </si>
  <si>
    <t>Hepanvirinae</t>
  </si>
  <si>
    <t>Penbrevirinae</t>
  </si>
  <si>
    <t>Hamavirinae</t>
  </si>
  <si>
    <t>Polymycovirus</t>
  </si>
  <si>
    <t>Multimycovirus</t>
  </si>
  <si>
    <t>Plurimycovirus</t>
  </si>
  <si>
    <t>msl_release_num</t>
  </si>
  <si>
    <t>prev_id</t>
  </si>
  <si>
    <t>prev_ictv_id</t>
  </si>
  <si>
    <t>prev_rank</t>
  </si>
  <si>
    <t>prev_name</t>
  </si>
  <si>
    <t>next_tags</t>
  </si>
  <si>
    <t>next_name</t>
  </si>
  <si>
    <t>next_rank</t>
  </si>
  <si>
    <t>next_ictv_id</t>
  </si>
  <si>
    <t>next_id</t>
  </si>
  <si>
    <t>test_taxnode_url</t>
  </si>
  <si>
    <t>test_ictv_url</t>
  </si>
  <si>
    <t>prod_taxnode_url</t>
  </si>
  <si>
    <t>prod_ictv_url</t>
  </si>
  <si>
    <r>
      <t>CONCAT</t>
    </r>
    <r>
      <rPr>
        <sz val="12"/>
        <color rgb="FF000000"/>
        <rFont val="Menlo"/>
        <family val="2"/>
      </rPr>
      <t>(</t>
    </r>
    <r>
      <rPr>
        <sz val="12"/>
        <color rgb="FF008000"/>
        <rFont val="Menlo"/>
        <family val="2"/>
      </rPr>
      <t>'=HYPERLINK("https://test.ictv.global/id/TN'</t>
    </r>
    <r>
      <rPr>
        <sz val="12"/>
        <color rgb="FF000000"/>
        <rFont val="Menlo"/>
        <family val="2"/>
      </rPr>
      <t xml:space="preserve">, </t>
    </r>
    <r>
      <rPr>
        <i/>
        <sz val="12"/>
        <color rgb="FF8E00C6"/>
        <rFont val="Menlo"/>
        <family val="2"/>
      </rPr>
      <t>tnd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taxnode_id</t>
    </r>
    <r>
      <rPr>
        <sz val="12"/>
        <color rgb="FF000000"/>
        <rFont val="Menlo"/>
        <family val="2"/>
      </rPr>
      <t>,</t>
    </r>
    <r>
      <rPr>
        <sz val="12"/>
        <color rgb="FF008000"/>
        <rFont val="Menlo"/>
        <family val="2"/>
      </rPr>
      <t>'","TN'</t>
    </r>
    <r>
      <rPr>
        <sz val="12"/>
        <color rgb="FF000000"/>
        <rFont val="Menlo"/>
        <family val="2"/>
      </rPr>
      <t>,</t>
    </r>
    <r>
      <rPr>
        <i/>
        <sz val="12"/>
        <color rgb="FF8E00C6"/>
        <rFont val="Menlo"/>
        <family val="2"/>
      </rPr>
      <t>tnd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taxnode_id</t>
    </r>
    <r>
      <rPr>
        <sz val="12"/>
        <color rgb="FF000000"/>
        <rFont val="Menlo"/>
        <family val="2"/>
      </rPr>
      <t>,</t>
    </r>
    <r>
      <rPr>
        <sz val="12"/>
        <color rgb="FF008000"/>
        <rFont val="Menlo"/>
        <family val="2"/>
      </rPr>
      <t>'@TEST")'</t>
    </r>
    <r>
      <rPr>
        <sz val="12"/>
        <color rgb="FF000000"/>
        <rFont val="Menlo"/>
        <family val="2"/>
      </rPr>
      <t xml:space="preserve">) </t>
    </r>
    <r>
      <rPr>
        <b/>
        <sz val="12"/>
        <color rgb="FF800000"/>
        <rFont val="Menlo"/>
        <family val="2"/>
      </rPr>
      <t>AS</t>
    </r>
    <r>
      <rPr>
        <sz val="12"/>
        <color rgb="FF000000"/>
        <rFont val="Menlo"/>
        <family val="2"/>
      </rPr>
      <t xml:space="preserve"> </t>
    </r>
    <r>
      <rPr>
        <i/>
        <sz val="12"/>
        <color rgb="FF006464"/>
        <rFont val="Menlo"/>
        <family val="2"/>
      </rPr>
      <t>test_taxnode_url</t>
    </r>
    <r>
      <rPr>
        <sz val="12"/>
        <color rgb="FF000000"/>
        <rFont val="Menlo"/>
        <family val="2"/>
      </rPr>
      <t>,</t>
    </r>
  </si>
  <si>
    <r>
      <t>CONCAT</t>
    </r>
    <r>
      <rPr>
        <sz val="12"/>
        <color rgb="FF000000"/>
        <rFont val="Menlo"/>
        <family val="2"/>
      </rPr>
      <t>(</t>
    </r>
    <r>
      <rPr>
        <sz val="12"/>
        <color rgb="FF008000"/>
        <rFont val="Menlo"/>
        <family val="2"/>
      </rPr>
      <t>'=HYPERLINK("https://test.ictv.global/id/ICTV'</t>
    </r>
    <r>
      <rPr>
        <sz val="12"/>
        <color rgb="FF000000"/>
        <rFont val="Menlo"/>
        <family val="2"/>
      </rPr>
      <t xml:space="preserve">, </t>
    </r>
    <r>
      <rPr>
        <i/>
        <sz val="12"/>
        <color rgb="FF8E00C6"/>
        <rFont val="Menlo"/>
        <family val="2"/>
      </rPr>
      <t>tnd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ictv_id</t>
    </r>
    <r>
      <rPr>
        <sz val="12"/>
        <color rgb="FF000000"/>
        <rFont val="Menlo"/>
        <family val="2"/>
      </rPr>
      <t>,</t>
    </r>
    <r>
      <rPr>
        <sz val="12"/>
        <color rgb="FF008000"/>
        <rFont val="Menlo"/>
        <family val="2"/>
      </rPr>
      <t>'","ICTV'</t>
    </r>
    <r>
      <rPr>
        <sz val="12"/>
        <color rgb="FF000000"/>
        <rFont val="Menlo"/>
        <family val="2"/>
      </rPr>
      <t>,</t>
    </r>
    <r>
      <rPr>
        <i/>
        <sz val="12"/>
        <color rgb="FF8E00C6"/>
        <rFont val="Menlo"/>
        <family val="2"/>
      </rPr>
      <t>tnd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ictv_id</t>
    </r>
    <r>
      <rPr>
        <sz val="12"/>
        <color rgb="FF000000"/>
        <rFont val="Menlo"/>
        <family val="2"/>
      </rPr>
      <t>,</t>
    </r>
    <r>
      <rPr>
        <sz val="12"/>
        <color rgb="FF008000"/>
        <rFont val="Menlo"/>
        <family val="2"/>
      </rPr>
      <t>'@TEST")'</t>
    </r>
    <r>
      <rPr>
        <sz val="12"/>
        <color rgb="FF000000"/>
        <rFont val="Menlo"/>
        <family val="2"/>
      </rPr>
      <t xml:space="preserve">) </t>
    </r>
    <r>
      <rPr>
        <b/>
        <sz val="12"/>
        <color rgb="FF800000"/>
        <rFont val="Menlo"/>
        <family val="2"/>
      </rPr>
      <t>AS</t>
    </r>
    <r>
      <rPr>
        <sz val="12"/>
        <color rgb="FF000000"/>
        <rFont val="Menlo"/>
        <family val="2"/>
      </rPr>
      <t xml:space="preserve"> </t>
    </r>
    <r>
      <rPr>
        <i/>
        <sz val="12"/>
        <color rgb="FF006464"/>
        <rFont val="Menlo"/>
        <family val="2"/>
      </rPr>
      <t>test_ictv_url</t>
    </r>
    <r>
      <rPr>
        <sz val="12"/>
        <color rgb="FF000000"/>
        <rFont val="Menlo"/>
        <family val="2"/>
      </rPr>
      <t>,</t>
    </r>
  </si>
  <si>
    <r>
      <t>CONCAT</t>
    </r>
    <r>
      <rPr>
        <sz val="12"/>
        <color rgb="FF000000"/>
        <rFont val="Menlo"/>
        <family val="2"/>
      </rPr>
      <t>(</t>
    </r>
    <r>
      <rPr>
        <sz val="12"/>
        <color rgb="FF008000"/>
        <rFont val="Menlo"/>
        <family val="2"/>
      </rPr>
      <t>'=HYPERLINK("https://ictv.global/id/TN'</t>
    </r>
    <r>
      <rPr>
        <sz val="12"/>
        <color rgb="FF000000"/>
        <rFont val="Menlo"/>
        <family val="2"/>
      </rPr>
      <t xml:space="preserve">, </t>
    </r>
    <r>
      <rPr>
        <i/>
        <sz val="12"/>
        <color rgb="FF8E00C6"/>
        <rFont val="Menlo"/>
        <family val="2"/>
      </rPr>
      <t>tnd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taxnode_id</t>
    </r>
    <r>
      <rPr>
        <sz val="12"/>
        <color rgb="FF000000"/>
        <rFont val="Menlo"/>
        <family val="2"/>
      </rPr>
      <t>,</t>
    </r>
    <r>
      <rPr>
        <sz val="12"/>
        <color rgb="FF008000"/>
        <rFont val="Menlo"/>
        <family val="2"/>
      </rPr>
      <t>'","TN'</t>
    </r>
    <r>
      <rPr>
        <sz val="12"/>
        <color rgb="FF000000"/>
        <rFont val="Menlo"/>
        <family val="2"/>
      </rPr>
      <t>,</t>
    </r>
    <r>
      <rPr>
        <i/>
        <sz val="12"/>
        <color rgb="FF8E00C6"/>
        <rFont val="Menlo"/>
        <family val="2"/>
      </rPr>
      <t>tnd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taxnode_id</t>
    </r>
    <r>
      <rPr>
        <sz val="12"/>
        <color rgb="FF000000"/>
        <rFont val="Menlo"/>
        <family val="2"/>
      </rPr>
      <t>,</t>
    </r>
    <r>
      <rPr>
        <sz val="12"/>
        <color rgb="FF008000"/>
        <rFont val="Menlo"/>
        <family val="2"/>
      </rPr>
      <t>'@prod")'</t>
    </r>
    <r>
      <rPr>
        <sz val="12"/>
        <color rgb="FF000000"/>
        <rFont val="Menlo"/>
        <family val="2"/>
      </rPr>
      <t xml:space="preserve">) </t>
    </r>
    <r>
      <rPr>
        <b/>
        <sz val="12"/>
        <color rgb="FF800000"/>
        <rFont val="Menlo"/>
        <family val="2"/>
      </rPr>
      <t>AS</t>
    </r>
    <r>
      <rPr>
        <sz val="12"/>
        <color rgb="FF000000"/>
        <rFont val="Menlo"/>
        <family val="2"/>
      </rPr>
      <t xml:space="preserve"> </t>
    </r>
    <r>
      <rPr>
        <i/>
        <sz val="12"/>
        <color rgb="FF006464"/>
        <rFont val="Menlo"/>
        <family val="2"/>
      </rPr>
      <t>prod_taxnode_url</t>
    </r>
    <r>
      <rPr>
        <sz val="12"/>
        <color rgb="FF000000"/>
        <rFont val="Menlo"/>
        <family val="2"/>
      </rPr>
      <t>,</t>
    </r>
  </si>
  <si>
    <r>
      <t>CONCAT</t>
    </r>
    <r>
      <rPr>
        <sz val="12"/>
        <color rgb="FF000000"/>
        <rFont val="Menlo"/>
        <family val="2"/>
      </rPr>
      <t>(</t>
    </r>
    <r>
      <rPr>
        <sz val="12"/>
        <color rgb="FF008000"/>
        <rFont val="Menlo"/>
        <family val="2"/>
      </rPr>
      <t>'=HYPERLINK("https://ictv.global/id/ICTV'</t>
    </r>
    <r>
      <rPr>
        <sz val="12"/>
        <color rgb="FF000000"/>
        <rFont val="Menlo"/>
        <family val="2"/>
      </rPr>
      <t xml:space="preserve">, </t>
    </r>
    <r>
      <rPr>
        <i/>
        <sz val="12"/>
        <color rgb="FF8E00C6"/>
        <rFont val="Menlo"/>
        <family val="2"/>
      </rPr>
      <t>tnd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ictv_id</t>
    </r>
    <r>
      <rPr>
        <sz val="12"/>
        <color rgb="FF000000"/>
        <rFont val="Menlo"/>
        <family val="2"/>
      </rPr>
      <t>,</t>
    </r>
    <r>
      <rPr>
        <sz val="12"/>
        <color rgb="FF008000"/>
        <rFont val="Menlo"/>
        <family val="2"/>
      </rPr>
      <t>'","ICTV'</t>
    </r>
    <r>
      <rPr>
        <sz val="12"/>
        <color rgb="FF000000"/>
        <rFont val="Menlo"/>
        <family val="2"/>
      </rPr>
      <t>,</t>
    </r>
    <r>
      <rPr>
        <i/>
        <sz val="12"/>
        <color rgb="FF8E00C6"/>
        <rFont val="Menlo"/>
        <family val="2"/>
      </rPr>
      <t>tnd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ictv_id</t>
    </r>
    <r>
      <rPr>
        <sz val="12"/>
        <color rgb="FF000000"/>
        <rFont val="Menlo"/>
        <family val="2"/>
      </rPr>
      <t>,</t>
    </r>
    <r>
      <rPr>
        <sz val="12"/>
        <color rgb="FF008000"/>
        <rFont val="Menlo"/>
        <family val="2"/>
      </rPr>
      <t>'@prod")'</t>
    </r>
    <r>
      <rPr>
        <sz val="12"/>
        <color rgb="FF000000"/>
        <rFont val="Menlo"/>
        <family val="2"/>
      </rPr>
      <t xml:space="preserve">) </t>
    </r>
    <r>
      <rPr>
        <b/>
        <sz val="12"/>
        <color rgb="FF800000"/>
        <rFont val="Menlo"/>
        <family val="2"/>
      </rPr>
      <t>AS</t>
    </r>
    <r>
      <rPr>
        <sz val="12"/>
        <color rgb="FF000000"/>
        <rFont val="Menlo"/>
        <family val="2"/>
      </rPr>
      <t xml:space="preserve"> </t>
    </r>
    <r>
      <rPr>
        <i/>
        <sz val="12"/>
        <color rgb="FF006464"/>
        <rFont val="Menlo"/>
        <family val="2"/>
      </rPr>
      <t>prod_ictv_url</t>
    </r>
  </si>
  <si>
    <r>
      <t>tnd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genbank_accession_csv</t>
    </r>
    <r>
      <rPr>
        <sz val="12"/>
        <color rgb="FF000000"/>
        <rFont val="Menlo"/>
        <family val="2"/>
      </rPr>
      <t xml:space="preserve"> </t>
    </r>
    <r>
      <rPr>
        <b/>
        <sz val="12"/>
        <color rgb="FF800000"/>
        <rFont val="Menlo"/>
        <family val="2"/>
      </rPr>
      <t>as</t>
    </r>
    <r>
      <rPr>
        <sz val="12"/>
        <color rgb="FF000000"/>
        <rFont val="Menlo"/>
        <family val="2"/>
      </rPr>
      <t xml:space="preserve"> </t>
    </r>
    <r>
      <rPr>
        <i/>
        <sz val="12"/>
        <color rgb="FF006464"/>
        <rFont val="Menlo"/>
        <family val="2"/>
      </rPr>
      <t>accessions</t>
    </r>
    <r>
      <rPr>
        <sz val="12"/>
        <color rgb="FF000000"/>
        <rFont val="Menlo"/>
        <family val="2"/>
      </rPr>
      <t>,</t>
    </r>
  </si>
  <si>
    <r>
      <t>left</t>
    </r>
    <r>
      <rPr>
        <sz val="12"/>
        <color rgb="FF000000"/>
        <rFont val="Menlo"/>
        <family val="2"/>
      </rPr>
      <t xml:space="preserve"> </t>
    </r>
    <r>
      <rPr>
        <b/>
        <sz val="12"/>
        <color rgb="FF800000"/>
        <rFont val="Menlo"/>
        <family val="2"/>
      </rPr>
      <t>outer</t>
    </r>
    <r>
      <rPr>
        <sz val="12"/>
        <color rgb="FF000000"/>
        <rFont val="Menlo"/>
        <family val="2"/>
      </rPr>
      <t xml:space="preserve"> </t>
    </r>
    <r>
      <rPr>
        <b/>
        <sz val="12"/>
        <color rgb="FF800000"/>
        <rFont val="Menlo"/>
        <family val="2"/>
      </rPr>
      <t>join</t>
    </r>
    <r>
      <rPr>
        <sz val="12"/>
        <color rgb="FF000000"/>
        <rFont val="Menlo"/>
        <family val="2"/>
      </rPr>
      <t xml:space="preserve"> </t>
    </r>
    <r>
      <rPr>
        <sz val="12"/>
        <color rgb="FF8E00C6"/>
        <rFont val="Menlo"/>
        <family val="2"/>
      </rPr>
      <t>taxonomy_level</t>
    </r>
    <r>
      <rPr>
        <sz val="12"/>
        <color rgb="FF000000"/>
        <rFont val="Menlo"/>
        <family val="2"/>
      </rPr>
      <t xml:space="preserve"> </t>
    </r>
    <r>
      <rPr>
        <i/>
        <sz val="12"/>
        <color rgb="FF8E00C6"/>
        <rFont val="Menlo"/>
        <family val="2"/>
      </rPr>
      <t>nr</t>
    </r>
    <r>
      <rPr>
        <sz val="12"/>
        <color rgb="FF000000"/>
        <rFont val="Menlo"/>
        <family val="2"/>
      </rPr>
      <t xml:space="preserve"> </t>
    </r>
    <r>
      <rPr>
        <b/>
        <sz val="12"/>
        <color rgb="FF800000"/>
        <rFont val="Menlo"/>
        <family val="2"/>
      </rPr>
      <t>on</t>
    </r>
    <r>
      <rPr>
        <sz val="12"/>
        <color rgb="FF000000"/>
        <rFont val="Menlo"/>
        <family val="2"/>
      </rPr>
      <t xml:space="preserve"> </t>
    </r>
    <r>
      <rPr>
        <i/>
        <sz val="12"/>
        <color rgb="FF8E00C6"/>
        <rFont val="Menlo"/>
        <family val="2"/>
      </rPr>
      <t>nr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id</t>
    </r>
    <r>
      <rPr>
        <sz val="12"/>
        <color rgb="FF000000"/>
        <rFont val="Menlo"/>
        <family val="2"/>
      </rPr>
      <t xml:space="preserve"> = </t>
    </r>
    <r>
      <rPr>
        <i/>
        <sz val="12"/>
        <color rgb="FF8E00C6"/>
        <rFont val="Menlo"/>
        <family val="2"/>
      </rPr>
      <t>tnd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next_level</t>
    </r>
  </si>
  <si>
    <r>
      <t>where</t>
    </r>
    <r>
      <rPr>
        <sz val="12"/>
        <color rgb="FF000000"/>
        <rFont val="Menlo"/>
        <family val="2"/>
      </rPr>
      <t xml:space="preserve"> (</t>
    </r>
  </si>
  <si>
    <r>
      <t>tnd</t>
    </r>
    <r>
      <rPr>
        <sz val="12"/>
        <color rgb="FF000000"/>
        <rFont val="Menlo"/>
        <family val="2"/>
      </rPr>
      <t>.</t>
    </r>
    <r>
      <rPr>
        <sz val="12"/>
        <color rgb="FF006464"/>
        <rFont val="Menlo"/>
        <family val="2"/>
      </rPr>
      <t>next_tags</t>
    </r>
    <r>
      <rPr>
        <sz val="12"/>
        <color rgb="FF000000"/>
        <rFont val="Menlo"/>
        <family val="2"/>
      </rPr>
      <t xml:space="preserve"> </t>
    </r>
    <r>
      <rPr>
        <b/>
        <sz val="12"/>
        <color rgb="FF800000"/>
        <rFont val="Menlo"/>
        <family val="2"/>
      </rPr>
      <t>like</t>
    </r>
    <r>
      <rPr>
        <sz val="12"/>
        <color rgb="FF000000"/>
        <rFont val="Menlo"/>
        <family val="2"/>
      </rPr>
      <t xml:space="preserve"> </t>
    </r>
    <r>
      <rPr>
        <sz val="12"/>
        <color rgb="FF008000"/>
        <rFont val="Menlo"/>
        <family val="2"/>
      </rPr>
      <t>'%moted%'</t>
    </r>
  </si>
  <si>
    <r>
      <t>or</t>
    </r>
    <r>
      <rPr>
        <sz val="12"/>
        <color rgb="FF000000"/>
        <rFont val="Menlo"/>
        <family val="2"/>
      </rPr>
      <t xml:space="preserve"> tnd.next_tags </t>
    </r>
    <r>
      <rPr>
        <b/>
        <sz val="12"/>
        <color rgb="FF800000"/>
        <rFont val="Menlo"/>
        <family val="2"/>
      </rPr>
      <t>like</t>
    </r>
    <r>
      <rPr>
        <sz val="12"/>
        <color rgb="FF000000"/>
        <rFont val="Menlo"/>
        <family val="2"/>
      </rPr>
      <t xml:space="preserve"> </t>
    </r>
    <r>
      <rPr>
        <sz val="12"/>
        <color rgb="FF008000"/>
        <rFont val="Menlo"/>
        <family val="2"/>
      </rPr>
      <t>'%split%'</t>
    </r>
  </si>
  <si>
    <r>
      <t>or</t>
    </r>
    <r>
      <rPr>
        <sz val="12"/>
        <color rgb="FF000000"/>
        <rFont val="Menlo"/>
        <family val="2"/>
      </rPr>
      <t xml:space="preserve"> tnd.next_tags </t>
    </r>
    <r>
      <rPr>
        <b/>
        <sz val="12"/>
        <color rgb="FF800000"/>
        <rFont val="Menlo"/>
        <family val="2"/>
      </rPr>
      <t>like</t>
    </r>
    <r>
      <rPr>
        <sz val="12"/>
        <color rgb="FF000000"/>
        <rFont val="Menlo"/>
        <family val="2"/>
      </rPr>
      <t xml:space="preserve"> </t>
    </r>
    <r>
      <rPr>
        <sz val="12"/>
        <color rgb="FF008000"/>
        <rFont val="Menlo"/>
        <family val="2"/>
      </rPr>
      <t>'%merge%'</t>
    </r>
  </si>
  <si>
    <r>
      <t>or</t>
    </r>
    <r>
      <rPr>
        <sz val="12"/>
        <color rgb="FF000000"/>
        <rFont val="Menlo"/>
        <family val="2"/>
      </rPr>
      <t xml:space="preserve"> tnd.next_tags </t>
    </r>
    <r>
      <rPr>
        <b/>
        <sz val="12"/>
        <color rgb="FF800000"/>
        <rFont val="Menlo"/>
        <family val="2"/>
      </rPr>
      <t>like</t>
    </r>
    <r>
      <rPr>
        <sz val="12"/>
        <color rgb="FF000000"/>
        <rFont val="Menlo"/>
        <family val="2"/>
      </rPr>
      <t xml:space="preserve"> </t>
    </r>
    <r>
      <rPr>
        <sz val="12"/>
        <color rgb="FF008000"/>
        <rFont val="Menlo"/>
        <family val="2"/>
      </rPr>
      <t>'%abolish%'</t>
    </r>
  </si>
  <si>
    <t>)</t>
  </si>
  <si>
    <t>Lassa virus</t>
  </si>
  <si>
    <t>Abolished,</t>
  </si>
  <si>
    <t>Pistillo virus</t>
  </si>
  <si>
    <t>Plodia interpunctella granulosis virus</t>
  </si>
  <si>
    <t>Portheria dispar nuclear polyhedrosis virus</t>
  </si>
  <si>
    <t>Bovine ulcerative mammillitis (Allerton) virus</t>
  </si>
  <si>
    <t>Canine herpesvirus</t>
  </si>
  <si>
    <t>Equine rhinopneumonitis (equine abortion) virus</t>
  </si>
  <si>
    <t>Feline rhinotracheitis virus</t>
  </si>
  <si>
    <t>Herpesvirus cuniculi (virus III of rabbits)</t>
  </si>
  <si>
    <t>Herpesvirus of Cercopithecus</t>
  </si>
  <si>
    <t>Herpesvirus of patas monkeys</t>
  </si>
  <si>
    <t>Herpesvirus of saimiri</t>
  </si>
  <si>
    <t>Herpesvirus T</t>
  </si>
  <si>
    <t>Infectious laryngotracheitis (avian)</t>
  </si>
  <si>
    <t>Malignant catarrh virus of cattle</t>
  </si>
  <si>
    <t>Porcine inclusion body rhinitis virus</t>
  </si>
  <si>
    <t>Pseudorabies (Aujeszky's disease) virus</t>
  </si>
  <si>
    <t>Sheep pulmonary adenomatosis (Jaagsiekte) virus</t>
  </si>
  <si>
    <t>Snake herpesvirus</t>
  </si>
  <si>
    <t>Canine oral papilloma virus</t>
  </si>
  <si>
    <t>Rabbit oral papilloma virus</t>
  </si>
  <si>
    <t>H viruses</t>
  </si>
  <si>
    <t>Nodamura virus</t>
  </si>
  <si>
    <t>California myxoma virus</t>
  </si>
  <si>
    <t>Alastrim virus</t>
  </si>
  <si>
    <t>Horse pox virus</t>
  </si>
  <si>
    <t>Rhinoceros pox virus</t>
  </si>
  <si>
    <t>FAV 1</t>
  </si>
  <si>
    <t>Fujinami sarcoma virus</t>
  </si>
  <si>
    <t>Nodule-inducing virus</t>
  </si>
  <si>
    <t>Osteopetrosis virus</t>
  </si>
  <si>
    <t>RIF 1</t>
  </si>
  <si>
    <t>RIF 12</t>
  </si>
  <si>
    <t>RIF 2</t>
  </si>
  <si>
    <t>US bat salivary gland virus</t>
  </si>
  <si>
    <t>Cucumber yellow mosaic virus</t>
  </si>
  <si>
    <t>Strawberry latent ringspot virus</t>
  </si>
  <si>
    <t>RNA1: AY860978; RNA2: AY860979</t>
  </si>
  <si>
    <t>Pea mosaic virus</t>
  </si>
  <si>
    <t>infectious bovine rhinotracheitis virus</t>
  </si>
  <si>
    <t>Herpesvirus</t>
  </si>
  <si>
    <t>GAL virus</t>
  </si>
  <si>
    <t>Opossum adenovirus</t>
  </si>
  <si>
    <t>Bocas virus</t>
  </si>
  <si>
    <t>Samford virus</t>
  </si>
  <si>
    <t>Calf neonatal diarrhea coronavirus</t>
  </si>
  <si>
    <t>Rat sialodacryoadentitis virus</t>
  </si>
  <si>
    <t>Turkey bluecomb disease virus</t>
  </si>
  <si>
    <t>Cercopithecid herpesvirus 1</t>
  </si>
  <si>
    <t>Cercopithecid herpesvirus 3</t>
  </si>
  <si>
    <t>Varicella virus</t>
  </si>
  <si>
    <t>Marek's disease virus</t>
  </si>
  <si>
    <t>Corethrella iridescent virus</t>
  </si>
  <si>
    <t>Culicoides iridescent virus</t>
  </si>
  <si>
    <t>Entamoeba iridescent virus</t>
  </si>
  <si>
    <t>Nereis iridescent virus</t>
  </si>
  <si>
    <t>Phage R40</t>
  </si>
  <si>
    <t>X14 virus</t>
  </si>
  <si>
    <t>Acute bee paralysis virus</t>
  </si>
  <si>
    <t>Avian encephalomyelitis virus</t>
  </si>
  <si>
    <t>Drosophila C virus</t>
  </si>
  <si>
    <t>Duck hepatitis virus</t>
  </si>
  <si>
    <t>Gonometa virus</t>
  </si>
  <si>
    <t>Viper type C virus</t>
  </si>
  <si>
    <t>Hamster syncytial virus</t>
  </si>
  <si>
    <t>Kern Canyon virus</t>
  </si>
  <si>
    <t>Cherry raspberry leaf virus</t>
  </si>
  <si>
    <t>Tobacco necrosis virus (D strain)</t>
  </si>
  <si>
    <t>Chara corallina virus</t>
  </si>
  <si>
    <t>Simian adenoviruses</t>
  </si>
  <si>
    <t>Choristoneura fumiferana granulosis virus</t>
  </si>
  <si>
    <t>Jurona virus</t>
  </si>
  <si>
    <t>Dhori virus</t>
  </si>
  <si>
    <t>Kaisodi virus</t>
  </si>
  <si>
    <t>Kowanyama virus</t>
  </si>
  <si>
    <t>Lanjan virus</t>
  </si>
  <si>
    <t>Lone Star virus</t>
  </si>
  <si>
    <t>Mapputta virus</t>
  </si>
  <si>
    <t>Maprik virus</t>
  </si>
  <si>
    <t>Silverwater virus</t>
  </si>
  <si>
    <t>Sunday Canyon virus</t>
  </si>
  <si>
    <t>Tataguine virus</t>
  </si>
  <si>
    <t>Thogoto virus</t>
  </si>
  <si>
    <t>Trubanaman virus</t>
  </si>
  <si>
    <t>Witwatersrand virus</t>
  </si>
  <si>
    <t>Chironomus plumosus virus</t>
  </si>
  <si>
    <t>Iridescent virus 30</t>
  </si>
  <si>
    <t>Octopus vulgaris disease virus</t>
  </si>
  <si>
    <t>Abadina virus</t>
  </si>
  <si>
    <t>Aus MK 6357 virus</t>
  </si>
  <si>
    <t>SUA T5-0616 virus</t>
  </si>
  <si>
    <t>USA 69V2161 virus</t>
  </si>
  <si>
    <t>X (from bovine serum) virus</t>
  </si>
  <si>
    <t>Feline endogenous type C oncovirus</t>
  </si>
  <si>
    <t>Northern cereal mosaic virus</t>
  </si>
  <si>
    <t>AB030277</t>
  </si>
  <si>
    <t>Drosophila sigma virus</t>
  </si>
  <si>
    <t>Eggplant mild mottle virus</t>
  </si>
  <si>
    <t>KP784454</t>
  </si>
  <si>
    <t>Desmodium virus</t>
  </si>
  <si>
    <t>RNA1: AF174584; RNA2: AF174585; RNA3: U15608</t>
  </si>
  <si>
    <t>RNA1: JN416771; RNA2: JN416772; RNA3: JN416773</t>
  </si>
  <si>
    <t>RNA1: U80934; RNA2: U75538; RNA3: X00435</t>
  </si>
  <si>
    <t>AB011819</t>
  </si>
  <si>
    <t>Lentivirinae</t>
  </si>
  <si>
    <t>Spumavirinae</t>
  </si>
  <si>
    <t>Polydnavirus type 1</t>
  </si>
  <si>
    <t>Thetalymphocryptovirus</t>
  </si>
  <si>
    <t>Penicillium stoloniferum PsV-S group</t>
  </si>
  <si>
    <t>Finch paramyxovirus</t>
  </si>
  <si>
    <t>Nariva virus</t>
  </si>
  <si>
    <t>Parainfluenza virus 5</t>
  </si>
  <si>
    <t>Parrot paramyxovirus</t>
  </si>
  <si>
    <t>Turkey parainfluenza virus</t>
  </si>
  <si>
    <t>Vesicular stomatitis virus Argentina</t>
  </si>
  <si>
    <t>Fowl adenovirus 5</t>
  </si>
  <si>
    <t>Apanteles melanoscelus virus</t>
  </si>
  <si>
    <t>Hyposoter exiguae virus</t>
  </si>
  <si>
    <t>Calovo virus</t>
  </si>
  <si>
    <t>Jerry Slough virus</t>
  </si>
  <si>
    <t>M'Poko virus</t>
  </si>
  <si>
    <t>Girard Point virus</t>
  </si>
  <si>
    <t>Lee virus</t>
  </si>
  <si>
    <t>Sapporo rat virus</t>
  </si>
  <si>
    <t>Tchoupitoulas virus</t>
  </si>
  <si>
    <t>Ganjam virus</t>
  </si>
  <si>
    <t>Phage 06N 58P</t>
  </si>
  <si>
    <t>Batu Cave virus</t>
  </si>
  <si>
    <t>Gallid herpesvirus 2</t>
  </si>
  <si>
    <t>Meleagrid herpesvirus</t>
  </si>
  <si>
    <t>Parvovirus r-1</t>
  </si>
  <si>
    <t>Human rhinovirus 101</t>
  </si>
  <si>
    <t>Human rhinovirus 102</t>
  </si>
  <si>
    <t>Human rhinovirus 103</t>
  </si>
  <si>
    <t>Human rhinovirus 104</t>
  </si>
  <si>
    <t>Human rhinovirus 105</t>
  </si>
  <si>
    <t>Human rhinovirus 106</t>
  </si>
  <si>
    <t>Human rhinovirus 107</t>
  </si>
  <si>
    <t>Human rhinovirus 108</t>
  </si>
  <si>
    <t>Human rhinovirus 109</t>
  </si>
  <si>
    <t>Human rhinovirus 110</t>
  </si>
  <si>
    <t>Human rhinovirus 111</t>
  </si>
  <si>
    <t>Human rhinovirus 112</t>
  </si>
  <si>
    <t>Human rhinovirus 113</t>
  </si>
  <si>
    <t>Phage Y</t>
  </si>
  <si>
    <t>Chamois contagious echthyma virus</t>
  </si>
  <si>
    <t>Carnivorepox virus</t>
  </si>
  <si>
    <t>Elephantpox virus</t>
  </si>
  <si>
    <t>Oreopsyche angustella entomopoxvirus</t>
  </si>
  <si>
    <t>Orthmonius batesi entomopoxvirus</t>
  </si>
  <si>
    <t>Phyllopertha horticola entomopoxvirus</t>
  </si>
  <si>
    <t>Turbot reovirus</t>
  </si>
  <si>
    <t>S6: X55701; S7: L76562; S8: L76561; S10: L76560</t>
  </si>
  <si>
    <t>S7: AB011024; S8: AB011025; S9: AB011026; S10: AB011027</t>
  </si>
  <si>
    <t>Ife virus</t>
  </si>
  <si>
    <t>Japanant virus</t>
  </si>
  <si>
    <t>Llano Seco virus</t>
  </si>
  <si>
    <t>Orunga virus</t>
  </si>
  <si>
    <t>Paroo River virus</t>
  </si>
  <si>
    <t>T-50616 virus</t>
  </si>
  <si>
    <t>Umatilla virus</t>
  </si>
  <si>
    <t>Canine reovirus</t>
  </si>
  <si>
    <t>Simian reovirus</t>
  </si>
  <si>
    <t>Pheasant type C oncoviruses</t>
  </si>
  <si>
    <t>Progressive pneumonia virus</t>
  </si>
  <si>
    <t>Zwogerziekte virus</t>
  </si>
  <si>
    <t>Baboon type C oncovirus</t>
  </si>
  <si>
    <t>Rat type C oncovirus</t>
  </si>
  <si>
    <t>Antheraea beta virus</t>
  </si>
  <si>
    <t>Darna beta virus</t>
  </si>
  <si>
    <t>Philosamia beta virus</t>
  </si>
  <si>
    <t>Thosea beta virus</t>
  </si>
  <si>
    <t>Trichoplusia beta virus</t>
  </si>
  <si>
    <t>Bijou Bridge virus</t>
  </si>
  <si>
    <t>Cabassou virus</t>
  </si>
  <si>
    <t>Tonate virus</t>
  </si>
  <si>
    <t>Saccharomyces cerevisiae virus ScV2</t>
  </si>
  <si>
    <t>AJ863509</t>
  </si>
  <si>
    <t>Glycine mottle virus</t>
  </si>
  <si>
    <t>Grapevine stem-pitting associated virus</t>
  </si>
  <si>
    <t>Lilac chlorotic leafspot virus</t>
  </si>
  <si>
    <t>X83110</t>
  </si>
  <si>
    <t>AF473561</t>
  </si>
  <si>
    <t>AB038147</t>
  </si>
  <si>
    <t>X13063</t>
  </si>
  <si>
    <t>Boussingaultia mosaic virus</t>
  </si>
  <si>
    <t>Cassava common mosaic virus</t>
  </si>
  <si>
    <t>U23414</t>
  </si>
  <si>
    <t>AY010722</t>
  </si>
  <si>
    <t>D12505</t>
  </si>
  <si>
    <t>Andean potato latent virus</t>
  </si>
  <si>
    <t>Eubaculovirinae</t>
  </si>
  <si>
    <t>Nudibaculovirinae</t>
  </si>
  <si>
    <t>Heliothis zea non-occluded baculovirus</t>
  </si>
  <si>
    <t>Oryctes rhinoceros virus</t>
  </si>
  <si>
    <t>Oyster virus</t>
  </si>
  <si>
    <t>Tellina virus</t>
  </si>
  <si>
    <t>Kotonkan virus</t>
  </si>
  <si>
    <t>Obodhiang virus</t>
  </si>
  <si>
    <t>Bovine adenovirus 10</t>
  </si>
  <si>
    <t>Kaeng Khoi virus</t>
  </si>
  <si>
    <t>Leanyer virus</t>
  </si>
  <si>
    <t>Mojui dos Campos virus</t>
  </si>
  <si>
    <t>Termeil virus</t>
  </si>
  <si>
    <t>Leaky virus</t>
  </si>
  <si>
    <t>Aroa virus</t>
  </si>
  <si>
    <t>Bussuquara virus</t>
  </si>
  <si>
    <t>Cacipacore virus</t>
  </si>
  <si>
    <t>Gadget's Gully virus</t>
  </si>
  <si>
    <t>Ilheus virus</t>
  </si>
  <si>
    <t>Jugra virus</t>
  </si>
  <si>
    <t>Kadam virus</t>
  </si>
  <si>
    <t>Montana myotis leukoencephalitis virus</t>
  </si>
  <si>
    <t>Naranjal virus</t>
  </si>
  <si>
    <t>Rocio virus</t>
  </si>
  <si>
    <t>Sepik virus</t>
  </si>
  <si>
    <t>Sokoluk virus</t>
  </si>
  <si>
    <t>Spondweni virus</t>
  </si>
  <si>
    <t>Tamana bat virus</t>
  </si>
  <si>
    <t>Wesselsbron virus</t>
  </si>
  <si>
    <t>Zika virus</t>
  </si>
  <si>
    <t>Bean sudden death virus</t>
  </si>
  <si>
    <t>Phage FH5</t>
  </si>
  <si>
    <t>Phage GA</t>
  </si>
  <si>
    <t>Goat papilloma virus</t>
  </si>
  <si>
    <t>Rat papilloma virus</t>
  </si>
  <si>
    <t>Human echovirus 34</t>
  </si>
  <si>
    <t>Human echovirus 8</t>
  </si>
  <si>
    <t>Phage 1307</t>
  </si>
  <si>
    <t>U34972</t>
  </si>
  <si>
    <t>Garlic mosaic virus</t>
  </si>
  <si>
    <t>Phage HK022</t>
  </si>
  <si>
    <t>Phage HK97</t>
  </si>
  <si>
    <t>Phage phiD328</t>
  </si>
  <si>
    <t>Phage Bam35</t>
  </si>
  <si>
    <t>Phage L17</t>
  </si>
  <si>
    <t>Phage PR3</t>
  </si>
  <si>
    <t>Phage PR4</t>
  </si>
  <si>
    <t>Phage PR5</t>
  </si>
  <si>
    <t>Phage PR772</t>
  </si>
  <si>
    <t>Cowpea mild mottle virus</t>
  </si>
  <si>
    <t>HQ184471</t>
  </si>
  <si>
    <t>Narcissus latent virus</t>
  </si>
  <si>
    <t>Festuca necrosis virus</t>
  </si>
  <si>
    <t>Grapevine virus A</t>
  </si>
  <si>
    <t>X75433</t>
  </si>
  <si>
    <t>Burdock stunt viroid</t>
  </si>
  <si>
    <t>Coleus blumei viroid 2</t>
  </si>
  <si>
    <t>X95365</t>
  </si>
  <si>
    <t>Coleus blumei viroid 3</t>
  </si>
  <si>
    <t>X95290</t>
  </si>
  <si>
    <t>Tomato bunchy top viroid</t>
  </si>
  <si>
    <t>Goldfish virus 1-like viruses</t>
  </si>
  <si>
    <t>Goldfish virus 2</t>
  </si>
  <si>
    <t>Filovirus</t>
  </si>
  <si>
    <t>Calicivirus</t>
  </si>
  <si>
    <t>Kemerovo virus</t>
  </si>
  <si>
    <t>Sommerville virus 4</t>
  </si>
  <si>
    <t>Enterobacteria phage 11F</t>
  </si>
  <si>
    <t>Enterobacteria phage 3</t>
  </si>
  <si>
    <t>Enterobacteria phage 3T+</t>
  </si>
  <si>
    <t>Enterobacteria phage 50</t>
  </si>
  <si>
    <t>Enterobacteria phage 5845</t>
  </si>
  <si>
    <t>Enterobacteria phage 66F</t>
  </si>
  <si>
    <t>Enterobacteria phage 8893</t>
  </si>
  <si>
    <t>Enterobacteria phage 9/0</t>
  </si>
  <si>
    <t>Enterobacteria phage alpha1</t>
  </si>
  <si>
    <t>Enterobacteria phage DdVI</t>
  </si>
  <si>
    <t>Enterobacteria phage SMB</t>
  </si>
  <si>
    <t>Enterobacteria phage SMP2</t>
  </si>
  <si>
    <t>Acinetobacter phage A10/45</t>
  </si>
  <si>
    <t>Acinetobacter phage A3/2</t>
  </si>
  <si>
    <t>Acinetobacter phage BS46</t>
  </si>
  <si>
    <t>Acinetobacter phage E14</t>
  </si>
  <si>
    <t>Actinomycetes phage 108/016</t>
  </si>
  <si>
    <t>Actinomycetes phage SK1</t>
  </si>
  <si>
    <t>Aeromonas phage 29</t>
  </si>
  <si>
    <t>Aeromonas phage 37</t>
  </si>
  <si>
    <t>Aeromonas phage 51</t>
  </si>
  <si>
    <t>Aeromonas phage 59.1</t>
  </si>
  <si>
    <t>Aeromonas phage Aeh2</t>
  </si>
  <si>
    <t>Agrobacterium phage PIIBNV6</t>
  </si>
  <si>
    <t>Alcaligenes phage A6</t>
  </si>
  <si>
    <t>Bacillus phage Bace-11</t>
  </si>
  <si>
    <t>Bacillus phage CP-54</t>
  </si>
  <si>
    <t>Bacillus phage G</t>
  </si>
  <si>
    <t>Bacillus phage MP13</t>
  </si>
  <si>
    <t>Bacillus phage PBS1</t>
  </si>
  <si>
    <t>Bacillus phage SP10</t>
  </si>
  <si>
    <t>Bacillus phage SP15</t>
  </si>
  <si>
    <t>Bacillus phage SP3</t>
  </si>
  <si>
    <t>Bacillus phage SP50</t>
  </si>
  <si>
    <t>Bacillus phage SPy-2</t>
  </si>
  <si>
    <t>Bacillus phage SPy-3</t>
  </si>
  <si>
    <t>Bacillus phage SST</t>
  </si>
  <si>
    <t>Clostridium phage Cebeta</t>
  </si>
  <si>
    <t>Clostridium phage HM3</t>
  </si>
  <si>
    <t>Coryneforms phage A19</t>
  </si>
  <si>
    <t>Cyanobateria phage AS-1</t>
  </si>
  <si>
    <t>Cyanobateria phage N1</t>
  </si>
  <si>
    <t>Cyanobateria phage S-6(L)</t>
  </si>
  <si>
    <t>Enterobacteria phage 01</t>
  </si>
  <si>
    <t>Enterobacteria phage 121</t>
  </si>
  <si>
    <t>Enterobacteria phage 16-19</t>
  </si>
  <si>
    <t>Enterobacteria phage 9266</t>
  </si>
  <si>
    <t>Enterobacteria phage Beccles</t>
  </si>
  <si>
    <t>Enterobacteria phage FC3-9</t>
  </si>
  <si>
    <t>Enterobacteria phage K19</t>
  </si>
  <si>
    <t>Enterobacteria phage phi92</t>
  </si>
  <si>
    <t>Enterobacteria phage ViI</t>
  </si>
  <si>
    <t>Lactobacillus phage 222a</t>
  </si>
  <si>
    <t>Lactobacillus phage fri</t>
  </si>
  <si>
    <t>Lactobacillus phage hv</t>
  </si>
  <si>
    <t>Lactobacillus phage hw</t>
  </si>
  <si>
    <t>Listeria phage 4211</t>
  </si>
  <si>
    <t>Listeria phage A511</t>
  </si>
  <si>
    <t>Mollicutes phage Br1</t>
  </si>
  <si>
    <t>Mycobacterium phage I3</t>
  </si>
  <si>
    <t>Pasteurella phage AU</t>
  </si>
  <si>
    <t>Pseudomonas phage 12S</t>
  </si>
  <si>
    <t>Pseudomonas phage PB-1</t>
  </si>
  <si>
    <t>Pseudomonas phage Phi1</t>
  </si>
  <si>
    <t>Pseudomonas phage phiKZ</t>
  </si>
  <si>
    <t>Pseudomonas phage PhiW-14</t>
  </si>
  <si>
    <t>Pseudomonas phage PP8</t>
  </si>
  <si>
    <t>Pseudomonas phage PS17</t>
  </si>
  <si>
    <t>Rhizobium phage CM1</t>
  </si>
  <si>
    <t>Rhizobium phage CT4</t>
  </si>
  <si>
    <t>Rhizobium phage m</t>
  </si>
  <si>
    <t>Rhizobium phage phigal-1-R</t>
  </si>
  <si>
    <t>Rhizobium phage WT1</t>
  </si>
  <si>
    <t>Staphylococcus phage Twort</t>
  </si>
  <si>
    <t>Vibrio phage 06N-22P</t>
  </si>
  <si>
    <t>Vibrio phage II</t>
  </si>
  <si>
    <t>Vibrio phage kappa</t>
  </si>
  <si>
    <t>Vibrio phage X29</t>
  </si>
  <si>
    <t>Vibrio phageVP1</t>
  </si>
  <si>
    <t>Xanthomonas phage XP5</t>
  </si>
  <si>
    <t>Enterobacteria phage PTB</t>
  </si>
  <si>
    <t>Enterobacteria phage R</t>
  </si>
  <si>
    <t>Enterobacteria phage Y</t>
  </si>
  <si>
    <t>Rhizobium phage 2</t>
  </si>
  <si>
    <t>Vibrio phage III</t>
  </si>
  <si>
    <t>Acinetobacter phage A36</t>
  </si>
  <si>
    <t>Bacillus phage BA-1</t>
  </si>
  <si>
    <t>Bacillus phage Tb</t>
  </si>
  <si>
    <t>Clostridium phage HM2</t>
  </si>
  <si>
    <t>Coryneforms phage 7/26</t>
  </si>
  <si>
    <t>Coryneforms phage AN25S-1</t>
  </si>
  <si>
    <t>Cyanobacteria phage A-4(L)</t>
  </si>
  <si>
    <t>Cyanobacteria phage AC-1</t>
  </si>
  <si>
    <t>Cyanobacteria phage LPP-1</t>
  </si>
  <si>
    <t>Cyanobacteria phage SM-1</t>
  </si>
  <si>
    <t>Enterobacteria phage 7-11</t>
  </si>
  <si>
    <t>Enterobacteria phage 7480b</t>
  </si>
  <si>
    <t>Enterobacteria phage Esc-7-11</t>
  </si>
  <si>
    <t>Enterobacteria phage N4</t>
  </si>
  <si>
    <t>Enterobacteria phage omega8</t>
  </si>
  <si>
    <t>Enterobacteria phage sd</t>
  </si>
  <si>
    <t>Lactococcus phage KSY1</t>
  </si>
  <si>
    <t>Lactococcus phage PO34</t>
  </si>
  <si>
    <t>Mollicutes phage C3</t>
  </si>
  <si>
    <t>Mollicutes phage L3</t>
  </si>
  <si>
    <t>Mycobacterium phage phi17</t>
  </si>
  <si>
    <t>Pasteurella phage 22</t>
  </si>
  <si>
    <t>Pseudomonas phage F116</t>
  </si>
  <si>
    <t>AY625898</t>
  </si>
  <si>
    <t>Rhizobium phage phi2042</t>
  </si>
  <si>
    <t>Streptococcus phage 182</t>
  </si>
  <si>
    <t>Streptococcus phage 2BV</t>
  </si>
  <si>
    <t>Streptococcus phage Cvir</t>
  </si>
  <si>
    <t>Streptococcus phage H39</t>
  </si>
  <si>
    <t>Vibrio phage 4996</t>
  </si>
  <si>
    <t>Vibrio phage I</t>
  </si>
  <si>
    <t>Vibrio phage OXN-100P</t>
  </si>
  <si>
    <t>Xanthomonas phage RR66</t>
  </si>
  <si>
    <t>Lamboid phage PA-2</t>
  </si>
  <si>
    <t>Lamboid phage phi80</t>
  </si>
  <si>
    <t>Acinetobacter phage 531</t>
  </si>
  <si>
    <t>Acinetobacter phage E13</t>
  </si>
  <si>
    <t>Actinomycetes phage 119</t>
  </si>
  <si>
    <t>Actinomycetes phage A1-Dat</t>
  </si>
  <si>
    <t>Actinomycetes phage Bir</t>
  </si>
  <si>
    <t>Actinomycetes phage M1</t>
  </si>
  <si>
    <t>Actinomycetes phage MSP8</t>
  </si>
  <si>
    <t>Actinomycetes phage P-a-1</t>
  </si>
  <si>
    <t>Actinomycetes phage phi115-A</t>
  </si>
  <si>
    <t>Actinomycetes phage phi150A</t>
  </si>
  <si>
    <t>Actinomycetes phage phi31C</t>
  </si>
  <si>
    <t>Actinomycetes phage phiC</t>
  </si>
  <si>
    <t>Actinomycetes phage phiUW21</t>
  </si>
  <si>
    <t>Actinomycetes phage R1</t>
  </si>
  <si>
    <t>Actinomycetes phage R2</t>
  </si>
  <si>
    <t>Actinomycetes phage SV2</t>
  </si>
  <si>
    <t>Actinomycetes phage VP5</t>
  </si>
  <si>
    <t>Agrobacterium phage PS8</t>
  </si>
  <si>
    <t>Agrobacterium phage psi</t>
  </si>
  <si>
    <t>Agrobacterium phage PT11</t>
  </si>
  <si>
    <t>Alcaligenes phage 8764</t>
  </si>
  <si>
    <t>Alcaligenes phage A5/A6</t>
  </si>
  <si>
    <t>Bacillus phage 1A</t>
  </si>
  <si>
    <t>Bacillus phage alpha</t>
  </si>
  <si>
    <t>Bacillus phage B1715V1</t>
  </si>
  <si>
    <t>Bacillus phage BLE</t>
  </si>
  <si>
    <t>Bacillus phage II</t>
  </si>
  <si>
    <t>Bacillus phage Ipy-1</t>
  </si>
  <si>
    <t>Bacillus phage mor1</t>
  </si>
  <si>
    <t>Bacillus phage MP15</t>
  </si>
  <si>
    <t>Bacillus phage PBP1</t>
  </si>
  <si>
    <t>Bacillus phage phi105</t>
  </si>
  <si>
    <t>Bacillus phage SN45</t>
  </si>
  <si>
    <t>Bacillus phage Spbeta</t>
  </si>
  <si>
    <t>Bacillus phage SPP1</t>
  </si>
  <si>
    <t>Bacillus phage Tb10</t>
  </si>
  <si>
    <t>Bacillus phage TP-15</t>
  </si>
  <si>
    <t>Bacillus phage type F</t>
  </si>
  <si>
    <t>Clostridium phage F1</t>
  </si>
  <si>
    <t>Clostridium phage HM7</t>
  </si>
  <si>
    <t>Coryneforms phage A</t>
  </si>
  <si>
    <t>Coryneforms phage Arp</t>
  </si>
  <si>
    <t>Coryneforms phage beta</t>
  </si>
  <si>
    <t>Coryneforms phage BL3</t>
  </si>
  <si>
    <t>Coryneforms phage CONX</t>
  </si>
  <si>
    <t>Coryneforms phage MT</t>
  </si>
  <si>
    <t>Coryneforms phage phiA8010</t>
  </si>
  <si>
    <t>Cyanobacteria phage S-2L</t>
  </si>
  <si>
    <t>Cyanobacteria phage S-4L</t>
  </si>
  <si>
    <t>Enterobacteria phage beta4</t>
  </si>
  <si>
    <t>Enterobacteria phage chi</t>
  </si>
  <si>
    <t>Enterobacteria phage H-19J</t>
  </si>
  <si>
    <t>Enterobacteria phage Jersey</t>
  </si>
  <si>
    <t>Enterobacteria phage ViII</t>
  </si>
  <si>
    <t>Enterobacteria phage ZG/3A</t>
  </si>
  <si>
    <t>Lactobacillus phage 1b6</t>
  </si>
  <si>
    <t>Lactobacillus phage 223</t>
  </si>
  <si>
    <t>Lactobacillus phage phiFSW</t>
  </si>
  <si>
    <t>Lactobacillus phage PL-1</t>
  </si>
  <si>
    <t>Lactobacillus phage y5</t>
  </si>
  <si>
    <t>Lactococcus phage 1358</t>
  </si>
  <si>
    <t>Lactococcus phage 1483</t>
  </si>
  <si>
    <t>Lactococcus phage 936</t>
  </si>
  <si>
    <t>Lactococcus phage 949</t>
  </si>
  <si>
    <t>Lactococcus phage BK5-T</t>
  </si>
  <si>
    <t>Lactococcus phage P107</t>
  </si>
  <si>
    <t>Lactococcus phage P335</t>
  </si>
  <si>
    <t>Lactococcus phage PO87</t>
  </si>
  <si>
    <t>Leuconostoc phage pro2</t>
  </si>
  <si>
    <t>Listeria phage 2389</t>
  </si>
  <si>
    <t>Listeria phage 2671</t>
  </si>
  <si>
    <t>Listeria phage 2685</t>
  </si>
  <si>
    <t>Listeria phage H387</t>
  </si>
  <si>
    <t>Micrococcus phage N1</t>
  </si>
  <si>
    <t>Micrococcus phage N5</t>
  </si>
  <si>
    <t>Mycobacterium phage lacticola</t>
  </si>
  <si>
    <t>Mycobacterium phage Leo</t>
  </si>
  <si>
    <t>Mycobacterium phage R1-Myb</t>
  </si>
  <si>
    <t>Pasteurella phage 32</t>
  </si>
  <si>
    <t>Pasteurella phage C-2</t>
  </si>
  <si>
    <t>Pseudomonas phage D3</t>
  </si>
  <si>
    <t>AF165214</t>
  </si>
  <si>
    <t>Pseudomonas phage Kf1</t>
  </si>
  <si>
    <t>Pseudomonas phage M6</t>
  </si>
  <si>
    <t>Pseudomonas phage PS4</t>
  </si>
  <si>
    <t>Pseudomonas phage SD1</t>
  </si>
  <si>
    <t>Rhizobium phage 16-2-12</t>
  </si>
  <si>
    <t>Rhizobium phage 317</t>
  </si>
  <si>
    <t>Rhizobium phage 5</t>
  </si>
  <si>
    <t>Rhizobium phage 7-7-7</t>
  </si>
  <si>
    <t>Rhizobium phage NM1</t>
  </si>
  <si>
    <t>Rhizobium phage NT2</t>
  </si>
  <si>
    <t>Rhizobium phage phi2037/1</t>
  </si>
  <si>
    <t>Staphylococcus phage 107</t>
  </si>
  <si>
    <t>Staphylococcus phage 1139</t>
  </si>
  <si>
    <t>Staphylococcus phage 1154A</t>
  </si>
  <si>
    <t>Staphylococcus phage 187</t>
  </si>
  <si>
    <t>AY954950</t>
  </si>
  <si>
    <t>Staphylococcus phage 2848A</t>
  </si>
  <si>
    <t>Staphylococcus phage 392</t>
  </si>
  <si>
    <t>Staphylococcus phage 3A</t>
  </si>
  <si>
    <t>AY954956</t>
  </si>
  <si>
    <t>Staphylococcus phage 77</t>
  </si>
  <si>
    <t>AY508486</t>
  </si>
  <si>
    <t>Staphylococcus phage B11-M15</t>
  </si>
  <si>
    <t>Streptococcus phage 24</t>
  </si>
  <si>
    <t>Streptococcus phage A25</t>
  </si>
  <si>
    <t>Streptococcus phage omega8</t>
  </si>
  <si>
    <t>Streptococcus phage PE1</t>
  </si>
  <si>
    <t>Streptococcus phage VD13</t>
  </si>
  <si>
    <t>Vibrio phage alpha3a</t>
  </si>
  <si>
    <t>Vibrio phage IV</t>
  </si>
  <si>
    <t>Vibrio phage OXN-52P</t>
  </si>
  <si>
    <t>Vibrio phage VP11</t>
  </si>
  <si>
    <t>Vibrio phage VP3</t>
  </si>
  <si>
    <t>Vibrio phage VP5</t>
  </si>
  <si>
    <t>Bahia Grande virus</t>
  </si>
  <si>
    <t>Le Dantec virus</t>
  </si>
  <si>
    <t>Sawgrass virus</t>
  </si>
  <si>
    <t>Timbo virus</t>
  </si>
  <si>
    <t>Duck adenovirus 1</t>
  </si>
  <si>
    <t>Duck adenovirus 2</t>
  </si>
  <si>
    <t>Fowl adenovirus 12</t>
  </si>
  <si>
    <t>Pheasant adenovirus 1</t>
  </si>
  <si>
    <t>Turkey adenovirus 1</t>
  </si>
  <si>
    <t>Turkey adenovirus 2</t>
  </si>
  <si>
    <t>Turkey adenovirus 3</t>
  </si>
  <si>
    <t>Caprine adenovirus 1</t>
  </si>
  <si>
    <t>Murine adenovirus 2</t>
  </si>
  <si>
    <t>Ovine adenovirus 6</t>
  </si>
  <si>
    <t>Porcine adenovirus 6</t>
  </si>
  <si>
    <t>Simian adenovirus 1</t>
  </si>
  <si>
    <t>Simian adenovirus 12</t>
  </si>
  <si>
    <t>Simian adenovirus 15</t>
  </si>
  <si>
    <t>Simian adenovirus 17</t>
  </si>
  <si>
    <t>Simian adenovirus 18</t>
  </si>
  <si>
    <t>Simian adenovirus 20</t>
  </si>
  <si>
    <t>Simian adenovirus 26</t>
  </si>
  <si>
    <t>Simian adenovirus 27</t>
  </si>
  <si>
    <t>Simian adenovirus 5</t>
  </si>
  <si>
    <t>Simian adenovirus 7</t>
  </si>
  <si>
    <t>Simian adenovirus 8</t>
  </si>
  <si>
    <t>Autographa precationis ascovirus</t>
  </si>
  <si>
    <t>Orgyia pseudotsugata single nucleopolyhedrovirus</t>
  </si>
  <si>
    <t>Brus Laguna virus</t>
  </si>
  <si>
    <t>Para virus</t>
  </si>
  <si>
    <t>Dry Tortugas virus</t>
  </si>
  <si>
    <t>Aguacate virus</t>
  </si>
  <si>
    <t>Anhanga virus</t>
  </si>
  <si>
    <t>Arboledas virus</t>
  </si>
  <si>
    <t>Arumowot virus</t>
  </si>
  <si>
    <t>Caimito virus</t>
  </si>
  <si>
    <t>Chagres virus</t>
  </si>
  <si>
    <t>Corfou virus</t>
  </si>
  <si>
    <t>Gabek Forest virus</t>
  </si>
  <si>
    <t>Gordil virus</t>
  </si>
  <si>
    <t>Itaporanga virus</t>
  </si>
  <si>
    <t>Odrenisrou virus</t>
  </si>
  <si>
    <t>Pacui virus</t>
  </si>
  <si>
    <t>Rio Grande virus</t>
  </si>
  <si>
    <t>Saint-Floris virus</t>
  </si>
  <si>
    <t>Sandfly fever Sicilian virus</t>
  </si>
  <si>
    <t>Urucuri virus</t>
  </si>
  <si>
    <t>Canine calicivirus</t>
  </si>
  <si>
    <t>Clover yellows virus</t>
  </si>
  <si>
    <t>Absettarov virus</t>
  </si>
  <si>
    <t>Negishi virus</t>
  </si>
  <si>
    <t>Neudoerfl virus</t>
  </si>
  <si>
    <t>Sofyn virus</t>
  </si>
  <si>
    <t>Tomato leafroll virus</t>
  </si>
  <si>
    <t>Anatid herpesvirus 1</t>
  </si>
  <si>
    <t>Cercopithecine herpesvirus 6</t>
  </si>
  <si>
    <t>Cercopithecine herpesvirus 7</t>
  </si>
  <si>
    <t>Equid herpesvirus 3</t>
  </si>
  <si>
    <t>Equid herpesvirus 6</t>
  </si>
  <si>
    <t>Macropodid herpesvirus 1</t>
  </si>
  <si>
    <t>Macropodid herpesvirus 2</t>
  </si>
  <si>
    <t>Aotine herpesvirus 1</t>
  </si>
  <si>
    <t>Aotine herpesvirus 3</t>
  </si>
  <si>
    <t>Callitrichine herpesvirus 2</t>
  </si>
  <si>
    <t>Caviid herpesvirus 2</t>
  </si>
  <si>
    <t>Cebine herpesvirus 1</t>
  </si>
  <si>
    <t>Cebine herpesvirus 2</t>
  </si>
  <si>
    <t>Cercopithecine herpesvirus 3</t>
  </si>
  <si>
    <t>Cercopithecine herpesvirus 4</t>
  </si>
  <si>
    <t>Cercopithecine herpesvirus 5</t>
  </si>
  <si>
    <t>Cercopithecine herpesvirus 8</t>
  </si>
  <si>
    <t>Cricetid herpesvirus</t>
  </si>
  <si>
    <t>Murid herpesvirus 2</t>
  </si>
  <si>
    <t>Sciurid herpesvirus</t>
  </si>
  <si>
    <t>Suid herpesvirus 2</t>
  </si>
  <si>
    <t>Caviid herpesvirus 1</t>
  </si>
  <si>
    <t>Leporid herpesvirus 1</t>
  </si>
  <si>
    <t>Marmodid herpesvirus 1</t>
  </si>
  <si>
    <t>Coliphage ZG/2</t>
  </si>
  <si>
    <t>Enterobacteria phage If2</t>
  </si>
  <si>
    <t>Xanthomonas phage Cf</t>
  </si>
  <si>
    <t>Xanthomonas phage Xf2</t>
  </si>
  <si>
    <t>Acholeplasma phage 0c1r</t>
  </si>
  <si>
    <t>Acholeplasma phage 10tur</t>
  </si>
  <si>
    <t>Acholeplasma phage MVG51</t>
  </si>
  <si>
    <t>Acholeplasma phage MV-L1</t>
  </si>
  <si>
    <t>Spiroplasma phage 1</t>
  </si>
  <si>
    <t>Iridescent virus 11</t>
  </si>
  <si>
    <t>Iridescent virus 12</t>
  </si>
  <si>
    <t>Iridescent virus 13</t>
  </si>
  <si>
    <t>Iridescent virus 14</t>
  </si>
  <si>
    <t>Iridescent virus 15</t>
  </si>
  <si>
    <t>Iridescent virus 4</t>
  </si>
  <si>
    <t>Iridescent virus 5</t>
  </si>
  <si>
    <t>Iridescent virus 7</t>
  </si>
  <si>
    <t>Iridescent virus 8</t>
  </si>
  <si>
    <t>Iridescent virus 10</t>
  </si>
  <si>
    <t>Iridescent virus 16</t>
  </si>
  <si>
    <t>Iridescent virus 17</t>
  </si>
  <si>
    <t>Iridescent virus 18</t>
  </si>
  <si>
    <t>Iridescent virus 19</t>
  </si>
  <si>
    <t>Iridescent virus 2</t>
  </si>
  <si>
    <t>Iridescent virus 20</t>
  </si>
  <si>
    <t>Iridescent virus 21</t>
  </si>
  <si>
    <t>Iridescent virus 22</t>
  </si>
  <si>
    <t>Iridescent virus 23</t>
  </si>
  <si>
    <t>Iridescent virus 24</t>
  </si>
  <si>
    <t>Iridescent virus 25</t>
  </si>
  <si>
    <t>Iridescent virus 26</t>
  </si>
  <si>
    <t>Iridescent virus 27</t>
  </si>
  <si>
    <t>Iridescent virus 28</t>
  </si>
  <si>
    <t>Iridescent virus 29</t>
  </si>
  <si>
    <t>Iridescent virus 31</t>
  </si>
  <si>
    <t>Iridescent virus 32</t>
  </si>
  <si>
    <t>Iridescent virus 6</t>
  </si>
  <si>
    <t>Iridescent virus 9</t>
  </si>
  <si>
    <t>Frog virus 1</t>
  </si>
  <si>
    <t>Frog virus 10</t>
  </si>
  <si>
    <t>Frog virus 11</t>
  </si>
  <si>
    <t>Frog virus 12</t>
  </si>
  <si>
    <t>Frog virus 13</t>
  </si>
  <si>
    <t>Frog virus 14</t>
  </si>
  <si>
    <t>Frog virus 15</t>
  </si>
  <si>
    <t>Frog virus 16</t>
  </si>
  <si>
    <t>Frog virus 17</t>
  </si>
  <si>
    <t>Frog virus 18</t>
  </si>
  <si>
    <t>Frog virus 19</t>
  </si>
  <si>
    <t>Frog virus 2</t>
  </si>
  <si>
    <t>Frog virus 20</t>
  </si>
  <si>
    <t>Frog virus 21</t>
  </si>
  <si>
    <t>Frog virus 22</t>
  </si>
  <si>
    <t>Frog virus 23</t>
  </si>
  <si>
    <t>Frog virus 24</t>
  </si>
  <si>
    <t>Frog virus 5</t>
  </si>
  <si>
    <t>Frog virus 6</t>
  </si>
  <si>
    <t>Frog virus 7</t>
  </si>
  <si>
    <t>Frog virus 8</t>
  </si>
  <si>
    <t>Frog virus 9</t>
  </si>
  <si>
    <t>Frog virus L2</t>
  </si>
  <si>
    <t>Frog virus L4</t>
  </si>
  <si>
    <t>Frog virus L5</t>
  </si>
  <si>
    <t>Tadpole edema virus</t>
  </si>
  <si>
    <t>Xenopus T21 virus</t>
  </si>
  <si>
    <t>Caulobacter phage phiCb12r</t>
  </si>
  <si>
    <t>Caulobacter phage phiCb2</t>
  </si>
  <si>
    <t>Caulobacter phage phiCb23r</t>
  </si>
  <si>
    <t>Caulobacter phage phiCb4</t>
  </si>
  <si>
    <t>Caulobacter phage phiCb5</t>
  </si>
  <si>
    <t>Caulobacter phage phiCb8r</t>
  </si>
  <si>
    <t>Caulobacter phage phiCb9</t>
  </si>
  <si>
    <t>Caulobacter phage phiCP18</t>
  </si>
  <si>
    <t>Caulobacter phage phiCP2</t>
  </si>
  <si>
    <t>Caulobacter phage phiCr14</t>
  </si>
  <si>
    <t>Caulobacter phage phiCr28</t>
  </si>
  <si>
    <t>Caulobacter phage PP7</t>
  </si>
  <si>
    <t>Enterobacteria phage alpha15</t>
  </si>
  <si>
    <t>Enterobacteria phage B6</t>
  </si>
  <si>
    <t>Enterobacteria phage B7</t>
  </si>
  <si>
    <t>Enterobacteria phage beta</t>
  </si>
  <si>
    <t>Enterobacteria phage C-1</t>
  </si>
  <si>
    <t>Enterobacteria phage C2</t>
  </si>
  <si>
    <t>Enterobacteria phage fcan</t>
  </si>
  <si>
    <t>Enterobacteria phage Folac</t>
  </si>
  <si>
    <t>Enterobacteria phage Ialpha</t>
  </si>
  <si>
    <t>Enterobacteria phage M</t>
  </si>
  <si>
    <t>Enterobacteria phage mu2</t>
  </si>
  <si>
    <t>Enterobacteria phage pilHalpha</t>
  </si>
  <si>
    <t>Enterobacteria phage R23</t>
  </si>
  <si>
    <t>Enterobacteria phage R34</t>
  </si>
  <si>
    <t>Enterobacteria phage tau</t>
  </si>
  <si>
    <t>Enterobacteria phage ZG/1</t>
  </si>
  <si>
    <t>Enterobacteria phage ZIK/1</t>
  </si>
  <si>
    <t>Enterobacteria phage ZJ/1</t>
  </si>
  <si>
    <t>Enterobacteria phage ZL/3</t>
  </si>
  <si>
    <t>Enterobacteria phage ZS/3</t>
  </si>
  <si>
    <t>Pseudomonas phage 7s</t>
  </si>
  <si>
    <t>Pseudomonas phage PRR1</t>
  </si>
  <si>
    <t>Thermoproteus virus 4</t>
  </si>
  <si>
    <t>Thermoproteus virus 3</t>
  </si>
  <si>
    <t>X07653</t>
  </si>
  <si>
    <t>D00530</t>
  </si>
  <si>
    <t>Bdellovibrio phage MAC 1'</t>
  </si>
  <si>
    <t>Bdellovibrio phage MAC 2</t>
  </si>
  <si>
    <t>Bdellovibrio phage MAC 4</t>
  </si>
  <si>
    <t>Bdellovibrio phage MAC 4'</t>
  </si>
  <si>
    <t>Bdellovibrio phage MAC 5</t>
  </si>
  <si>
    <t>Bdellovibrio phage MAC 7</t>
  </si>
  <si>
    <t>Coliphage 1phi1</t>
  </si>
  <si>
    <t>Coliphage 1phi3</t>
  </si>
  <si>
    <t>Coliphage 1phi7</t>
  </si>
  <si>
    <t>Coliphage 1phi9</t>
  </si>
  <si>
    <t>Coliphage 2D/13</t>
  </si>
  <si>
    <t>Coliphage alpha10</t>
  </si>
  <si>
    <t>Coliphage alpha3</t>
  </si>
  <si>
    <t>Coliphage BE/1</t>
  </si>
  <si>
    <t>Coliphage delta1</t>
  </si>
  <si>
    <t>Coliphage dphi3</t>
  </si>
  <si>
    <t>Coliphage dphi4</t>
  </si>
  <si>
    <t>Coliphage dphi5</t>
  </si>
  <si>
    <t>Coliphage eta8</t>
  </si>
  <si>
    <t>Coliphage G13</t>
  </si>
  <si>
    <t>Coliphage G14</t>
  </si>
  <si>
    <t>Coliphage G6</t>
  </si>
  <si>
    <t>Coliphage M20</t>
  </si>
  <si>
    <t>Coliphage omicron6</t>
  </si>
  <si>
    <t>Coliphage phiA</t>
  </si>
  <si>
    <t>Coliphage phiB</t>
  </si>
  <si>
    <t>Coliphage phiC</t>
  </si>
  <si>
    <t>Coliphage phiK</t>
  </si>
  <si>
    <t>Coliphage phiR</t>
  </si>
  <si>
    <t>Coliphage U3</t>
  </si>
  <si>
    <t>Coliphage WA/1</t>
  </si>
  <si>
    <t>Coliphage WF/1</t>
  </si>
  <si>
    <t>Coliphage WW/1</t>
  </si>
  <si>
    <t>Coliphage zeta3</t>
  </si>
  <si>
    <t>Chaffinch papillomavirus</t>
  </si>
  <si>
    <t>Elephant papillomavirus</t>
  </si>
  <si>
    <t>Equine papillomavirus</t>
  </si>
  <si>
    <t>Multimammate mouse papillomavirus</t>
  </si>
  <si>
    <t>Rabbit oral papillomavirus</t>
  </si>
  <si>
    <t>Reindeer papillomavirus</t>
  </si>
  <si>
    <t>Rhesus monkey papillomavirus</t>
  </si>
  <si>
    <t>Hydra viridis Chlorella virus 2</t>
  </si>
  <si>
    <t>Hydra viridis Chlorella virus 3</t>
  </si>
  <si>
    <t>Paramecium bursaria Chlorella virus AL2C</t>
  </si>
  <si>
    <t>Paramecium bursaria Chlorella virus B1</t>
  </si>
  <si>
    <t>Paramecium bursaria Chlorella virus CA1A</t>
  </si>
  <si>
    <t>Paramecium bursaria Chlorella virus CA1D</t>
  </si>
  <si>
    <t>Paramecium bursaria Chlorella virus CA2A</t>
  </si>
  <si>
    <t>Paramecium bursaria Chlorella virus G1</t>
  </si>
  <si>
    <t>Paramecium bursaria Chlorella virus IL2A</t>
  </si>
  <si>
    <t>Paramecium bursaria Chlorella virus IL2B</t>
  </si>
  <si>
    <t>Paramecium bursaria Chlorella virus IL3D</t>
  </si>
  <si>
    <t>Paramecium bursaria Chlorella virus IL5-2s1</t>
  </si>
  <si>
    <t>Paramecium bursaria Chlorella virus M1</t>
  </si>
  <si>
    <t>Paramecium bursaria Chlorella virus MA1D</t>
  </si>
  <si>
    <t>Paramecium bursaria Chlorella virus MA1E</t>
  </si>
  <si>
    <t>Paramecium bursaria Chlorella virus NC1B</t>
  </si>
  <si>
    <t>Paramecium bursaria Chlorella virus NC1C</t>
  </si>
  <si>
    <t>Paramecium bursaria Chlorella virus NC1D</t>
  </si>
  <si>
    <t>Paramecium bursaria Chlorella virus NE-8D</t>
  </si>
  <si>
    <t>Paramecium bursaria Chlorella virus NY2B</t>
  </si>
  <si>
    <t>Paramecium bursaria Chlorella virus NY2C</t>
  </si>
  <si>
    <t>Paramecium bursaria Chlorella virus NY2F</t>
  </si>
  <si>
    <t>Paramecium bursaria Chlorella virus NYb1</t>
  </si>
  <si>
    <t>Paramecium bursaria Chlorella virus R1</t>
  </si>
  <si>
    <t>Paramecium bursaria Chlorella virus SC1B</t>
  </si>
  <si>
    <t>Paramecium bursaria Chlorella virus SH6A</t>
  </si>
  <si>
    <t>Paramecium bursaria Chlorella virus XZ5C</t>
  </si>
  <si>
    <t>Human coxsackievirus A4</t>
  </si>
  <si>
    <t>Human coxsackievirus A6</t>
  </si>
  <si>
    <t>Human enterovirus 72</t>
  </si>
  <si>
    <t>Human rhinovirus 10</t>
  </si>
  <si>
    <t>Human rhinovirus 100</t>
  </si>
  <si>
    <t>Human rhinovirus 12</t>
  </si>
  <si>
    <t>Human rhinovirus 13</t>
  </si>
  <si>
    <t>Human rhinovirus 17</t>
  </si>
  <si>
    <t>Human rhinovirus 18</t>
  </si>
  <si>
    <t>Human rhinovirus 19</t>
  </si>
  <si>
    <t>Human rhinovirus 20</t>
  </si>
  <si>
    <t>Human rhinovirus 22</t>
  </si>
  <si>
    <t>Human rhinovirus 23</t>
  </si>
  <si>
    <t>Human rhinovirus 24</t>
  </si>
  <si>
    <t>Human rhinovirus 25</t>
  </si>
  <si>
    <t>Human rhinovirus 26</t>
  </si>
  <si>
    <t>Human rhinovirus 27</t>
  </si>
  <si>
    <t>Human rhinovirus 28</t>
  </si>
  <si>
    <t>Human rhinovirus 30</t>
  </si>
  <si>
    <t>Human rhinovirus 31</t>
  </si>
  <si>
    <t>Human rhinovirus 32</t>
  </si>
  <si>
    <t>Human rhinovirus 33</t>
  </si>
  <si>
    <t>Human rhinovirus 34</t>
  </si>
  <si>
    <t>Human rhinovirus 35</t>
  </si>
  <si>
    <t>Human rhinovirus 37</t>
  </si>
  <si>
    <t>Human rhinovirus 38</t>
  </si>
  <si>
    <t>Human rhinovirus 4</t>
  </si>
  <si>
    <t>Human rhinovirus 40</t>
  </si>
  <si>
    <t>Human rhinovirus 41</t>
  </si>
  <si>
    <t>Human rhinovirus 42</t>
  </si>
  <si>
    <t>Human rhinovirus 43</t>
  </si>
  <si>
    <t>Human rhinovirus 44</t>
  </si>
  <si>
    <t>Human rhinovirus 45</t>
  </si>
  <si>
    <t>Human rhinovirus 46</t>
  </si>
  <si>
    <t>Human rhinovirus 47</t>
  </si>
  <si>
    <t>Human rhinovirus 48</t>
  </si>
  <si>
    <t>Human rhinovirus 5</t>
  </si>
  <si>
    <t>Human rhinovirus 51</t>
  </si>
  <si>
    <t>Human rhinovirus 52</t>
  </si>
  <si>
    <t>Human rhinovirus 53</t>
  </si>
  <si>
    <t>Human rhinovirus 54</t>
  </si>
  <si>
    <t>Human rhinovirus 55</t>
  </si>
  <si>
    <t>Human rhinovirus 56</t>
  </si>
  <si>
    <t>Human rhinovirus 57</t>
  </si>
  <si>
    <t>Human rhinovirus 59</t>
  </si>
  <si>
    <t>Human rhinovirus 6</t>
  </si>
  <si>
    <t>Human rhinovirus 60</t>
  </si>
  <si>
    <t>Human rhinovirus 61</t>
  </si>
  <si>
    <t>Human rhinovirus 63</t>
  </si>
  <si>
    <t>Human rhinovirus 64</t>
  </si>
  <si>
    <t>Human rhinovirus 66</t>
  </si>
  <si>
    <t>Human rhinovirus 67</t>
  </si>
  <si>
    <t>Human rhinovirus 68</t>
  </si>
  <si>
    <t>Human rhinovirus 69</t>
  </si>
  <si>
    <t>Human rhinovirus 70</t>
  </si>
  <si>
    <t>Human rhinovirus 71</t>
  </si>
  <si>
    <t>Human rhinovirus 73</t>
  </si>
  <si>
    <t>Human rhinovirus 74</t>
  </si>
  <si>
    <t>Human rhinovirus 75</t>
  </si>
  <si>
    <t>Human rhinovirus 76</t>
  </si>
  <si>
    <t>Human rhinovirus 77</t>
  </si>
  <si>
    <t>Human rhinovirus 78</t>
  </si>
  <si>
    <t>Human rhinovirus 79</t>
  </si>
  <si>
    <t>Human rhinovirus 8</t>
  </si>
  <si>
    <t>Human rhinovirus 80</t>
  </si>
  <si>
    <t>Human rhinovirus 81</t>
  </si>
  <si>
    <t>Human rhinovirus 82</t>
  </si>
  <si>
    <t>Human rhinovirus 83</t>
  </si>
  <si>
    <t>Human rhinovirus 84</t>
  </si>
  <si>
    <t>Human rhinovirus 86</t>
  </si>
  <si>
    <t>Human rhinovirus 87</t>
  </si>
  <si>
    <t>Human rhinovirus 88</t>
  </si>
  <si>
    <t>Human rhinovirus 90</t>
  </si>
  <si>
    <t>Human rhinovirus 91</t>
  </si>
  <si>
    <t>Human rhinovirus 92</t>
  </si>
  <si>
    <t>Human rhinovirus 93</t>
  </si>
  <si>
    <t>Human rhinovirus 94</t>
  </si>
  <si>
    <t>Human rhinovirus 95</t>
  </si>
  <si>
    <t>Human rhinovirus 96</t>
  </si>
  <si>
    <t>Human rhinovirus 97</t>
  </si>
  <si>
    <t>Human rhinovirus 98</t>
  </si>
  <si>
    <t>Human rhinovirus 99</t>
  </si>
  <si>
    <t>Acholeplasma phage M1</t>
  </si>
  <si>
    <t>Acholeplasma phage O1</t>
  </si>
  <si>
    <t>Acholeplasma phage v1</t>
  </si>
  <si>
    <t>Acholeplasma phage v2</t>
  </si>
  <si>
    <t>Acholeplasma phage v4</t>
  </si>
  <si>
    <t>Acholeplasma phage v5</t>
  </si>
  <si>
    <t>Acholeplasma phage v7</t>
  </si>
  <si>
    <t>Campoletis sp. virus</t>
  </si>
  <si>
    <t>Casinaria sp. virus</t>
  </si>
  <si>
    <t>Drusona sp. virus</t>
  </si>
  <si>
    <t>Glypta sp. virus</t>
  </si>
  <si>
    <t>Lissonota sp. virus</t>
  </si>
  <si>
    <t>Tranosema sp. virus</t>
  </si>
  <si>
    <t>Tulip band breaking virus</t>
  </si>
  <si>
    <t>AF169561</t>
  </si>
  <si>
    <t>Group F rotavirus</t>
  </si>
  <si>
    <t>Simian T-lymphotropic virus</t>
  </si>
  <si>
    <t>Thermoproteus virus TTV4</t>
  </si>
  <si>
    <t>Cucumber leaf spot virus</t>
  </si>
  <si>
    <t>DQ227315</t>
  </si>
  <si>
    <t>Molinia streak virus</t>
  </si>
  <si>
    <t>AB004063</t>
  </si>
  <si>
    <t>RNA1: AJ132578; RNA2: AJ132579</t>
  </si>
  <si>
    <t>RNA1: L07937; RNA2: L07938</t>
  </si>
  <si>
    <t>Sorghum chlorotic spot virus</t>
  </si>
  <si>
    <t>RNA1: AB033691; RNA2: AB033692</t>
  </si>
  <si>
    <t>Viola mottle virus</t>
  </si>
  <si>
    <t>Chayote mosaic virus</t>
  </si>
  <si>
    <t>Goldfish virus 1</t>
  </si>
  <si>
    <t>Freesia leaf necrosis virus</t>
  </si>
  <si>
    <t>Tobacco stunt virus</t>
  </si>
  <si>
    <t>Petunia flower mottle virus</t>
  </si>
  <si>
    <t>Beet pseudoyellows virus</t>
  </si>
  <si>
    <t>RNA1: AY330918; RNA2: AY330919</t>
  </si>
  <si>
    <t>Gypsy moth virus</t>
  </si>
  <si>
    <t>Manawatu virus</t>
  </si>
  <si>
    <t>New Zealand virus</t>
  </si>
  <si>
    <t>Dicentrarchus labrax encephalitis virus</t>
  </si>
  <si>
    <t>Japanese flounder nervous necrosis virus</t>
  </si>
  <si>
    <t>Lates calcarifer encephalitis virus</t>
  </si>
  <si>
    <t>Bean yellow vein-banding virus</t>
  </si>
  <si>
    <t>Papillomavirus</t>
  </si>
  <si>
    <t>Acalypha yellow mosaic virus</t>
  </si>
  <si>
    <t>Asystasia golden mosaic virus</t>
  </si>
  <si>
    <t>Croton yellow vein mosaic virus</t>
  </si>
  <si>
    <t>Dolichos yellow mosaic virus</t>
  </si>
  <si>
    <t>Eclipta yellow vein virus</t>
  </si>
  <si>
    <t>Euphorbia mosaic virus</t>
  </si>
  <si>
    <t>Hollyhock leaf curl virus</t>
  </si>
  <si>
    <t>Horsegram yellow mosaic virus</t>
  </si>
  <si>
    <t>Indian tomato leaf curl virus</t>
  </si>
  <si>
    <t>Jatropha mosaic virus</t>
  </si>
  <si>
    <t>Leonurus mosaic virus</t>
  </si>
  <si>
    <t>Limabean golden mosaic virus</t>
  </si>
  <si>
    <t>Macroptilium golden mosaic virus</t>
  </si>
  <si>
    <t>Macrotyloma mosaic virus</t>
  </si>
  <si>
    <t>Malvaceous chlorosis virus</t>
  </si>
  <si>
    <t>Melon leaf curl virus</t>
  </si>
  <si>
    <t>Okra leaf curl virus</t>
  </si>
  <si>
    <t>Pepper mild tigré virus</t>
  </si>
  <si>
    <t>Pseuderanthemum yellow vein virus</t>
  </si>
  <si>
    <t>Solanum yellow leaf curl virus</t>
  </si>
  <si>
    <t>Tomato leaf curl virus-Senegal</t>
  </si>
  <si>
    <t>Tomato leaf curl virus-Tanzania</t>
  </si>
  <si>
    <t>Tomato yellow dwarf virus</t>
  </si>
  <si>
    <t>Tomato yellow leaf curl virus-Nigeria</t>
  </si>
  <si>
    <t>Tomato yellow leaf curl virus-South Saudi Arabia</t>
  </si>
  <si>
    <t>Tomato yellow leaf curl virus-Tanzania</t>
  </si>
  <si>
    <t>Tomato yellow leaf curl virus-Yemen</t>
  </si>
  <si>
    <t>Tomato yellow mosaic virus</t>
  </si>
  <si>
    <t>Tomato yellow mottle virus</t>
  </si>
  <si>
    <t>Tomato yellow vein streak virus</t>
  </si>
  <si>
    <t>Watermelon curly mottle virus</t>
  </si>
  <si>
    <t>Wissadula golden mosaic virus</t>
  </si>
  <si>
    <t>Zinnia leaf curl virus</t>
  </si>
  <si>
    <t>Enterobacteria phage S13</t>
  </si>
  <si>
    <t>Rembrandt tulip breaking virus</t>
  </si>
  <si>
    <t>Garlic latent virus</t>
  </si>
  <si>
    <t>Blotched snakehead virus</t>
  </si>
  <si>
    <t>RNA1: U57047; RNA2: U34050; RNA3: U85399</t>
  </si>
  <si>
    <t>Pineapple bacilliform virus</t>
  </si>
  <si>
    <t>RNA1: AF225953; RNA2: AF225954</t>
  </si>
  <si>
    <t>GB virus A</t>
  </si>
  <si>
    <t>GB virus B</t>
  </si>
  <si>
    <t>GB virus C/Hepatitis G virus</t>
  </si>
  <si>
    <t>Eupatorium leaf curl virus</t>
  </si>
  <si>
    <t>Rhynchosia mosaic virus</t>
  </si>
  <si>
    <t>Sinaloa tomato leaf curl virus</t>
  </si>
  <si>
    <t>Solanum tomato leaf curl virus</t>
  </si>
  <si>
    <t>Tobacco leaf curl virus</t>
  </si>
  <si>
    <t>Bromus striate mosaic virus</t>
  </si>
  <si>
    <t>Digitaria striate mosaic virus</t>
  </si>
  <si>
    <t>Paspalum striate mosaic virus</t>
  </si>
  <si>
    <t>Thermoproteus virus 2</t>
  </si>
  <si>
    <t>AF543212</t>
  </si>
  <si>
    <t>Pea stem necrosis virus</t>
  </si>
  <si>
    <t>AB086951</t>
  </si>
  <si>
    <t>Poinsettia mosaic virus</t>
  </si>
  <si>
    <t>Rhinovirus</t>
  </si>
  <si>
    <t>AB304848</t>
  </si>
  <si>
    <t>AB219545</t>
  </si>
  <si>
    <t>JQ864181</t>
  </si>
  <si>
    <t>FM206346</t>
  </si>
  <si>
    <t>Torque teno virus</t>
  </si>
  <si>
    <t>Pepper leaf curl Pakistan virus</t>
  </si>
  <si>
    <t>Squash yellow mild mottle virus</t>
  </si>
  <si>
    <t>Tomato leaf curl Indonesia virus</t>
  </si>
  <si>
    <t>Tomato leaf curl Pakistan virus</t>
  </si>
  <si>
    <t>Human herpesvirus 6</t>
  </si>
  <si>
    <t>Hawaiian rubus leaf curl virus</t>
  </si>
  <si>
    <t>Pigeonpea sterility mosaic virus</t>
  </si>
  <si>
    <t>RNA1: HF568801; RNA2: HF568802; RNA3: HF568803; RNA4: HF568804; RNA5: HF945448</t>
  </si>
  <si>
    <t>Narcissus symptomless virus</t>
  </si>
  <si>
    <t>Grapevine leafroll-associated virus 5</t>
  </si>
  <si>
    <t>Beet mild curly top virus</t>
  </si>
  <si>
    <t>Beet severe curly top virus</t>
  </si>
  <si>
    <t>Pepper curly top virus</t>
  </si>
  <si>
    <t>Spinach curly top virus</t>
  </si>
  <si>
    <t>Bean yellow dwarf virus</t>
  </si>
  <si>
    <t>Setaria streak virus</t>
  </si>
  <si>
    <t>Alphacryptovirus</t>
  </si>
  <si>
    <t>Betacryptovirus</t>
  </si>
  <si>
    <t>Pefudensovirus</t>
  </si>
  <si>
    <t>Canine adeno-associated virus</t>
  </si>
  <si>
    <t>Equine adeno-associated virus</t>
  </si>
  <si>
    <t>Ovine adeno-associated virus</t>
  </si>
  <si>
    <t>HB parvovirus</t>
  </si>
  <si>
    <t>Lapine parvovirus</t>
  </si>
  <si>
    <t>RT parvovirus</t>
  </si>
  <si>
    <t>Leishmania RNA virus 1 - 10</t>
  </si>
  <si>
    <t>Leishmania RNA virus 1 - 12</t>
  </si>
  <si>
    <t>Leishmania RNA virus 1 - 3</t>
  </si>
  <si>
    <t>Leishmania RNA virus 1 - 5</t>
  </si>
  <si>
    <t>Leishmania RNA virus 1 - 6</t>
  </si>
  <si>
    <t>Leishmania RNA virus 1 - 8</t>
  </si>
  <si>
    <t>K00817</t>
  </si>
  <si>
    <t>Vibrio phage 149 (type IV)</t>
  </si>
  <si>
    <t>Paramyxovirinae</t>
  </si>
  <si>
    <t>Simian virus 10</t>
  </si>
  <si>
    <t>Commelina virus X</t>
  </si>
  <si>
    <t>Daphne virus X</t>
  </si>
  <si>
    <t>Plantago severe mottle virus</t>
  </si>
  <si>
    <t>Dandelion latent virus</t>
  </si>
  <si>
    <t>Elderberry symptomless virus</t>
  </si>
  <si>
    <t>Honeysuckle latent virus</t>
  </si>
  <si>
    <t>Hydrangea latent virus</t>
  </si>
  <si>
    <t>Lilac mottle virus</t>
  </si>
  <si>
    <t>Mulberry latent virus</t>
  </si>
  <si>
    <t>Muskmelon vein necrosis virus</t>
  </si>
  <si>
    <t>Abutilon Brazil virus</t>
  </si>
  <si>
    <t>Ageratum leaf curl Cameroon virus</t>
  </si>
  <si>
    <t>Bhendi yellow vein India virus</t>
  </si>
  <si>
    <t>Bitter gourd yellow vein virus</t>
  </si>
  <si>
    <t>Hollyhock leaf crumple virus</t>
  </si>
  <si>
    <t>Honeysuckle yellow vein Kagoshima virus</t>
  </si>
  <si>
    <t>Kenaf leaf curl virus</t>
  </si>
  <si>
    <t>Macroptilium yellow net virus</t>
  </si>
  <si>
    <t>Malvastrum leaf curl Guangdong virus</t>
  </si>
  <si>
    <t>Malvastrum yellow leaf curl virus</t>
  </si>
  <si>
    <t>Malvastrum yellow vein Changa Manga virus</t>
  </si>
  <si>
    <t>Okra leaf curl Cameroon virus</t>
  </si>
  <si>
    <t>Okra yellow mottle Iguala virus</t>
  </si>
  <si>
    <t>Okra yellow vein mosaic virus</t>
  </si>
  <si>
    <t>Sida golden mosaic Honduras virus</t>
  </si>
  <si>
    <t>Sida golden mosaic Liguanea virus</t>
  </si>
  <si>
    <t>Sida yellow vein Madurai virus</t>
  </si>
  <si>
    <t>Soybean chlorotic spot virus</t>
  </si>
  <si>
    <t>Soybean crinkle leaf virus</t>
  </si>
  <si>
    <t>Tomato leaf curl Kumasi virus</t>
  </si>
  <si>
    <t>Tomato mosaic leaf curl virus</t>
  </si>
  <si>
    <t>Microvirus</t>
  </si>
  <si>
    <t>Polyomavirus</t>
  </si>
  <si>
    <t>African green monkey polyomavirus</t>
  </si>
  <si>
    <t>Baboon polyomavirus 2</t>
  </si>
  <si>
    <t>Human polyomavirus</t>
  </si>
  <si>
    <t>Rabbit kidney vacuolating virus</t>
  </si>
  <si>
    <t>Simian virus 12</t>
  </si>
  <si>
    <t>Ranunculus latent virus</t>
  </si>
  <si>
    <t>Carmovirus</t>
  </si>
  <si>
    <t>Enterobacteria virus SV14</t>
  </si>
  <si>
    <t>Pseudomonas virus Lin68</t>
  </si>
  <si>
    <t>Alphalipothrixvirus</t>
  </si>
  <si>
    <t>Arterivirus</t>
  </si>
  <si>
    <t>Isla Vista hantavirus</t>
  </si>
  <si>
    <t>Muleshoe hantavirus</t>
  </si>
  <si>
    <t>New York hantavirus</t>
  </si>
  <si>
    <t>Rio Mamore hantavirus</t>
  </si>
  <si>
    <t>Rio Segundo hantavirus</t>
  </si>
  <si>
    <t>Saaremaa hantavirus</t>
  </si>
  <si>
    <t>Topografov hantavirus</t>
  </si>
  <si>
    <t>Escherichia virus AE2</t>
  </si>
  <si>
    <t>Salmonella virus C2</t>
  </si>
  <si>
    <t>Escherichia virus DeltaA</t>
  </si>
  <si>
    <t>Escherichia virus Ec9</t>
  </si>
  <si>
    <t>Escherichia virus f1</t>
  </si>
  <si>
    <t>Escherichia virus fd</t>
  </si>
  <si>
    <t>Escherichia virus HR</t>
  </si>
  <si>
    <t>Escherichia virus PR64FS</t>
  </si>
  <si>
    <t>Escherichia virus SF</t>
  </si>
  <si>
    <t>Escherichia virus tf1</t>
  </si>
  <si>
    <t>Escherichia virus X</t>
  </si>
  <si>
    <t>Escherichia virus X2</t>
  </si>
  <si>
    <t>Escherichia virus ZJ2</t>
  </si>
  <si>
    <t>Pseudomonas virus Pf2</t>
  </si>
  <si>
    <t>Vibrio virus 493</t>
  </si>
  <si>
    <t>Vibrio virus v6</t>
  </si>
  <si>
    <t>Vibrio virus Vf12</t>
  </si>
  <si>
    <t>Vibrio virus VSK</t>
  </si>
  <si>
    <t>Xanthomonas virus Cf16</t>
  </si>
  <si>
    <t>Xanthomonas virus Cf1t</t>
  </si>
  <si>
    <t>Xanthomonas virus Cf1tv</t>
  </si>
  <si>
    <t>Xanthomonas virus Lf</t>
  </si>
  <si>
    <t>Xanthomonas virus Xf</t>
  </si>
  <si>
    <t>Xanthomonas virus Xfo</t>
  </si>
  <si>
    <t>Xanthomonas virus Xfv</t>
  </si>
  <si>
    <t>Spiroplasma virus 1aa</t>
  </si>
  <si>
    <t>Spiroplasma virus KC3</t>
  </si>
  <si>
    <t>Spiroplasma virus S102</t>
  </si>
  <si>
    <t>Spiroplasma virus T78</t>
  </si>
  <si>
    <t>Cowpea green vein banding virus</t>
  </si>
  <si>
    <t>Groundnut eyespot virus</t>
  </si>
  <si>
    <t>Guinea grass mosaic virus</t>
  </si>
  <si>
    <t>Helenium virus Y</t>
  </si>
  <si>
    <t>Tropaeolum mosaic virus</t>
  </si>
  <si>
    <t>Thermus virus P37-14</t>
  </si>
  <si>
    <t>Alicyclobacillus virus NS11</t>
  </si>
  <si>
    <t>Feraviridae</t>
  </si>
  <si>
    <t>Jonviridae</t>
  </si>
  <si>
    <t>Tospoviridae</t>
  </si>
  <si>
    <t>Chengtivirus</t>
  </si>
  <si>
    <t>Wastrivirus</t>
  </si>
  <si>
    <t>Dipartevirus</t>
  </si>
  <si>
    <t>Equartevirus</t>
  </si>
  <si>
    <t>Nesartevirus</t>
  </si>
  <si>
    <t>Porartevirus</t>
  </si>
  <si>
    <t>Simartevirus</t>
  </si>
  <si>
    <t>Thrush coronavirus HKU12</t>
  </si>
  <si>
    <t>Human torovirus</t>
  </si>
  <si>
    <t>Wuhan fly phasivirus</t>
  </si>
  <si>
    <t>L:KM817689,M:KM817722,S:KM817749</t>
  </si>
  <si>
    <t>Aeromonas virus 31</t>
  </si>
  <si>
    <t>Honeysuckle yellow vein mosaic virus</t>
  </si>
  <si>
    <t>Rhynchosia golden mosaic Yucatan virus</t>
  </si>
  <si>
    <t>Sweet potato leaf curl Uganda virus</t>
  </si>
  <si>
    <t>Tobacco leaf curl Japan virus</t>
  </si>
  <si>
    <t>Tomato leaf curl Oman virus</t>
  </si>
  <si>
    <t>Bohle iridovirus</t>
  </si>
  <si>
    <t>AF157650,AF157651</t>
  </si>
  <si>
    <t>European catfish virus</t>
  </si>
  <si>
    <t>JQ724856</t>
  </si>
  <si>
    <t>Invertebrate iridescent virus 1</t>
  </si>
  <si>
    <t>M33542,M62953</t>
  </si>
  <si>
    <t>Puma feline foamy virus</t>
  </si>
  <si>
    <t>Nome phantom orthophasmavirus</t>
  </si>
  <si>
    <t>L:KJ434185,L:KJ434186,M:KJ434187</t>
  </si>
  <si>
    <t>Insect inshuvirus</t>
  </si>
  <si>
    <t>L: KM817680; M: KM817715; S1: KM817740; S2: KM817741</t>
  </si>
  <si>
    <t>Salmonella virus HB2014</t>
  </si>
  <si>
    <t>KP010413</t>
  </si>
  <si>
    <t>Escherichia virus K5</t>
  </si>
  <si>
    <t>Caulobacter virus Karma</t>
  </si>
  <si>
    <t>JX100811</t>
  </si>
  <si>
    <t>Caulobacter virus Magneto</t>
  </si>
  <si>
    <t>JX100812</t>
  </si>
  <si>
    <t>Methanobacterium virus psiM1</t>
  </si>
  <si>
    <t>Bat mumps orthorubulavirus</t>
  </si>
  <si>
    <t>HM245925.1</t>
  </si>
  <si>
    <t>Mesta yellow vein mosaic virus</t>
  </si>
  <si>
    <t>Rabbit picobirnavirus</t>
  </si>
  <si>
    <t>Rotavirus E</t>
  </si>
  <si>
    <t>LC119077.1</t>
  </si>
  <si>
    <t>Moordecovirus</t>
  </si>
  <si>
    <t>Inshuvirus</t>
  </si>
  <si>
    <t>Wubeivirus</t>
  </si>
  <si>
    <t>Tiruvirus</t>
  </si>
  <si>
    <t>Seattle orthophasmavirus</t>
  </si>
  <si>
    <t>L: KX272880.1, M: KX272881.1, S: KX272882.1</t>
  </si>
  <si>
    <t>Chungbukvirus</t>
  </si>
  <si>
    <t>Pseudomonas virus Ptobp6g</t>
  </si>
  <si>
    <t>JN175269</t>
  </si>
  <si>
    <t>Zegla orthobunyavirus</t>
  </si>
  <si>
    <t>Vibrio virus Kappa</t>
  </si>
  <si>
    <t>Pseudomonas virus 42</t>
  </si>
  <si>
    <t>KU160665</t>
  </si>
  <si>
    <t>Kurthia virus 6</t>
  </si>
  <si>
    <t>Escherichia virus Eb49</t>
  </si>
  <si>
    <t>Gordonia virus Kvothe</t>
  </si>
  <si>
    <t>KU998243</t>
  </si>
  <si>
    <t>Pbi1virus</t>
  </si>
  <si>
    <t>Mycobacterium virus PBI1</t>
  </si>
  <si>
    <t>DQ398047</t>
  </si>
  <si>
    <t>Paenibacillus virus Willow</t>
  </si>
  <si>
    <t>KT361650</t>
  </si>
  <si>
    <t>Lactococcus virus CB20</t>
  </si>
  <si>
    <t>FJ848885</t>
  </si>
  <si>
    <t>Lactococcus virus jj50</t>
  </si>
  <si>
    <t>DQ227764</t>
  </si>
  <si>
    <t>Lactococcus virus P2</t>
  </si>
  <si>
    <t>GQ979703</t>
  </si>
  <si>
    <t>Tsukamurella virus TIN4</t>
  </si>
  <si>
    <t>KR011063</t>
  </si>
  <si>
    <t>Gordonia virus Hotorobo</t>
  </si>
  <si>
    <t>KU963245</t>
  </si>
  <si>
    <t>Radish leaf curl virus</t>
  </si>
  <si>
    <t>Mulberry mosaic dwarf associated virus</t>
  </si>
  <si>
    <t>KP303687</t>
  </si>
  <si>
    <t>Luteoviridae</t>
  </si>
  <si>
    <t>Ageratum yellow vein India betasatellite</t>
  </si>
  <si>
    <t>AJ557441</t>
  </si>
  <si>
    <t>Malvastrum leaf curl Guangdong betasatellite</t>
  </si>
  <si>
    <t>KF912951</t>
  </si>
  <si>
    <t>Tomato yellow leaf curl Rajasthan betasatellite</t>
  </si>
  <si>
    <t>AY438558</t>
  </si>
  <si>
    <t>Leuconostoc virus LN6B</t>
  </si>
  <si>
    <t>Leuconostoc virus Ln8</t>
  </si>
  <si>
    <t>Leuconostoc virus LNTR3</t>
  </si>
  <si>
    <t>Crustacean mivirus</t>
  </si>
  <si>
    <t>KX884453; KX884454</t>
  </si>
  <si>
    <t>Hermit mivirus</t>
  </si>
  <si>
    <t>KX884404</t>
  </si>
  <si>
    <t>Lacewing mivirus</t>
  </si>
  <si>
    <t>KM817613</t>
  </si>
  <si>
    <t>Xinzhou mivirus</t>
  </si>
  <si>
    <t>KX884461</t>
  </si>
  <si>
    <t>Hubei sclerotimonavirus</t>
  </si>
  <si>
    <t>KX884403</t>
  </si>
  <si>
    <t>KM262783</t>
  </si>
  <si>
    <t>KM262782</t>
  </si>
  <si>
    <t>MF189178</t>
  </si>
  <si>
    <t>Avian orthovulavirus 21</t>
  </si>
  <si>
    <t>MF594598</t>
  </si>
  <si>
    <t>Escherichia virus mar002J2</t>
  </si>
  <si>
    <t>LR027385</t>
  </si>
  <si>
    <t>Klebsiella virus NJS2</t>
  </si>
  <si>
    <t>MH633485.1</t>
  </si>
  <si>
    <t>Klebsiella virus NJR15</t>
  </si>
  <si>
    <t>MH633487.1</t>
  </si>
  <si>
    <t>Caudovirales</t>
  </si>
  <si>
    <t>Myoviridae</t>
  </si>
  <si>
    <t>Klebsiella virus Miro</t>
  </si>
  <si>
    <t>KT001919</t>
  </si>
  <si>
    <t>Podoviridae</t>
  </si>
  <si>
    <t>Siphoviridae</t>
  </si>
  <si>
    <t>Varroa destructor virus 1</t>
  </si>
  <si>
    <t>Schefflera ringspot virus</t>
  </si>
  <si>
    <t>Alligatorweed stunting virus</t>
  </si>
  <si>
    <t>Megakepasma mosaic virus</t>
  </si>
  <si>
    <t>Alphaguttavirus</t>
  </si>
  <si>
    <t>Sulfolobus newzealandicus droplet-shaped virus</t>
  </si>
  <si>
    <t>Orthohepevirus</t>
  </si>
  <si>
    <t>Hypovirus</t>
  </si>
  <si>
    <t>Mitovirus</t>
  </si>
  <si>
    <t>Spartina mottle virus</t>
  </si>
  <si>
    <t>Reoviridae</t>
  </si>
  <si>
    <t>Achromobacter virus Axp3</t>
  </si>
  <si>
    <t>Buttersvirus</t>
  </si>
  <si>
    <t>Redivirus</t>
  </si>
  <si>
    <t>Tunicanivirinae</t>
  </si>
  <si>
    <t>Crustonivirinae</t>
  </si>
  <si>
    <t>Shuangao anphevirus</t>
  </si>
  <si>
    <t>KM817638</t>
  </si>
  <si>
    <t>Common reed chlorotic stripe virus</t>
  </si>
  <si>
    <t>KY612317</t>
  </si>
  <si>
    <t>Longan witches broom-associated virus</t>
  </si>
  <si>
    <t>KY649478</t>
  </si>
  <si>
    <t>Klebsiella virus PMBT1</t>
  </si>
  <si>
    <t>LT607758</t>
  </si>
  <si>
    <t>Escherichia virus ST0</t>
  </si>
  <si>
    <t>MF044457</t>
  </si>
  <si>
    <t>Escherichia virus O157tp6</t>
  </si>
  <si>
    <t>KP869104</t>
  </si>
  <si>
    <t>Synechococcus virus SRIM12-08</t>
  </si>
  <si>
    <t>KX349323</t>
  </si>
  <si>
    <t>Gyeonggidovirus</t>
  </si>
  <si>
    <t>Cronobacter virus PhiCS01</t>
  </si>
  <si>
    <t>MH845412.1</t>
  </si>
  <si>
    <t>Halorubrum virus HF2</t>
  </si>
  <si>
    <t>AF222060</t>
  </si>
  <si>
    <t>Halorubrum Tailed Virus 7</t>
  </si>
  <si>
    <t>KC292021</t>
  </si>
  <si>
    <t>Tautorquevirus</t>
  </si>
  <si>
    <t>Alajuela orthobunyavirus</t>
  </si>
  <si>
    <t>Benevides orthobunyavirus</t>
  </si>
  <si>
    <t>Bimiti orthobunyavirus</t>
  </si>
  <si>
    <t>Mycobacterium virus Fionnbharth</t>
  </si>
  <si>
    <t>Chelonid alphaherpesvirus 6</t>
  </si>
  <si>
    <t>Cercopithecine gammaherpesvirus 14</t>
  </si>
  <si>
    <t>Equid gammaherpesvirus 7</t>
  </si>
  <si>
    <t>Phocid gammaherpesvirus 2</t>
  </si>
  <si>
    <t>Saguinine gammaherpesvirus 1</t>
  </si>
  <si>
    <t>Iguanid herpesvirus 2</t>
  </si>
  <si>
    <t>Cafeteriavirus</t>
  </si>
  <si>
    <t>Mosigvirus hp3</t>
  </si>
  <si>
    <t>KY608965</t>
  </si>
  <si>
    <t>Escherichia virus slur04</t>
  </si>
  <si>
    <t>LN881729</t>
  </si>
  <si>
    <t>Salmonella virus 329</t>
  </si>
  <si>
    <t>MK393882.1</t>
  </si>
  <si>
    <t>Haartmanvirus</t>
  </si>
  <si>
    <t>Moju orthobunyavirus</t>
  </si>
  <si>
    <t>L: KP792675, M: KP792674, S: KP792673</t>
  </si>
  <si>
    <t>Rhodococcus virus Takoda</t>
  </si>
  <si>
    <t>MH271315.1</t>
  </si>
  <si>
    <t>Rhodococcus virus Hiro</t>
  </si>
  <si>
    <t>MF324898.1</t>
  </si>
  <si>
    <t>Tequatrovirus cf2</t>
  </si>
  <si>
    <t>KY608967</t>
  </si>
  <si>
    <t>Shigella virus SHBML-50-1</t>
  </si>
  <si>
    <t>KX130864.1</t>
  </si>
  <si>
    <t>Pbunavirus SCUTS1</t>
  </si>
  <si>
    <t>MK340760.1</t>
  </si>
  <si>
    <t>Orthohantavirus seewisense</t>
  </si>
  <si>
    <t>KY651020</t>
  </si>
  <si>
    <t>Orthohantavirus fusongense</t>
  </si>
  <si>
    <t>M:EU072488,S:EU072480</t>
  </si>
  <si>
    <t>Orthohantavirus necocliense</t>
  </si>
  <si>
    <t>M:KF494345,S:KF481954</t>
  </si>
  <si>
    <t>Orthohantavirus oxbowense</t>
  </si>
  <si>
    <t>M:FJ539167,S:FJ539166</t>
  </si>
  <si>
    <t>Orthohantavirus yakeshiense</t>
  </si>
  <si>
    <t>M:JX465403,S:JX465423</t>
  </si>
  <si>
    <t>Jerseyvirus L13</t>
  </si>
  <si>
    <t>GU167940</t>
  </si>
  <si>
    <t>Y11530</t>
  </si>
  <si>
    <t>Indonesian soybean dwarf virus</t>
  </si>
  <si>
    <t>Agaricus bisporus virus 4</t>
  </si>
  <si>
    <t>Alfalfa cryptic virus 1</t>
  </si>
  <si>
    <t>Carnation cryptic virus 1</t>
  </si>
  <si>
    <t>Carrot temperate virus 1</t>
  </si>
  <si>
    <t>Carrot temperate virus 2</t>
  </si>
  <si>
    <t>Carrot temperate virus 3</t>
  </si>
  <si>
    <t>Carrot temperate virus 4</t>
  </si>
  <si>
    <t>Gaeumannomyces graminis virus 0196A</t>
  </si>
  <si>
    <t>Gaeumannomyces graminis virus T1A</t>
  </si>
  <si>
    <t>Hop trefoil cryptic virus 1</t>
  </si>
  <si>
    <t>Hop trefoil cryptic virus 3</t>
  </si>
  <si>
    <t>Radish yellow edge virus</t>
  </si>
  <si>
    <t>Ryegrass cryptic virus</t>
  </si>
  <si>
    <t>Spinach temperate virus</t>
  </si>
  <si>
    <t>White clover cryptic virus 3</t>
  </si>
  <si>
    <t>Hydra viridis Chlorella virus 1</t>
  </si>
  <si>
    <t>Paramecium bursaria Chlorella virus AL1A</t>
  </si>
  <si>
    <t>Paramecium bursaria Chlorella virus AL2A</t>
  </si>
  <si>
    <t>Paramecium bursaria Chlorella virus BJ2C</t>
  </si>
  <si>
    <t>Paramecium bursaria Chlorella virus CA4A</t>
  </si>
  <si>
    <t>Paramecium bursaria Chlorella virus CA4B</t>
  </si>
  <si>
    <t>Paramecium bursaria Chlorella virus NC1A</t>
  </si>
  <si>
    <t>Paramecium bursaria Chlorella virus NE8A</t>
  </si>
  <si>
    <t>Paramecium bursaria Chlorella virus SC1A</t>
  </si>
  <si>
    <t>Paramecium bursaria Chlorella virus XY6E</t>
  </si>
  <si>
    <t>Paramecium bursaria Chlorella virus XZ3A</t>
  </si>
  <si>
    <t>Paramecium bursaria Chlorella virus XZ4A</t>
  </si>
  <si>
    <t>Paramecium bursaria Chlorella virus XZ4C</t>
  </si>
  <si>
    <t>Ectocarpus fasciculatus virus a</t>
  </si>
  <si>
    <t>Ectocarpus siliculosus virus a</t>
  </si>
  <si>
    <t>Feldmannia species virus a</t>
  </si>
  <si>
    <t>Hincksia hinckiae virus a</t>
  </si>
  <si>
    <t>Myriotrichia clavaeformis virus a</t>
  </si>
  <si>
    <t>Pilayella littoralis virus 1</t>
  </si>
  <si>
    <t>Juncopox virus</t>
  </si>
  <si>
    <t>Mynahpox virus</t>
  </si>
  <si>
    <t>Psittacinepox virus</t>
  </si>
  <si>
    <t>Sparrowpox virus</t>
  </si>
  <si>
    <t>Starlingpox virus</t>
  </si>
  <si>
    <t>Hare fibroma virus</t>
  </si>
  <si>
    <t>Aphodius tasmaniae entomopoxvirus</t>
  </si>
  <si>
    <t>Demodema bonariensis entomopoxvirus</t>
  </si>
  <si>
    <t>Dermolepida albohirtum entomopoxvirus</t>
  </si>
  <si>
    <t>Figulus sublaevis entomopoxvirus</t>
  </si>
  <si>
    <t>Geotrupes sylvaticus entomopoxvirus</t>
  </si>
  <si>
    <t>Acrobasis zelleri entomopoxvirus</t>
  </si>
  <si>
    <t>Arphia conspersa entomopoxvirus</t>
  </si>
  <si>
    <t>Choristoneura conflicta entomopoxvirus</t>
  </si>
  <si>
    <t>Choristoneura diversuma entomopoxvirus</t>
  </si>
  <si>
    <t>Chorizagrotis auxiliaris entomopoxvirus</t>
  </si>
  <si>
    <t>Heliothis armigera entomopoxvirus</t>
  </si>
  <si>
    <t>Locusta migratoria entomopoxvirus</t>
  </si>
  <si>
    <t>Oedaleus senegalensis entomopoxvirus</t>
  </si>
  <si>
    <t>Operophtera brumata entomopoxvirus</t>
  </si>
  <si>
    <t>Schistocerca gregaria entomopoxvirus</t>
  </si>
  <si>
    <t>Gammaentomopoxvirus</t>
  </si>
  <si>
    <t>Aedes aegypti entomopoxvirus</t>
  </si>
  <si>
    <t>Camptochironomus tentans entomopoxvirus</t>
  </si>
  <si>
    <t>Chironomus attenuatus entomopoxvirus</t>
  </si>
  <si>
    <t>Chironomus luridus entomopoxvirus</t>
  </si>
  <si>
    <t>Chironomus plumosus entomopoxvirus</t>
  </si>
  <si>
    <t>Goeldichironomus holoprasinus entomopoxvirus</t>
  </si>
  <si>
    <t>Phaseolus vulgaris Tpv2-6 virus</t>
  </si>
  <si>
    <t>AJ005762</t>
  </si>
  <si>
    <t>Gardner-Arnstein feline sarcoma virus</t>
  </si>
  <si>
    <t>Guinea pig type-C oncovirus</t>
  </si>
  <si>
    <t>Viper retrovirus</t>
  </si>
  <si>
    <t>Pecentumvirus WIL1</t>
  </si>
  <si>
    <t>KM373208.1</t>
  </si>
  <si>
    <t>Orthorubulavirus alstonvillense</t>
  </si>
  <si>
    <t>MH972568</t>
  </si>
  <si>
    <t>Stockinghallvirus</t>
  </si>
  <si>
    <t>Tlsvirus tv36</t>
  </si>
  <si>
    <t>KR296690.1</t>
  </si>
  <si>
    <t>Tunavirus tv008</t>
  </si>
  <si>
    <t>MK335533.1</t>
  </si>
  <si>
    <t>Adahivirus</t>
  </si>
  <si>
    <t>Aldhiuvirus</t>
  </si>
  <si>
    <t>Anedhivirus</t>
  </si>
  <si>
    <t>Apukhovirus</t>
  </si>
  <si>
    <t>Bathrivirus</t>
  </si>
  <si>
    <t>Bertavirus</t>
  </si>
  <si>
    <t>Boloprevirus</t>
  </si>
  <si>
    <t>Brudgevirus</t>
  </si>
  <si>
    <t>Condavirus</t>
  </si>
  <si>
    <t>Condavirus arvihabitans</t>
  </si>
  <si>
    <t>BK013972</t>
  </si>
  <si>
    <t>Creshivirus</t>
  </si>
  <si>
    <t>Dehcevirus</t>
  </si>
  <si>
    <t>Febihevirus</t>
  </si>
  <si>
    <t>Febihevirus ruminicola</t>
  </si>
  <si>
    <t>BK013363</t>
  </si>
  <si>
    <t>Gahlinevirus</t>
  </si>
  <si>
    <t>Glincaevirus</t>
  </si>
  <si>
    <t>Kenamavirus</t>
  </si>
  <si>
    <t>Lulohlevirus</t>
  </si>
  <si>
    <t>Manohtivirus</t>
  </si>
  <si>
    <t>Monamovirus</t>
  </si>
  <si>
    <t>Mucrahivirus</t>
  </si>
  <si>
    <t>Mucrahivirus geohabitans</t>
  </si>
  <si>
    <t>BK013445</t>
  </si>
  <si>
    <t>Nahjiuvirus</t>
  </si>
  <si>
    <t>Nahrudavirus</t>
  </si>
  <si>
    <t>Nahsuvirus</t>
  </si>
  <si>
    <t>Nihucivirus</t>
  </si>
  <si>
    <t>Noehsivirus</t>
  </si>
  <si>
    <t>Nuihimevirus</t>
  </si>
  <si>
    <t>Osigowavirus</t>
  </si>
  <si>
    <t>Osigowavirus insecticola</t>
  </si>
  <si>
    <t>BK013356</t>
  </si>
  <si>
    <t>Pepevirus spumicola</t>
  </si>
  <si>
    <t>LT821717</t>
  </si>
  <si>
    <t>Phulivirus</t>
  </si>
  <si>
    <t>Pipunevirus</t>
  </si>
  <si>
    <t>Pohtamavirus</t>
  </si>
  <si>
    <t>Psehatovirus</t>
  </si>
  <si>
    <t>Sehcovirus</t>
  </si>
  <si>
    <t>Sholavirus caenihabitans</t>
  </si>
  <si>
    <t>BK014143</t>
  </si>
  <si>
    <t>Sholavirus caenicola</t>
  </si>
  <si>
    <t>BK014086</t>
  </si>
  <si>
    <t>Sholavirus caenivicinum</t>
  </si>
  <si>
    <t>BK013613</t>
  </si>
  <si>
    <t>Shuravirus</t>
  </si>
  <si>
    <t>Sphonivirus</t>
  </si>
  <si>
    <t>Tehdravirus</t>
  </si>
  <si>
    <t>Thidevirus</t>
  </si>
  <si>
    <t>Thidevirus edaphovivens</t>
  </si>
  <si>
    <t>BK013958</t>
  </si>
  <si>
    <t>Vinehtivirus</t>
  </si>
  <si>
    <t>Wahtavirus</t>
  </si>
  <si>
    <t>Ipivevirus</t>
  </si>
  <si>
    <t>Lehptevirus</t>
  </si>
  <si>
    <t>Nehujevirus</t>
  </si>
  <si>
    <t>Qeihnovirus</t>
  </si>
  <si>
    <t>Rainacovirus</t>
  </si>
  <si>
    <t>Sdonativirus</t>
  </si>
  <si>
    <t>Shopitevirus</t>
  </si>
  <si>
    <t>Tsecebavirus</t>
  </si>
  <si>
    <t>Alohrdovirus</t>
  </si>
  <si>
    <t>Intasivirus</t>
  </si>
  <si>
    <t>Odiravirus</t>
  </si>
  <si>
    <t>Odiravirus lutihabitans</t>
  </si>
  <si>
    <t>BK014055</t>
  </si>
  <si>
    <t>Oekfovirus</t>
  </si>
  <si>
    <t>Oekfovirus lutivicinum</t>
  </si>
  <si>
    <t>BK013663</t>
  </si>
  <si>
    <t>Puirovirus lutenecus</t>
  </si>
  <si>
    <t>BK013579</t>
  </si>
  <si>
    <t>Wishivirus</t>
  </si>
  <si>
    <t>Wishivirus defluviicola</t>
  </si>
  <si>
    <t>BK013372</t>
  </si>
  <si>
    <t>Cehntrovirus</t>
  </si>
  <si>
    <t>Cehntrovirus agrihabitans</t>
  </si>
  <si>
    <t>BK013422</t>
  </si>
  <si>
    <t>Lonzbavirus</t>
  </si>
  <si>
    <t>Lonzbavirus caenadaptatum</t>
  </si>
  <si>
    <t>BK013703</t>
  </si>
  <si>
    <t>Nehohpavirus</t>
  </si>
  <si>
    <t>Nehohpavirus tellurenecus</t>
  </si>
  <si>
    <t>BK013876</t>
  </si>
  <si>
    <t>Obhoarovirus</t>
  </si>
  <si>
    <t>Obhoarovirus terradaptatum</t>
  </si>
  <si>
    <t>BK013428</t>
  </si>
  <si>
    <t>Rhohmbavirus</t>
  </si>
  <si>
    <t>Rhohmbavirus terrivicinum</t>
  </si>
  <si>
    <t>BK013518</t>
  </si>
  <si>
    <t>Shihmovirus</t>
  </si>
  <si>
    <t>Shihmovirus borborovivens</t>
  </si>
  <si>
    <t>BK013590</t>
  </si>
  <si>
    <t>Tibirnivirus</t>
  </si>
  <si>
    <t>Tibirnivirus paludicola</t>
  </si>
  <si>
    <t>BK013380</t>
  </si>
  <si>
    <t>Tinebovirus</t>
  </si>
  <si>
    <t>Abakapovirus</t>
  </si>
  <si>
    <t>Achlievirus</t>
  </si>
  <si>
    <t>Achlievirus humihabitans</t>
  </si>
  <si>
    <t>BK013952</t>
  </si>
  <si>
    <t>Aphenovirus</t>
  </si>
  <si>
    <t>Arawsmovirus</t>
  </si>
  <si>
    <t>Arawsmovirus borborovivens</t>
  </si>
  <si>
    <t>BK014126</t>
  </si>
  <si>
    <t>Arctuvirus</t>
  </si>
  <si>
    <t>Arpirivirus</t>
  </si>
  <si>
    <t>Bahnicevirus</t>
  </si>
  <si>
    <t>Belbovirus</t>
  </si>
  <si>
    <t>Bidhavirus</t>
  </si>
  <si>
    <t>Bidhavirus pelocola</t>
  </si>
  <si>
    <t>BK013652</t>
  </si>
  <si>
    <t>Cahtavirus</t>
  </si>
  <si>
    <t>Catindovirus</t>
  </si>
  <si>
    <t>Chlurivirus</t>
  </si>
  <si>
    <t>Chorovirus</t>
  </si>
  <si>
    <t>Clitovirus</t>
  </si>
  <si>
    <t>Cohrdavirus</t>
  </si>
  <si>
    <t>Controvirus</t>
  </si>
  <si>
    <t>Controvirus defluviicola</t>
  </si>
  <si>
    <t>BK013371</t>
  </si>
  <si>
    <t>Cunarovirus</t>
  </si>
  <si>
    <t>Dohnjavirus</t>
  </si>
  <si>
    <t>Eregrovirus</t>
  </si>
  <si>
    <t>Erimutivirus</t>
  </si>
  <si>
    <t>Gernuduvirus</t>
  </si>
  <si>
    <t>Gredihovirus</t>
  </si>
  <si>
    <t>Gredihovirus geoadaptatum</t>
  </si>
  <si>
    <t>BK013397</t>
  </si>
  <si>
    <t>Gredihovirus tellurenecus</t>
  </si>
  <si>
    <t>BK013457</t>
  </si>
  <si>
    <t>Henifovirus</t>
  </si>
  <si>
    <t>Henifovirus borborovivens</t>
  </si>
  <si>
    <t>BK014178</t>
  </si>
  <si>
    <t>Henifovirus caenadaptatum</t>
  </si>
  <si>
    <t>BK014184</t>
  </si>
  <si>
    <t>Hohltdevirus</t>
  </si>
  <si>
    <t>Hylipavirus</t>
  </si>
  <si>
    <t>Jiforsuvirus</t>
  </si>
  <si>
    <t>Kecijavirus</t>
  </si>
  <si>
    <t>Kehruavirus</t>
  </si>
  <si>
    <t>Kyanivirus</t>
  </si>
  <si>
    <t>Lehptavirus</t>
  </si>
  <si>
    <t>Luloavirus</t>
  </si>
  <si>
    <t>Lygehevirus</t>
  </si>
  <si>
    <t>Lygehevirus pedocola</t>
  </si>
  <si>
    <t>BK013486</t>
  </si>
  <si>
    <t>Lyndovirus</t>
  </si>
  <si>
    <t>Mahjnavirus</t>
  </si>
  <si>
    <t>Milihnovirus</t>
  </si>
  <si>
    <t>Nihlwovirus</t>
  </si>
  <si>
    <t>Ociwvivirus</t>
  </si>
  <si>
    <t>Ociwvivirus luticola</t>
  </si>
  <si>
    <t>BK013691</t>
  </si>
  <si>
    <t>Patimovirus</t>
  </si>
  <si>
    <t>Patimovirus humivicinum</t>
  </si>
  <si>
    <t>BK013858</t>
  </si>
  <si>
    <t>Pepusduvirus</t>
  </si>
  <si>
    <t>Phulihavirus</t>
  </si>
  <si>
    <t>Phulihavirus agrenecus</t>
  </si>
  <si>
    <t>BK014014</t>
  </si>
  <si>
    <t>Pirifovirus chorohabitans</t>
  </si>
  <si>
    <t>BK013572</t>
  </si>
  <si>
    <t>Pirifovirus chorenecus</t>
  </si>
  <si>
    <t>BK013920</t>
  </si>
  <si>
    <t>Psouhdivirus</t>
  </si>
  <si>
    <t>Pujohnavirus</t>
  </si>
  <si>
    <t>Rohsdrivirus</t>
  </si>
  <si>
    <t>Sdenfavirus</t>
  </si>
  <si>
    <t>Sdenfavirus asiovicinum</t>
  </si>
  <si>
    <t>BK014176</t>
  </si>
  <si>
    <t>Setohruvirus</t>
  </si>
  <si>
    <t>Snuwdevirus</t>
  </si>
  <si>
    <t>Stehnavirus chorenecus</t>
  </si>
  <si>
    <t>BK013945</t>
  </si>
  <si>
    <t>Stehnavirus chorohabitans</t>
  </si>
  <si>
    <t>BK013925</t>
  </si>
  <si>
    <t>Stehnavirus chorovicinum</t>
  </si>
  <si>
    <t>BK013438</t>
  </si>
  <si>
    <t>Tehnicivirus edaphohabitans</t>
  </si>
  <si>
    <t>BK014028</t>
  </si>
  <si>
    <t>Tehnicivirus edaphocola</t>
  </si>
  <si>
    <t>BK013533</t>
  </si>
  <si>
    <t>Tehnicivirus pelovicinum</t>
  </si>
  <si>
    <t>BK014083</t>
  </si>
  <si>
    <t>Thyrsuvirus</t>
  </si>
  <si>
    <t>Thyrsuvirus pedocola</t>
  </si>
  <si>
    <t>BK013485</t>
  </si>
  <si>
    <t>Vernevirus</t>
  </si>
  <si>
    <t>Vernevirus limadaptatum</t>
  </si>
  <si>
    <t>BK014119</t>
  </si>
  <si>
    <t>Vesehyavirus</t>
  </si>
  <si>
    <t>Weheuvirus</t>
  </si>
  <si>
    <t>Zuysuivirus</t>
  </si>
  <si>
    <t>Hohglivirus</t>
  </si>
  <si>
    <t>Hohglivirus simiicola</t>
  </si>
  <si>
    <t>KT462701</t>
  </si>
  <si>
    <t>Meihzavirus</t>
  </si>
  <si>
    <t>Meihzavirus luticola</t>
  </si>
  <si>
    <t>BK013754</t>
  </si>
  <si>
    <t>Sculuvirus</t>
  </si>
  <si>
    <t>Sculuvirus humenecus</t>
  </si>
  <si>
    <t>BK013977</t>
  </si>
  <si>
    <t>Tetipavirus</t>
  </si>
  <si>
    <t>Tetipavirus asiadaptatum</t>
  </si>
  <si>
    <t>BK013603</t>
  </si>
  <si>
    <t>Winunavirus</t>
  </si>
  <si>
    <t>Winunavirus asiadaptatum</t>
  </si>
  <si>
    <t>BK014188</t>
  </si>
  <si>
    <t>Felsduovirus ST437OXA245phi42</t>
  </si>
  <si>
    <t>MK416012.1</t>
  </si>
  <si>
    <t>Jeilongvirus felis</t>
  </si>
  <si>
    <t>LC431581</t>
  </si>
  <si>
    <t>Jeilongvirus anhuiense</t>
  </si>
  <si>
    <t>KC154054</t>
  </si>
  <si>
    <t>Jeilongvirus murinae</t>
  </si>
  <si>
    <t>KJ641657</t>
  </si>
  <si>
    <t>Eucampyvirinae</t>
  </si>
  <si>
    <t>Campylobacter virus IBB35</t>
  </si>
  <si>
    <t>HM246720</t>
  </si>
  <si>
    <t>Suspvirus</t>
  </si>
  <si>
    <t>Friunavirus AB3</t>
  </si>
  <si>
    <t>KC311669</t>
  </si>
  <si>
    <t>Cytorhabdovirus brassicae</t>
  </si>
  <si>
    <t>Cytorhabdovirus festucae</t>
  </si>
  <si>
    <t>Cytorhabdovirus sonchi</t>
  </si>
  <si>
    <t>Cytorhabdovirus tritici</t>
  </si>
  <si>
    <t>Banana virus X</t>
  </si>
  <si>
    <t>Bombyx mori latent virus</t>
  </si>
  <si>
    <t>AJ309022</t>
  </si>
  <si>
    <t>Alphabaculovirus altermaconfiguratae</t>
  </si>
  <si>
    <t>Ahlum waterborne virus</t>
  </si>
  <si>
    <t>Bean mild mosaic virus</t>
  </si>
  <si>
    <t>Chenopodium necrosis virus</t>
  </si>
  <si>
    <t>Cucumber soil-borne virus</t>
  </si>
  <si>
    <t>Weddel waterborne virus</t>
  </si>
  <si>
    <t>Dolichocephalovirinae</t>
  </si>
  <si>
    <t>Maculvirus OWB</t>
  </si>
  <si>
    <t>MK474470</t>
  </si>
  <si>
    <t>Atuphduovirus atuph03</t>
  </si>
  <si>
    <t>MF403006</t>
  </si>
  <si>
    <t>Cuernavacavirus RHEph09</t>
  </si>
  <si>
    <t>JX483880</t>
  </si>
  <si>
    <t>Ghunavirus Psa17</t>
  </si>
  <si>
    <t>KR091952</t>
  </si>
  <si>
    <t>Pektosvirus PP81</t>
  </si>
  <si>
    <t>KY124276</t>
  </si>
  <si>
    <t>Helsettvirus fPS53</t>
  </si>
  <si>
    <t>LT962379</t>
  </si>
  <si>
    <t>Berlinvirus Yepe2</t>
  </si>
  <si>
    <t>EU734170</t>
  </si>
  <si>
    <t>Berlinvirus Yepf</t>
  </si>
  <si>
    <t>HQ333270</t>
  </si>
  <si>
    <t>Kayfunavirus EcpYZU01</t>
  </si>
  <si>
    <t>MK033136</t>
  </si>
  <si>
    <t>Przondovirus KpV766</t>
  </si>
  <si>
    <t>KX712071</t>
  </si>
  <si>
    <t>Teetrevirus T7M</t>
  </si>
  <si>
    <t>JX421753</t>
  </si>
  <si>
    <t>Teseptimavirus YpPY</t>
  </si>
  <si>
    <t>JQ965700</t>
  </si>
  <si>
    <t>Teseptimavirus YpsPG</t>
  </si>
  <si>
    <t>JQ965703</t>
  </si>
  <si>
    <t>Friunavirus SWHAb1</t>
  </si>
  <si>
    <t>MG459218</t>
  </si>
  <si>
    <t>Friunavirus SWHAb3</t>
  </si>
  <si>
    <t>MG599035</t>
  </si>
  <si>
    <t>Phikmvvirus PT2</t>
  </si>
  <si>
    <t>EU236438</t>
  </si>
  <si>
    <t>Phikmvvirus NFS</t>
  </si>
  <si>
    <t>KU743887</t>
  </si>
  <si>
    <t>Vectrevirus cee</t>
  </si>
  <si>
    <t>KY295892</t>
  </si>
  <si>
    <t>Kaohsiungvirus AS51</t>
  </si>
  <si>
    <t>KF800937</t>
  </si>
  <si>
    <t>Murciavirus CB5A</t>
  </si>
  <si>
    <t>MF481197</t>
  </si>
  <si>
    <t>Dalettorquevirus</t>
  </si>
  <si>
    <t>Orthophasmavirus coleopterus</t>
  </si>
  <si>
    <t>MT153459, MT153483, MT153542</t>
  </si>
  <si>
    <t>Feravirus hemipterus</t>
  </si>
  <si>
    <t>MT153364, MT153396, MT153439</t>
  </si>
  <si>
    <t>Orthophasmavirus flenense</t>
  </si>
  <si>
    <t>MN513376, MN513375, MN513374</t>
  </si>
  <si>
    <t>Nepovirus americaense</t>
  </si>
  <si>
    <t>Nepovirus australiaense</t>
  </si>
  <si>
    <t>Waikavirus anthrisci</t>
  </si>
  <si>
    <t>Carlavirus cacti</t>
  </si>
  <si>
    <t>Carlavirus cornutum</t>
  </si>
  <si>
    <t>Betabaculovirus trini</t>
  </si>
  <si>
    <t>Closterovirus flavarctii</t>
  </si>
  <si>
    <t>Bdellovibrio virus MAC1</t>
  </si>
  <si>
    <t>Rhizidiovirus</t>
  </si>
  <si>
    <t>Rhizidiomyces virus</t>
  </si>
  <si>
    <t>Malgrandaviricetes</t>
  </si>
  <si>
    <t>Petitvirales</t>
  </si>
  <si>
    <t>Pbunavirus PA8P1</t>
  </si>
  <si>
    <t>MN131142.1</t>
  </si>
  <si>
    <t>Laulavirus wardellense</t>
  </si>
  <si>
    <t>L: MW741894; M: MW741894; S: MW741895</t>
  </si>
  <si>
    <t>accessions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</si>
</sst>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2"/>
      <color rgb="FF000000"/>
      <name val="Menlo"/>
      <family val="2"/>
    </font>
    <font>
      <sz val="12"/>
      <color rgb="FF808080"/>
      <name val="Menlo"/>
      <family val="2"/>
    </font>
    <font>
      <b/>
      <sz val="12"/>
      <color rgb="FF800000"/>
      <name val="Menlo"/>
      <family val="2"/>
    </font>
    <font>
      <sz val="12"/>
      <color rgb="FF006464"/>
      <name val="Menlo"/>
      <family val="2"/>
    </font>
    <font>
      <i/>
      <sz val="12"/>
      <color rgb="FF8E00C6"/>
      <name val="Menlo"/>
      <family val="2"/>
    </font>
    <font>
      <i/>
      <sz val="12"/>
      <color rgb="FF006464"/>
      <name val="Menlo"/>
      <family val="2"/>
    </font>
    <font>
      <b/>
      <sz val="12"/>
      <color rgb="FF000080"/>
      <name val="Menlo"/>
      <family val="2"/>
    </font>
    <font>
      <sz val="12"/>
      <color rgb="FF008000"/>
      <name val="Menlo"/>
      <family val="2"/>
    </font>
    <font>
      <sz val="12"/>
      <color rgb="FF8E00C6"/>
      <name val="Menlo"/>
      <family val="2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1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8" fillId="0" borderId="0" xfId="0" applyFont="1"/>
    <xf numFmtId="0" fontId="0" fillId="0" borderId="0" xfId="0" applyNumberFormat="1"/>
    <xf numFmtId="0" fontId="11" fillId="0" borderId="0" xfId="2" applyNumberFormat="1"/>
    <xf numFmtId="0" fontId="1" fillId="2" borderId="1" xfId="1"/>
  </cellXfs>
  <cellStyles count="3">
    <cellStyle name="Hyperlink" xfId="2" builtinId="8"/>
    <cellStyle name="Normal" xfId="0" builtinId="0"/>
    <cellStyle name="Output" xfId="1" builtinId="21"/>
  </cellStyles>
  <dxfs count="11">
    <dxf>
      <font>
        <color rgb="FFC0000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58ED-C9DC-9048-86EE-7B8E598DAC86}">
  <dimension ref="A1:O2539"/>
  <sheetViews>
    <sheetView tabSelected="1" workbookViewId="0">
      <selection sqref="A1:XFD1048576"/>
    </sheetView>
  </sheetViews>
  <sheetFormatPr baseColWidth="10" defaultRowHeight="16" x14ac:dyDescent="0.2"/>
  <cols>
    <col min="1" max="1" width="15.1640625" bestFit="1" customWidth="1"/>
    <col min="2" max="2" width="10.1640625" bestFit="1" customWidth="1"/>
    <col min="4" max="4" width="9" bestFit="1" customWidth="1"/>
    <col min="5" max="5" width="45" bestFit="1" customWidth="1"/>
    <col min="6" max="6" width="11" customWidth="1"/>
    <col min="7" max="7" width="34.33203125" customWidth="1"/>
    <col min="8" max="8" width="45" bestFit="1" customWidth="1"/>
    <col min="9" max="9" width="9" bestFit="1" customWidth="1"/>
    <col min="11" max="11" width="10.1640625" bestFit="1" customWidth="1"/>
    <col min="12" max="12" width="16.83203125" bestFit="1" customWidth="1"/>
    <col min="13" max="13" width="18.33203125" bestFit="1" customWidth="1"/>
    <col min="14" max="14" width="16.83203125" bestFit="1" customWidth="1"/>
    <col min="15" max="15" width="18.33203125" bestFit="1" customWidth="1"/>
  </cols>
  <sheetData>
    <row r="1" spans="1:15" x14ac:dyDescent="0.2">
      <c r="A1" s="9" t="s">
        <v>1138</v>
      </c>
      <c r="B1" s="9" t="s">
        <v>1139</v>
      </c>
      <c r="C1" s="9" t="s">
        <v>1140</v>
      </c>
      <c r="D1" s="9" t="s">
        <v>1141</v>
      </c>
      <c r="E1" s="9" t="s">
        <v>1142</v>
      </c>
      <c r="F1" s="9" t="s">
        <v>2792</v>
      </c>
      <c r="G1" s="9" t="s">
        <v>1143</v>
      </c>
      <c r="H1" s="9" t="s">
        <v>1144</v>
      </c>
      <c r="I1" s="9" t="s">
        <v>1145</v>
      </c>
      <c r="J1" s="9" t="s">
        <v>1146</v>
      </c>
      <c r="K1" s="9" t="s">
        <v>1147</v>
      </c>
      <c r="L1" s="9" t="s">
        <v>1148</v>
      </c>
      <c r="M1" s="9" t="s">
        <v>1149</v>
      </c>
      <c r="N1" s="9" t="s">
        <v>1150</v>
      </c>
      <c r="O1" s="9" t="s">
        <v>1151</v>
      </c>
    </row>
    <row r="2" spans="1:15" x14ac:dyDescent="0.2">
      <c r="A2">
        <v>1</v>
      </c>
      <c r="B2">
        <v>19710040</v>
      </c>
      <c r="C2">
        <v>19740004</v>
      </c>
      <c r="D2" t="s">
        <v>19</v>
      </c>
      <c r="E2" t="s">
        <v>20</v>
      </c>
      <c r="G2" t="s">
        <v>21</v>
      </c>
      <c r="H2" t="s">
        <v>22</v>
      </c>
      <c r="I2" t="s">
        <v>23</v>
      </c>
      <c r="J2">
        <v>19740004</v>
      </c>
      <c r="K2">
        <v>19740004</v>
      </c>
      <c r="L2" s="8" t="str">
        <f>HYPERLINK("https://test.ictv.global/id/TN19710040","TN19710040@TEST")</f>
        <v>TN19710040@TEST</v>
      </c>
      <c r="M2" s="8" t="str">
        <f>HYPERLINK("https://test.ictv.global/id/ICTV19740004","ICTV19740004@TEST")</f>
        <v>ICTV19740004@TEST</v>
      </c>
      <c r="N2" s="8" t="str">
        <f>HYPERLINK("https://ictv.global/id/TN19710040","TN19710040@prod")</f>
        <v>TN19710040@prod</v>
      </c>
      <c r="O2" s="8" t="str">
        <f>HYPERLINK("https://ictv.global/id/ICTV19740004","ICTV19740004@prod")</f>
        <v>ICTV19740004@prod</v>
      </c>
    </row>
    <row r="3" spans="1:15" x14ac:dyDescent="0.2">
      <c r="A3">
        <v>2</v>
      </c>
      <c r="B3">
        <v>19740045</v>
      </c>
      <c r="C3">
        <v>19750034</v>
      </c>
      <c r="D3" t="s">
        <v>19</v>
      </c>
      <c r="E3" t="s">
        <v>24</v>
      </c>
      <c r="G3" t="s">
        <v>21</v>
      </c>
      <c r="H3" t="s">
        <v>25</v>
      </c>
      <c r="I3" t="s">
        <v>26</v>
      </c>
      <c r="J3">
        <v>19750034</v>
      </c>
      <c r="K3">
        <v>19750034</v>
      </c>
      <c r="L3" s="8" t="str">
        <f>HYPERLINK("https://test.ictv.global/id/TN19740045","TN19740045@TEST")</f>
        <v>TN19740045@TEST</v>
      </c>
      <c r="M3" s="8" t="str">
        <f>HYPERLINK("https://test.ictv.global/id/ICTV19750034","ICTV19750034@TEST")</f>
        <v>ICTV19750034@TEST</v>
      </c>
      <c r="N3" s="8" t="str">
        <f>HYPERLINK("https://ictv.global/id/TN19740045","TN19740045@prod")</f>
        <v>TN19740045@prod</v>
      </c>
      <c r="O3" s="8" t="str">
        <f>HYPERLINK("https://ictv.global/id/ICTV19750034","ICTV19750034@prod")</f>
        <v>ICTV19750034@prod</v>
      </c>
    </row>
    <row r="4" spans="1:15" x14ac:dyDescent="0.2">
      <c r="A4">
        <v>2</v>
      </c>
      <c r="B4">
        <v>19740055</v>
      </c>
      <c r="C4">
        <v>19750017</v>
      </c>
      <c r="D4" t="s">
        <v>19</v>
      </c>
      <c r="E4" t="s">
        <v>27</v>
      </c>
      <c r="G4" t="s">
        <v>21</v>
      </c>
      <c r="H4" t="s">
        <v>28</v>
      </c>
      <c r="I4" t="s">
        <v>23</v>
      </c>
      <c r="J4">
        <v>19750017</v>
      </c>
      <c r="K4">
        <v>19750017</v>
      </c>
      <c r="L4" s="8" t="str">
        <f>HYPERLINK("https://test.ictv.global/id/TN19740055","TN19740055@TEST")</f>
        <v>TN19740055@TEST</v>
      </c>
      <c r="M4" s="8" t="str">
        <f>HYPERLINK("https://test.ictv.global/id/ICTV19750017","ICTV19750017@TEST")</f>
        <v>ICTV19750017@TEST</v>
      </c>
      <c r="N4" s="8" t="str">
        <f>HYPERLINK("https://ictv.global/id/TN19740055","TN19740055@prod")</f>
        <v>TN19740055@prod</v>
      </c>
      <c r="O4" s="8" t="str">
        <f>HYPERLINK("https://ictv.global/id/ICTV19750017","ICTV19750017@prod")</f>
        <v>ICTV19750017@prod</v>
      </c>
    </row>
    <row r="5" spans="1:15" x14ac:dyDescent="0.2">
      <c r="A5">
        <v>3</v>
      </c>
      <c r="B5">
        <v>19750108</v>
      </c>
      <c r="C5">
        <v>19710129</v>
      </c>
      <c r="D5" t="s">
        <v>29</v>
      </c>
      <c r="E5" t="s">
        <v>1164</v>
      </c>
      <c r="G5" t="s">
        <v>1165</v>
      </c>
      <c r="L5" s="8" t="str">
        <f>HYPERLINK("https://test.ictv.global/id/TN19750108","TN19750108@TEST")</f>
        <v>TN19750108@TEST</v>
      </c>
      <c r="M5" s="8" t="str">
        <f>HYPERLINK("https://test.ictv.global/id/ICTV19710129","ICTV19710129@TEST")</f>
        <v>ICTV19710129@TEST</v>
      </c>
      <c r="N5" s="8" t="str">
        <f>HYPERLINK("https://ictv.global/id/TN19750108","TN19750108@prod")</f>
        <v>TN19750108@prod</v>
      </c>
      <c r="O5" s="8" t="str">
        <f>HYPERLINK("https://ictv.global/id/ICTV19710129","ICTV19710129@prod")</f>
        <v>ICTV19710129@prod</v>
      </c>
    </row>
    <row r="6" spans="1:15" x14ac:dyDescent="0.2">
      <c r="A6">
        <v>3</v>
      </c>
      <c r="B6">
        <v>19750114</v>
      </c>
      <c r="C6">
        <v>19710135</v>
      </c>
      <c r="D6" t="s">
        <v>29</v>
      </c>
      <c r="E6" t="s">
        <v>1166</v>
      </c>
      <c r="G6" t="s">
        <v>1165</v>
      </c>
      <c r="L6" s="8" t="str">
        <f>HYPERLINK("https://test.ictv.global/id/TN19750114","TN19750114@TEST")</f>
        <v>TN19750114@TEST</v>
      </c>
      <c r="M6" s="8" t="str">
        <f>HYPERLINK("https://test.ictv.global/id/ICTV19710135","ICTV19710135@TEST")</f>
        <v>ICTV19710135@TEST</v>
      </c>
      <c r="N6" s="8" t="str">
        <f>HYPERLINK("https://ictv.global/id/TN19750114","TN19750114@prod")</f>
        <v>TN19750114@prod</v>
      </c>
      <c r="O6" s="8" t="str">
        <f>HYPERLINK("https://ictv.global/id/ICTV19710135","ICTV19710135@prod")</f>
        <v>ICTV19710135@prod</v>
      </c>
    </row>
    <row r="7" spans="1:15" x14ac:dyDescent="0.2">
      <c r="A7">
        <v>3</v>
      </c>
      <c r="B7">
        <v>19750119</v>
      </c>
      <c r="C7">
        <v>19710140</v>
      </c>
      <c r="D7" t="s">
        <v>29</v>
      </c>
      <c r="E7" t="s">
        <v>1167</v>
      </c>
      <c r="G7" t="s">
        <v>1165</v>
      </c>
      <c r="L7" s="8" t="str">
        <f>HYPERLINK("https://test.ictv.global/id/TN19750119","TN19750119@TEST")</f>
        <v>TN19750119@TEST</v>
      </c>
      <c r="M7" s="8" t="str">
        <f>HYPERLINK("https://test.ictv.global/id/ICTV19710140","ICTV19710140@TEST")</f>
        <v>ICTV19710140@TEST</v>
      </c>
      <c r="N7" s="8" t="str">
        <f>HYPERLINK("https://ictv.global/id/TN19750119","TN19750119@prod")</f>
        <v>TN19750119@prod</v>
      </c>
      <c r="O7" s="8" t="str">
        <f>HYPERLINK("https://ictv.global/id/ICTV19710140","ICTV19710140@prod")</f>
        <v>ICTV19710140@prod</v>
      </c>
    </row>
    <row r="8" spans="1:15" x14ac:dyDescent="0.2">
      <c r="A8">
        <v>3</v>
      </c>
      <c r="B8">
        <v>19750120</v>
      </c>
      <c r="C8">
        <v>19710141</v>
      </c>
      <c r="D8" t="s">
        <v>29</v>
      </c>
      <c r="E8" t="s">
        <v>1168</v>
      </c>
      <c r="G8" t="s">
        <v>1165</v>
      </c>
      <c r="L8" s="8" t="str">
        <f>HYPERLINK("https://test.ictv.global/id/TN19750120","TN19750120@TEST")</f>
        <v>TN19750120@TEST</v>
      </c>
      <c r="M8" s="8" t="str">
        <f>HYPERLINK("https://test.ictv.global/id/ICTV19710141","ICTV19710141@TEST")</f>
        <v>ICTV19710141@TEST</v>
      </c>
      <c r="N8" s="8" t="str">
        <f>HYPERLINK("https://ictv.global/id/TN19750120","TN19750120@prod")</f>
        <v>TN19750120@prod</v>
      </c>
      <c r="O8" s="8" t="str">
        <f>HYPERLINK("https://ictv.global/id/ICTV19710141","ICTV19710141@prod")</f>
        <v>ICTV19710141@prod</v>
      </c>
    </row>
    <row r="9" spans="1:15" x14ac:dyDescent="0.2">
      <c r="A9">
        <v>3</v>
      </c>
      <c r="B9">
        <v>19750126</v>
      </c>
      <c r="C9">
        <v>19710171</v>
      </c>
      <c r="D9" t="s">
        <v>29</v>
      </c>
      <c r="E9" t="s">
        <v>1169</v>
      </c>
      <c r="G9" t="s">
        <v>1165</v>
      </c>
      <c r="L9" s="8" t="str">
        <f>HYPERLINK("https://test.ictv.global/id/TN19750126","TN19750126@TEST")</f>
        <v>TN19750126@TEST</v>
      </c>
      <c r="M9" s="8" t="str">
        <f>HYPERLINK("https://test.ictv.global/id/ICTV19710171","ICTV19710171@TEST")</f>
        <v>ICTV19710171@TEST</v>
      </c>
      <c r="N9" s="8" t="str">
        <f>HYPERLINK("https://ictv.global/id/TN19750126","TN19750126@prod")</f>
        <v>TN19750126@prod</v>
      </c>
      <c r="O9" s="8" t="str">
        <f>HYPERLINK("https://ictv.global/id/ICTV19710171","ICTV19710171@prod")</f>
        <v>ICTV19710171@prod</v>
      </c>
    </row>
    <row r="10" spans="1:15" x14ac:dyDescent="0.2">
      <c r="A10">
        <v>3</v>
      </c>
      <c r="B10">
        <v>19750127</v>
      </c>
      <c r="C10">
        <v>19710172</v>
      </c>
      <c r="D10" t="s">
        <v>29</v>
      </c>
      <c r="E10" t="s">
        <v>1170</v>
      </c>
      <c r="G10" t="s">
        <v>1165</v>
      </c>
      <c r="L10" s="8" t="str">
        <f>HYPERLINK("https://test.ictv.global/id/TN19750127","TN19750127@TEST")</f>
        <v>TN19750127@TEST</v>
      </c>
      <c r="M10" s="8" t="str">
        <f>HYPERLINK("https://test.ictv.global/id/ICTV19710172","ICTV19710172@TEST")</f>
        <v>ICTV19710172@TEST</v>
      </c>
      <c r="N10" s="8" t="str">
        <f>HYPERLINK("https://ictv.global/id/TN19750127","TN19750127@prod")</f>
        <v>TN19750127@prod</v>
      </c>
      <c r="O10" s="8" t="str">
        <f>HYPERLINK("https://ictv.global/id/ICTV19710172","ICTV19710172@prod")</f>
        <v>ICTV19710172@prod</v>
      </c>
    </row>
    <row r="11" spans="1:15" x14ac:dyDescent="0.2">
      <c r="A11">
        <v>3</v>
      </c>
      <c r="B11">
        <v>19750129</v>
      </c>
      <c r="C11">
        <v>19710174</v>
      </c>
      <c r="D11" t="s">
        <v>29</v>
      </c>
      <c r="E11" t="s">
        <v>1171</v>
      </c>
      <c r="G11" t="s">
        <v>1165</v>
      </c>
      <c r="L11" s="8" t="str">
        <f>HYPERLINK("https://test.ictv.global/id/TN19750129","TN19750129@TEST")</f>
        <v>TN19750129@TEST</v>
      </c>
      <c r="M11" s="8" t="str">
        <f>HYPERLINK("https://test.ictv.global/id/ICTV19710174","ICTV19710174@TEST")</f>
        <v>ICTV19710174@TEST</v>
      </c>
      <c r="N11" s="8" t="str">
        <f>HYPERLINK("https://ictv.global/id/TN19750129","TN19750129@prod")</f>
        <v>TN19750129@prod</v>
      </c>
      <c r="O11" s="8" t="str">
        <f>HYPERLINK("https://ictv.global/id/ICTV19710174","ICTV19710174@prod")</f>
        <v>ICTV19710174@prod</v>
      </c>
    </row>
    <row r="12" spans="1:15" x14ac:dyDescent="0.2">
      <c r="A12">
        <v>3</v>
      </c>
      <c r="B12">
        <v>19750130</v>
      </c>
      <c r="C12">
        <v>19710175</v>
      </c>
      <c r="D12" t="s">
        <v>29</v>
      </c>
      <c r="E12" t="s">
        <v>1172</v>
      </c>
      <c r="G12" t="s">
        <v>1165</v>
      </c>
      <c r="L12" s="8" t="str">
        <f>HYPERLINK("https://test.ictv.global/id/TN19750130","TN19750130@TEST")</f>
        <v>TN19750130@TEST</v>
      </c>
      <c r="M12" s="8" t="str">
        <f>HYPERLINK("https://test.ictv.global/id/ICTV19710175","ICTV19710175@TEST")</f>
        <v>ICTV19710175@TEST</v>
      </c>
      <c r="N12" s="8" t="str">
        <f>HYPERLINK("https://ictv.global/id/TN19750130","TN19750130@prod")</f>
        <v>TN19750130@prod</v>
      </c>
      <c r="O12" s="8" t="str">
        <f>HYPERLINK("https://ictv.global/id/ICTV19710175","ICTV19710175@prod")</f>
        <v>ICTV19710175@prod</v>
      </c>
    </row>
    <row r="13" spans="1:15" x14ac:dyDescent="0.2">
      <c r="A13">
        <v>3</v>
      </c>
      <c r="B13">
        <v>19750132</v>
      </c>
      <c r="C13">
        <v>19710177</v>
      </c>
      <c r="D13" t="s">
        <v>29</v>
      </c>
      <c r="E13" t="s">
        <v>1173</v>
      </c>
      <c r="G13" t="s">
        <v>1165</v>
      </c>
      <c r="L13" s="8" t="str">
        <f>HYPERLINK("https://test.ictv.global/id/TN19750132","TN19750132@TEST")</f>
        <v>TN19750132@TEST</v>
      </c>
      <c r="M13" s="8" t="str">
        <f>HYPERLINK("https://test.ictv.global/id/ICTV19710177","ICTV19710177@TEST")</f>
        <v>ICTV19710177@TEST</v>
      </c>
      <c r="N13" s="8" t="str">
        <f>HYPERLINK("https://ictv.global/id/TN19750132","TN19750132@prod")</f>
        <v>TN19750132@prod</v>
      </c>
      <c r="O13" s="8" t="str">
        <f>HYPERLINK("https://ictv.global/id/ICTV19710177","ICTV19710177@prod")</f>
        <v>ICTV19710177@prod</v>
      </c>
    </row>
    <row r="14" spans="1:15" x14ac:dyDescent="0.2">
      <c r="A14">
        <v>3</v>
      </c>
      <c r="B14">
        <v>19750133</v>
      </c>
      <c r="C14">
        <v>19710178</v>
      </c>
      <c r="D14" t="s">
        <v>29</v>
      </c>
      <c r="E14" t="s">
        <v>1174</v>
      </c>
      <c r="G14" t="s">
        <v>1165</v>
      </c>
      <c r="L14" s="8" t="str">
        <f>HYPERLINK("https://test.ictv.global/id/TN19750133","TN19750133@TEST")</f>
        <v>TN19750133@TEST</v>
      </c>
      <c r="M14" s="8" t="str">
        <f>HYPERLINK("https://test.ictv.global/id/ICTV19710178","ICTV19710178@TEST")</f>
        <v>ICTV19710178@TEST</v>
      </c>
      <c r="N14" s="8" t="str">
        <f>HYPERLINK("https://ictv.global/id/TN19750133","TN19750133@prod")</f>
        <v>TN19750133@prod</v>
      </c>
      <c r="O14" s="8" t="str">
        <f>HYPERLINK("https://ictv.global/id/ICTV19710178","ICTV19710178@prod")</f>
        <v>ICTV19710178@prod</v>
      </c>
    </row>
    <row r="15" spans="1:15" x14ac:dyDescent="0.2">
      <c r="A15">
        <v>3</v>
      </c>
      <c r="B15">
        <v>19750134</v>
      </c>
      <c r="C15">
        <v>19710179</v>
      </c>
      <c r="D15" t="s">
        <v>29</v>
      </c>
      <c r="E15" t="s">
        <v>1175</v>
      </c>
      <c r="G15" t="s">
        <v>1165</v>
      </c>
      <c r="L15" s="8" t="str">
        <f>HYPERLINK("https://test.ictv.global/id/TN19750134","TN19750134@TEST")</f>
        <v>TN19750134@TEST</v>
      </c>
      <c r="M15" s="8" t="str">
        <f>HYPERLINK("https://test.ictv.global/id/ICTV19710179","ICTV19710179@TEST")</f>
        <v>ICTV19710179@TEST</v>
      </c>
      <c r="N15" s="8" t="str">
        <f>HYPERLINK("https://ictv.global/id/TN19750134","TN19750134@prod")</f>
        <v>TN19750134@prod</v>
      </c>
      <c r="O15" s="8" t="str">
        <f>HYPERLINK("https://ictv.global/id/ICTV19710179","ICTV19710179@prod")</f>
        <v>ICTV19710179@prod</v>
      </c>
    </row>
    <row r="16" spans="1:15" x14ac:dyDescent="0.2">
      <c r="A16">
        <v>3</v>
      </c>
      <c r="B16">
        <v>19750135</v>
      </c>
      <c r="C16">
        <v>19710180</v>
      </c>
      <c r="D16" t="s">
        <v>29</v>
      </c>
      <c r="E16" t="s">
        <v>1176</v>
      </c>
      <c r="G16" t="s">
        <v>1165</v>
      </c>
      <c r="L16" s="8" t="str">
        <f>HYPERLINK("https://test.ictv.global/id/TN19750135","TN19750135@TEST")</f>
        <v>TN19750135@TEST</v>
      </c>
      <c r="M16" s="8" t="str">
        <f>HYPERLINK("https://test.ictv.global/id/ICTV19710180","ICTV19710180@TEST")</f>
        <v>ICTV19710180@TEST</v>
      </c>
      <c r="N16" s="8" t="str">
        <f>HYPERLINK("https://ictv.global/id/TN19750135","TN19750135@prod")</f>
        <v>TN19750135@prod</v>
      </c>
      <c r="O16" s="8" t="str">
        <f>HYPERLINK("https://ictv.global/id/ICTV19710180","ICTV19710180@prod")</f>
        <v>ICTV19710180@prod</v>
      </c>
    </row>
    <row r="17" spans="1:15" x14ac:dyDescent="0.2">
      <c r="A17">
        <v>3</v>
      </c>
      <c r="B17">
        <v>19750137</v>
      </c>
      <c r="C17">
        <v>19710182</v>
      </c>
      <c r="D17" t="s">
        <v>29</v>
      </c>
      <c r="E17" t="s">
        <v>1177</v>
      </c>
      <c r="G17" t="s">
        <v>1165</v>
      </c>
      <c r="L17" s="8" t="str">
        <f>HYPERLINK("https://test.ictv.global/id/TN19750137","TN19750137@TEST")</f>
        <v>TN19750137@TEST</v>
      </c>
      <c r="M17" s="8" t="str">
        <f>HYPERLINK("https://test.ictv.global/id/ICTV19710182","ICTV19710182@TEST")</f>
        <v>ICTV19710182@TEST</v>
      </c>
      <c r="N17" s="8" t="str">
        <f>HYPERLINK("https://ictv.global/id/TN19750137","TN19750137@prod")</f>
        <v>TN19750137@prod</v>
      </c>
      <c r="O17" s="8" t="str">
        <f>HYPERLINK("https://ictv.global/id/ICTV19710182","ICTV19710182@prod")</f>
        <v>ICTV19710182@prod</v>
      </c>
    </row>
    <row r="18" spans="1:15" x14ac:dyDescent="0.2">
      <c r="A18">
        <v>3</v>
      </c>
      <c r="B18">
        <v>19750139</v>
      </c>
      <c r="C18">
        <v>19710184</v>
      </c>
      <c r="D18" t="s">
        <v>29</v>
      </c>
      <c r="E18" t="s">
        <v>1178</v>
      </c>
      <c r="G18" t="s">
        <v>1165</v>
      </c>
      <c r="L18" s="8" t="str">
        <f>HYPERLINK("https://test.ictv.global/id/TN19750139","TN19750139@TEST")</f>
        <v>TN19750139@TEST</v>
      </c>
      <c r="M18" s="8" t="str">
        <f>HYPERLINK("https://test.ictv.global/id/ICTV19710184","ICTV19710184@TEST")</f>
        <v>ICTV19710184@TEST</v>
      </c>
      <c r="N18" s="8" t="str">
        <f>HYPERLINK("https://ictv.global/id/TN19750139","TN19750139@prod")</f>
        <v>TN19750139@prod</v>
      </c>
      <c r="O18" s="8" t="str">
        <f>HYPERLINK("https://ictv.global/id/ICTV19710184","ICTV19710184@prod")</f>
        <v>ICTV19710184@prod</v>
      </c>
    </row>
    <row r="19" spans="1:15" x14ac:dyDescent="0.2">
      <c r="A19">
        <v>3</v>
      </c>
      <c r="B19">
        <v>19750140</v>
      </c>
      <c r="C19">
        <v>19710185</v>
      </c>
      <c r="D19" t="s">
        <v>29</v>
      </c>
      <c r="E19" t="s">
        <v>1179</v>
      </c>
      <c r="G19" t="s">
        <v>1165</v>
      </c>
      <c r="L19" s="8" t="str">
        <f>HYPERLINK("https://test.ictv.global/id/TN19750140","TN19750140@TEST")</f>
        <v>TN19750140@TEST</v>
      </c>
      <c r="M19" s="8" t="str">
        <f>HYPERLINK("https://test.ictv.global/id/ICTV19710185","ICTV19710185@TEST")</f>
        <v>ICTV19710185@TEST</v>
      </c>
      <c r="N19" s="8" t="str">
        <f>HYPERLINK("https://ictv.global/id/TN19750140","TN19750140@prod")</f>
        <v>TN19750140@prod</v>
      </c>
      <c r="O19" s="8" t="str">
        <f>HYPERLINK("https://ictv.global/id/ICTV19710185","ICTV19710185@prod")</f>
        <v>ICTV19710185@prod</v>
      </c>
    </row>
    <row r="20" spans="1:15" x14ac:dyDescent="0.2">
      <c r="A20">
        <v>3</v>
      </c>
      <c r="B20">
        <v>19750142</v>
      </c>
      <c r="C20">
        <v>19710187</v>
      </c>
      <c r="D20" t="s">
        <v>29</v>
      </c>
      <c r="E20" t="s">
        <v>1180</v>
      </c>
      <c r="G20" t="s">
        <v>1165</v>
      </c>
      <c r="L20" s="8" t="str">
        <f>HYPERLINK("https://test.ictv.global/id/TN19750142","TN19750142@TEST")</f>
        <v>TN19750142@TEST</v>
      </c>
      <c r="M20" s="8" t="str">
        <f>HYPERLINK("https://test.ictv.global/id/ICTV19710187","ICTV19710187@TEST")</f>
        <v>ICTV19710187@TEST</v>
      </c>
      <c r="N20" s="8" t="str">
        <f>HYPERLINK("https://ictv.global/id/TN19750142","TN19750142@prod")</f>
        <v>TN19750142@prod</v>
      </c>
      <c r="O20" s="8" t="str">
        <f>HYPERLINK("https://ictv.global/id/ICTV19710187","ICTV19710187@prod")</f>
        <v>ICTV19710187@prod</v>
      </c>
    </row>
    <row r="21" spans="1:15" x14ac:dyDescent="0.2">
      <c r="A21">
        <v>3</v>
      </c>
      <c r="B21">
        <v>19750143</v>
      </c>
      <c r="C21">
        <v>19710188</v>
      </c>
      <c r="D21" t="s">
        <v>29</v>
      </c>
      <c r="E21" t="s">
        <v>1181</v>
      </c>
      <c r="G21" t="s">
        <v>1165</v>
      </c>
      <c r="L21" s="8" t="str">
        <f>HYPERLINK("https://test.ictv.global/id/TN19750143","TN19750143@TEST")</f>
        <v>TN19750143@TEST</v>
      </c>
      <c r="M21" s="8" t="str">
        <f>HYPERLINK("https://test.ictv.global/id/ICTV19710188","ICTV19710188@TEST")</f>
        <v>ICTV19710188@TEST</v>
      </c>
      <c r="N21" s="8" t="str">
        <f>HYPERLINK("https://ictv.global/id/TN19750143","TN19750143@prod")</f>
        <v>TN19750143@prod</v>
      </c>
      <c r="O21" s="8" t="str">
        <f>HYPERLINK("https://ictv.global/id/ICTV19710188","ICTV19710188@prod")</f>
        <v>ICTV19710188@prod</v>
      </c>
    </row>
    <row r="22" spans="1:15" x14ac:dyDescent="0.2">
      <c r="A22">
        <v>3</v>
      </c>
      <c r="B22">
        <v>19750144</v>
      </c>
      <c r="C22">
        <v>19710189</v>
      </c>
      <c r="D22" t="s">
        <v>29</v>
      </c>
      <c r="E22" t="s">
        <v>1182</v>
      </c>
      <c r="G22" t="s">
        <v>1165</v>
      </c>
      <c r="L22" s="8" t="str">
        <f>HYPERLINK("https://test.ictv.global/id/TN19750144","TN19750144@TEST")</f>
        <v>TN19750144@TEST</v>
      </c>
      <c r="M22" s="8" t="str">
        <f>HYPERLINK("https://test.ictv.global/id/ICTV19710189","ICTV19710189@TEST")</f>
        <v>ICTV19710189@TEST</v>
      </c>
      <c r="N22" s="8" t="str">
        <f>HYPERLINK("https://ictv.global/id/TN19750144","TN19750144@prod")</f>
        <v>TN19750144@prod</v>
      </c>
      <c r="O22" s="8" t="str">
        <f>HYPERLINK("https://ictv.global/id/ICTV19710189","ICTV19710189@prod")</f>
        <v>ICTV19710189@prod</v>
      </c>
    </row>
    <row r="23" spans="1:15" x14ac:dyDescent="0.2">
      <c r="A23">
        <v>3</v>
      </c>
      <c r="B23">
        <v>19750145</v>
      </c>
      <c r="C23">
        <v>19710190</v>
      </c>
      <c r="D23" t="s">
        <v>29</v>
      </c>
      <c r="E23" t="s">
        <v>1183</v>
      </c>
      <c r="G23" t="s">
        <v>1165</v>
      </c>
      <c r="L23" s="8" t="str">
        <f>HYPERLINK("https://test.ictv.global/id/TN19750145","TN19750145@TEST")</f>
        <v>TN19750145@TEST</v>
      </c>
      <c r="M23" s="8" t="str">
        <f>HYPERLINK("https://test.ictv.global/id/ICTV19710190","ICTV19710190@TEST")</f>
        <v>ICTV19710190@TEST</v>
      </c>
      <c r="N23" s="8" t="str">
        <f>HYPERLINK("https://ictv.global/id/TN19750145","TN19750145@prod")</f>
        <v>TN19750145@prod</v>
      </c>
      <c r="O23" s="8" t="str">
        <f>HYPERLINK("https://ictv.global/id/ICTV19710190","ICTV19710190@prod")</f>
        <v>ICTV19710190@prod</v>
      </c>
    </row>
    <row r="24" spans="1:15" x14ac:dyDescent="0.2">
      <c r="A24">
        <v>3</v>
      </c>
      <c r="B24">
        <v>19750154</v>
      </c>
      <c r="C24">
        <v>19710052</v>
      </c>
      <c r="D24" t="s">
        <v>29</v>
      </c>
      <c r="E24" t="s">
        <v>1184</v>
      </c>
      <c r="G24" t="s">
        <v>1165</v>
      </c>
      <c r="L24" s="8" t="str">
        <f>HYPERLINK("https://test.ictv.global/id/TN19750154","TN19750154@TEST")</f>
        <v>TN19750154@TEST</v>
      </c>
      <c r="M24" s="8" t="str">
        <f>HYPERLINK("https://test.ictv.global/id/ICTV19710052","ICTV19710052@TEST")</f>
        <v>ICTV19710052@TEST</v>
      </c>
      <c r="N24" s="8" t="str">
        <f>HYPERLINK("https://ictv.global/id/TN19750154","TN19750154@prod")</f>
        <v>TN19750154@prod</v>
      </c>
      <c r="O24" s="8" t="str">
        <f>HYPERLINK("https://ictv.global/id/ICTV19710052","ICTV19710052@prod")</f>
        <v>ICTV19710052@prod</v>
      </c>
    </row>
    <row r="25" spans="1:15" x14ac:dyDescent="0.2">
      <c r="A25">
        <v>3</v>
      </c>
      <c r="B25">
        <v>19750157</v>
      </c>
      <c r="C25">
        <v>19710055</v>
      </c>
      <c r="D25" t="s">
        <v>29</v>
      </c>
      <c r="E25" t="s">
        <v>1185</v>
      </c>
      <c r="G25" t="s">
        <v>1165</v>
      </c>
      <c r="L25" s="8" t="str">
        <f>HYPERLINK("https://test.ictv.global/id/TN19750157","TN19750157@TEST")</f>
        <v>TN19750157@TEST</v>
      </c>
      <c r="M25" s="8" t="str">
        <f>HYPERLINK("https://test.ictv.global/id/ICTV19710055","ICTV19710055@TEST")</f>
        <v>ICTV19710055@TEST</v>
      </c>
      <c r="N25" s="8" t="str">
        <f>HYPERLINK("https://ictv.global/id/TN19750157","TN19750157@prod")</f>
        <v>TN19750157@prod</v>
      </c>
      <c r="O25" s="8" t="str">
        <f>HYPERLINK("https://ictv.global/id/ICTV19710055","ICTV19710055@prod")</f>
        <v>ICTV19710055@prod</v>
      </c>
    </row>
    <row r="26" spans="1:15" x14ac:dyDescent="0.2">
      <c r="A26">
        <v>3</v>
      </c>
      <c r="B26">
        <v>19750176</v>
      </c>
      <c r="C26">
        <v>19710237</v>
      </c>
      <c r="D26" t="s">
        <v>29</v>
      </c>
      <c r="E26" t="s">
        <v>1186</v>
      </c>
      <c r="G26" t="s">
        <v>1165</v>
      </c>
      <c r="L26" s="8" t="str">
        <f>HYPERLINK("https://test.ictv.global/id/TN19750176","TN19750176@TEST")</f>
        <v>TN19750176@TEST</v>
      </c>
      <c r="M26" s="8" t="str">
        <f>HYPERLINK("https://test.ictv.global/id/ICTV19710237","ICTV19710237@TEST")</f>
        <v>ICTV19710237@TEST</v>
      </c>
      <c r="N26" s="8" t="str">
        <f>HYPERLINK("https://ictv.global/id/TN19750176","TN19750176@prod")</f>
        <v>TN19750176@prod</v>
      </c>
      <c r="O26" s="8" t="str">
        <f>HYPERLINK("https://ictv.global/id/ICTV19710237","ICTV19710237@prod")</f>
        <v>ICTV19710237@prod</v>
      </c>
    </row>
    <row r="27" spans="1:15" x14ac:dyDescent="0.2">
      <c r="A27">
        <v>3</v>
      </c>
      <c r="B27">
        <v>19750188</v>
      </c>
      <c r="C27">
        <v>19710067</v>
      </c>
      <c r="D27" t="s">
        <v>29</v>
      </c>
      <c r="E27" t="s">
        <v>1187</v>
      </c>
      <c r="G27" t="s">
        <v>1165</v>
      </c>
      <c r="L27" s="8" t="str">
        <f>HYPERLINK("https://test.ictv.global/id/TN19750188","TN19750188@TEST")</f>
        <v>TN19750188@TEST</v>
      </c>
      <c r="M27" s="8" t="str">
        <f>HYPERLINK("https://test.ictv.global/id/ICTV19710067","ICTV19710067@TEST")</f>
        <v>ICTV19710067@TEST</v>
      </c>
      <c r="N27" s="8" t="str">
        <f>HYPERLINK("https://ictv.global/id/TN19750188","TN19750188@prod")</f>
        <v>TN19750188@prod</v>
      </c>
      <c r="O27" s="8" t="str">
        <f>HYPERLINK("https://ictv.global/id/ICTV19710067","ICTV19710067@prod")</f>
        <v>ICTV19710067@prod</v>
      </c>
    </row>
    <row r="28" spans="1:15" x14ac:dyDescent="0.2">
      <c r="A28">
        <v>3</v>
      </c>
      <c r="B28">
        <v>19750202</v>
      </c>
      <c r="C28">
        <v>19710265</v>
      </c>
      <c r="D28" t="s">
        <v>29</v>
      </c>
      <c r="E28" t="s">
        <v>1188</v>
      </c>
      <c r="G28" t="s">
        <v>1165</v>
      </c>
      <c r="L28" s="8" t="str">
        <f>HYPERLINK("https://test.ictv.global/id/TN19750202","TN19750202@TEST")</f>
        <v>TN19750202@TEST</v>
      </c>
      <c r="M28" s="8" t="str">
        <f>HYPERLINK("https://test.ictv.global/id/ICTV19710265","ICTV19710265@TEST")</f>
        <v>ICTV19710265@TEST</v>
      </c>
      <c r="N28" s="8" t="str">
        <f>HYPERLINK("https://ictv.global/id/TN19750202","TN19750202@prod")</f>
        <v>TN19750202@prod</v>
      </c>
      <c r="O28" s="8" t="str">
        <f>HYPERLINK("https://ictv.global/id/ICTV19710265","ICTV19710265@prod")</f>
        <v>ICTV19710265@prod</v>
      </c>
    </row>
    <row r="29" spans="1:15" x14ac:dyDescent="0.2">
      <c r="A29">
        <v>3</v>
      </c>
      <c r="B29">
        <v>19750207</v>
      </c>
      <c r="C29">
        <v>19710262</v>
      </c>
      <c r="D29" t="s">
        <v>29</v>
      </c>
      <c r="E29" t="s">
        <v>1189</v>
      </c>
      <c r="G29" t="s">
        <v>1165</v>
      </c>
      <c r="L29" s="8" t="str">
        <f>HYPERLINK("https://test.ictv.global/id/TN19750207","TN19750207@TEST")</f>
        <v>TN19750207@TEST</v>
      </c>
      <c r="M29" s="8" t="str">
        <f>HYPERLINK("https://test.ictv.global/id/ICTV19710262","ICTV19710262@TEST")</f>
        <v>ICTV19710262@TEST</v>
      </c>
      <c r="N29" s="8" t="str">
        <f>HYPERLINK("https://ictv.global/id/TN19750207","TN19750207@prod")</f>
        <v>TN19750207@prod</v>
      </c>
      <c r="O29" s="8" t="str">
        <f>HYPERLINK("https://ictv.global/id/ICTV19710262","ICTV19710262@prod")</f>
        <v>ICTV19710262@prod</v>
      </c>
    </row>
    <row r="30" spans="1:15" x14ac:dyDescent="0.2">
      <c r="A30">
        <v>3</v>
      </c>
      <c r="B30">
        <v>19750220</v>
      </c>
      <c r="C30">
        <v>19710273</v>
      </c>
      <c r="D30" t="s">
        <v>29</v>
      </c>
      <c r="E30" t="s">
        <v>1190</v>
      </c>
      <c r="G30" t="s">
        <v>1165</v>
      </c>
      <c r="L30" s="8" t="str">
        <f>HYPERLINK("https://test.ictv.global/id/TN19750220","TN19750220@TEST")</f>
        <v>TN19750220@TEST</v>
      </c>
      <c r="M30" s="8" t="str">
        <f>HYPERLINK("https://test.ictv.global/id/ICTV19710273","ICTV19710273@TEST")</f>
        <v>ICTV19710273@TEST</v>
      </c>
      <c r="N30" s="8" t="str">
        <f>HYPERLINK("https://ictv.global/id/TN19750220","TN19750220@prod")</f>
        <v>TN19750220@prod</v>
      </c>
      <c r="O30" s="8" t="str">
        <f>HYPERLINK("https://ictv.global/id/ICTV19710273","ICTV19710273@prod")</f>
        <v>ICTV19710273@prod</v>
      </c>
    </row>
    <row r="31" spans="1:15" x14ac:dyDescent="0.2">
      <c r="A31">
        <v>3</v>
      </c>
      <c r="B31">
        <v>19750222</v>
      </c>
      <c r="C31">
        <v>19710285</v>
      </c>
      <c r="D31" t="s">
        <v>29</v>
      </c>
      <c r="E31" t="s">
        <v>1191</v>
      </c>
      <c r="G31" t="s">
        <v>1165</v>
      </c>
      <c r="L31" s="8" t="str">
        <f>HYPERLINK("https://test.ictv.global/id/TN19750222","TN19750222@TEST")</f>
        <v>TN19750222@TEST</v>
      </c>
      <c r="M31" s="8" t="str">
        <f>HYPERLINK("https://test.ictv.global/id/ICTV19710285","ICTV19710285@TEST")</f>
        <v>ICTV19710285@TEST</v>
      </c>
      <c r="N31" s="8" t="str">
        <f>HYPERLINK("https://ictv.global/id/TN19750222","TN19750222@prod")</f>
        <v>TN19750222@prod</v>
      </c>
      <c r="O31" s="8" t="str">
        <f>HYPERLINK("https://ictv.global/id/ICTV19710285","ICTV19710285@prod")</f>
        <v>ICTV19710285@prod</v>
      </c>
    </row>
    <row r="32" spans="1:15" x14ac:dyDescent="0.2">
      <c r="A32">
        <v>3</v>
      </c>
      <c r="B32">
        <v>19750240</v>
      </c>
      <c r="C32">
        <v>19710302</v>
      </c>
      <c r="D32" t="s">
        <v>29</v>
      </c>
      <c r="E32" t="s">
        <v>30</v>
      </c>
      <c r="G32" t="s">
        <v>31</v>
      </c>
      <c r="H32" t="s">
        <v>32</v>
      </c>
      <c r="I32" t="s">
        <v>29</v>
      </c>
      <c r="J32">
        <v>19760524</v>
      </c>
      <c r="K32">
        <v>19760524</v>
      </c>
      <c r="L32" s="8" t="str">
        <f>HYPERLINK("https://test.ictv.global/id/TN19750240","TN19750240@TEST")</f>
        <v>TN19750240@TEST</v>
      </c>
      <c r="M32" s="8" t="str">
        <f>HYPERLINK("https://test.ictv.global/id/ICTV19710302","ICTV19710302@TEST")</f>
        <v>ICTV19710302@TEST</v>
      </c>
      <c r="N32" s="8" t="str">
        <f>HYPERLINK("https://ictv.global/id/TN19750240","TN19750240@prod")</f>
        <v>TN19750240@prod</v>
      </c>
      <c r="O32" s="8" t="str">
        <f>HYPERLINK("https://ictv.global/id/ICTV19710302","ICTV19710302@prod")</f>
        <v>ICTV19710302@prod</v>
      </c>
    </row>
    <row r="33" spans="1:15" x14ac:dyDescent="0.2">
      <c r="A33">
        <v>3</v>
      </c>
      <c r="B33">
        <v>19750243</v>
      </c>
      <c r="C33">
        <v>19760524</v>
      </c>
      <c r="D33" t="s">
        <v>29</v>
      </c>
      <c r="E33" t="s">
        <v>32</v>
      </c>
      <c r="G33" t="s">
        <v>33</v>
      </c>
      <c r="H33" t="s">
        <v>32</v>
      </c>
      <c r="I33" t="s">
        <v>29</v>
      </c>
      <c r="J33">
        <v>19760524</v>
      </c>
      <c r="K33">
        <v>19760524</v>
      </c>
      <c r="L33" s="8" t="str">
        <f>HYPERLINK("https://test.ictv.global/id/TN19750243","TN19750243@TEST")</f>
        <v>TN19750243@TEST</v>
      </c>
      <c r="M33" s="8" t="str">
        <f>HYPERLINK("https://test.ictv.global/id/ICTV19760524","ICTV19760524@TEST")</f>
        <v>ICTV19760524@TEST</v>
      </c>
      <c r="N33" s="8" t="str">
        <f>HYPERLINK("https://ictv.global/id/TN19750243","TN19750243@prod")</f>
        <v>TN19750243@prod</v>
      </c>
      <c r="O33" s="8" t="str">
        <f>HYPERLINK("https://ictv.global/id/ICTV19760524","ICTV19760524@prod")</f>
        <v>ICTV19760524@prod</v>
      </c>
    </row>
    <row r="34" spans="1:15" x14ac:dyDescent="0.2">
      <c r="A34">
        <v>3</v>
      </c>
      <c r="B34">
        <v>19750247</v>
      </c>
      <c r="C34">
        <v>19710197</v>
      </c>
      <c r="D34" t="s">
        <v>29</v>
      </c>
      <c r="E34" t="s">
        <v>1192</v>
      </c>
      <c r="G34" t="s">
        <v>1165</v>
      </c>
      <c r="L34" s="8" t="str">
        <f>HYPERLINK("https://test.ictv.global/id/TN19750247","TN19750247@TEST")</f>
        <v>TN19750247@TEST</v>
      </c>
      <c r="M34" s="8" t="str">
        <f>HYPERLINK("https://test.ictv.global/id/ICTV19710197","ICTV19710197@TEST")</f>
        <v>ICTV19710197@TEST</v>
      </c>
      <c r="N34" s="8" t="str">
        <f>HYPERLINK("https://ictv.global/id/TN19750247","TN19750247@prod")</f>
        <v>TN19750247@prod</v>
      </c>
      <c r="O34" s="8" t="str">
        <f>HYPERLINK("https://ictv.global/id/ICTV19710197","ICTV19710197@prod")</f>
        <v>ICTV19710197@prod</v>
      </c>
    </row>
    <row r="35" spans="1:15" x14ac:dyDescent="0.2">
      <c r="A35">
        <v>3</v>
      </c>
      <c r="B35">
        <v>19750248</v>
      </c>
      <c r="C35">
        <v>19710198</v>
      </c>
      <c r="D35" t="s">
        <v>29</v>
      </c>
      <c r="E35" t="s">
        <v>34</v>
      </c>
      <c r="G35" t="s">
        <v>33</v>
      </c>
      <c r="H35" t="s">
        <v>35</v>
      </c>
      <c r="I35" t="s">
        <v>29</v>
      </c>
      <c r="J35">
        <v>19760533</v>
      </c>
      <c r="K35">
        <v>19760533</v>
      </c>
      <c r="L35" s="8" t="str">
        <f>HYPERLINK("https://test.ictv.global/id/TN19750248","TN19750248@TEST")</f>
        <v>TN19750248@TEST</v>
      </c>
      <c r="M35" s="8" t="str">
        <f>HYPERLINK("https://test.ictv.global/id/ICTV19710198","ICTV19710198@TEST")</f>
        <v>ICTV19710198@TEST</v>
      </c>
      <c r="N35" s="8" t="str">
        <f>HYPERLINK("https://ictv.global/id/TN19750248","TN19750248@prod")</f>
        <v>TN19750248@prod</v>
      </c>
      <c r="O35" s="8" t="str">
        <f>HYPERLINK("https://ictv.global/id/ICTV19710198","ICTV19710198@prod")</f>
        <v>ICTV19710198@prod</v>
      </c>
    </row>
    <row r="36" spans="1:15" x14ac:dyDescent="0.2">
      <c r="A36">
        <v>3</v>
      </c>
      <c r="B36">
        <v>19750249</v>
      </c>
      <c r="C36">
        <v>19710199</v>
      </c>
      <c r="D36" t="s">
        <v>29</v>
      </c>
      <c r="E36" t="s">
        <v>36</v>
      </c>
      <c r="G36" t="s">
        <v>33</v>
      </c>
      <c r="H36" t="s">
        <v>35</v>
      </c>
      <c r="I36" t="s">
        <v>29</v>
      </c>
      <c r="J36">
        <v>19760533</v>
      </c>
      <c r="K36">
        <v>19760533</v>
      </c>
      <c r="L36" s="8" t="str">
        <f>HYPERLINK("https://test.ictv.global/id/TN19750249","TN19750249@TEST")</f>
        <v>TN19750249@TEST</v>
      </c>
      <c r="M36" s="8" t="str">
        <f>HYPERLINK("https://test.ictv.global/id/ICTV19710199","ICTV19710199@TEST")</f>
        <v>ICTV19710199@TEST</v>
      </c>
      <c r="N36" s="8" t="str">
        <f>HYPERLINK("https://ictv.global/id/TN19750249","TN19750249@prod")</f>
        <v>TN19750249@prod</v>
      </c>
      <c r="O36" s="8" t="str">
        <f>HYPERLINK("https://ictv.global/id/ICTV19710199","ICTV19710199@prod")</f>
        <v>ICTV19710199@prod</v>
      </c>
    </row>
    <row r="37" spans="1:15" x14ac:dyDescent="0.2">
      <c r="A37">
        <v>3</v>
      </c>
      <c r="B37">
        <v>19750250</v>
      </c>
      <c r="C37">
        <v>19710200</v>
      </c>
      <c r="D37" t="s">
        <v>29</v>
      </c>
      <c r="E37" t="s">
        <v>37</v>
      </c>
      <c r="G37" t="s">
        <v>33</v>
      </c>
      <c r="H37" t="s">
        <v>38</v>
      </c>
      <c r="I37" t="s">
        <v>29</v>
      </c>
      <c r="J37">
        <v>19760531</v>
      </c>
      <c r="K37">
        <v>19760531</v>
      </c>
      <c r="L37" s="8" t="str">
        <f>HYPERLINK("https://test.ictv.global/id/TN19750250","TN19750250@TEST")</f>
        <v>TN19750250@TEST</v>
      </c>
      <c r="M37" s="8" t="str">
        <f>HYPERLINK("https://test.ictv.global/id/ICTV19710200","ICTV19710200@TEST")</f>
        <v>ICTV19710200@TEST</v>
      </c>
      <c r="N37" s="8" t="str">
        <f>HYPERLINK("https://ictv.global/id/TN19750250","TN19750250@prod")</f>
        <v>TN19750250@prod</v>
      </c>
      <c r="O37" s="8" t="str">
        <f>HYPERLINK("https://ictv.global/id/ICTV19710200","ICTV19710200@prod")</f>
        <v>ICTV19710200@prod</v>
      </c>
    </row>
    <row r="38" spans="1:15" x14ac:dyDescent="0.2">
      <c r="A38">
        <v>3</v>
      </c>
      <c r="B38">
        <v>19750251</v>
      </c>
      <c r="C38">
        <v>19710201</v>
      </c>
      <c r="D38" t="s">
        <v>29</v>
      </c>
      <c r="E38" t="s">
        <v>39</v>
      </c>
      <c r="G38" t="s">
        <v>33</v>
      </c>
      <c r="H38" t="s">
        <v>40</v>
      </c>
      <c r="I38" t="s">
        <v>29</v>
      </c>
      <c r="J38">
        <v>19991630</v>
      </c>
      <c r="K38">
        <v>19760536</v>
      </c>
      <c r="L38" s="8" t="str">
        <f>HYPERLINK("https://test.ictv.global/id/TN19750251","TN19750251@TEST")</f>
        <v>TN19750251@TEST</v>
      </c>
      <c r="M38" s="8" t="str">
        <f>HYPERLINK("https://test.ictv.global/id/ICTV19710201","ICTV19710201@TEST")</f>
        <v>ICTV19710201@TEST</v>
      </c>
      <c r="N38" s="8" t="str">
        <f>HYPERLINK("https://ictv.global/id/TN19750251","TN19750251@prod")</f>
        <v>TN19750251@prod</v>
      </c>
      <c r="O38" s="8" t="str">
        <f>HYPERLINK("https://ictv.global/id/ICTV19710201","ICTV19710201@prod")</f>
        <v>ICTV19710201@prod</v>
      </c>
    </row>
    <row r="39" spans="1:15" x14ac:dyDescent="0.2">
      <c r="A39">
        <v>3</v>
      </c>
      <c r="B39">
        <v>19750252</v>
      </c>
      <c r="C39">
        <v>19710202</v>
      </c>
      <c r="D39" t="s">
        <v>29</v>
      </c>
      <c r="E39" t="s">
        <v>1193</v>
      </c>
      <c r="G39" t="s">
        <v>1165</v>
      </c>
      <c r="L39" s="8" t="str">
        <f>HYPERLINK("https://test.ictv.global/id/TN19750252","TN19750252@TEST")</f>
        <v>TN19750252@TEST</v>
      </c>
      <c r="M39" s="8" t="str">
        <f>HYPERLINK("https://test.ictv.global/id/ICTV19710202","ICTV19710202@TEST")</f>
        <v>ICTV19710202@TEST</v>
      </c>
      <c r="N39" s="8" t="str">
        <f>HYPERLINK("https://ictv.global/id/TN19750252","TN19750252@prod")</f>
        <v>TN19750252@prod</v>
      </c>
      <c r="O39" s="8" t="str">
        <f>HYPERLINK("https://ictv.global/id/ICTV19710202","ICTV19710202@prod")</f>
        <v>ICTV19710202@prod</v>
      </c>
    </row>
    <row r="40" spans="1:15" x14ac:dyDescent="0.2">
      <c r="A40">
        <v>3</v>
      </c>
      <c r="B40">
        <v>19750253</v>
      </c>
      <c r="C40">
        <v>19710203</v>
      </c>
      <c r="D40" t="s">
        <v>29</v>
      </c>
      <c r="E40" t="s">
        <v>41</v>
      </c>
      <c r="G40" t="s">
        <v>33</v>
      </c>
      <c r="H40" t="s">
        <v>40</v>
      </c>
      <c r="I40" t="s">
        <v>29</v>
      </c>
      <c r="J40">
        <v>19991630</v>
      </c>
      <c r="K40">
        <v>19760536</v>
      </c>
      <c r="L40" s="8" t="str">
        <f>HYPERLINK("https://test.ictv.global/id/TN19750253","TN19750253@TEST")</f>
        <v>TN19750253@TEST</v>
      </c>
      <c r="M40" s="8" t="str">
        <f>HYPERLINK("https://test.ictv.global/id/ICTV19710203","ICTV19710203@TEST")</f>
        <v>ICTV19710203@TEST</v>
      </c>
      <c r="N40" s="8" t="str">
        <f>HYPERLINK("https://ictv.global/id/TN19750253","TN19750253@prod")</f>
        <v>TN19750253@prod</v>
      </c>
      <c r="O40" s="8" t="str">
        <f>HYPERLINK("https://ictv.global/id/ICTV19710203","ICTV19710203@prod")</f>
        <v>ICTV19710203@prod</v>
      </c>
    </row>
    <row r="41" spans="1:15" x14ac:dyDescent="0.2">
      <c r="A41">
        <v>3</v>
      </c>
      <c r="B41">
        <v>19750254</v>
      </c>
      <c r="C41">
        <v>19710204</v>
      </c>
      <c r="D41" t="s">
        <v>29</v>
      </c>
      <c r="E41" t="s">
        <v>42</v>
      </c>
      <c r="G41" t="s">
        <v>33</v>
      </c>
      <c r="H41" t="s">
        <v>40</v>
      </c>
      <c r="I41" t="s">
        <v>29</v>
      </c>
      <c r="J41">
        <v>19991630</v>
      </c>
      <c r="K41">
        <v>19760536</v>
      </c>
      <c r="L41" s="8" t="str">
        <f>HYPERLINK("https://test.ictv.global/id/TN19750254","TN19750254@TEST")</f>
        <v>TN19750254@TEST</v>
      </c>
      <c r="M41" s="8" t="str">
        <f>HYPERLINK("https://test.ictv.global/id/ICTV19710204","ICTV19710204@TEST")</f>
        <v>ICTV19710204@TEST</v>
      </c>
      <c r="N41" s="8" t="str">
        <f>HYPERLINK("https://ictv.global/id/TN19750254","TN19750254@prod")</f>
        <v>TN19750254@prod</v>
      </c>
      <c r="O41" s="8" t="str">
        <f>HYPERLINK("https://ictv.global/id/ICTV19710204","ICTV19710204@prod")</f>
        <v>ICTV19710204@prod</v>
      </c>
    </row>
    <row r="42" spans="1:15" x14ac:dyDescent="0.2">
      <c r="A42">
        <v>3</v>
      </c>
      <c r="B42">
        <v>19750255</v>
      </c>
      <c r="C42">
        <v>19710205</v>
      </c>
      <c r="D42" t="s">
        <v>29</v>
      </c>
      <c r="E42" t="s">
        <v>43</v>
      </c>
      <c r="G42" t="s">
        <v>33</v>
      </c>
      <c r="H42" t="s">
        <v>40</v>
      </c>
      <c r="I42" t="s">
        <v>29</v>
      </c>
      <c r="J42">
        <v>19991630</v>
      </c>
      <c r="K42">
        <v>19760536</v>
      </c>
      <c r="L42" s="8" t="str">
        <f>HYPERLINK("https://test.ictv.global/id/TN19750255","TN19750255@TEST")</f>
        <v>TN19750255@TEST</v>
      </c>
      <c r="M42" s="8" t="str">
        <f>HYPERLINK("https://test.ictv.global/id/ICTV19710205","ICTV19710205@TEST")</f>
        <v>ICTV19710205@TEST</v>
      </c>
      <c r="N42" s="8" t="str">
        <f>HYPERLINK("https://ictv.global/id/TN19750255","TN19750255@prod")</f>
        <v>TN19750255@prod</v>
      </c>
      <c r="O42" s="8" t="str">
        <f>HYPERLINK("https://ictv.global/id/ICTV19710205","ICTV19710205@prod")</f>
        <v>ICTV19710205@prod</v>
      </c>
    </row>
    <row r="43" spans="1:15" x14ac:dyDescent="0.2">
      <c r="A43">
        <v>3</v>
      </c>
      <c r="B43">
        <v>19750256</v>
      </c>
      <c r="C43">
        <v>19710206</v>
      </c>
      <c r="D43" t="s">
        <v>29</v>
      </c>
      <c r="E43" t="s">
        <v>44</v>
      </c>
      <c r="G43" t="s">
        <v>33</v>
      </c>
      <c r="H43" t="s">
        <v>40</v>
      </c>
      <c r="I43" t="s">
        <v>29</v>
      </c>
      <c r="J43">
        <v>19991630</v>
      </c>
      <c r="K43">
        <v>19760536</v>
      </c>
      <c r="L43" s="8" t="str">
        <f>HYPERLINK("https://test.ictv.global/id/TN19750256","TN19750256@TEST")</f>
        <v>TN19750256@TEST</v>
      </c>
      <c r="M43" s="8" t="str">
        <f>HYPERLINK("https://test.ictv.global/id/ICTV19710206","ICTV19710206@TEST")</f>
        <v>ICTV19710206@TEST</v>
      </c>
      <c r="N43" s="8" t="str">
        <f>HYPERLINK("https://ictv.global/id/TN19750256","TN19750256@prod")</f>
        <v>TN19750256@prod</v>
      </c>
      <c r="O43" s="8" t="str">
        <f>HYPERLINK("https://ictv.global/id/ICTV19710206","ICTV19710206@prod")</f>
        <v>ICTV19710206@prod</v>
      </c>
    </row>
    <row r="44" spans="1:15" x14ac:dyDescent="0.2">
      <c r="A44">
        <v>3</v>
      </c>
      <c r="B44">
        <v>19750257</v>
      </c>
      <c r="C44">
        <v>19710208</v>
      </c>
      <c r="D44" t="s">
        <v>29</v>
      </c>
      <c r="E44" t="s">
        <v>1194</v>
      </c>
      <c r="G44" t="s">
        <v>1165</v>
      </c>
      <c r="L44" s="8" t="str">
        <f>HYPERLINK("https://test.ictv.global/id/TN19750257","TN19750257@TEST")</f>
        <v>TN19750257@TEST</v>
      </c>
      <c r="M44" s="8" t="str">
        <f>HYPERLINK("https://test.ictv.global/id/ICTV19710208","ICTV19710208@TEST")</f>
        <v>ICTV19710208@TEST</v>
      </c>
      <c r="N44" s="8" t="str">
        <f>HYPERLINK("https://ictv.global/id/TN19750257","TN19750257@prod")</f>
        <v>TN19750257@prod</v>
      </c>
      <c r="O44" s="8" t="str">
        <f>HYPERLINK("https://ictv.global/id/ICTV19710208","ICTV19710208@prod")</f>
        <v>ICTV19710208@prod</v>
      </c>
    </row>
    <row r="45" spans="1:15" x14ac:dyDescent="0.2">
      <c r="A45">
        <v>3</v>
      </c>
      <c r="B45">
        <v>19750258</v>
      </c>
      <c r="C45">
        <v>19710209</v>
      </c>
      <c r="D45" t="s">
        <v>29</v>
      </c>
      <c r="E45" t="s">
        <v>1195</v>
      </c>
      <c r="G45" t="s">
        <v>1165</v>
      </c>
      <c r="L45" s="8" t="str">
        <f>HYPERLINK("https://test.ictv.global/id/TN19750258","TN19750258@TEST")</f>
        <v>TN19750258@TEST</v>
      </c>
      <c r="M45" s="8" t="str">
        <f>HYPERLINK("https://test.ictv.global/id/ICTV19710209","ICTV19710209@TEST")</f>
        <v>ICTV19710209@TEST</v>
      </c>
      <c r="N45" s="8" t="str">
        <f>HYPERLINK("https://ictv.global/id/TN19750258","TN19750258@prod")</f>
        <v>TN19750258@prod</v>
      </c>
      <c r="O45" s="8" t="str">
        <f>HYPERLINK("https://ictv.global/id/ICTV19710209","ICTV19710209@prod")</f>
        <v>ICTV19710209@prod</v>
      </c>
    </row>
    <row r="46" spans="1:15" x14ac:dyDescent="0.2">
      <c r="A46">
        <v>3</v>
      </c>
      <c r="B46">
        <v>19750259</v>
      </c>
      <c r="C46">
        <v>19710210</v>
      </c>
      <c r="D46" t="s">
        <v>29</v>
      </c>
      <c r="E46" t="s">
        <v>45</v>
      </c>
      <c r="G46" t="s">
        <v>33</v>
      </c>
      <c r="H46" t="s">
        <v>40</v>
      </c>
      <c r="I46" t="s">
        <v>29</v>
      </c>
      <c r="J46">
        <v>19991630</v>
      </c>
      <c r="K46">
        <v>19760536</v>
      </c>
      <c r="L46" s="8" t="str">
        <f>HYPERLINK("https://test.ictv.global/id/TN19750259","TN19750259@TEST")</f>
        <v>TN19750259@TEST</v>
      </c>
      <c r="M46" s="8" t="str">
        <f>HYPERLINK("https://test.ictv.global/id/ICTV19710210","ICTV19710210@TEST")</f>
        <v>ICTV19710210@TEST</v>
      </c>
      <c r="N46" s="8" t="str">
        <f>HYPERLINK("https://ictv.global/id/TN19750259","TN19750259@prod")</f>
        <v>TN19750259@prod</v>
      </c>
      <c r="O46" s="8" t="str">
        <f>HYPERLINK("https://ictv.global/id/ICTV19710210","ICTV19710210@prod")</f>
        <v>ICTV19710210@prod</v>
      </c>
    </row>
    <row r="47" spans="1:15" x14ac:dyDescent="0.2">
      <c r="A47">
        <v>3</v>
      </c>
      <c r="B47">
        <v>19750260</v>
      </c>
      <c r="C47">
        <v>19710211</v>
      </c>
      <c r="D47" t="s">
        <v>29</v>
      </c>
      <c r="E47" t="s">
        <v>46</v>
      </c>
      <c r="G47" t="s">
        <v>33</v>
      </c>
      <c r="H47" t="s">
        <v>38</v>
      </c>
      <c r="I47" t="s">
        <v>29</v>
      </c>
      <c r="J47">
        <v>19760531</v>
      </c>
      <c r="K47">
        <v>19760531</v>
      </c>
      <c r="L47" s="8" t="str">
        <f>HYPERLINK("https://test.ictv.global/id/TN19750260","TN19750260@TEST")</f>
        <v>TN19750260@TEST</v>
      </c>
      <c r="M47" s="8" t="str">
        <f>HYPERLINK("https://test.ictv.global/id/ICTV19710211","ICTV19710211@TEST")</f>
        <v>ICTV19710211@TEST</v>
      </c>
      <c r="N47" s="8" t="str">
        <f>HYPERLINK("https://ictv.global/id/TN19750260","TN19750260@prod")</f>
        <v>TN19750260@prod</v>
      </c>
      <c r="O47" s="8" t="str">
        <f>HYPERLINK("https://ictv.global/id/ICTV19710211","ICTV19710211@prod")</f>
        <v>ICTV19710211@prod</v>
      </c>
    </row>
    <row r="48" spans="1:15" x14ac:dyDescent="0.2">
      <c r="A48">
        <v>3</v>
      </c>
      <c r="B48">
        <v>19750261</v>
      </c>
      <c r="C48">
        <v>19710212</v>
      </c>
      <c r="D48" t="s">
        <v>29</v>
      </c>
      <c r="E48" t="s">
        <v>1196</v>
      </c>
      <c r="G48" t="s">
        <v>1165</v>
      </c>
      <c r="L48" s="8" t="str">
        <f>HYPERLINK("https://test.ictv.global/id/TN19750261","TN19750261@TEST")</f>
        <v>TN19750261@TEST</v>
      </c>
      <c r="M48" s="8" t="str">
        <f>HYPERLINK("https://test.ictv.global/id/ICTV19710212","ICTV19710212@TEST")</f>
        <v>ICTV19710212@TEST</v>
      </c>
      <c r="N48" s="8" t="str">
        <f>HYPERLINK("https://ictv.global/id/TN19750261","TN19750261@prod")</f>
        <v>TN19750261@prod</v>
      </c>
      <c r="O48" s="8" t="str">
        <f>HYPERLINK("https://ictv.global/id/ICTV19710212","ICTV19710212@prod")</f>
        <v>ICTV19710212@prod</v>
      </c>
    </row>
    <row r="49" spans="1:15" x14ac:dyDescent="0.2">
      <c r="A49">
        <v>3</v>
      </c>
      <c r="B49">
        <v>19750262</v>
      </c>
      <c r="C49">
        <v>19710213</v>
      </c>
      <c r="D49" t="s">
        <v>29</v>
      </c>
      <c r="E49" t="s">
        <v>1197</v>
      </c>
      <c r="G49" t="s">
        <v>1165</v>
      </c>
      <c r="L49" s="8" t="str">
        <f>HYPERLINK("https://test.ictv.global/id/TN19750262","TN19750262@TEST")</f>
        <v>TN19750262@TEST</v>
      </c>
      <c r="M49" s="8" t="str">
        <f>HYPERLINK("https://test.ictv.global/id/ICTV19710213","ICTV19710213@TEST")</f>
        <v>ICTV19710213@TEST</v>
      </c>
      <c r="N49" s="8" t="str">
        <f>HYPERLINK("https://ictv.global/id/TN19750262","TN19750262@prod")</f>
        <v>TN19750262@prod</v>
      </c>
      <c r="O49" s="8" t="str">
        <f>HYPERLINK("https://ictv.global/id/ICTV19710213","ICTV19710213@prod")</f>
        <v>ICTV19710213@prod</v>
      </c>
    </row>
    <row r="50" spans="1:15" x14ac:dyDescent="0.2">
      <c r="A50">
        <v>3</v>
      </c>
      <c r="B50">
        <v>19750263</v>
      </c>
      <c r="C50">
        <v>19710214</v>
      </c>
      <c r="D50" t="s">
        <v>29</v>
      </c>
      <c r="E50" t="s">
        <v>1198</v>
      </c>
      <c r="G50" t="s">
        <v>1165</v>
      </c>
      <c r="L50" s="8" t="str">
        <f>HYPERLINK("https://test.ictv.global/id/TN19750263","TN19750263@TEST")</f>
        <v>TN19750263@TEST</v>
      </c>
      <c r="M50" s="8" t="str">
        <f>HYPERLINK("https://test.ictv.global/id/ICTV19710214","ICTV19710214@TEST")</f>
        <v>ICTV19710214@TEST</v>
      </c>
      <c r="N50" s="8" t="str">
        <f>HYPERLINK("https://ictv.global/id/TN19750263","TN19750263@prod")</f>
        <v>TN19750263@prod</v>
      </c>
      <c r="O50" s="8" t="str">
        <f>HYPERLINK("https://ictv.global/id/ICTV19710214","ICTV19710214@prod")</f>
        <v>ICTV19710214@prod</v>
      </c>
    </row>
    <row r="51" spans="1:15" x14ac:dyDescent="0.2">
      <c r="A51">
        <v>3</v>
      </c>
      <c r="B51">
        <v>19750264</v>
      </c>
      <c r="C51">
        <v>19710215</v>
      </c>
      <c r="D51" t="s">
        <v>29</v>
      </c>
      <c r="E51" t="s">
        <v>47</v>
      </c>
      <c r="G51" t="s">
        <v>48</v>
      </c>
      <c r="H51" t="s">
        <v>38</v>
      </c>
      <c r="I51" t="s">
        <v>29</v>
      </c>
      <c r="J51">
        <v>19760531</v>
      </c>
      <c r="K51">
        <v>19760531</v>
      </c>
      <c r="L51" s="8" t="str">
        <f>HYPERLINK("https://test.ictv.global/id/TN19750264","TN19750264@TEST")</f>
        <v>TN19750264@TEST</v>
      </c>
      <c r="M51" s="8" t="str">
        <f>HYPERLINK("https://test.ictv.global/id/ICTV19710215","ICTV19710215@TEST")</f>
        <v>ICTV19710215@TEST</v>
      </c>
      <c r="N51" s="8" t="str">
        <f>HYPERLINK("https://ictv.global/id/TN19750264","TN19750264@prod")</f>
        <v>TN19750264@prod</v>
      </c>
      <c r="O51" s="8" t="str">
        <f>HYPERLINK("https://ictv.global/id/ICTV19710215","ICTV19710215@prod")</f>
        <v>ICTV19710215@prod</v>
      </c>
    </row>
    <row r="52" spans="1:15" x14ac:dyDescent="0.2">
      <c r="A52">
        <v>3</v>
      </c>
      <c r="B52">
        <v>19750267</v>
      </c>
      <c r="C52">
        <v>19710308</v>
      </c>
      <c r="D52" t="s">
        <v>29</v>
      </c>
      <c r="E52" t="s">
        <v>49</v>
      </c>
      <c r="G52" t="s">
        <v>33</v>
      </c>
      <c r="H52" t="s">
        <v>50</v>
      </c>
      <c r="I52" t="s">
        <v>29</v>
      </c>
      <c r="J52">
        <v>19760556</v>
      </c>
      <c r="K52">
        <v>19760556</v>
      </c>
      <c r="L52" s="8" t="str">
        <f>HYPERLINK("https://test.ictv.global/id/TN19750267","TN19750267@TEST")</f>
        <v>TN19750267@TEST</v>
      </c>
      <c r="M52" s="8" t="str">
        <f>HYPERLINK("https://test.ictv.global/id/ICTV19710308","ICTV19710308@TEST")</f>
        <v>ICTV19710308@TEST</v>
      </c>
      <c r="N52" s="8" t="str">
        <f>HYPERLINK("https://ictv.global/id/TN19750267","TN19750267@prod")</f>
        <v>TN19750267@prod</v>
      </c>
      <c r="O52" s="8" t="str">
        <f>HYPERLINK("https://ictv.global/id/ICTV19710308","ICTV19710308@prod")</f>
        <v>ICTV19710308@prod</v>
      </c>
    </row>
    <row r="53" spans="1:15" x14ac:dyDescent="0.2">
      <c r="A53">
        <v>3</v>
      </c>
      <c r="B53">
        <v>19750268</v>
      </c>
      <c r="C53">
        <v>19710309</v>
      </c>
      <c r="D53" t="s">
        <v>29</v>
      </c>
      <c r="E53" t="s">
        <v>51</v>
      </c>
      <c r="G53" t="s">
        <v>33</v>
      </c>
      <c r="H53" t="s">
        <v>50</v>
      </c>
      <c r="I53" t="s">
        <v>29</v>
      </c>
      <c r="J53">
        <v>19760556</v>
      </c>
      <c r="K53">
        <v>19760556</v>
      </c>
      <c r="L53" s="8" t="str">
        <f>HYPERLINK("https://test.ictv.global/id/TN19750268","TN19750268@TEST")</f>
        <v>TN19750268@TEST</v>
      </c>
      <c r="M53" s="8" t="str">
        <f>HYPERLINK("https://test.ictv.global/id/ICTV19710309","ICTV19710309@TEST")</f>
        <v>ICTV19710309@TEST</v>
      </c>
      <c r="N53" s="8" t="str">
        <f>HYPERLINK("https://ictv.global/id/TN19750268","TN19750268@prod")</f>
        <v>TN19750268@prod</v>
      </c>
      <c r="O53" s="8" t="str">
        <f>HYPERLINK("https://ictv.global/id/ICTV19710309","ICTV19710309@prod")</f>
        <v>ICTV19710309@prod</v>
      </c>
    </row>
    <row r="54" spans="1:15" x14ac:dyDescent="0.2">
      <c r="A54">
        <v>3</v>
      </c>
      <c r="B54">
        <v>19750317</v>
      </c>
      <c r="C54">
        <v>19710119</v>
      </c>
      <c r="D54" t="s">
        <v>29</v>
      </c>
      <c r="E54" t="s">
        <v>104</v>
      </c>
      <c r="G54" t="s">
        <v>1165</v>
      </c>
      <c r="L54" s="8" t="str">
        <f>HYPERLINK("https://test.ictv.global/id/TN19750317","TN19750317@TEST")</f>
        <v>TN19750317@TEST</v>
      </c>
      <c r="M54" s="8" t="str">
        <f>HYPERLINK("https://test.ictv.global/id/ICTV19710119","ICTV19710119@TEST")</f>
        <v>ICTV19710119@TEST</v>
      </c>
      <c r="N54" s="8" t="str">
        <f>HYPERLINK("https://ictv.global/id/TN19750317","TN19750317@prod")</f>
        <v>TN19750317@prod</v>
      </c>
      <c r="O54" s="8" t="str">
        <f>HYPERLINK("https://ictv.global/id/ICTV19710119","ICTV19710119@prod")</f>
        <v>ICTV19710119@prod</v>
      </c>
    </row>
    <row r="55" spans="1:15" x14ac:dyDescent="0.2">
      <c r="A55">
        <v>3</v>
      </c>
      <c r="B55">
        <v>19750319</v>
      </c>
      <c r="C55">
        <v>19710121</v>
      </c>
      <c r="D55" t="s">
        <v>29</v>
      </c>
      <c r="E55" t="s">
        <v>1199</v>
      </c>
      <c r="G55" t="s">
        <v>1165</v>
      </c>
      <c r="L55" s="8" t="str">
        <f>HYPERLINK("https://test.ictv.global/id/TN19750319","TN19750319@TEST")</f>
        <v>TN19750319@TEST</v>
      </c>
      <c r="M55" s="8" t="str">
        <f>HYPERLINK("https://test.ictv.global/id/ICTV19710121","ICTV19710121@TEST")</f>
        <v>ICTV19710121@TEST</v>
      </c>
      <c r="N55" s="8" t="str">
        <f>HYPERLINK("https://ictv.global/id/TN19750319","TN19750319@prod")</f>
        <v>TN19750319@prod</v>
      </c>
      <c r="O55" s="8" t="str">
        <f>HYPERLINK("https://ictv.global/id/ICTV19710121","ICTV19710121@prod")</f>
        <v>ICTV19710121@prod</v>
      </c>
    </row>
    <row r="56" spans="1:15" x14ac:dyDescent="0.2">
      <c r="A56">
        <v>3</v>
      </c>
      <c r="B56">
        <v>19750350</v>
      </c>
      <c r="C56">
        <v>19710167</v>
      </c>
      <c r="D56" t="s">
        <v>29</v>
      </c>
      <c r="E56" t="s">
        <v>1200</v>
      </c>
      <c r="G56" t="s">
        <v>1165</v>
      </c>
      <c r="L56" s="8" t="str">
        <f>HYPERLINK("https://test.ictv.global/id/TN19750350","TN19750350@TEST")</f>
        <v>TN19750350@TEST</v>
      </c>
      <c r="M56" s="8" t="str">
        <f>HYPERLINK("https://test.ictv.global/id/ICTV19710167","ICTV19710167@TEST")</f>
        <v>ICTV19710167@TEST</v>
      </c>
      <c r="N56" s="8" t="str">
        <f>HYPERLINK("https://ictv.global/id/TN19750350","TN19750350@prod")</f>
        <v>TN19750350@prod</v>
      </c>
      <c r="O56" s="8" t="str">
        <f>HYPERLINK("https://ictv.global/id/ICTV19710167","ICTV19710167@prod")</f>
        <v>ICTV19710167@prod</v>
      </c>
    </row>
    <row r="57" spans="1:15" x14ac:dyDescent="0.2">
      <c r="A57">
        <v>3</v>
      </c>
      <c r="B57">
        <v>19750362</v>
      </c>
      <c r="C57">
        <v>19710220</v>
      </c>
      <c r="D57" t="s">
        <v>29</v>
      </c>
      <c r="E57" t="s">
        <v>1201</v>
      </c>
      <c r="F57" t="s">
        <v>1202</v>
      </c>
      <c r="G57" t="s">
        <v>1165</v>
      </c>
      <c r="L57" s="8" t="str">
        <f>HYPERLINK("https://test.ictv.global/id/TN19750362","TN19750362@TEST")</f>
        <v>TN19750362@TEST</v>
      </c>
      <c r="M57" s="8" t="str">
        <f>HYPERLINK("https://test.ictv.global/id/ICTV19710220","ICTV19710220@TEST")</f>
        <v>ICTV19710220@TEST</v>
      </c>
      <c r="N57" s="8" t="str">
        <f>HYPERLINK("https://ictv.global/id/TN19750362","TN19750362@prod")</f>
        <v>TN19750362@prod</v>
      </c>
      <c r="O57" s="8" t="str">
        <f>HYPERLINK("https://ictv.global/id/ICTV19710220","ICTV19710220@prod")</f>
        <v>ICTV19710220@prod</v>
      </c>
    </row>
    <row r="58" spans="1:15" x14ac:dyDescent="0.2">
      <c r="A58">
        <v>3</v>
      </c>
      <c r="B58">
        <v>19750380</v>
      </c>
      <c r="C58">
        <v>19710257</v>
      </c>
      <c r="D58" t="s">
        <v>29</v>
      </c>
      <c r="E58" t="s">
        <v>1203</v>
      </c>
      <c r="G58" t="s">
        <v>1165</v>
      </c>
      <c r="L58" s="8" t="str">
        <f>HYPERLINK("https://test.ictv.global/id/TN19750380","TN19750380@TEST")</f>
        <v>TN19750380@TEST</v>
      </c>
      <c r="M58" s="8" t="str">
        <f>HYPERLINK("https://test.ictv.global/id/ICTV19710257","ICTV19710257@TEST")</f>
        <v>ICTV19710257@TEST</v>
      </c>
      <c r="N58" s="8" t="str">
        <f>HYPERLINK("https://ictv.global/id/TN19750380","TN19750380@prod")</f>
        <v>TN19750380@prod</v>
      </c>
      <c r="O58" s="8" t="str">
        <f>HYPERLINK("https://ictv.global/id/ICTV19710257","ICTV19710257@prod")</f>
        <v>ICTV19710257@prod</v>
      </c>
    </row>
    <row r="59" spans="1:15" x14ac:dyDescent="0.2">
      <c r="A59">
        <v>3</v>
      </c>
      <c r="B59">
        <v>19750413</v>
      </c>
      <c r="C59">
        <v>19710341</v>
      </c>
      <c r="D59" t="s">
        <v>29</v>
      </c>
      <c r="E59" t="s">
        <v>1204</v>
      </c>
      <c r="G59" t="s">
        <v>1165</v>
      </c>
      <c r="L59" s="8" t="str">
        <f>HYPERLINK("https://test.ictv.global/id/TN19750413","TN19750413@TEST")</f>
        <v>TN19750413@TEST</v>
      </c>
      <c r="M59" s="8" t="str">
        <f>HYPERLINK("https://test.ictv.global/id/ICTV19710341","ICTV19710341@TEST")</f>
        <v>ICTV19710341@TEST</v>
      </c>
      <c r="N59" s="8" t="str">
        <f>HYPERLINK("https://ictv.global/id/TN19750413","TN19750413@prod")</f>
        <v>TN19750413@prod</v>
      </c>
      <c r="O59" s="8" t="str">
        <f>HYPERLINK("https://ictv.global/id/ICTV19710341","ICTV19710341@prod")</f>
        <v>ICTV19710341@prod</v>
      </c>
    </row>
    <row r="60" spans="1:15" x14ac:dyDescent="0.2">
      <c r="A60">
        <v>4</v>
      </c>
      <c r="B60">
        <v>19760046</v>
      </c>
      <c r="C60">
        <v>19710027</v>
      </c>
      <c r="D60" t="s">
        <v>19</v>
      </c>
      <c r="E60" t="s">
        <v>1205</v>
      </c>
      <c r="G60" t="s">
        <v>1165</v>
      </c>
      <c r="L60" s="8" t="str">
        <f>HYPERLINK("https://test.ictv.global/id/TN19760046","TN19760046@TEST")</f>
        <v>TN19760046@TEST</v>
      </c>
      <c r="M60" s="8" t="str">
        <f>HYPERLINK("https://test.ictv.global/id/ICTV19710027","ICTV19710027@TEST")</f>
        <v>ICTV19710027@TEST</v>
      </c>
      <c r="N60" s="8" t="str">
        <f>HYPERLINK("https://ictv.global/id/TN19760046","TN19760046@prod")</f>
        <v>TN19760046@prod</v>
      </c>
      <c r="O60" s="8" t="str">
        <f>HYPERLINK("https://ictv.global/id/ICTV19710027","ICTV19710027@prod")</f>
        <v>ICTV19710027@prod</v>
      </c>
    </row>
    <row r="61" spans="1:15" x14ac:dyDescent="0.2">
      <c r="A61">
        <v>4</v>
      </c>
      <c r="B61">
        <v>19760070</v>
      </c>
      <c r="C61">
        <v>19760070</v>
      </c>
      <c r="D61" t="s">
        <v>19</v>
      </c>
      <c r="E61" t="s">
        <v>52</v>
      </c>
      <c r="G61" t="s">
        <v>53</v>
      </c>
      <c r="H61" t="s">
        <v>54</v>
      </c>
      <c r="I61" t="s">
        <v>19</v>
      </c>
      <c r="J61">
        <v>19780095</v>
      </c>
      <c r="K61">
        <v>19780095</v>
      </c>
      <c r="L61" s="8" t="str">
        <f>HYPERLINK("https://test.ictv.global/id/TN19760070","TN19760070@TEST")</f>
        <v>TN19760070@TEST</v>
      </c>
      <c r="M61" s="8" t="str">
        <f>HYPERLINK("https://test.ictv.global/id/ICTV19760070","ICTV19760070@TEST")</f>
        <v>ICTV19760070@TEST</v>
      </c>
      <c r="N61" s="8" t="str">
        <f>HYPERLINK("https://ictv.global/id/TN19760070","TN19760070@prod")</f>
        <v>TN19760070@prod</v>
      </c>
      <c r="O61" s="8" t="str">
        <f>HYPERLINK("https://ictv.global/id/ICTV19760070","ICTV19760070@prod")</f>
        <v>ICTV19760070@prod</v>
      </c>
    </row>
    <row r="62" spans="1:15" x14ac:dyDescent="0.2">
      <c r="A62">
        <v>4</v>
      </c>
      <c r="B62">
        <v>19760070</v>
      </c>
      <c r="C62">
        <v>19760070</v>
      </c>
      <c r="D62" t="s">
        <v>19</v>
      </c>
      <c r="E62" t="s">
        <v>52</v>
      </c>
      <c r="G62" t="s">
        <v>53</v>
      </c>
      <c r="H62" t="s">
        <v>55</v>
      </c>
      <c r="I62" t="s">
        <v>19</v>
      </c>
      <c r="J62">
        <v>19780097</v>
      </c>
      <c r="K62">
        <v>19780097</v>
      </c>
      <c r="L62" s="8" t="str">
        <f>HYPERLINK("https://test.ictv.global/id/TN19760070","TN19760070@TEST")</f>
        <v>TN19760070@TEST</v>
      </c>
      <c r="M62" s="8" t="str">
        <f>HYPERLINK("https://test.ictv.global/id/ICTV19760070","ICTV19760070@TEST")</f>
        <v>ICTV19760070@TEST</v>
      </c>
      <c r="N62" s="8" t="str">
        <f>HYPERLINK("https://ictv.global/id/TN19760070","TN19760070@prod")</f>
        <v>TN19760070@prod</v>
      </c>
      <c r="O62" s="8" t="str">
        <f>HYPERLINK("https://ictv.global/id/ICTV19760070","ICTV19760070@prod")</f>
        <v>ICTV19760070@prod</v>
      </c>
    </row>
    <row r="63" spans="1:15" x14ac:dyDescent="0.2">
      <c r="A63">
        <v>5</v>
      </c>
      <c r="B63">
        <v>19780141</v>
      </c>
      <c r="C63">
        <v>19760114</v>
      </c>
      <c r="D63" t="s">
        <v>29</v>
      </c>
      <c r="E63" t="s">
        <v>1206</v>
      </c>
      <c r="G63" t="s">
        <v>1165</v>
      </c>
      <c r="L63" s="8" t="str">
        <f>HYPERLINK("https://test.ictv.global/id/TN19780141","TN19780141@TEST")</f>
        <v>TN19780141@TEST</v>
      </c>
      <c r="M63" s="8" t="str">
        <f>HYPERLINK("https://test.ictv.global/id/ICTV19760114","ICTV19760114@TEST")</f>
        <v>ICTV19760114@TEST</v>
      </c>
      <c r="N63" s="8" t="str">
        <f>HYPERLINK("https://ictv.global/id/TN19780141","TN19780141@prod")</f>
        <v>TN19780141@prod</v>
      </c>
      <c r="O63" s="8" t="str">
        <f>HYPERLINK("https://ictv.global/id/ICTV19760114","ICTV19760114@prod")</f>
        <v>ICTV19760114@prod</v>
      </c>
    </row>
    <row r="64" spans="1:15" x14ac:dyDescent="0.2">
      <c r="A64">
        <v>5</v>
      </c>
      <c r="B64">
        <v>19780149</v>
      </c>
      <c r="C64">
        <v>19760122</v>
      </c>
      <c r="D64" t="s">
        <v>29</v>
      </c>
      <c r="E64" t="s">
        <v>1207</v>
      </c>
      <c r="G64" t="s">
        <v>1165</v>
      </c>
      <c r="L64" s="8" t="str">
        <f>HYPERLINK("https://test.ictv.global/id/TN19780149","TN19780149@TEST")</f>
        <v>TN19780149@TEST</v>
      </c>
      <c r="M64" s="8" t="str">
        <f>HYPERLINK("https://test.ictv.global/id/ICTV19760122","ICTV19760122@TEST")</f>
        <v>ICTV19760122@TEST</v>
      </c>
      <c r="N64" s="8" t="str">
        <f>HYPERLINK("https://ictv.global/id/TN19780149","TN19780149@prod")</f>
        <v>TN19780149@prod</v>
      </c>
      <c r="O64" s="8" t="str">
        <f>HYPERLINK("https://ictv.global/id/ICTV19760122","ICTV19760122@prod")</f>
        <v>ICTV19760122@prod</v>
      </c>
    </row>
    <row r="65" spans="1:15" x14ac:dyDescent="0.2">
      <c r="A65">
        <v>5</v>
      </c>
      <c r="B65">
        <v>19780175</v>
      </c>
      <c r="C65">
        <v>19760148</v>
      </c>
      <c r="D65" t="s">
        <v>29</v>
      </c>
      <c r="E65" t="s">
        <v>1208</v>
      </c>
      <c r="G65" t="s">
        <v>1165</v>
      </c>
      <c r="L65" s="8" t="str">
        <f>HYPERLINK("https://test.ictv.global/id/TN19780175","TN19780175@TEST")</f>
        <v>TN19780175@TEST</v>
      </c>
      <c r="M65" s="8" t="str">
        <f>HYPERLINK("https://test.ictv.global/id/ICTV19760148","ICTV19760148@TEST")</f>
        <v>ICTV19760148@TEST</v>
      </c>
      <c r="N65" s="8" t="str">
        <f>HYPERLINK("https://ictv.global/id/TN19780175","TN19780175@prod")</f>
        <v>TN19780175@prod</v>
      </c>
      <c r="O65" s="8" t="str">
        <f>HYPERLINK("https://ictv.global/id/ICTV19760148","ICTV19760148@prod")</f>
        <v>ICTV19760148@prod</v>
      </c>
    </row>
    <row r="66" spans="1:15" x14ac:dyDescent="0.2">
      <c r="A66">
        <v>5</v>
      </c>
      <c r="B66">
        <v>19780233</v>
      </c>
      <c r="C66">
        <v>19760206</v>
      </c>
      <c r="D66" t="s">
        <v>29</v>
      </c>
      <c r="E66" t="s">
        <v>1209</v>
      </c>
      <c r="G66" t="s">
        <v>1165</v>
      </c>
      <c r="L66" s="8" t="str">
        <f>HYPERLINK("https://test.ictv.global/id/TN19780233","TN19780233@TEST")</f>
        <v>TN19780233@TEST</v>
      </c>
      <c r="M66" s="8" t="str">
        <f>HYPERLINK("https://test.ictv.global/id/ICTV19760206","ICTV19760206@TEST")</f>
        <v>ICTV19760206@TEST</v>
      </c>
      <c r="N66" s="8" t="str">
        <f>HYPERLINK("https://ictv.global/id/TN19780233","TN19780233@prod")</f>
        <v>TN19780233@prod</v>
      </c>
      <c r="O66" s="8" t="str">
        <f>HYPERLINK("https://ictv.global/id/ICTV19760206","ICTV19760206@prod")</f>
        <v>ICTV19760206@prod</v>
      </c>
    </row>
    <row r="67" spans="1:15" x14ac:dyDescent="0.2">
      <c r="A67">
        <v>5</v>
      </c>
      <c r="B67">
        <v>19780253</v>
      </c>
      <c r="C67">
        <v>19760226</v>
      </c>
      <c r="D67" t="s">
        <v>29</v>
      </c>
      <c r="E67" t="s">
        <v>1210</v>
      </c>
      <c r="G67" t="s">
        <v>1165</v>
      </c>
      <c r="L67" s="8" t="str">
        <f>HYPERLINK("https://test.ictv.global/id/TN19780253","TN19780253@TEST")</f>
        <v>TN19780253@TEST</v>
      </c>
      <c r="M67" s="8" t="str">
        <f>HYPERLINK("https://test.ictv.global/id/ICTV19760226","ICTV19760226@TEST")</f>
        <v>ICTV19760226@TEST</v>
      </c>
      <c r="N67" s="8" t="str">
        <f>HYPERLINK("https://ictv.global/id/TN19780253","TN19780253@prod")</f>
        <v>TN19780253@prod</v>
      </c>
      <c r="O67" s="8" t="str">
        <f>HYPERLINK("https://ictv.global/id/ICTV19760226","ICTV19760226@prod")</f>
        <v>ICTV19760226@prod</v>
      </c>
    </row>
    <row r="68" spans="1:15" x14ac:dyDescent="0.2">
      <c r="A68">
        <v>5</v>
      </c>
      <c r="B68">
        <v>19780258</v>
      </c>
      <c r="C68">
        <v>19760231</v>
      </c>
      <c r="D68" t="s">
        <v>29</v>
      </c>
      <c r="E68" t="s">
        <v>967</v>
      </c>
      <c r="G68" t="s">
        <v>1165</v>
      </c>
      <c r="L68" s="8" t="str">
        <f>HYPERLINK("https://test.ictv.global/id/TN19780258","TN19780258@TEST")</f>
        <v>TN19780258@TEST</v>
      </c>
      <c r="M68" s="8" t="str">
        <f>HYPERLINK("https://test.ictv.global/id/ICTV19760231","ICTV19760231@TEST")</f>
        <v>ICTV19760231@TEST</v>
      </c>
      <c r="N68" s="8" t="str">
        <f>HYPERLINK("https://ictv.global/id/TN19780258","TN19780258@prod")</f>
        <v>TN19780258@prod</v>
      </c>
      <c r="O68" s="8" t="str">
        <f>HYPERLINK("https://ictv.global/id/ICTV19760231","ICTV19760231@prod")</f>
        <v>ICTV19760231@prod</v>
      </c>
    </row>
    <row r="69" spans="1:15" x14ac:dyDescent="0.2">
      <c r="A69">
        <v>5</v>
      </c>
      <c r="B69">
        <v>19780259</v>
      </c>
      <c r="C69">
        <v>19760232</v>
      </c>
      <c r="D69" t="s">
        <v>29</v>
      </c>
      <c r="E69" t="s">
        <v>1211</v>
      </c>
      <c r="G69" t="s">
        <v>1165</v>
      </c>
      <c r="L69" s="8" t="str">
        <f>HYPERLINK("https://test.ictv.global/id/TN19780259","TN19780259@TEST")</f>
        <v>TN19780259@TEST</v>
      </c>
      <c r="M69" s="8" t="str">
        <f>HYPERLINK("https://test.ictv.global/id/ICTV19760232","ICTV19760232@TEST")</f>
        <v>ICTV19760232@TEST</v>
      </c>
      <c r="N69" s="8" t="str">
        <f>HYPERLINK("https://ictv.global/id/TN19780259","TN19780259@prod")</f>
        <v>TN19780259@prod</v>
      </c>
      <c r="O69" s="8" t="str">
        <f>HYPERLINK("https://ictv.global/id/ICTV19760232","ICTV19760232@prod")</f>
        <v>ICTV19760232@prod</v>
      </c>
    </row>
    <row r="70" spans="1:15" x14ac:dyDescent="0.2">
      <c r="A70">
        <v>5</v>
      </c>
      <c r="B70">
        <v>19780260</v>
      </c>
      <c r="C70">
        <v>19760233</v>
      </c>
      <c r="D70" t="s">
        <v>29</v>
      </c>
      <c r="E70" t="s">
        <v>1212</v>
      </c>
      <c r="G70" t="s">
        <v>1165</v>
      </c>
      <c r="L70" s="8" t="str">
        <f>HYPERLINK("https://test.ictv.global/id/TN19780260","TN19780260@TEST")</f>
        <v>TN19780260@TEST</v>
      </c>
      <c r="M70" s="8" t="str">
        <f>HYPERLINK("https://test.ictv.global/id/ICTV19760233","ICTV19760233@TEST")</f>
        <v>ICTV19760233@TEST</v>
      </c>
      <c r="N70" s="8" t="str">
        <f>HYPERLINK("https://ictv.global/id/TN19780260","TN19780260@prod")</f>
        <v>TN19780260@prod</v>
      </c>
      <c r="O70" s="8" t="str">
        <f>HYPERLINK("https://ictv.global/id/ICTV19760233","ICTV19760233@prod")</f>
        <v>ICTV19760233@prod</v>
      </c>
    </row>
    <row r="71" spans="1:15" x14ac:dyDescent="0.2">
      <c r="A71">
        <v>5</v>
      </c>
      <c r="B71">
        <v>19780263</v>
      </c>
      <c r="C71">
        <v>19710181</v>
      </c>
      <c r="D71" t="s">
        <v>29</v>
      </c>
      <c r="E71" t="s">
        <v>1213</v>
      </c>
      <c r="G71" t="s">
        <v>1165</v>
      </c>
      <c r="L71" s="8" t="str">
        <f>HYPERLINK("https://test.ictv.global/id/TN19780263","TN19780263@TEST")</f>
        <v>TN19780263@TEST</v>
      </c>
      <c r="M71" s="8" t="str">
        <f>HYPERLINK("https://test.ictv.global/id/ICTV19710181","ICTV19710181@TEST")</f>
        <v>ICTV19710181@TEST</v>
      </c>
      <c r="N71" s="8" t="str">
        <f>HYPERLINK("https://ictv.global/id/TN19780263","TN19780263@prod")</f>
        <v>TN19780263@prod</v>
      </c>
      <c r="O71" s="8" t="str">
        <f>HYPERLINK("https://ictv.global/id/ICTV19710181","ICTV19710181@prod")</f>
        <v>ICTV19710181@prod</v>
      </c>
    </row>
    <row r="72" spans="1:15" x14ac:dyDescent="0.2">
      <c r="A72">
        <v>5</v>
      </c>
      <c r="B72">
        <v>19780264</v>
      </c>
      <c r="C72">
        <v>19760235</v>
      </c>
      <c r="D72" t="s">
        <v>29</v>
      </c>
      <c r="E72" t="s">
        <v>1214</v>
      </c>
      <c r="G72" t="s">
        <v>1165</v>
      </c>
      <c r="L72" s="8" t="str">
        <f>HYPERLINK("https://test.ictv.global/id/TN19780264","TN19780264@TEST")</f>
        <v>TN19780264@TEST</v>
      </c>
      <c r="M72" s="8" t="str">
        <f>HYPERLINK("https://test.ictv.global/id/ICTV19760235","ICTV19760235@TEST")</f>
        <v>ICTV19760235@TEST</v>
      </c>
      <c r="N72" s="8" t="str">
        <f>HYPERLINK("https://ictv.global/id/TN19780264","TN19780264@prod")</f>
        <v>TN19780264@prod</v>
      </c>
      <c r="O72" s="8" t="str">
        <f>HYPERLINK("https://ictv.global/id/ICTV19760235","ICTV19760235@prod")</f>
        <v>ICTV19760235@prod</v>
      </c>
    </row>
    <row r="73" spans="1:15" x14ac:dyDescent="0.2">
      <c r="A73">
        <v>5</v>
      </c>
      <c r="B73">
        <v>19780267</v>
      </c>
      <c r="C73">
        <v>19710191</v>
      </c>
      <c r="D73" t="s">
        <v>29</v>
      </c>
      <c r="E73" t="s">
        <v>1215</v>
      </c>
      <c r="G73" t="s">
        <v>1165</v>
      </c>
      <c r="L73" s="8" t="str">
        <f>HYPERLINK("https://test.ictv.global/id/TN19780267","TN19780267@TEST")</f>
        <v>TN19780267@TEST</v>
      </c>
      <c r="M73" s="8" t="str">
        <f>HYPERLINK("https://test.ictv.global/id/ICTV19710191","ICTV19710191@TEST")</f>
        <v>ICTV19710191@TEST</v>
      </c>
      <c r="N73" s="8" t="str">
        <f>HYPERLINK("https://ictv.global/id/TN19780267","TN19780267@prod")</f>
        <v>TN19780267@prod</v>
      </c>
      <c r="O73" s="8" t="str">
        <f>HYPERLINK("https://ictv.global/id/ICTV19710191","ICTV19710191@prod")</f>
        <v>ICTV19710191@prod</v>
      </c>
    </row>
    <row r="74" spans="1:15" x14ac:dyDescent="0.2">
      <c r="A74">
        <v>5</v>
      </c>
      <c r="B74">
        <v>19780269</v>
      </c>
      <c r="C74">
        <v>19710186</v>
      </c>
      <c r="D74" t="s">
        <v>29</v>
      </c>
      <c r="E74" t="s">
        <v>1216</v>
      </c>
      <c r="G74" t="s">
        <v>1165</v>
      </c>
      <c r="L74" s="8" t="str">
        <f>HYPERLINK("https://test.ictv.global/id/TN19780269","TN19780269@TEST")</f>
        <v>TN19780269@TEST</v>
      </c>
      <c r="M74" s="8" t="str">
        <f>HYPERLINK("https://test.ictv.global/id/ICTV19710186","ICTV19710186@TEST")</f>
        <v>ICTV19710186@TEST</v>
      </c>
      <c r="N74" s="8" t="str">
        <f>HYPERLINK("https://ictv.global/id/TN19780269","TN19780269@prod")</f>
        <v>TN19780269@prod</v>
      </c>
      <c r="O74" s="8" t="str">
        <f>HYPERLINK("https://ictv.global/id/ICTV19710186","ICTV19710186@prod")</f>
        <v>ICTV19710186@prod</v>
      </c>
    </row>
    <row r="75" spans="1:15" x14ac:dyDescent="0.2">
      <c r="A75">
        <v>5</v>
      </c>
      <c r="B75">
        <v>19780280</v>
      </c>
      <c r="C75">
        <v>19760250</v>
      </c>
      <c r="D75" t="s">
        <v>29</v>
      </c>
      <c r="E75" t="s">
        <v>1217</v>
      </c>
      <c r="G75" t="s">
        <v>1165</v>
      </c>
      <c r="L75" s="8" t="str">
        <f>HYPERLINK("https://test.ictv.global/id/TN19780280","TN19780280@TEST")</f>
        <v>TN19780280@TEST</v>
      </c>
      <c r="M75" s="8" t="str">
        <f>HYPERLINK("https://test.ictv.global/id/ICTV19760250","ICTV19760250@TEST")</f>
        <v>ICTV19760250@TEST</v>
      </c>
      <c r="N75" s="8" t="str">
        <f>HYPERLINK("https://ictv.global/id/TN19780280","TN19780280@prod")</f>
        <v>TN19780280@prod</v>
      </c>
      <c r="O75" s="8" t="str">
        <f>HYPERLINK("https://ictv.global/id/ICTV19760250","ICTV19760250@prod")</f>
        <v>ICTV19760250@prod</v>
      </c>
    </row>
    <row r="76" spans="1:15" x14ac:dyDescent="0.2">
      <c r="A76">
        <v>5</v>
      </c>
      <c r="B76">
        <v>19780282</v>
      </c>
      <c r="C76">
        <v>19760252</v>
      </c>
      <c r="D76" t="s">
        <v>29</v>
      </c>
      <c r="E76" t="s">
        <v>1218</v>
      </c>
      <c r="G76" t="s">
        <v>1165</v>
      </c>
      <c r="L76" s="8" t="str">
        <f>HYPERLINK("https://test.ictv.global/id/TN19780282","TN19780282@TEST")</f>
        <v>TN19780282@TEST</v>
      </c>
      <c r="M76" s="8" t="str">
        <f>HYPERLINK("https://test.ictv.global/id/ICTV19760252","ICTV19760252@TEST")</f>
        <v>ICTV19760252@TEST</v>
      </c>
      <c r="N76" s="8" t="str">
        <f>HYPERLINK("https://ictv.global/id/TN19780282","TN19780282@prod")</f>
        <v>TN19780282@prod</v>
      </c>
      <c r="O76" s="8" t="str">
        <f>HYPERLINK("https://ictv.global/id/ICTV19760252","ICTV19760252@prod")</f>
        <v>ICTV19760252@prod</v>
      </c>
    </row>
    <row r="77" spans="1:15" x14ac:dyDescent="0.2">
      <c r="A77">
        <v>5</v>
      </c>
      <c r="B77">
        <v>19780283</v>
      </c>
      <c r="C77">
        <v>19760253</v>
      </c>
      <c r="D77" t="s">
        <v>29</v>
      </c>
      <c r="E77" t="s">
        <v>1219</v>
      </c>
      <c r="G77" t="s">
        <v>1165</v>
      </c>
      <c r="L77" s="8" t="str">
        <f>HYPERLINK("https://test.ictv.global/id/TN19780283","TN19780283@TEST")</f>
        <v>TN19780283@TEST</v>
      </c>
      <c r="M77" s="8" t="str">
        <f>HYPERLINK("https://test.ictv.global/id/ICTV19760253","ICTV19760253@TEST")</f>
        <v>ICTV19760253@TEST</v>
      </c>
      <c r="N77" s="8" t="str">
        <f>HYPERLINK("https://ictv.global/id/TN19780283","TN19780283@prod")</f>
        <v>TN19780283@prod</v>
      </c>
      <c r="O77" s="8" t="str">
        <f>HYPERLINK("https://ictv.global/id/ICTV19760253","ICTV19760253@prod")</f>
        <v>ICTV19760253@prod</v>
      </c>
    </row>
    <row r="78" spans="1:15" x14ac:dyDescent="0.2">
      <c r="A78">
        <v>5</v>
      </c>
      <c r="B78">
        <v>19780284</v>
      </c>
      <c r="C78">
        <v>19760254</v>
      </c>
      <c r="D78" t="s">
        <v>29</v>
      </c>
      <c r="E78" t="s">
        <v>1220</v>
      </c>
      <c r="G78" t="s">
        <v>1165</v>
      </c>
      <c r="L78" s="8" t="str">
        <f>HYPERLINK("https://test.ictv.global/id/TN19780284","TN19780284@TEST")</f>
        <v>TN19780284@TEST</v>
      </c>
      <c r="M78" s="8" t="str">
        <f>HYPERLINK("https://test.ictv.global/id/ICTV19760254","ICTV19760254@TEST")</f>
        <v>ICTV19760254@TEST</v>
      </c>
      <c r="N78" s="8" t="str">
        <f>HYPERLINK("https://ictv.global/id/TN19780284","TN19780284@prod")</f>
        <v>TN19780284@prod</v>
      </c>
      <c r="O78" s="8" t="str">
        <f>HYPERLINK("https://ictv.global/id/ICTV19760254","ICTV19760254@prod")</f>
        <v>ICTV19760254@prod</v>
      </c>
    </row>
    <row r="79" spans="1:15" x14ac:dyDescent="0.2">
      <c r="A79">
        <v>5</v>
      </c>
      <c r="B79">
        <v>19780307</v>
      </c>
      <c r="C79">
        <v>19760799</v>
      </c>
      <c r="D79" t="s">
        <v>29</v>
      </c>
      <c r="E79" t="s">
        <v>1221</v>
      </c>
      <c r="G79" t="s">
        <v>1165</v>
      </c>
      <c r="L79" s="8" t="str">
        <f>HYPERLINK("https://test.ictv.global/id/TN19780307","TN19780307@TEST")</f>
        <v>TN19780307@TEST</v>
      </c>
      <c r="M79" s="8" t="str">
        <f>HYPERLINK("https://test.ictv.global/id/ICTV19760799","ICTV19760799@TEST")</f>
        <v>ICTV19760799@TEST</v>
      </c>
      <c r="N79" s="8" t="str">
        <f>HYPERLINK("https://ictv.global/id/TN19780307","TN19780307@prod")</f>
        <v>TN19780307@prod</v>
      </c>
      <c r="O79" s="8" t="str">
        <f>HYPERLINK("https://ictv.global/id/ICTV19760799","ICTV19760799@prod")</f>
        <v>ICTV19760799@prod</v>
      </c>
    </row>
    <row r="80" spans="1:15" x14ac:dyDescent="0.2">
      <c r="A80">
        <v>5</v>
      </c>
      <c r="B80">
        <v>19780387</v>
      </c>
      <c r="C80">
        <v>19710242</v>
      </c>
      <c r="D80" t="s">
        <v>29</v>
      </c>
      <c r="E80" t="s">
        <v>1222</v>
      </c>
      <c r="G80" t="s">
        <v>1165</v>
      </c>
      <c r="L80" s="8" t="str">
        <f>HYPERLINK("https://test.ictv.global/id/TN19780387","TN19780387@TEST")</f>
        <v>TN19780387@TEST</v>
      </c>
      <c r="M80" s="8" t="str">
        <f>HYPERLINK("https://test.ictv.global/id/ICTV19710242","ICTV19710242@TEST")</f>
        <v>ICTV19710242@TEST</v>
      </c>
      <c r="N80" s="8" t="str">
        <f>HYPERLINK("https://ictv.global/id/TN19780387","TN19780387@prod")</f>
        <v>TN19780387@prod</v>
      </c>
      <c r="O80" s="8" t="str">
        <f>HYPERLINK("https://ictv.global/id/ICTV19710242","ICTV19710242@prod")</f>
        <v>ICTV19710242@prod</v>
      </c>
    </row>
    <row r="81" spans="1:15" x14ac:dyDescent="0.2">
      <c r="A81">
        <v>5</v>
      </c>
      <c r="B81">
        <v>19780388</v>
      </c>
      <c r="C81">
        <v>19710069</v>
      </c>
      <c r="D81" t="s">
        <v>29</v>
      </c>
      <c r="E81" t="s">
        <v>56</v>
      </c>
      <c r="G81" t="s">
        <v>57</v>
      </c>
      <c r="H81" t="s">
        <v>58</v>
      </c>
      <c r="I81" t="s">
        <v>29</v>
      </c>
      <c r="J81">
        <v>19820653</v>
      </c>
      <c r="K81">
        <v>19791156</v>
      </c>
      <c r="L81" s="8" t="str">
        <f>HYPERLINK("https://test.ictv.global/id/TN19780388","TN19780388@TEST")</f>
        <v>TN19780388@TEST</v>
      </c>
      <c r="M81" s="8" t="str">
        <f>HYPERLINK("https://test.ictv.global/id/ICTV19710069","ICTV19710069@TEST")</f>
        <v>ICTV19710069@TEST</v>
      </c>
      <c r="N81" s="8" t="str">
        <f>HYPERLINK("https://ictv.global/id/TN19780388","TN19780388@prod")</f>
        <v>TN19780388@prod</v>
      </c>
      <c r="O81" s="8" t="str">
        <f>HYPERLINK("https://ictv.global/id/ICTV19710069","ICTV19710069@prod")</f>
        <v>ICTV19710069@prod</v>
      </c>
    </row>
    <row r="82" spans="1:15" x14ac:dyDescent="0.2">
      <c r="A82">
        <v>5</v>
      </c>
      <c r="B82">
        <v>19780388</v>
      </c>
      <c r="C82">
        <v>19710069</v>
      </c>
      <c r="D82" t="s">
        <v>29</v>
      </c>
      <c r="E82" t="s">
        <v>56</v>
      </c>
      <c r="G82" t="s">
        <v>53</v>
      </c>
      <c r="H82" t="s">
        <v>59</v>
      </c>
      <c r="I82" t="s">
        <v>29</v>
      </c>
      <c r="J82">
        <v>19820656</v>
      </c>
      <c r="K82">
        <v>19791157</v>
      </c>
      <c r="L82" s="8" t="str">
        <f>HYPERLINK("https://test.ictv.global/id/TN19780388","TN19780388@TEST")</f>
        <v>TN19780388@TEST</v>
      </c>
      <c r="M82" s="8" t="str">
        <f>HYPERLINK("https://test.ictv.global/id/ICTV19710069","ICTV19710069@TEST")</f>
        <v>ICTV19710069@TEST</v>
      </c>
      <c r="N82" s="8" t="str">
        <f>HYPERLINK("https://ictv.global/id/TN19780388","TN19780388@prod")</f>
        <v>TN19780388@prod</v>
      </c>
      <c r="O82" s="8" t="str">
        <f>HYPERLINK("https://ictv.global/id/ICTV19710069","ICTV19710069@prod")</f>
        <v>ICTV19710069@prod</v>
      </c>
    </row>
    <row r="83" spans="1:15" x14ac:dyDescent="0.2">
      <c r="A83">
        <v>5</v>
      </c>
      <c r="B83">
        <v>19780391</v>
      </c>
      <c r="C83">
        <v>19760317</v>
      </c>
      <c r="D83" t="s">
        <v>29</v>
      </c>
      <c r="E83" t="s">
        <v>1223</v>
      </c>
      <c r="G83" t="s">
        <v>1165</v>
      </c>
      <c r="L83" s="8" t="str">
        <f>HYPERLINK("https://test.ictv.global/id/TN19780391","TN19780391@TEST")</f>
        <v>TN19780391@TEST</v>
      </c>
      <c r="M83" s="8" t="str">
        <f>HYPERLINK("https://test.ictv.global/id/ICTV19760317","ICTV19760317@TEST")</f>
        <v>ICTV19760317@TEST</v>
      </c>
      <c r="N83" s="8" t="str">
        <f>HYPERLINK("https://ictv.global/id/TN19780391","TN19780391@prod")</f>
        <v>TN19780391@prod</v>
      </c>
      <c r="O83" s="8" t="str">
        <f>HYPERLINK("https://ictv.global/id/ICTV19760317","ICTV19760317@prod")</f>
        <v>ICTV19760317@prod</v>
      </c>
    </row>
    <row r="84" spans="1:15" x14ac:dyDescent="0.2">
      <c r="A84">
        <v>5</v>
      </c>
      <c r="B84">
        <v>19780392</v>
      </c>
      <c r="C84">
        <v>19710063</v>
      </c>
      <c r="D84" t="s">
        <v>29</v>
      </c>
      <c r="E84" t="s">
        <v>1224</v>
      </c>
      <c r="G84" t="s">
        <v>1165</v>
      </c>
      <c r="L84" s="8" t="str">
        <f>HYPERLINK("https://test.ictv.global/id/TN19780392","TN19780392@TEST")</f>
        <v>TN19780392@TEST</v>
      </c>
      <c r="M84" s="8" t="str">
        <f>HYPERLINK("https://test.ictv.global/id/ICTV19710063","ICTV19710063@TEST")</f>
        <v>ICTV19710063@TEST</v>
      </c>
      <c r="N84" s="8" t="str">
        <f>HYPERLINK("https://ictv.global/id/TN19780392","TN19780392@prod")</f>
        <v>TN19780392@prod</v>
      </c>
      <c r="O84" s="8" t="str">
        <f>HYPERLINK("https://ictv.global/id/ICTV19710063","ICTV19710063@prod")</f>
        <v>ICTV19710063@prod</v>
      </c>
    </row>
    <row r="85" spans="1:15" x14ac:dyDescent="0.2">
      <c r="A85">
        <v>5</v>
      </c>
      <c r="B85">
        <v>19780393</v>
      </c>
      <c r="C85">
        <v>19760319</v>
      </c>
      <c r="D85" t="s">
        <v>29</v>
      </c>
      <c r="E85" t="s">
        <v>60</v>
      </c>
      <c r="G85" t="s">
        <v>53</v>
      </c>
      <c r="H85" t="s">
        <v>61</v>
      </c>
      <c r="I85" t="s">
        <v>29</v>
      </c>
      <c r="J85">
        <v>19790488</v>
      </c>
      <c r="K85">
        <v>19790488</v>
      </c>
      <c r="L85" s="8" t="str">
        <f>HYPERLINK("https://test.ictv.global/id/TN19780393","TN19780393@TEST")</f>
        <v>TN19780393@TEST</v>
      </c>
      <c r="M85" s="8" t="str">
        <f>HYPERLINK("https://test.ictv.global/id/ICTV19760319","ICTV19760319@TEST")</f>
        <v>ICTV19760319@TEST</v>
      </c>
      <c r="N85" s="8" t="str">
        <f>HYPERLINK("https://ictv.global/id/TN19780393","TN19780393@prod")</f>
        <v>TN19780393@prod</v>
      </c>
      <c r="O85" s="8" t="str">
        <f>HYPERLINK("https://ictv.global/id/ICTV19760319","ICTV19760319@prod")</f>
        <v>ICTV19760319@prod</v>
      </c>
    </row>
    <row r="86" spans="1:15" x14ac:dyDescent="0.2">
      <c r="A86">
        <v>5</v>
      </c>
      <c r="B86">
        <v>19780393</v>
      </c>
      <c r="C86">
        <v>19760319</v>
      </c>
      <c r="D86" t="s">
        <v>29</v>
      </c>
      <c r="E86" t="s">
        <v>60</v>
      </c>
      <c r="G86" t="s">
        <v>53</v>
      </c>
      <c r="H86" t="s">
        <v>62</v>
      </c>
      <c r="I86" t="s">
        <v>29</v>
      </c>
      <c r="J86">
        <v>19790489</v>
      </c>
      <c r="K86">
        <v>19790489</v>
      </c>
      <c r="L86" s="8" t="str">
        <f>HYPERLINK("https://test.ictv.global/id/TN19780393","TN19780393@TEST")</f>
        <v>TN19780393@TEST</v>
      </c>
      <c r="M86" s="8" t="str">
        <f>HYPERLINK("https://test.ictv.global/id/ICTV19760319","ICTV19760319@TEST")</f>
        <v>ICTV19760319@TEST</v>
      </c>
      <c r="N86" s="8" t="str">
        <f>HYPERLINK("https://ictv.global/id/TN19780393","TN19780393@prod")</f>
        <v>TN19780393@prod</v>
      </c>
      <c r="O86" s="8" t="str">
        <f>HYPERLINK("https://ictv.global/id/ICTV19760319","ICTV19760319@prod")</f>
        <v>ICTV19760319@prod</v>
      </c>
    </row>
    <row r="87" spans="1:15" x14ac:dyDescent="0.2">
      <c r="A87">
        <v>5</v>
      </c>
      <c r="B87">
        <v>19780394</v>
      </c>
      <c r="C87">
        <v>19760321</v>
      </c>
      <c r="D87" t="s">
        <v>29</v>
      </c>
      <c r="E87" t="s">
        <v>1225</v>
      </c>
      <c r="G87" t="s">
        <v>1165</v>
      </c>
      <c r="L87" s="8" t="str">
        <f>HYPERLINK("https://test.ictv.global/id/TN19780394","TN19780394@TEST")</f>
        <v>TN19780394@TEST</v>
      </c>
      <c r="M87" s="8" t="str">
        <f>HYPERLINK("https://test.ictv.global/id/ICTV19760321","ICTV19760321@TEST")</f>
        <v>ICTV19760321@TEST</v>
      </c>
      <c r="N87" s="8" t="str">
        <f>HYPERLINK("https://ictv.global/id/TN19780394","TN19780394@prod")</f>
        <v>TN19780394@prod</v>
      </c>
      <c r="O87" s="8" t="str">
        <f>HYPERLINK("https://ictv.global/id/ICTV19760321","ICTV19760321@prod")</f>
        <v>ICTV19760321@prod</v>
      </c>
    </row>
    <row r="88" spans="1:15" x14ac:dyDescent="0.2">
      <c r="A88">
        <v>5</v>
      </c>
      <c r="B88">
        <v>19780395</v>
      </c>
      <c r="C88">
        <v>19710064</v>
      </c>
      <c r="D88" t="s">
        <v>29</v>
      </c>
      <c r="E88" t="s">
        <v>1226</v>
      </c>
      <c r="G88" t="s">
        <v>1165</v>
      </c>
      <c r="L88" s="8" t="str">
        <f>HYPERLINK("https://test.ictv.global/id/TN19780395","TN19780395@TEST")</f>
        <v>TN19780395@TEST</v>
      </c>
      <c r="M88" s="8" t="str">
        <f>HYPERLINK("https://test.ictv.global/id/ICTV19710064","ICTV19710064@TEST")</f>
        <v>ICTV19710064@TEST</v>
      </c>
      <c r="N88" s="8" t="str">
        <f>HYPERLINK("https://ictv.global/id/TN19780395","TN19780395@prod")</f>
        <v>TN19780395@prod</v>
      </c>
      <c r="O88" s="8" t="str">
        <f>HYPERLINK("https://ictv.global/id/ICTV19710064","ICTV19710064@prod")</f>
        <v>ICTV19710064@prod</v>
      </c>
    </row>
    <row r="89" spans="1:15" x14ac:dyDescent="0.2">
      <c r="A89">
        <v>5</v>
      </c>
      <c r="B89">
        <v>19780396</v>
      </c>
      <c r="C89">
        <v>19760323</v>
      </c>
      <c r="D89" t="s">
        <v>29</v>
      </c>
      <c r="E89" t="s">
        <v>1227</v>
      </c>
      <c r="G89" t="s">
        <v>1165</v>
      </c>
      <c r="L89" s="8" t="str">
        <f>HYPERLINK("https://test.ictv.global/id/TN19780396","TN19780396@TEST")</f>
        <v>TN19780396@TEST</v>
      </c>
      <c r="M89" s="8" t="str">
        <f>HYPERLINK("https://test.ictv.global/id/ICTV19760323","ICTV19760323@TEST")</f>
        <v>ICTV19760323@TEST</v>
      </c>
      <c r="N89" s="8" t="str">
        <f>HYPERLINK("https://ictv.global/id/TN19780396","TN19780396@prod")</f>
        <v>TN19780396@prod</v>
      </c>
      <c r="O89" s="8" t="str">
        <f>HYPERLINK("https://ictv.global/id/ICTV19760323","ICTV19760323@prod")</f>
        <v>ICTV19760323@prod</v>
      </c>
    </row>
    <row r="90" spans="1:15" x14ac:dyDescent="0.2">
      <c r="A90">
        <v>5</v>
      </c>
      <c r="B90">
        <v>19780397</v>
      </c>
      <c r="C90">
        <v>19760324</v>
      </c>
      <c r="D90" t="s">
        <v>29</v>
      </c>
      <c r="E90" t="s">
        <v>63</v>
      </c>
      <c r="G90" t="s">
        <v>53</v>
      </c>
      <c r="H90" t="s">
        <v>64</v>
      </c>
      <c r="I90" t="s">
        <v>29</v>
      </c>
      <c r="J90">
        <v>19790551</v>
      </c>
      <c r="K90">
        <v>19790551</v>
      </c>
      <c r="L90" s="8" t="str">
        <f>HYPERLINK("https://test.ictv.global/id/TN19780397","TN19780397@TEST")</f>
        <v>TN19780397@TEST</v>
      </c>
      <c r="M90" s="8" t="str">
        <f>HYPERLINK("https://test.ictv.global/id/ICTV19760324","ICTV19760324@TEST")</f>
        <v>ICTV19760324@TEST</v>
      </c>
      <c r="N90" s="8" t="str">
        <f>HYPERLINK("https://ictv.global/id/TN19780397","TN19780397@prod")</f>
        <v>TN19780397@prod</v>
      </c>
      <c r="O90" s="8" t="str">
        <f>HYPERLINK("https://ictv.global/id/ICTV19760324","ICTV19760324@prod")</f>
        <v>ICTV19760324@prod</v>
      </c>
    </row>
    <row r="91" spans="1:15" x14ac:dyDescent="0.2">
      <c r="A91">
        <v>5</v>
      </c>
      <c r="B91">
        <v>19780397</v>
      </c>
      <c r="C91">
        <v>19760324</v>
      </c>
      <c r="D91" t="s">
        <v>29</v>
      </c>
      <c r="E91" t="s">
        <v>63</v>
      </c>
      <c r="G91" t="s">
        <v>53</v>
      </c>
      <c r="H91" t="s">
        <v>65</v>
      </c>
      <c r="I91" t="s">
        <v>29</v>
      </c>
      <c r="J91">
        <v>19790552</v>
      </c>
      <c r="K91">
        <v>19790552</v>
      </c>
      <c r="L91" s="8" t="str">
        <f>HYPERLINK("https://test.ictv.global/id/TN19780397","TN19780397@TEST")</f>
        <v>TN19780397@TEST</v>
      </c>
      <c r="M91" s="8" t="str">
        <f>HYPERLINK("https://test.ictv.global/id/ICTV19760324","ICTV19760324@TEST")</f>
        <v>ICTV19760324@TEST</v>
      </c>
      <c r="N91" s="8" t="str">
        <f>HYPERLINK("https://ictv.global/id/TN19780397","TN19780397@prod")</f>
        <v>TN19780397@prod</v>
      </c>
      <c r="O91" s="8" t="str">
        <f>HYPERLINK("https://ictv.global/id/ICTV19760324","ICTV19760324@prod")</f>
        <v>ICTV19760324@prod</v>
      </c>
    </row>
    <row r="92" spans="1:15" x14ac:dyDescent="0.2">
      <c r="A92">
        <v>5</v>
      </c>
      <c r="B92">
        <v>19780397</v>
      </c>
      <c r="C92">
        <v>19760324</v>
      </c>
      <c r="D92" t="s">
        <v>29</v>
      </c>
      <c r="E92" t="s">
        <v>63</v>
      </c>
      <c r="G92" t="s">
        <v>53</v>
      </c>
      <c r="H92" t="s">
        <v>66</v>
      </c>
      <c r="I92" t="s">
        <v>29</v>
      </c>
      <c r="J92">
        <v>19790553</v>
      </c>
      <c r="K92">
        <v>19790553</v>
      </c>
      <c r="L92" s="8" t="str">
        <f>HYPERLINK("https://test.ictv.global/id/TN19780397","TN19780397@TEST")</f>
        <v>TN19780397@TEST</v>
      </c>
      <c r="M92" s="8" t="str">
        <f>HYPERLINK("https://test.ictv.global/id/ICTV19760324","ICTV19760324@TEST")</f>
        <v>ICTV19760324@TEST</v>
      </c>
      <c r="N92" s="8" t="str">
        <f>HYPERLINK("https://ictv.global/id/TN19780397","TN19780397@prod")</f>
        <v>TN19780397@prod</v>
      </c>
      <c r="O92" s="8" t="str">
        <f>HYPERLINK("https://ictv.global/id/ICTV19760324","ICTV19760324@prod")</f>
        <v>ICTV19760324@prod</v>
      </c>
    </row>
    <row r="93" spans="1:15" x14ac:dyDescent="0.2">
      <c r="A93">
        <v>5</v>
      </c>
      <c r="B93">
        <v>19780397</v>
      </c>
      <c r="C93">
        <v>19760324</v>
      </c>
      <c r="D93" t="s">
        <v>29</v>
      </c>
      <c r="E93" t="s">
        <v>63</v>
      </c>
      <c r="G93" t="s">
        <v>53</v>
      </c>
      <c r="H93" t="s">
        <v>67</v>
      </c>
      <c r="I93" t="s">
        <v>29</v>
      </c>
      <c r="J93">
        <v>19790554</v>
      </c>
      <c r="K93">
        <v>19790554</v>
      </c>
      <c r="L93" s="8" t="str">
        <f>HYPERLINK("https://test.ictv.global/id/TN19780397","TN19780397@TEST")</f>
        <v>TN19780397@TEST</v>
      </c>
      <c r="M93" s="8" t="str">
        <f>HYPERLINK("https://test.ictv.global/id/ICTV19760324","ICTV19760324@TEST")</f>
        <v>ICTV19760324@TEST</v>
      </c>
      <c r="N93" s="8" t="str">
        <f>HYPERLINK("https://ictv.global/id/TN19780397","TN19780397@prod")</f>
        <v>TN19780397@prod</v>
      </c>
      <c r="O93" s="8" t="str">
        <f>HYPERLINK("https://ictv.global/id/ICTV19760324","ICTV19760324@prod")</f>
        <v>ICTV19760324@prod</v>
      </c>
    </row>
    <row r="94" spans="1:15" x14ac:dyDescent="0.2">
      <c r="A94">
        <v>5</v>
      </c>
      <c r="B94">
        <v>19780399</v>
      </c>
      <c r="C94">
        <v>19760327</v>
      </c>
      <c r="D94" t="s">
        <v>29</v>
      </c>
      <c r="E94" t="s">
        <v>68</v>
      </c>
      <c r="G94" t="s">
        <v>53</v>
      </c>
      <c r="H94" t="s">
        <v>69</v>
      </c>
      <c r="I94" t="s">
        <v>29</v>
      </c>
      <c r="J94">
        <v>19991260</v>
      </c>
      <c r="K94">
        <v>19790559</v>
      </c>
      <c r="L94" s="8" t="str">
        <f>HYPERLINK("https://test.ictv.global/id/TN19780399","TN19780399@TEST")</f>
        <v>TN19780399@TEST</v>
      </c>
      <c r="M94" s="8" t="str">
        <f>HYPERLINK("https://test.ictv.global/id/ICTV19760327","ICTV19760327@TEST")</f>
        <v>ICTV19760327@TEST</v>
      </c>
      <c r="N94" s="8" t="str">
        <f>HYPERLINK("https://ictv.global/id/TN19780399","TN19780399@prod")</f>
        <v>TN19780399@prod</v>
      </c>
      <c r="O94" s="8" t="str">
        <f>HYPERLINK("https://ictv.global/id/ICTV19760327","ICTV19760327@prod")</f>
        <v>ICTV19760327@prod</v>
      </c>
    </row>
    <row r="95" spans="1:15" x14ac:dyDescent="0.2">
      <c r="A95">
        <v>5</v>
      </c>
      <c r="B95">
        <v>19780399</v>
      </c>
      <c r="C95">
        <v>19760327</v>
      </c>
      <c r="D95" t="s">
        <v>29</v>
      </c>
      <c r="E95" t="s">
        <v>68</v>
      </c>
      <c r="G95" t="s">
        <v>53</v>
      </c>
      <c r="H95" t="s">
        <v>70</v>
      </c>
      <c r="I95" t="s">
        <v>29</v>
      </c>
      <c r="J95">
        <v>19790560</v>
      </c>
      <c r="K95">
        <v>19790560</v>
      </c>
      <c r="L95" s="8" t="str">
        <f>HYPERLINK("https://test.ictv.global/id/TN19780399","TN19780399@TEST")</f>
        <v>TN19780399@TEST</v>
      </c>
      <c r="M95" s="8" t="str">
        <f>HYPERLINK("https://test.ictv.global/id/ICTV19760327","ICTV19760327@TEST")</f>
        <v>ICTV19760327@TEST</v>
      </c>
      <c r="N95" s="8" t="str">
        <f>HYPERLINK("https://ictv.global/id/TN19780399","TN19780399@prod")</f>
        <v>TN19780399@prod</v>
      </c>
      <c r="O95" s="8" t="str">
        <f>HYPERLINK("https://ictv.global/id/ICTV19760327","ICTV19760327@prod")</f>
        <v>ICTV19760327@prod</v>
      </c>
    </row>
    <row r="96" spans="1:15" x14ac:dyDescent="0.2">
      <c r="A96">
        <v>5</v>
      </c>
      <c r="B96">
        <v>19780399</v>
      </c>
      <c r="C96">
        <v>19760327</v>
      </c>
      <c r="D96" t="s">
        <v>29</v>
      </c>
      <c r="E96" t="s">
        <v>68</v>
      </c>
      <c r="G96" t="s">
        <v>53</v>
      </c>
      <c r="H96" t="s">
        <v>71</v>
      </c>
      <c r="I96" t="s">
        <v>29</v>
      </c>
      <c r="J96">
        <v>19790561</v>
      </c>
      <c r="K96">
        <v>19790561</v>
      </c>
      <c r="L96" s="8" t="str">
        <f>HYPERLINK("https://test.ictv.global/id/TN19780399","TN19780399@TEST")</f>
        <v>TN19780399@TEST</v>
      </c>
      <c r="M96" s="8" t="str">
        <f>HYPERLINK("https://test.ictv.global/id/ICTV19760327","ICTV19760327@TEST")</f>
        <v>ICTV19760327@TEST</v>
      </c>
      <c r="N96" s="8" t="str">
        <f>HYPERLINK("https://ictv.global/id/TN19780399","TN19780399@prod")</f>
        <v>TN19780399@prod</v>
      </c>
      <c r="O96" s="8" t="str">
        <f>HYPERLINK("https://ictv.global/id/ICTV19760327","ICTV19760327@prod")</f>
        <v>ICTV19760327@prod</v>
      </c>
    </row>
    <row r="97" spans="1:15" x14ac:dyDescent="0.2">
      <c r="A97">
        <v>5</v>
      </c>
      <c r="B97">
        <v>19780399</v>
      </c>
      <c r="C97">
        <v>19760327</v>
      </c>
      <c r="D97" t="s">
        <v>29</v>
      </c>
      <c r="E97" t="s">
        <v>68</v>
      </c>
      <c r="G97" t="s">
        <v>53</v>
      </c>
      <c r="H97" t="s">
        <v>72</v>
      </c>
      <c r="I97" t="s">
        <v>29</v>
      </c>
      <c r="J97">
        <v>19790562</v>
      </c>
      <c r="K97">
        <v>19790562</v>
      </c>
      <c r="L97" s="8" t="str">
        <f>HYPERLINK("https://test.ictv.global/id/TN19780399","TN19780399@TEST")</f>
        <v>TN19780399@TEST</v>
      </c>
      <c r="M97" s="8" t="str">
        <f>HYPERLINK("https://test.ictv.global/id/ICTV19760327","ICTV19760327@TEST")</f>
        <v>ICTV19760327@TEST</v>
      </c>
      <c r="N97" s="8" t="str">
        <f>HYPERLINK("https://ictv.global/id/TN19780399","TN19780399@prod")</f>
        <v>TN19780399@prod</v>
      </c>
      <c r="O97" s="8" t="str">
        <f>HYPERLINK("https://ictv.global/id/ICTV19760327","ICTV19760327@prod")</f>
        <v>ICTV19760327@prod</v>
      </c>
    </row>
    <row r="98" spans="1:15" x14ac:dyDescent="0.2">
      <c r="A98">
        <v>5</v>
      </c>
      <c r="B98">
        <v>19780399</v>
      </c>
      <c r="C98">
        <v>19760327</v>
      </c>
      <c r="D98" t="s">
        <v>29</v>
      </c>
      <c r="E98" t="s">
        <v>68</v>
      </c>
      <c r="G98" t="s">
        <v>53</v>
      </c>
      <c r="H98" t="s">
        <v>73</v>
      </c>
      <c r="I98" t="s">
        <v>29</v>
      </c>
      <c r="J98">
        <v>19790563</v>
      </c>
      <c r="K98">
        <v>19790563</v>
      </c>
      <c r="L98" s="8" t="str">
        <f>HYPERLINK("https://test.ictv.global/id/TN19780399","TN19780399@TEST")</f>
        <v>TN19780399@TEST</v>
      </c>
      <c r="M98" s="8" t="str">
        <f>HYPERLINK("https://test.ictv.global/id/ICTV19760327","ICTV19760327@TEST")</f>
        <v>ICTV19760327@TEST</v>
      </c>
      <c r="N98" s="8" t="str">
        <f>HYPERLINK("https://ictv.global/id/TN19780399","TN19780399@prod")</f>
        <v>TN19780399@prod</v>
      </c>
      <c r="O98" s="8" t="str">
        <f>HYPERLINK("https://ictv.global/id/ICTV19760327","ICTV19760327@prod")</f>
        <v>ICTV19760327@prod</v>
      </c>
    </row>
    <row r="99" spans="1:15" x14ac:dyDescent="0.2">
      <c r="A99">
        <v>5</v>
      </c>
      <c r="B99">
        <v>19780399</v>
      </c>
      <c r="C99">
        <v>19760327</v>
      </c>
      <c r="D99" t="s">
        <v>29</v>
      </c>
      <c r="E99" t="s">
        <v>68</v>
      </c>
      <c r="G99" t="s">
        <v>53</v>
      </c>
      <c r="H99" t="s">
        <v>74</v>
      </c>
      <c r="I99" t="s">
        <v>29</v>
      </c>
      <c r="J99">
        <v>19790564</v>
      </c>
      <c r="K99">
        <v>19790564</v>
      </c>
      <c r="L99" s="8" t="str">
        <f>HYPERLINK("https://test.ictv.global/id/TN19780399","TN19780399@TEST")</f>
        <v>TN19780399@TEST</v>
      </c>
      <c r="M99" s="8" t="str">
        <f>HYPERLINK("https://test.ictv.global/id/ICTV19760327","ICTV19760327@TEST")</f>
        <v>ICTV19760327@TEST</v>
      </c>
      <c r="N99" s="8" t="str">
        <f>HYPERLINK("https://ictv.global/id/TN19780399","TN19780399@prod")</f>
        <v>TN19780399@prod</v>
      </c>
      <c r="O99" s="8" t="str">
        <f>HYPERLINK("https://ictv.global/id/ICTV19760327","ICTV19760327@prod")</f>
        <v>ICTV19760327@prod</v>
      </c>
    </row>
    <row r="100" spans="1:15" x14ac:dyDescent="0.2">
      <c r="A100">
        <v>5</v>
      </c>
      <c r="B100">
        <v>19780399</v>
      </c>
      <c r="C100">
        <v>19760327</v>
      </c>
      <c r="D100" t="s">
        <v>29</v>
      </c>
      <c r="E100" t="s">
        <v>68</v>
      </c>
      <c r="G100" t="s">
        <v>53</v>
      </c>
      <c r="H100" t="s">
        <v>75</v>
      </c>
      <c r="I100" t="s">
        <v>29</v>
      </c>
      <c r="J100">
        <v>19790565</v>
      </c>
      <c r="K100">
        <v>19790565</v>
      </c>
      <c r="L100" s="8" t="str">
        <f>HYPERLINK("https://test.ictv.global/id/TN19780399","TN19780399@TEST")</f>
        <v>TN19780399@TEST</v>
      </c>
      <c r="M100" s="8" t="str">
        <f>HYPERLINK("https://test.ictv.global/id/ICTV19760327","ICTV19760327@TEST")</f>
        <v>ICTV19760327@TEST</v>
      </c>
      <c r="N100" s="8" t="str">
        <f>HYPERLINK("https://ictv.global/id/TN19780399","TN19780399@prod")</f>
        <v>TN19780399@prod</v>
      </c>
      <c r="O100" s="8" t="str">
        <f>HYPERLINK("https://ictv.global/id/ICTV19760327","ICTV19760327@prod")</f>
        <v>ICTV19760327@prod</v>
      </c>
    </row>
    <row r="101" spans="1:15" x14ac:dyDescent="0.2">
      <c r="A101">
        <v>5</v>
      </c>
      <c r="B101">
        <v>19780399</v>
      </c>
      <c r="C101">
        <v>19760327</v>
      </c>
      <c r="D101" t="s">
        <v>29</v>
      </c>
      <c r="E101" t="s">
        <v>68</v>
      </c>
      <c r="G101" t="s">
        <v>53</v>
      </c>
      <c r="H101" t="s">
        <v>76</v>
      </c>
      <c r="I101" t="s">
        <v>29</v>
      </c>
      <c r="J101">
        <v>19790566</v>
      </c>
      <c r="K101">
        <v>19790566</v>
      </c>
      <c r="L101" s="8" t="str">
        <f>HYPERLINK("https://test.ictv.global/id/TN19780399","TN19780399@TEST")</f>
        <v>TN19780399@TEST</v>
      </c>
      <c r="M101" s="8" t="str">
        <f>HYPERLINK("https://test.ictv.global/id/ICTV19760327","ICTV19760327@TEST")</f>
        <v>ICTV19760327@TEST</v>
      </c>
      <c r="N101" s="8" t="str">
        <f>HYPERLINK("https://ictv.global/id/TN19780399","TN19780399@prod")</f>
        <v>TN19780399@prod</v>
      </c>
      <c r="O101" s="8" t="str">
        <f>HYPERLINK("https://ictv.global/id/ICTV19760327","ICTV19760327@prod")</f>
        <v>ICTV19760327@prod</v>
      </c>
    </row>
    <row r="102" spans="1:15" x14ac:dyDescent="0.2">
      <c r="A102">
        <v>5</v>
      </c>
      <c r="B102">
        <v>19780400</v>
      </c>
      <c r="C102">
        <v>19760328</v>
      </c>
      <c r="D102" t="s">
        <v>29</v>
      </c>
      <c r="E102" t="s">
        <v>77</v>
      </c>
      <c r="G102" t="s">
        <v>53</v>
      </c>
      <c r="H102" t="s">
        <v>78</v>
      </c>
      <c r="I102" t="s">
        <v>29</v>
      </c>
      <c r="J102">
        <v>19790567</v>
      </c>
      <c r="K102">
        <v>19790567</v>
      </c>
      <c r="L102" s="8" t="str">
        <f>HYPERLINK("https://test.ictv.global/id/TN19780400","TN19780400@TEST")</f>
        <v>TN19780400@TEST</v>
      </c>
      <c r="M102" s="8" t="str">
        <f>HYPERLINK("https://test.ictv.global/id/ICTV19760328","ICTV19760328@TEST")</f>
        <v>ICTV19760328@TEST</v>
      </c>
      <c r="N102" s="8" t="str">
        <f>HYPERLINK("https://ictv.global/id/TN19780400","TN19780400@prod")</f>
        <v>TN19780400@prod</v>
      </c>
      <c r="O102" s="8" t="str">
        <f>HYPERLINK("https://ictv.global/id/ICTV19760328","ICTV19760328@prod")</f>
        <v>ICTV19760328@prod</v>
      </c>
    </row>
    <row r="103" spans="1:15" x14ac:dyDescent="0.2">
      <c r="A103">
        <v>5</v>
      </c>
      <c r="B103">
        <v>19780400</v>
      </c>
      <c r="C103">
        <v>19760328</v>
      </c>
      <c r="D103" t="s">
        <v>29</v>
      </c>
      <c r="E103" t="s">
        <v>77</v>
      </c>
      <c r="G103" t="s">
        <v>53</v>
      </c>
      <c r="H103" t="s">
        <v>79</v>
      </c>
      <c r="I103" t="s">
        <v>29</v>
      </c>
      <c r="J103">
        <v>19790568</v>
      </c>
      <c r="K103">
        <v>19790568</v>
      </c>
      <c r="L103" s="8" t="str">
        <f>HYPERLINK("https://test.ictv.global/id/TN19780400","TN19780400@TEST")</f>
        <v>TN19780400@TEST</v>
      </c>
      <c r="M103" s="8" t="str">
        <f>HYPERLINK("https://test.ictv.global/id/ICTV19760328","ICTV19760328@TEST")</f>
        <v>ICTV19760328@TEST</v>
      </c>
      <c r="N103" s="8" t="str">
        <f>HYPERLINK("https://ictv.global/id/TN19780400","TN19780400@prod")</f>
        <v>TN19780400@prod</v>
      </c>
      <c r="O103" s="8" t="str">
        <f>HYPERLINK("https://ictv.global/id/ICTV19760328","ICTV19760328@prod")</f>
        <v>ICTV19760328@prod</v>
      </c>
    </row>
    <row r="104" spans="1:15" x14ac:dyDescent="0.2">
      <c r="A104">
        <v>5</v>
      </c>
      <c r="B104">
        <v>19780400</v>
      </c>
      <c r="C104">
        <v>19760328</v>
      </c>
      <c r="D104" t="s">
        <v>29</v>
      </c>
      <c r="E104" t="s">
        <v>77</v>
      </c>
      <c r="G104" t="s">
        <v>53</v>
      </c>
      <c r="H104" t="s">
        <v>80</v>
      </c>
      <c r="I104" t="s">
        <v>29</v>
      </c>
      <c r="J104">
        <v>19790569</v>
      </c>
      <c r="K104">
        <v>19790569</v>
      </c>
      <c r="L104" s="8" t="str">
        <f>HYPERLINK("https://test.ictv.global/id/TN19780400","TN19780400@TEST")</f>
        <v>TN19780400@TEST</v>
      </c>
      <c r="M104" s="8" t="str">
        <f>HYPERLINK("https://test.ictv.global/id/ICTV19760328","ICTV19760328@TEST")</f>
        <v>ICTV19760328@TEST</v>
      </c>
      <c r="N104" s="8" t="str">
        <f>HYPERLINK("https://ictv.global/id/TN19780400","TN19780400@prod")</f>
        <v>TN19780400@prod</v>
      </c>
      <c r="O104" s="8" t="str">
        <f>HYPERLINK("https://ictv.global/id/ICTV19760328","ICTV19760328@prod")</f>
        <v>ICTV19760328@prod</v>
      </c>
    </row>
    <row r="105" spans="1:15" x14ac:dyDescent="0.2">
      <c r="A105">
        <v>5</v>
      </c>
      <c r="B105">
        <v>19780400</v>
      </c>
      <c r="C105">
        <v>19760328</v>
      </c>
      <c r="D105" t="s">
        <v>29</v>
      </c>
      <c r="E105" t="s">
        <v>77</v>
      </c>
      <c r="G105" t="s">
        <v>53</v>
      </c>
      <c r="H105" t="s">
        <v>81</v>
      </c>
      <c r="I105" t="s">
        <v>29</v>
      </c>
      <c r="J105">
        <v>19790570</v>
      </c>
      <c r="K105">
        <v>19790570</v>
      </c>
      <c r="L105" s="8" t="str">
        <f>HYPERLINK("https://test.ictv.global/id/TN19780400","TN19780400@TEST")</f>
        <v>TN19780400@TEST</v>
      </c>
      <c r="M105" s="8" t="str">
        <f>HYPERLINK("https://test.ictv.global/id/ICTV19760328","ICTV19760328@TEST")</f>
        <v>ICTV19760328@TEST</v>
      </c>
      <c r="N105" s="8" t="str">
        <f>HYPERLINK("https://ictv.global/id/TN19780400","TN19780400@prod")</f>
        <v>TN19780400@prod</v>
      </c>
      <c r="O105" s="8" t="str">
        <f>HYPERLINK("https://ictv.global/id/ICTV19760328","ICTV19760328@prod")</f>
        <v>ICTV19760328@prod</v>
      </c>
    </row>
    <row r="106" spans="1:15" x14ac:dyDescent="0.2">
      <c r="A106">
        <v>5</v>
      </c>
      <c r="B106">
        <v>19780400</v>
      </c>
      <c r="C106">
        <v>19760328</v>
      </c>
      <c r="D106" t="s">
        <v>29</v>
      </c>
      <c r="E106" t="s">
        <v>77</v>
      </c>
      <c r="G106" t="s">
        <v>53</v>
      </c>
      <c r="H106" t="s">
        <v>82</v>
      </c>
      <c r="I106" t="s">
        <v>29</v>
      </c>
      <c r="J106">
        <v>19790571</v>
      </c>
      <c r="K106">
        <v>19790571</v>
      </c>
      <c r="L106" s="8" t="str">
        <f>HYPERLINK("https://test.ictv.global/id/TN19780400","TN19780400@TEST")</f>
        <v>TN19780400@TEST</v>
      </c>
      <c r="M106" s="8" t="str">
        <f>HYPERLINK("https://test.ictv.global/id/ICTV19760328","ICTV19760328@TEST")</f>
        <v>ICTV19760328@TEST</v>
      </c>
      <c r="N106" s="8" t="str">
        <f>HYPERLINK("https://ictv.global/id/TN19780400","TN19780400@prod")</f>
        <v>TN19780400@prod</v>
      </c>
      <c r="O106" s="8" t="str">
        <f>HYPERLINK("https://ictv.global/id/ICTV19760328","ICTV19760328@prod")</f>
        <v>ICTV19760328@prod</v>
      </c>
    </row>
    <row r="107" spans="1:15" x14ac:dyDescent="0.2">
      <c r="A107">
        <v>5</v>
      </c>
      <c r="B107">
        <v>19780400</v>
      </c>
      <c r="C107">
        <v>19760328</v>
      </c>
      <c r="D107" t="s">
        <v>29</v>
      </c>
      <c r="E107" t="s">
        <v>77</v>
      </c>
      <c r="G107" t="s">
        <v>53</v>
      </c>
      <c r="H107" t="s">
        <v>83</v>
      </c>
      <c r="I107" t="s">
        <v>29</v>
      </c>
      <c r="J107">
        <v>19790572</v>
      </c>
      <c r="K107">
        <v>19790572</v>
      </c>
      <c r="L107" s="8" t="str">
        <f>HYPERLINK("https://test.ictv.global/id/TN19780400","TN19780400@TEST")</f>
        <v>TN19780400@TEST</v>
      </c>
      <c r="M107" s="8" t="str">
        <f>HYPERLINK("https://test.ictv.global/id/ICTV19760328","ICTV19760328@TEST")</f>
        <v>ICTV19760328@TEST</v>
      </c>
      <c r="N107" s="8" t="str">
        <f>HYPERLINK("https://ictv.global/id/TN19780400","TN19780400@prod")</f>
        <v>TN19780400@prod</v>
      </c>
      <c r="O107" s="8" t="str">
        <f>HYPERLINK("https://ictv.global/id/ICTV19760328","ICTV19760328@prod")</f>
        <v>ICTV19760328@prod</v>
      </c>
    </row>
    <row r="108" spans="1:15" x14ac:dyDescent="0.2">
      <c r="A108">
        <v>5</v>
      </c>
      <c r="B108">
        <v>19780400</v>
      </c>
      <c r="C108">
        <v>19760328</v>
      </c>
      <c r="D108" t="s">
        <v>29</v>
      </c>
      <c r="E108" t="s">
        <v>77</v>
      </c>
      <c r="G108" t="s">
        <v>53</v>
      </c>
      <c r="H108" t="s">
        <v>84</v>
      </c>
      <c r="I108" t="s">
        <v>29</v>
      </c>
      <c r="J108">
        <v>19790573</v>
      </c>
      <c r="K108">
        <v>19790573</v>
      </c>
      <c r="L108" s="8" t="str">
        <f>HYPERLINK("https://test.ictv.global/id/TN19780400","TN19780400@TEST")</f>
        <v>TN19780400@TEST</v>
      </c>
      <c r="M108" s="8" t="str">
        <f>HYPERLINK("https://test.ictv.global/id/ICTV19760328","ICTV19760328@TEST")</f>
        <v>ICTV19760328@TEST</v>
      </c>
      <c r="N108" s="8" t="str">
        <f>HYPERLINK("https://ictv.global/id/TN19780400","TN19780400@prod")</f>
        <v>TN19780400@prod</v>
      </c>
      <c r="O108" s="8" t="str">
        <f>HYPERLINK("https://ictv.global/id/ICTV19760328","ICTV19760328@prod")</f>
        <v>ICTV19760328@prod</v>
      </c>
    </row>
    <row r="109" spans="1:15" x14ac:dyDescent="0.2">
      <c r="A109">
        <v>5</v>
      </c>
      <c r="B109">
        <v>19780400</v>
      </c>
      <c r="C109">
        <v>19760328</v>
      </c>
      <c r="D109" t="s">
        <v>29</v>
      </c>
      <c r="E109" t="s">
        <v>77</v>
      </c>
      <c r="G109" t="s">
        <v>53</v>
      </c>
      <c r="H109" t="s">
        <v>85</v>
      </c>
      <c r="I109" t="s">
        <v>29</v>
      </c>
      <c r="J109">
        <v>19790574</v>
      </c>
      <c r="K109">
        <v>19790574</v>
      </c>
      <c r="L109" s="8" t="str">
        <f>HYPERLINK("https://test.ictv.global/id/TN19780400","TN19780400@TEST")</f>
        <v>TN19780400@TEST</v>
      </c>
      <c r="M109" s="8" t="str">
        <f>HYPERLINK("https://test.ictv.global/id/ICTV19760328","ICTV19760328@TEST")</f>
        <v>ICTV19760328@TEST</v>
      </c>
      <c r="N109" s="8" t="str">
        <f>HYPERLINK("https://ictv.global/id/TN19780400","TN19780400@prod")</f>
        <v>TN19780400@prod</v>
      </c>
      <c r="O109" s="8" t="str">
        <f>HYPERLINK("https://ictv.global/id/ICTV19760328","ICTV19760328@prod")</f>
        <v>ICTV19760328@prod</v>
      </c>
    </row>
    <row r="110" spans="1:15" x14ac:dyDescent="0.2">
      <c r="A110">
        <v>5</v>
      </c>
      <c r="B110">
        <v>19780400</v>
      </c>
      <c r="C110">
        <v>19760328</v>
      </c>
      <c r="D110" t="s">
        <v>29</v>
      </c>
      <c r="E110" t="s">
        <v>77</v>
      </c>
      <c r="G110" t="s">
        <v>53</v>
      </c>
      <c r="H110" t="s">
        <v>86</v>
      </c>
      <c r="I110" t="s">
        <v>29</v>
      </c>
      <c r="J110">
        <v>19790575</v>
      </c>
      <c r="K110">
        <v>19790575</v>
      </c>
      <c r="L110" s="8" t="str">
        <f>HYPERLINK("https://test.ictv.global/id/TN19780400","TN19780400@TEST")</f>
        <v>TN19780400@TEST</v>
      </c>
      <c r="M110" s="8" t="str">
        <f>HYPERLINK("https://test.ictv.global/id/ICTV19760328","ICTV19760328@TEST")</f>
        <v>ICTV19760328@TEST</v>
      </c>
      <c r="N110" s="8" t="str">
        <f>HYPERLINK("https://ictv.global/id/TN19780400","TN19780400@prod")</f>
        <v>TN19780400@prod</v>
      </c>
      <c r="O110" s="8" t="str">
        <f>HYPERLINK("https://ictv.global/id/ICTV19760328","ICTV19760328@prod")</f>
        <v>ICTV19760328@prod</v>
      </c>
    </row>
    <row r="111" spans="1:15" x14ac:dyDescent="0.2">
      <c r="A111">
        <v>5</v>
      </c>
      <c r="B111">
        <v>19780400</v>
      </c>
      <c r="C111">
        <v>19760328</v>
      </c>
      <c r="D111" t="s">
        <v>29</v>
      </c>
      <c r="E111" t="s">
        <v>77</v>
      </c>
      <c r="G111" t="s">
        <v>53</v>
      </c>
      <c r="H111" t="s">
        <v>87</v>
      </c>
      <c r="I111" t="s">
        <v>29</v>
      </c>
      <c r="J111">
        <v>19790576</v>
      </c>
      <c r="K111">
        <v>19790576</v>
      </c>
      <c r="L111" s="8" t="str">
        <f>HYPERLINK("https://test.ictv.global/id/TN19780400","TN19780400@TEST")</f>
        <v>TN19780400@TEST</v>
      </c>
      <c r="M111" s="8" t="str">
        <f>HYPERLINK("https://test.ictv.global/id/ICTV19760328","ICTV19760328@TEST")</f>
        <v>ICTV19760328@TEST</v>
      </c>
      <c r="N111" s="8" t="str">
        <f>HYPERLINK("https://ictv.global/id/TN19780400","TN19780400@prod")</f>
        <v>TN19780400@prod</v>
      </c>
      <c r="O111" s="8" t="str">
        <f>HYPERLINK("https://ictv.global/id/ICTV19760328","ICTV19760328@prod")</f>
        <v>ICTV19760328@prod</v>
      </c>
    </row>
    <row r="112" spans="1:15" x14ac:dyDescent="0.2">
      <c r="A112">
        <v>5</v>
      </c>
      <c r="B112">
        <v>19780400</v>
      </c>
      <c r="C112">
        <v>19760328</v>
      </c>
      <c r="D112" t="s">
        <v>29</v>
      </c>
      <c r="E112" t="s">
        <v>77</v>
      </c>
      <c r="G112" t="s">
        <v>53</v>
      </c>
      <c r="H112" t="s">
        <v>88</v>
      </c>
      <c r="I112" t="s">
        <v>29</v>
      </c>
      <c r="J112">
        <v>19790577</v>
      </c>
      <c r="K112">
        <v>19790577</v>
      </c>
      <c r="L112" s="8" t="str">
        <f>HYPERLINK("https://test.ictv.global/id/TN19780400","TN19780400@TEST")</f>
        <v>TN19780400@TEST</v>
      </c>
      <c r="M112" s="8" t="str">
        <f>HYPERLINK("https://test.ictv.global/id/ICTV19760328","ICTV19760328@TEST")</f>
        <v>ICTV19760328@TEST</v>
      </c>
      <c r="N112" s="8" t="str">
        <f>HYPERLINK("https://ictv.global/id/TN19780400","TN19780400@prod")</f>
        <v>TN19780400@prod</v>
      </c>
      <c r="O112" s="8" t="str">
        <f>HYPERLINK("https://ictv.global/id/ICTV19760328","ICTV19760328@prod")</f>
        <v>ICTV19760328@prod</v>
      </c>
    </row>
    <row r="113" spans="1:15" x14ac:dyDescent="0.2">
      <c r="A113">
        <v>5</v>
      </c>
      <c r="B113">
        <v>19780400</v>
      </c>
      <c r="C113">
        <v>19760328</v>
      </c>
      <c r="D113" t="s">
        <v>29</v>
      </c>
      <c r="E113" t="s">
        <v>77</v>
      </c>
      <c r="G113" t="s">
        <v>53</v>
      </c>
      <c r="H113" t="s">
        <v>89</v>
      </c>
      <c r="I113" t="s">
        <v>29</v>
      </c>
      <c r="J113">
        <v>19790578</v>
      </c>
      <c r="K113">
        <v>19790578</v>
      </c>
      <c r="L113" s="8" t="str">
        <f>HYPERLINK("https://test.ictv.global/id/TN19780400","TN19780400@TEST")</f>
        <v>TN19780400@TEST</v>
      </c>
      <c r="M113" s="8" t="str">
        <f>HYPERLINK("https://test.ictv.global/id/ICTV19760328","ICTV19760328@TEST")</f>
        <v>ICTV19760328@TEST</v>
      </c>
      <c r="N113" s="8" t="str">
        <f>HYPERLINK("https://ictv.global/id/TN19780400","TN19780400@prod")</f>
        <v>TN19780400@prod</v>
      </c>
      <c r="O113" s="8" t="str">
        <f>HYPERLINK("https://ictv.global/id/ICTV19760328","ICTV19760328@prod")</f>
        <v>ICTV19760328@prod</v>
      </c>
    </row>
    <row r="114" spans="1:15" x14ac:dyDescent="0.2">
      <c r="A114">
        <v>5</v>
      </c>
      <c r="B114">
        <v>19780400</v>
      </c>
      <c r="C114">
        <v>19760328</v>
      </c>
      <c r="D114" t="s">
        <v>29</v>
      </c>
      <c r="E114" t="s">
        <v>77</v>
      </c>
      <c r="G114" t="s">
        <v>53</v>
      </c>
      <c r="H114" t="s">
        <v>90</v>
      </c>
      <c r="I114" t="s">
        <v>29</v>
      </c>
      <c r="J114">
        <v>19790579</v>
      </c>
      <c r="K114">
        <v>19790579</v>
      </c>
      <c r="L114" s="8" t="str">
        <f>HYPERLINK("https://test.ictv.global/id/TN19780400","TN19780400@TEST")</f>
        <v>TN19780400@TEST</v>
      </c>
      <c r="M114" s="8" t="str">
        <f>HYPERLINK("https://test.ictv.global/id/ICTV19760328","ICTV19760328@TEST")</f>
        <v>ICTV19760328@TEST</v>
      </c>
      <c r="N114" s="8" t="str">
        <f>HYPERLINK("https://ictv.global/id/TN19780400","TN19780400@prod")</f>
        <v>TN19780400@prod</v>
      </c>
      <c r="O114" s="8" t="str">
        <f>HYPERLINK("https://ictv.global/id/ICTV19760328","ICTV19760328@prod")</f>
        <v>ICTV19760328@prod</v>
      </c>
    </row>
    <row r="115" spans="1:15" x14ac:dyDescent="0.2">
      <c r="A115">
        <v>5</v>
      </c>
      <c r="B115">
        <v>19780400</v>
      </c>
      <c r="C115">
        <v>19760328</v>
      </c>
      <c r="D115" t="s">
        <v>29</v>
      </c>
      <c r="E115" t="s">
        <v>77</v>
      </c>
      <c r="G115" t="s">
        <v>53</v>
      </c>
      <c r="H115" t="s">
        <v>91</v>
      </c>
      <c r="I115" t="s">
        <v>29</v>
      </c>
      <c r="J115">
        <v>19790580</v>
      </c>
      <c r="K115">
        <v>19790580</v>
      </c>
      <c r="L115" s="8" t="str">
        <f>HYPERLINK("https://test.ictv.global/id/TN19780400","TN19780400@TEST")</f>
        <v>TN19780400@TEST</v>
      </c>
      <c r="M115" s="8" t="str">
        <f>HYPERLINK("https://test.ictv.global/id/ICTV19760328","ICTV19760328@TEST")</f>
        <v>ICTV19760328@TEST</v>
      </c>
      <c r="N115" s="8" t="str">
        <f>HYPERLINK("https://ictv.global/id/TN19780400","TN19780400@prod")</f>
        <v>TN19780400@prod</v>
      </c>
      <c r="O115" s="8" t="str">
        <f>HYPERLINK("https://ictv.global/id/ICTV19760328","ICTV19760328@prod")</f>
        <v>ICTV19760328@prod</v>
      </c>
    </row>
    <row r="116" spans="1:15" x14ac:dyDescent="0.2">
      <c r="A116">
        <v>5</v>
      </c>
      <c r="B116">
        <v>19780400</v>
      </c>
      <c r="C116">
        <v>19760328</v>
      </c>
      <c r="D116" t="s">
        <v>29</v>
      </c>
      <c r="E116" t="s">
        <v>77</v>
      </c>
      <c r="G116" t="s">
        <v>53</v>
      </c>
      <c r="H116" t="s">
        <v>92</v>
      </c>
      <c r="I116" t="s">
        <v>29</v>
      </c>
      <c r="J116">
        <v>19790581</v>
      </c>
      <c r="K116">
        <v>19790581</v>
      </c>
      <c r="L116" s="8" t="str">
        <f>HYPERLINK("https://test.ictv.global/id/TN19780400","TN19780400@TEST")</f>
        <v>TN19780400@TEST</v>
      </c>
      <c r="M116" s="8" t="str">
        <f>HYPERLINK("https://test.ictv.global/id/ICTV19760328","ICTV19760328@TEST")</f>
        <v>ICTV19760328@TEST</v>
      </c>
      <c r="N116" s="8" t="str">
        <f>HYPERLINK("https://ictv.global/id/TN19780400","TN19780400@prod")</f>
        <v>TN19780400@prod</v>
      </c>
      <c r="O116" s="8" t="str">
        <f>HYPERLINK("https://ictv.global/id/ICTV19760328","ICTV19760328@prod")</f>
        <v>ICTV19760328@prod</v>
      </c>
    </row>
    <row r="117" spans="1:15" x14ac:dyDescent="0.2">
      <c r="A117">
        <v>5</v>
      </c>
      <c r="B117">
        <v>19780400</v>
      </c>
      <c r="C117">
        <v>19760328</v>
      </c>
      <c r="D117" t="s">
        <v>29</v>
      </c>
      <c r="E117" t="s">
        <v>77</v>
      </c>
      <c r="G117" t="s">
        <v>53</v>
      </c>
      <c r="H117" t="s">
        <v>93</v>
      </c>
      <c r="I117" t="s">
        <v>29</v>
      </c>
      <c r="J117">
        <v>19790582</v>
      </c>
      <c r="K117">
        <v>19790582</v>
      </c>
      <c r="L117" s="8" t="str">
        <f>HYPERLINK("https://test.ictv.global/id/TN19780400","TN19780400@TEST")</f>
        <v>TN19780400@TEST</v>
      </c>
      <c r="M117" s="8" t="str">
        <f>HYPERLINK("https://test.ictv.global/id/ICTV19760328","ICTV19760328@TEST")</f>
        <v>ICTV19760328@TEST</v>
      </c>
      <c r="N117" s="8" t="str">
        <f>HYPERLINK("https://ictv.global/id/TN19780400","TN19780400@prod")</f>
        <v>TN19780400@prod</v>
      </c>
      <c r="O117" s="8" t="str">
        <f>HYPERLINK("https://ictv.global/id/ICTV19760328","ICTV19760328@prod")</f>
        <v>ICTV19760328@prod</v>
      </c>
    </row>
    <row r="118" spans="1:15" x14ac:dyDescent="0.2">
      <c r="A118">
        <v>5</v>
      </c>
      <c r="B118">
        <v>19780400</v>
      </c>
      <c r="C118">
        <v>19760328</v>
      </c>
      <c r="D118" t="s">
        <v>29</v>
      </c>
      <c r="E118" t="s">
        <v>77</v>
      </c>
      <c r="G118" t="s">
        <v>53</v>
      </c>
      <c r="H118" t="s">
        <v>94</v>
      </c>
      <c r="I118" t="s">
        <v>29</v>
      </c>
      <c r="J118">
        <v>19790583</v>
      </c>
      <c r="K118">
        <v>19790583</v>
      </c>
      <c r="L118" s="8" t="str">
        <f>HYPERLINK("https://test.ictv.global/id/TN19780400","TN19780400@TEST")</f>
        <v>TN19780400@TEST</v>
      </c>
      <c r="M118" s="8" t="str">
        <f>HYPERLINK("https://test.ictv.global/id/ICTV19760328","ICTV19760328@TEST")</f>
        <v>ICTV19760328@TEST</v>
      </c>
      <c r="N118" s="8" t="str">
        <f>HYPERLINK("https://ictv.global/id/TN19780400","TN19780400@prod")</f>
        <v>TN19780400@prod</v>
      </c>
      <c r="O118" s="8" t="str">
        <f>HYPERLINK("https://ictv.global/id/ICTV19760328","ICTV19760328@prod")</f>
        <v>ICTV19760328@prod</v>
      </c>
    </row>
    <row r="119" spans="1:15" x14ac:dyDescent="0.2">
      <c r="A119">
        <v>5</v>
      </c>
      <c r="B119">
        <v>19780400</v>
      </c>
      <c r="C119">
        <v>19760328</v>
      </c>
      <c r="D119" t="s">
        <v>29</v>
      </c>
      <c r="E119" t="s">
        <v>77</v>
      </c>
      <c r="G119" t="s">
        <v>53</v>
      </c>
      <c r="H119" t="s">
        <v>95</v>
      </c>
      <c r="I119" t="s">
        <v>29</v>
      </c>
      <c r="J119">
        <v>19790584</v>
      </c>
      <c r="K119">
        <v>19790584</v>
      </c>
      <c r="L119" s="8" t="str">
        <f>HYPERLINK("https://test.ictv.global/id/TN19780400","TN19780400@TEST")</f>
        <v>TN19780400@TEST</v>
      </c>
      <c r="M119" s="8" t="str">
        <f>HYPERLINK("https://test.ictv.global/id/ICTV19760328","ICTV19760328@TEST")</f>
        <v>ICTV19760328@TEST</v>
      </c>
      <c r="N119" s="8" t="str">
        <f>HYPERLINK("https://ictv.global/id/TN19780400","TN19780400@prod")</f>
        <v>TN19780400@prod</v>
      </c>
      <c r="O119" s="8" t="str">
        <f>HYPERLINK("https://ictv.global/id/ICTV19760328","ICTV19760328@prod")</f>
        <v>ICTV19760328@prod</v>
      </c>
    </row>
    <row r="120" spans="1:15" x14ac:dyDescent="0.2">
      <c r="A120">
        <v>5</v>
      </c>
      <c r="B120">
        <v>19780401</v>
      </c>
      <c r="C120">
        <v>19760329</v>
      </c>
      <c r="D120" t="s">
        <v>29</v>
      </c>
      <c r="E120" t="s">
        <v>96</v>
      </c>
      <c r="G120" t="s">
        <v>53</v>
      </c>
      <c r="H120" t="s">
        <v>97</v>
      </c>
      <c r="I120" t="s">
        <v>29</v>
      </c>
      <c r="J120">
        <v>19790585</v>
      </c>
      <c r="K120">
        <v>19790585</v>
      </c>
      <c r="L120" s="8" t="str">
        <f>HYPERLINK("https://test.ictv.global/id/TN19780401","TN19780401@TEST")</f>
        <v>TN19780401@TEST</v>
      </c>
      <c r="M120" s="8" t="str">
        <f>HYPERLINK("https://test.ictv.global/id/ICTV19760329","ICTV19760329@TEST")</f>
        <v>ICTV19760329@TEST</v>
      </c>
      <c r="N120" s="8" t="str">
        <f>HYPERLINK("https://ictv.global/id/TN19780401","TN19780401@prod")</f>
        <v>TN19780401@prod</v>
      </c>
      <c r="O120" s="8" t="str">
        <f>HYPERLINK("https://ictv.global/id/ICTV19760329","ICTV19760329@prod")</f>
        <v>ICTV19760329@prod</v>
      </c>
    </row>
    <row r="121" spans="1:15" x14ac:dyDescent="0.2">
      <c r="A121">
        <v>5</v>
      </c>
      <c r="B121">
        <v>19780401</v>
      </c>
      <c r="C121">
        <v>19760329</v>
      </c>
      <c r="D121" t="s">
        <v>29</v>
      </c>
      <c r="E121" t="s">
        <v>96</v>
      </c>
      <c r="G121" t="s">
        <v>53</v>
      </c>
      <c r="H121" t="s">
        <v>98</v>
      </c>
      <c r="I121" t="s">
        <v>29</v>
      </c>
      <c r="J121">
        <v>19790586</v>
      </c>
      <c r="K121">
        <v>19790586</v>
      </c>
      <c r="L121" s="8" t="str">
        <f>HYPERLINK("https://test.ictv.global/id/TN19780401","TN19780401@TEST")</f>
        <v>TN19780401@TEST</v>
      </c>
      <c r="M121" s="8" t="str">
        <f>HYPERLINK("https://test.ictv.global/id/ICTV19760329","ICTV19760329@TEST")</f>
        <v>ICTV19760329@TEST</v>
      </c>
      <c r="N121" s="8" t="str">
        <f>HYPERLINK("https://ictv.global/id/TN19780401","TN19780401@prod")</f>
        <v>TN19780401@prod</v>
      </c>
      <c r="O121" s="8" t="str">
        <f>HYPERLINK("https://ictv.global/id/ICTV19760329","ICTV19760329@prod")</f>
        <v>ICTV19760329@prod</v>
      </c>
    </row>
    <row r="122" spans="1:15" x14ac:dyDescent="0.2">
      <c r="A122">
        <v>5</v>
      </c>
      <c r="B122">
        <v>19780402</v>
      </c>
      <c r="C122">
        <v>19760330</v>
      </c>
      <c r="D122" t="s">
        <v>29</v>
      </c>
      <c r="E122" t="s">
        <v>99</v>
      </c>
      <c r="G122" t="s">
        <v>100</v>
      </c>
      <c r="H122" t="s">
        <v>101</v>
      </c>
      <c r="I122" t="s">
        <v>29</v>
      </c>
      <c r="J122">
        <v>19790701</v>
      </c>
      <c r="K122">
        <v>19790701</v>
      </c>
      <c r="L122" s="8" t="str">
        <f>HYPERLINK("https://test.ictv.global/id/TN19780402","TN19780402@TEST")</f>
        <v>TN19780402@TEST</v>
      </c>
      <c r="M122" s="8" t="str">
        <f>HYPERLINK("https://test.ictv.global/id/ICTV19760330","ICTV19760330@TEST")</f>
        <v>ICTV19760330@TEST</v>
      </c>
      <c r="N122" s="8" t="str">
        <f>HYPERLINK("https://ictv.global/id/TN19780402","TN19780402@prod")</f>
        <v>TN19780402@prod</v>
      </c>
      <c r="O122" s="8" t="str">
        <f>HYPERLINK("https://ictv.global/id/ICTV19760330","ICTV19760330@prod")</f>
        <v>ICTV19760330@prod</v>
      </c>
    </row>
    <row r="123" spans="1:15" x14ac:dyDescent="0.2">
      <c r="A123">
        <v>5</v>
      </c>
      <c r="B123">
        <v>19780402</v>
      </c>
      <c r="C123">
        <v>19760330</v>
      </c>
      <c r="D123" t="s">
        <v>29</v>
      </c>
      <c r="E123" t="s">
        <v>99</v>
      </c>
      <c r="G123" t="s">
        <v>100</v>
      </c>
      <c r="H123" t="s">
        <v>102</v>
      </c>
      <c r="I123" t="s">
        <v>29</v>
      </c>
      <c r="J123">
        <v>19790702</v>
      </c>
      <c r="K123">
        <v>19790702</v>
      </c>
      <c r="L123" s="8" t="str">
        <f>HYPERLINK("https://test.ictv.global/id/TN19780402","TN19780402@TEST")</f>
        <v>TN19780402@TEST</v>
      </c>
      <c r="M123" s="8" t="str">
        <f>HYPERLINK("https://test.ictv.global/id/ICTV19760330","ICTV19760330@TEST")</f>
        <v>ICTV19760330@TEST</v>
      </c>
      <c r="N123" s="8" t="str">
        <f>HYPERLINK("https://ictv.global/id/TN19780402","TN19780402@prod")</f>
        <v>TN19780402@prod</v>
      </c>
      <c r="O123" s="8" t="str">
        <f>HYPERLINK("https://ictv.global/id/ICTV19760330","ICTV19760330@prod")</f>
        <v>ICTV19760330@prod</v>
      </c>
    </row>
    <row r="124" spans="1:15" x14ac:dyDescent="0.2">
      <c r="A124">
        <v>5</v>
      </c>
      <c r="B124">
        <v>19780612</v>
      </c>
      <c r="C124">
        <v>19760539</v>
      </c>
      <c r="D124" t="s">
        <v>29</v>
      </c>
      <c r="E124" t="s">
        <v>1228</v>
      </c>
      <c r="G124" t="s">
        <v>1165</v>
      </c>
      <c r="L124" s="8" t="str">
        <f>HYPERLINK("https://test.ictv.global/id/TN19780612","TN19780612@TEST")</f>
        <v>TN19780612@TEST</v>
      </c>
      <c r="M124" s="8" t="str">
        <f>HYPERLINK("https://test.ictv.global/id/ICTV19760539","ICTV19760539@TEST")</f>
        <v>ICTV19760539@TEST</v>
      </c>
      <c r="N124" s="8" t="str">
        <f>HYPERLINK("https://ictv.global/id/TN19780612","TN19780612@prod")</f>
        <v>TN19780612@prod</v>
      </c>
      <c r="O124" s="8" t="str">
        <f>HYPERLINK("https://ictv.global/id/ICTV19760539","ICTV19760539@prod")</f>
        <v>ICTV19760539@prod</v>
      </c>
    </row>
    <row r="125" spans="1:15" x14ac:dyDescent="0.2">
      <c r="A125">
        <v>5</v>
      </c>
      <c r="B125">
        <v>19780616</v>
      </c>
      <c r="C125">
        <v>19760543</v>
      </c>
      <c r="D125" t="s">
        <v>29</v>
      </c>
      <c r="E125" t="s">
        <v>1229</v>
      </c>
      <c r="G125" t="s">
        <v>1165</v>
      </c>
      <c r="L125" s="8" t="str">
        <f>HYPERLINK("https://test.ictv.global/id/TN19780616","TN19780616@TEST")</f>
        <v>TN19780616@TEST</v>
      </c>
      <c r="M125" s="8" t="str">
        <f>HYPERLINK("https://test.ictv.global/id/ICTV19760543","ICTV19760543@TEST")</f>
        <v>ICTV19760543@TEST</v>
      </c>
      <c r="N125" s="8" t="str">
        <f>HYPERLINK("https://ictv.global/id/TN19780616","TN19780616@prod")</f>
        <v>TN19780616@prod</v>
      </c>
      <c r="O125" s="8" t="str">
        <f>HYPERLINK("https://ictv.global/id/ICTV19760543","ICTV19760543@prod")</f>
        <v>ICTV19760543@prod</v>
      </c>
    </row>
    <row r="126" spans="1:15" x14ac:dyDescent="0.2">
      <c r="A126">
        <v>5</v>
      </c>
      <c r="B126">
        <v>19780629</v>
      </c>
      <c r="C126">
        <v>19760556</v>
      </c>
      <c r="D126" t="s">
        <v>29</v>
      </c>
      <c r="E126" t="s">
        <v>50</v>
      </c>
      <c r="G126" t="s">
        <v>1165</v>
      </c>
      <c r="L126" s="8" t="str">
        <f>HYPERLINK("https://test.ictv.global/id/TN19780629","TN19780629@TEST")</f>
        <v>TN19780629@TEST</v>
      </c>
      <c r="M126" s="8" t="str">
        <f>HYPERLINK("https://test.ictv.global/id/ICTV19760556","ICTV19760556@TEST")</f>
        <v>ICTV19760556@TEST</v>
      </c>
      <c r="N126" s="8" t="str">
        <f>HYPERLINK("https://ictv.global/id/TN19780629","TN19780629@prod")</f>
        <v>TN19780629@prod</v>
      </c>
      <c r="O126" s="8" t="str">
        <f>HYPERLINK("https://ictv.global/id/ICTV19760556","ICTV19760556@prod")</f>
        <v>ICTV19760556@prod</v>
      </c>
    </row>
    <row r="127" spans="1:15" x14ac:dyDescent="0.2">
      <c r="A127">
        <v>5</v>
      </c>
      <c r="B127">
        <v>19780630</v>
      </c>
      <c r="C127">
        <v>19710310</v>
      </c>
      <c r="D127" t="s">
        <v>29</v>
      </c>
      <c r="E127" t="s">
        <v>1230</v>
      </c>
      <c r="G127" t="s">
        <v>1165</v>
      </c>
      <c r="L127" s="8" t="str">
        <f>HYPERLINK("https://test.ictv.global/id/TN19780630","TN19780630@TEST")</f>
        <v>TN19780630@TEST</v>
      </c>
      <c r="M127" s="8" t="str">
        <f>HYPERLINK("https://test.ictv.global/id/ICTV19710310","ICTV19710310@TEST")</f>
        <v>ICTV19710310@TEST</v>
      </c>
      <c r="N127" s="8" t="str">
        <f>HYPERLINK("https://ictv.global/id/TN19780630","TN19780630@prod")</f>
        <v>TN19780630@prod</v>
      </c>
      <c r="O127" s="8" t="str">
        <f>HYPERLINK("https://ictv.global/id/ICTV19710310","ICTV19710310@prod")</f>
        <v>ICTV19710310@prod</v>
      </c>
    </row>
    <row r="128" spans="1:15" x14ac:dyDescent="0.2">
      <c r="A128">
        <v>5</v>
      </c>
      <c r="B128">
        <v>19780658</v>
      </c>
      <c r="C128">
        <v>19760584</v>
      </c>
      <c r="D128" t="s">
        <v>29</v>
      </c>
      <c r="E128" t="s">
        <v>103</v>
      </c>
      <c r="G128" t="s">
        <v>33</v>
      </c>
      <c r="H128" t="s">
        <v>104</v>
      </c>
      <c r="I128" t="s">
        <v>29</v>
      </c>
      <c r="J128">
        <v>19790934</v>
      </c>
      <c r="K128">
        <v>19790934</v>
      </c>
      <c r="L128" s="8" t="str">
        <f>HYPERLINK("https://test.ictv.global/id/TN19780658","TN19780658@TEST")</f>
        <v>TN19780658@TEST</v>
      </c>
      <c r="M128" s="8" t="str">
        <f>HYPERLINK("https://test.ictv.global/id/ICTV19760584","ICTV19760584@TEST")</f>
        <v>ICTV19760584@TEST</v>
      </c>
      <c r="N128" s="8" t="str">
        <f>HYPERLINK("https://ictv.global/id/TN19780658","TN19780658@prod")</f>
        <v>TN19780658@prod</v>
      </c>
      <c r="O128" s="8" t="str">
        <f>HYPERLINK("https://ictv.global/id/ICTV19760584","ICTV19760584@prod")</f>
        <v>ICTV19760584@prod</v>
      </c>
    </row>
    <row r="129" spans="1:15" x14ac:dyDescent="0.2">
      <c r="A129">
        <v>5</v>
      </c>
      <c r="B129">
        <v>19780675</v>
      </c>
      <c r="C129">
        <v>19760601</v>
      </c>
      <c r="D129" t="s">
        <v>29</v>
      </c>
      <c r="E129" t="s">
        <v>105</v>
      </c>
      <c r="G129" t="s">
        <v>33</v>
      </c>
      <c r="H129" t="s">
        <v>104</v>
      </c>
      <c r="I129" t="s">
        <v>29</v>
      </c>
      <c r="J129">
        <v>19790934</v>
      </c>
      <c r="K129">
        <v>19790934</v>
      </c>
      <c r="L129" s="8" t="str">
        <f>HYPERLINK("https://test.ictv.global/id/TN19780675","TN19780675@TEST")</f>
        <v>TN19780675@TEST</v>
      </c>
      <c r="M129" s="8" t="str">
        <f>HYPERLINK("https://test.ictv.global/id/ICTV19760601","ICTV19760601@TEST")</f>
        <v>ICTV19760601@TEST</v>
      </c>
      <c r="N129" s="8" t="str">
        <f>HYPERLINK("https://ictv.global/id/TN19780675","TN19780675@prod")</f>
        <v>TN19780675@prod</v>
      </c>
      <c r="O129" s="8" t="str">
        <f>HYPERLINK("https://ictv.global/id/ICTV19760601","ICTV19760601@prod")</f>
        <v>ICTV19760601@prod</v>
      </c>
    </row>
    <row r="130" spans="1:15" x14ac:dyDescent="0.2">
      <c r="A130">
        <v>5</v>
      </c>
      <c r="B130">
        <v>19780676</v>
      </c>
      <c r="C130">
        <v>19760602</v>
      </c>
      <c r="D130" t="s">
        <v>29</v>
      </c>
      <c r="E130" t="s">
        <v>106</v>
      </c>
      <c r="G130" t="s">
        <v>33</v>
      </c>
      <c r="H130" t="s">
        <v>104</v>
      </c>
      <c r="I130" t="s">
        <v>29</v>
      </c>
      <c r="J130">
        <v>19790934</v>
      </c>
      <c r="K130">
        <v>19790934</v>
      </c>
      <c r="L130" s="8" t="str">
        <f>HYPERLINK("https://test.ictv.global/id/TN19780676","TN19780676@TEST")</f>
        <v>TN19780676@TEST</v>
      </c>
      <c r="M130" s="8" t="str">
        <f>HYPERLINK("https://test.ictv.global/id/ICTV19760602","ICTV19760602@TEST")</f>
        <v>ICTV19760602@TEST</v>
      </c>
      <c r="N130" s="8" t="str">
        <f>HYPERLINK("https://ictv.global/id/TN19780676","TN19780676@prod")</f>
        <v>TN19780676@prod</v>
      </c>
      <c r="O130" s="8" t="str">
        <f>HYPERLINK("https://ictv.global/id/ICTV19760602","ICTV19760602@prod")</f>
        <v>ICTV19760602@prod</v>
      </c>
    </row>
    <row r="131" spans="1:15" x14ac:dyDescent="0.2">
      <c r="A131">
        <v>5</v>
      </c>
      <c r="B131">
        <v>19780686</v>
      </c>
      <c r="C131">
        <v>19760612</v>
      </c>
      <c r="D131" t="s">
        <v>29</v>
      </c>
      <c r="E131" t="s">
        <v>107</v>
      </c>
      <c r="G131" t="s">
        <v>33</v>
      </c>
      <c r="H131" t="s">
        <v>104</v>
      </c>
      <c r="I131" t="s">
        <v>29</v>
      </c>
      <c r="J131">
        <v>19790934</v>
      </c>
      <c r="K131">
        <v>19790934</v>
      </c>
      <c r="L131" s="8" t="str">
        <f>HYPERLINK("https://test.ictv.global/id/TN19780686","TN19780686@TEST")</f>
        <v>TN19780686@TEST</v>
      </c>
      <c r="M131" s="8" t="str">
        <f>HYPERLINK("https://test.ictv.global/id/ICTV19760612","ICTV19760612@TEST")</f>
        <v>ICTV19760612@TEST</v>
      </c>
      <c r="N131" s="8" t="str">
        <f>HYPERLINK("https://ictv.global/id/TN19780686","TN19780686@prod")</f>
        <v>TN19780686@prod</v>
      </c>
      <c r="O131" s="8" t="str">
        <f>HYPERLINK("https://ictv.global/id/ICTV19760612","ICTV19760612@prod")</f>
        <v>ICTV19760612@prod</v>
      </c>
    </row>
    <row r="132" spans="1:15" x14ac:dyDescent="0.2">
      <c r="A132">
        <v>5</v>
      </c>
      <c r="B132">
        <v>19780701</v>
      </c>
      <c r="C132">
        <v>19760627</v>
      </c>
      <c r="D132" t="s">
        <v>29</v>
      </c>
      <c r="E132" t="s">
        <v>108</v>
      </c>
      <c r="G132" t="s">
        <v>33</v>
      </c>
      <c r="H132" t="s">
        <v>104</v>
      </c>
      <c r="I132" t="s">
        <v>29</v>
      </c>
      <c r="J132">
        <v>19790934</v>
      </c>
      <c r="K132">
        <v>19790934</v>
      </c>
      <c r="L132" s="8" t="str">
        <f>HYPERLINK("https://test.ictv.global/id/TN19780701","TN19780701@TEST")</f>
        <v>TN19780701@TEST</v>
      </c>
      <c r="M132" s="8" t="str">
        <f>HYPERLINK("https://test.ictv.global/id/ICTV19760627","ICTV19760627@TEST")</f>
        <v>ICTV19760627@TEST</v>
      </c>
      <c r="N132" s="8" t="str">
        <f>HYPERLINK("https://ictv.global/id/TN19780701","TN19780701@prod")</f>
        <v>TN19780701@prod</v>
      </c>
      <c r="O132" s="8" t="str">
        <f>HYPERLINK("https://ictv.global/id/ICTV19760627","ICTV19760627@prod")</f>
        <v>ICTV19760627@prod</v>
      </c>
    </row>
    <row r="133" spans="1:15" x14ac:dyDescent="0.2">
      <c r="A133">
        <v>5</v>
      </c>
      <c r="B133">
        <v>19780785</v>
      </c>
      <c r="C133">
        <v>19760710</v>
      </c>
      <c r="D133" t="s">
        <v>29</v>
      </c>
      <c r="E133" t="s">
        <v>1231</v>
      </c>
      <c r="G133" t="s">
        <v>1165</v>
      </c>
      <c r="L133" s="8" t="str">
        <f>HYPERLINK("https://test.ictv.global/id/TN19780785","TN19780785@TEST")</f>
        <v>TN19780785@TEST</v>
      </c>
      <c r="M133" s="8" t="str">
        <f>HYPERLINK("https://test.ictv.global/id/ICTV19760710","ICTV19760710@TEST")</f>
        <v>ICTV19760710@TEST</v>
      </c>
      <c r="N133" s="8" t="str">
        <f>HYPERLINK("https://ictv.global/id/TN19780785","TN19780785@prod")</f>
        <v>TN19780785@prod</v>
      </c>
      <c r="O133" s="8" t="str">
        <f>HYPERLINK("https://ictv.global/id/ICTV19760710","ICTV19760710@prod")</f>
        <v>ICTV19760710@prod</v>
      </c>
    </row>
    <row r="134" spans="1:15" x14ac:dyDescent="0.2">
      <c r="A134">
        <v>5</v>
      </c>
      <c r="B134">
        <v>19780847</v>
      </c>
      <c r="C134">
        <v>19710315</v>
      </c>
      <c r="D134" t="s">
        <v>29</v>
      </c>
      <c r="E134" t="s">
        <v>362</v>
      </c>
      <c r="G134" t="s">
        <v>1165</v>
      </c>
      <c r="L134" s="8" t="str">
        <f>HYPERLINK("https://test.ictv.global/id/TN19780847","TN19780847@TEST")</f>
        <v>TN19780847@TEST</v>
      </c>
      <c r="M134" s="8" t="str">
        <f>HYPERLINK("https://test.ictv.global/id/ICTV19710315","ICTV19710315@TEST")</f>
        <v>ICTV19710315@TEST</v>
      </c>
      <c r="N134" s="8" t="str">
        <f>HYPERLINK("https://ictv.global/id/TN19780847","TN19780847@prod")</f>
        <v>TN19780847@prod</v>
      </c>
      <c r="O134" s="8" t="str">
        <f>HYPERLINK("https://ictv.global/id/ICTV19710315","ICTV19710315@prod")</f>
        <v>ICTV19710315@prod</v>
      </c>
    </row>
    <row r="135" spans="1:15" x14ac:dyDescent="0.2">
      <c r="A135">
        <v>5</v>
      </c>
      <c r="B135">
        <v>19780859</v>
      </c>
      <c r="C135">
        <v>19760826</v>
      </c>
      <c r="D135" t="s">
        <v>29</v>
      </c>
      <c r="E135" t="s">
        <v>109</v>
      </c>
      <c r="G135" t="s">
        <v>33</v>
      </c>
      <c r="H135" t="s">
        <v>110</v>
      </c>
      <c r="I135" t="s">
        <v>29</v>
      </c>
      <c r="J135">
        <v>19791117</v>
      </c>
      <c r="K135">
        <v>19791117</v>
      </c>
      <c r="L135" s="8" t="str">
        <f>HYPERLINK("https://test.ictv.global/id/TN19780859","TN19780859@TEST")</f>
        <v>TN19780859@TEST</v>
      </c>
      <c r="M135" s="8" t="str">
        <f>HYPERLINK("https://test.ictv.global/id/ICTV19760826","ICTV19760826@TEST")</f>
        <v>ICTV19760826@TEST</v>
      </c>
      <c r="N135" s="8" t="str">
        <f>HYPERLINK("https://ictv.global/id/TN19780859","TN19780859@prod")</f>
        <v>TN19780859@prod</v>
      </c>
      <c r="O135" s="8" t="str">
        <f>HYPERLINK("https://ictv.global/id/ICTV19760826","ICTV19760826@prod")</f>
        <v>ICTV19760826@prod</v>
      </c>
    </row>
    <row r="136" spans="1:15" x14ac:dyDescent="0.2">
      <c r="A136">
        <v>5</v>
      </c>
      <c r="B136">
        <v>19780863</v>
      </c>
      <c r="C136">
        <v>19760830</v>
      </c>
      <c r="D136" t="s">
        <v>29</v>
      </c>
      <c r="E136" t="s">
        <v>111</v>
      </c>
      <c r="G136" t="s">
        <v>33</v>
      </c>
      <c r="H136" t="s">
        <v>110</v>
      </c>
      <c r="I136" t="s">
        <v>29</v>
      </c>
      <c r="J136">
        <v>19791117</v>
      </c>
      <c r="K136">
        <v>19791117</v>
      </c>
      <c r="L136" s="8" t="str">
        <f>HYPERLINK("https://test.ictv.global/id/TN19780863","TN19780863@TEST")</f>
        <v>TN19780863@TEST</v>
      </c>
      <c r="M136" s="8" t="str">
        <f>HYPERLINK("https://test.ictv.global/id/ICTV19760830","ICTV19760830@TEST")</f>
        <v>ICTV19760830@TEST</v>
      </c>
      <c r="N136" s="8" t="str">
        <f>HYPERLINK("https://ictv.global/id/TN19780863","TN19780863@prod")</f>
        <v>TN19780863@prod</v>
      </c>
      <c r="O136" s="8" t="str">
        <f>HYPERLINK("https://ictv.global/id/ICTV19760830","ICTV19760830@prod")</f>
        <v>ICTV19760830@prod</v>
      </c>
    </row>
    <row r="137" spans="1:15" x14ac:dyDescent="0.2">
      <c r="A137">
        <v>5</v>
      </c>
      <c r="B137">
        <v>19780865</v>
      </c>
      <c r="C137">
        <v>19710325</v>
      </c>
      <c r="D137" t="s">
        <v>29</v>
      </c>
      <c r="E137" t="s">
        <v>1232</v>
      </c>
      <c r="G137" t="s">
        <v>1165</v>
      </c>
      <c r="L137" s="8" t="str">
        <f>HYPERLINK("https://test.ictv.global/id/TN19780865","TN19780865@TEST")</f>
        <v>TN19780865@TEST</v>
      </c>
      <c r="M137" s="8" t="str">
        <f>HYPERLINK("https://test.ictv.global/id/ICTV19710325","ICTV19710325@TEST")</f>
        <v>ICTV19710325@TEST</v>
      </c>
      <c r="N137" s="8" t="str">
        <f>HYPERLINK("https://ictv.global/id/TN19780865","TN19780865@prod")</f>
        <v>TN19780865@prod</v>
      </c>
      <c r="O137" s="8" t="str">
        <f>HYPERLINK("https://ictv.global/id/ICTV19710325","ICTV19710325@prod")</f>
        <v>ICTV19710325@prod</v>
      </c>
    </row>
    <row r="138" spans="1:15" x14ac:dyDescent="0.2">
      <c r="A138">
        <v>5</v>
      </c>
      <c r="B138">
        <v>19780866</v>
      </c>
      <c r="C138">
        <v>19760833</v>
      </c>
      <c r="D138" t="s">
        <v>29</v>
      </c>
      <c r="E138" t="s">
        <v>1233</v>
      </c>
      <c r="G138" t="s">
        <v>1165</v>
      </c>
      <c r="L138" s="8" t="str">
        <f>HYPERLINK("https://test.ictv.global/id/TN19780866","TN19780866@TEST")</f>
        <v>TN19780866@TEST</v>
      </c>
      <c r="M138" s="8" t="str">
        <f>HYPERLINK("https://test.ictv.global/id/ICTV19760833","ICTV19760833@TEST")</f>
        <v>ICTV19760833@TEST</v>
      </c>
      <c r="N138" s="8" t="str">
        <f>HYPERLINK("https://ictv.global/id/TN19780866","TN19780866@prod")</f>
        <v>TN19780866@prod</v>
      </c>
      <c r="O138" s="8" t="str">
        <f>HYPERLINK("https://ictv.global/id/ICTV19760833","ICTV19760833@prod")</f>
        <v>ICTV19760833@prod</v>
      </c>
    </row>
    <row r="139" spans="1:15" x14ac:dyDescent="0.2">
      <c r="A139">
        <v>6</v>
      </c>
      <c r="B139">
        <v>19790150</v>
      </c>
      <c r="C139">
        <v>19760116</v>
      </c>
      <c r="D139" t="s">
        <v>29</v>
      </c>
      <c r="E139" t="s">
        <v>112</v>
      </c>
      <c r="G139" t="s">
        <v>53</v>
      </c>
      <c r="H139" t="s">
        <v>113</v>
      </c>
      <c r="I139" t="s">
        <v>29</v>
      </c>
      <c r="J139">
        <v>19810183</v>
      </c>
      <c r="K139">
        <v>19810183</v>
      </c>
      <c r="L139" s="8" t="str">
        <f>HYPERLINK("https://test.ictv.global/id/TN19790150","TN19790150@TEST")</f>
        <v>TN19790150@TEST</v>
      </c>
      <c r="M139" s="8" t="str">
        <f>HYPERLINK("https://test.ictv.global/id/ICTV19760116","ICTV19760116@TEST")</f>
        <v>ICTV19760116@TEST</v>
      </c>
      <c r="N139" s="8" t="str">
        <f>HYPERLINK("https://ictv.global/id/TN19790150","TN19790150@prod")</f>
        <v>TN19790150@prod</v>
      </c>
      <c r="O139" s="8" t="str">
        <f>HYPERLINK("https://ictv.global/id/ICTV19760116","ICTV19760116@prod")</f>
        <v>ICTV19760116@prod</v>
      </c>
    </row>
    <row r="140" spans="1:15" x14ac:dyDescent="0.2">
      <c r="A140">
        <v>6</v>
      </c>
      <c r="B140">
        <v>19790150</v>
      </c>
      <c r="C140">
        <v>19760116</v>
      </c>
      <c r="D140" t="s">
        <v>29</v>
      </c>
      <c r="E140" t="s">
        <v>112</v>
      </c>
      <c r="G140" t="s">
        <v>53</v>
      </c>
      <c r="H140" t="s">
        <v>114</v>
      </c>
      <c r="I140" t="s">
        <v>29</v>
      </c>
      <c r="J140">
        <v>19810184</v>
      </c>
      <c r="K140">
        <v>19810184</v>
      </c>
      <c r="L140" s="8" t="str">
        <f>HYPERLINK("https://test.ictv.global/id/TN19790150","TN19790150@TEST")</f>
        <v>TN19790150@TEST</v>
      </c>
      <c r="M140" s="8" t="str">
        <f>HYPERLINK("https://test.ictv.global/id/ICTV19760116","ICTV19760116@TEST")</f>
        <v>ICTV19760116@TEST</v>
      </c>
      <c r="N140" s="8" t="str">
        <f>HYPERLINK("https://ictv.global/id/TN19790150","TN19790150@prod")</f>
        <v>TN19790150@prod</v>
      </c>
      <c r="O140" s="8" t="str">
        <f>HYPERLINK("https://ictv.global/id/ICTV19760116","ICTV19760116@prod")</f>
        <v>ICTV19760116@prod</v>
      </c>
    </row>
    <row r="141" spans="1:15" x14ac:dyDescent="0.2">
      <c r="A141">
        <v>6</v>
      </c>
      <c r="B141">
        <v>19790150</v>
      </c>
      <c r="C141">
        <v>19760116</v>
      </c>
      <c r="D141" t="s">
        <v>29</v>
      </c>
      <c r="E141" t="s">
        <v>112</v>
      </c>
      <c r="G141" t="s">
        <v>53</v>
      </c>
      <c r="H141" t="s">
        <v>115</v>
      </c>
      <c r="I141" t="s">
        <v>29</v>
      </c>
      <c r="J141">
        <v>19810185</v>
      </c>
      <c r="K141">
        <v>19810185</v>
      </c>
      <c r="L141" s="8" t="str">
        <f>HYPERLINK("https://test.ictv.global/id/TN19790150","TN19790150@TEST")</f>
        <v>TN19790150@TEST</v>
      </c>
      <c r="M141" s="8" t="str">
        <f>HYPERLINK("https://test.ictv.global/id/ICTV19760116","ICTV19760116@TEST")</f>
        <v>ICTV19760116@TEST</v>
      </c>
      <c r="N141" s="8" t="str">
        <f>HYPERLINK("https://ictv.global/id/TN19790150","TN19790150@prod")</f>
        <v>TN19790150@prod</v>
      </c>
      <c r="O141" s="8" t="str">
        <f>HYPERLINK("https://ictv.global/id/ICTV19760116","ICTV19760116@prod")</f>
        <v>ICTV19760116@prod</v>
      </c>
    </row>
    <row r="142" spans="1:15" x14ac:dyDescent="0.2">
      <c r="A142">
        <v>6</v>
      </c>
      <c r="B142">
        <v>19790150</v>
      </c>
      <c r="C142">
        <v>19760116</v>
      </c>
      <c r="D142" t="s">
        <v>29</v>
      </c>
      <c r="E142" t="s">
        <v>112</v>
      </c>
      <c r="G142" t="s">
        <v>53</v>
      </c>
      <c r="H142" t="s">
        <v>116</v>
      </c>
      <c r="I142" t="s">
        <v>29</v>
      </c>
      <c r="J142">
        <v>19810186</v>
      </c>
      <c r="K142">
        <v>19810186</v>
      </c>
      <c r="L142" s="8" t="str">
        <f>HYPERLINK("https://test.ictv.global/id/TN19790150","TN19790150@TEST")</f>
        <v>TN19790150@TEST</v>
      </c>
      <c r="M142" s="8" t="str">
        <f>HYPERLINK("https://test.ictv.global/id/ICTV19760116","ICTV19760116@TEST")</f>
        <v>ICTV19760116@TEST</v>
      </c>
      <c r="N142" s="8" t="str">
        <f>HYPERLINK("https://ictv.global/id/TN19790150","TN19790150@prod")</f>
        <v>TN19790150@prod</v>
      </c>
      <c r="O142" s="8" t="str">
        <f>HYPERLINK("https://ictv.global/id/ICTV19760116","ICTV19760116@prod")</f>
        <v>ICTV19760116@prod</v>
      </c>
    </row>
    <row r="143" spans="1:15" x14ac:dyDescent="0.2">
      <c r="A143">
        <v>6</v>
      </c>
      <c r="B143">
        <v>19790150</v>
      </c>
      <c r="C143">
        <v>19760116</v>
      </c>
      <c r="D143" t="s">
        <v>29</v>
      </c>
      <c r="E143" t="s">
        <v>112</v>
      </c>
      <c r="G143" t="s">
        <v>53</v>
      </c>
      <c r="H143" t="s">
        <v>117</v>
      </c>
      <c r="I143" t="s">
        <v>29</v>
      </c>
      <c r="J143">
        <v>19810187</v>
      </c>
      <c r="K143">
        <v>19810187</v>
      </c>
      <c r="L143" s="8" t="str">
        <f>HYPERLINK("https://test.ictv.global/id/TN19790150","TN19790150@TEST")</f>
        <v>TN19790150@TEST</v>
      </c>
      <c r="M143" s="8" t="str">
        <f>HYPERLINK("https://test.ictv.global/id/ICTV19760116","ICTV19760116@TEST")</f>
        <v>ICTV19760116@TEST</v>
      </c>
      <c r="N143" s="8" t="str">
        <f>HYPERLINK("https://ictv.global/id/TN19790150","TN19790150@prod")</f>
        <v>TN19790150@prod</v>
      </c>
      <c r="O143" s="8" t="str">
        <f>HYPERLINK("https://ictv.global/id/ICTV19760116","ICTV19760116@prod")</f>
        <v>ICTV19760116@prod</v>
      </c>
    </row>
    <row r="144" spans="1:15" x14ac:dyDescent="0.2">
      <c r="A144">
        <v>6</v>
      </c>
      <c r="B144">
        <v>19790150</v>
      </c>
      <c r="C144">
        <v>19760116</v>
      </c>
      <c r="D144" t="s">
        <v>29</v>
      </c>
      <c r="E144" t="s">
        <v>112</v>
      </c>
      <c r="G144" t="s">
        <v>53</v>
      </c>
      <c r="H144" t="s">
        <v>118</v>
      </c>
      <c r="I144" t="s">
        <v>29</v>
      </c>
      <c r="J144">
        <v>19810188</v>
      </c>
      <c r="K144">
        <v>19810188</v>
      </c>
      <c r="L144" s="8" t="str">
        <f>HYPERLINK("https://test.ictv.global/id/TN19790150","TN19790150@TEST")</f>
        <v>TN19790150@TEST</v>
      </c>
      <c r="M144" s="8" t="str">
        <f>HYPERLINK("https://test.ictv.global/id/ICTV19760116","ICTV19760116@TEST")</f>
        <v>ICTV19760116@TEST</v>
      </c>
      <c r="N144" s="8" t="str">
        <f>HYPERLINK("https://ictv.global/id/TN19790150","TN19790150@prod")</f>
        <v>TN19790150@prod</v>
      </c>
      <c r="O144" s="8" t="str">
        <f>HYPERLINK("https://ictv.global/id/ICTV19760116","ICTV19760116@prod")</f>
        <v>ICTV19760116@prod</v>
      </c>
    </row>
    <row r="145" spans="1:15" x14ac:dyDescent="0.2">
      <c r="A145">
        <v>6</v>
      </c>
      <c r="B145">
        <v>19790150</v>
      </c>
      <c r="C145">
        <v>19760116</v>
      </c>
      <c r="D145" t="s">
        <v>29</v>
      </c>
      <c r="E145" t="s">
        <v>112</v>
      </c>
      <c r="G145" t="s">
        <v>53</v>
      </c>
      <c r="H145" t="s">
        <v>119</v>
      </c>
      <c r="I145" t="s">
        <v>29</v>
      </c>
      <c r="J145">
        <v>19810189</v>
      </c>
      <c r="K145">
        <v>19810189</v>
      </c>
      <c r="L145" s="8" t="str">
        <f>HYPERLINK("https://test.ictv.global/id/TN19790150","TN19790150@TEST")</f>
        <v>TN19790150@TEST</v>
      </c>
      <c r="M145" s="8" t="str">
        <f>HYPERLINK("https://test.ictv.global/id/ICTV19760116","ICTV19760116@TEST")</f>
        <v>ICTV19760116@TEST</v>
      </c>
      <c r="N145" s="8" t="str">
        <f>HYPERLINK("https://ictv.global/id/TN19790150","TN19790150@prod")</f>
        <v>TN19790150@prod</v>
      </c>
      <c r="O145" s="8" t="str">
        <f>HYPERLINK("https://ictv.global/id/ICTV19760116","ICTV19760116@prod")</f>
        <v>ICTV19760116@prod</v>
      </c>
    </row>
    <row r="146" spans="1:15" x14ac:dyDescent="0.2">
      <c r="A146">
        <v>6</v>
      </c>
      <c r="B146">
        <v>19790150</v>
      </c>
      <c r="C146">
        <v>19760116</v>
      </c>
      <c r="D146" t="s">
        <v>29</v>
      </c>
      <c r="E146" t="s">
        <v>112</v>
      </c>
      <c r="G146" t="s">
        <v>53</v>
      </c>
      <c r="H146" t="s">
        <v>120</v>
      </c>
      <c r="I146" t="s">
        <v>29</v>
      </c>
      <c r="J146">
        <v>19810190</v>
      </c>
      <c r="K146">
        <v>19810190</v>
      </c>
      <c r="L146" s="8" t="str">
        <f>HYPERLINK("https://test.ictv.global/id/TN19790150","TN19790150@TEST")</f>
        <v>TN19790150@TEST</v>
      </c>
      <c r="M146" s="8" t="str">
        <f>HYPERLINK("https://test.ictv.global/id/ICTV19760116","ICTV19760116@TEST")</f>
        <v>ICTV19760116@TEST</v>
      </c>
      <c r="N146" s="8" t="str">
        <f>HYPERLINK("https://ictv.global/id/TN19790150","TN19790150@prod")</f>
        <v>TN19790150@prod</v>
      </c>
      <c r="O146" s="8" t="str">
        <f>HYPERLINK("https://ictv.global/id/ICTV19760116","ICTV19760116@prod")</f>
        <v>ICTV19760116@prod</v>
      </c>
    </row>
    <row r="147" spans="1:15" x14ac:dyDescent="0.2">
      <c r="A147">
        <v>6</v>
      </c>
      <c r="B147">
        <v>19790150</v>
      </c>
      <c r="C147">
        <v>19760116</v>
      </c>
      <c r="D147" t="s">
        <v>29</v>
      </c>
      <c r="E147" t="s">
        <v>112</v>
      </c>
      <c r="G147" t="s">
        <v>53</v>
      </c>
      <c r="H147" t="s">
        <v>121</v>
      </c>
      <c r="I147" t="s">
        <v>29</v>
      </c>
      <c r="J147">
        <v>19810191</v>
      </c>
      <c r="K147">
        <v>19810191</v>
      </c>
      <c r="L147" s="8" t="str">
        <f>HYPERLINK("https://test.ictv.global/id/TN19790150","TN19790150@TEST")</f>
        <v>TN19790150@TEST</v>
      </c>
      <c r="M147" s="8" t="str">
        <f>HYPERLINK("https://test.ictv.global/id/ICTV19760116","ICTV19760116@TEST")</f>
        <v>ICTV19760116@TEST</v>
      </c>
      <c r="N147" s="8" t="str">
        <f>HYPERLINK("https://ictv.global/id/TN19790150","TN19790150@prod")</f>
        <v>TN19790150@prod</v>
      </c>
      <c r="O147" s="8" t="str">
        <f>HYPERLINK("https://ictv.global/id/ICTV19760116","ICTV19760116@prod")</f>
        <v>ICTV19760116@prod</v>
      </c>
    </row>
    <row r="148" spans="1:15" x14ac:dyDescent="0.2">
      <c r="A148">
        <v>6</v>
      </c>
      <c r="B148">
        <v>19790155</v>
      </c>
      <c r="C148">
        <v>19760120</v>
      </c>
      <c r="D148" t="s">
        <v>29</v>
      </c>
      <c r="E148" t="s">
        <v>122</v>
      </c>
      <c r="G148" t="s">
        <v>53</v>
      </c>
      <c r="H148" t="s">
        <v>123</v>
      </c>
      <c r="I148" t="s">
        <v>29</v>
      </c>
      <c r="J148">
        <v>19810196</v>
      </c>
      <c r="K148">
        <v>19810196</v>
      </c>
      <c r="L148" s="8" t="str">
        <f>HYPERLINK("https://test.ictv.global/id/TN19790155","TN19790155@TEST")</f>
        <v>TN19790155@TEST</v>
      </c>
      <c r="M148" s="8" t="str">
        <f>HYPERLINK("https://test.ictv.global/id/ICTV19760120","ICTV19760120@TEST")</f>
        <v>ICTV19760120@TEST</v>
      </c>
      <c r="N148" s="8" t="str">
        <f>HYPERLINK("https://ictv.global/id/TN19790155","TN19790155@prod")</f>
        <v>TN19790155@prod</v>
      </c>
      <c r="O148" s="8" t="str">
        <f>HYPERLINK("https://ictv.global/id/ICTV19760120","ICTV19760120@prod")</f>
        <v>ICTV19760120@prod</v>
      </c>
    </row>
    <row r="149" spans="1:15" x14ac:dyDescent="0.2">
      <c r="A149">
        <v>6</v>
      </c>
      <c r="B149">
        <v>19790155</v>
      </c>
      <c r="C149">
        <v>19760120</v>
      </c>
      <c r="D149" t="s">
        <v>29</v>
      </c>
      <c r="E149" t="s">
        <v>122</v>
      </c>
      <c r="G149" t="s">
        <v>53</v>
      </c>
      <c r="H149" t="s">
        <v>124</v>
      </c>
      <c r="I149" t="s">
        <v>29</v>
      </c>
      <c r="J149">
        <v>19810197</v>
      </c>
      <c r="K149">
        <v>19810197</v>
      </c>
      <c r="L149" s="8" t="str">
        <f>HYPERLINK("https://test.ictv.global/id/TN19790155","TN19790155@TEST")</f>
        <v>TN19790155@TEST</v>
      </c>
      <c r="M149" s="8" t="str">
        <f>HYPERLINK("https://test.ictv.global/id/ICTV19760120","ICTV19760120@TEST")</f>
        <v>ICTV19760120@TEST</v>
      </c>
      <c r="N149" s="8" t="str">
        <f>HYPERLINK("https://ictv.global/id/TN19790155","TN19790155@prod")</f>
        <v>TN19790155@prod</v>
      </c>
      <c r="O149" s="8" t="str">
        <f>HYPERLINK("https://ictv.global/id/ICTV19760120","ICTV19760120@prod")</f>
        <v>ICTV19760120@prod</v>
      </c>
    </row>
    <row r="150" spans="1:15" x14ac:dyDescent="0.2">
      <c r="A150">
        <v>6</v>
      </c>
      <c r="B150">
        <v>19790155</v>
      </c>
      <c r="C150">
        <v>19760120</v>
      </c>
      <c r="D150" t="s">
        <v>29</v>
      </c>
      <c r="E150" t="s">
        <v>122</v>
      </c>
      <c r="G150" t="s">
        <v>53</v>
      </c>
      <c r="H150" t="s">
        <v>125</v>
      </c>
      <c r="I150" t="s">
        <v>29</v>
      </c>
      <c r="J150">
        <v>19810198</v>
      </c>
      <c r="K150">
        <v>19810198</v>
      </c>
      <c r="L150" s="8" t="str">
        <f>HYPERLINK("https://test.ictv.global/id/TN19790155","TN19790155@TEST")</f>
        <v>TN19790155@TEST</v>
      </c>
      <c r="M150" s="8" t="str">
        <f>HYPERLINK("https://test.ictv.global/id/ICTV19760120","ICTV19760120@TEST")</f>
        <v>ICTV19760120@TEST</v>
      </c>
      <c r="N150" s="8" t="str">
        <f>HYPERLINK("https://ictv.global/id/TN19790155","TN19790155@prod")</f>
        <v>TN19790155@prod</v>
      </c>
      <c r="O150" s="8" t="str">
        <f>HYPERLINK("https://ictv.global/id/ICTV19760120","ICTV19760120@prod")</f>
        <v>ICTV19760120@prod</v>
      </c>
    </row>
    <row r="151" spans="1:15" x14ac:dyDescent="0.2">
      <c r="A151">
        <v>6</v>
      </c>
      <c r="B151">
        <v>19790155</v>
      </c>
      <c r="C151">
        <v>19760120</v>
      </c>
      <c r="D151" t="s">
        <v>29</v>
      </c>
      <c r="E151" t="s">
        <v>122</v>
      </c>
      <c r="G151" t="s">
        <v>53</v>
      </c>
      <c r="H151" t="s">
        <v>126</v>
      </c>
      <c r="I151" t="s">
        <v>29</v>
      </c>
      <c r="J151">
        <v>19810199</v>
      </c>
      <c r="K151">
        <v>19810199</v>
      </c>
      <c r="L151" s="8" t="str">
        <f>HYPERLINK("https://test.ictv.global/id/TN19790155","TN19790155@TEST")</f>
        <v>TN19790155@TEST</v>
      </c>
      <c r="M151" s="8" t="str">
        <f>HYPERLINK("https://test.ictv.global/id/ICTV19760120","ICTV19760120@TEST")</f>
        <v>ICTV19760120@TEST</v>
      </c>
      <c r="N151" s="8" t="str">
        <f>HYPERLINK("https://ictv.global/id/TN19790155","TN19790155@prod")</f>
        <v>TN19790155@prod</v>
      </c>
      <c r="O151" s="8" t="str">
        <f>HYPERLINK("https://ictv.global/id/ICTV19760120","ICTV19760120@prod")</f>
        <v>ICTV19760120@prod</v>
      </c>
    </row>
    <row r="152" spans="1:15" x14ac:dyDescent="0.2">
      <c r="A152">
        <v>6</v>
      </c>
      <c r="B152">
        <v>19790155</v>
      </c>
      <c r="C152">
        <v>19760120</v>
      </c>
      <c r="D152" t="s">
        <v>29</v>
      </c>
      <c r="E152" t="s">
        <v>122</v>
      </c>
      <c r="G152" t="s">
        <v>53</v>
      </c>
      <c r="H152" t="s">
        <v>127</v>
      </c>
      <c r="I152" t="s">
        <v>29</v>
      </c>
      <c r="J152">
        <v>19810200</v>
      </c>
      <c r="K152">
        <v>19810200</v>
      </c>
      <c r="L152" s="8" t="str">
        <f>HYPERLINK("https://test.ictv.global/id/TN19790155","TN19790155@TEST")</f>
        <v>TN19790155@TEST</v>
      </c>
      <c r="M152" s="8" t="str">
        <f>HYPERLINK("https://test.ictv.global/id/ICTV19760120","ICTV19760120@TEST")</f>
        <v>ICTV19760120@TEST</v>
      </c>
      <c r="N152" s="8" t="str">
        <f>HYPERLINK("https://ictv.global/id/TN19790155","TN19790155@prod")</f>
        <v>TN19790155@prod</v>
      </c>
      <c r="O152" s="8" t="str">
        <f>HYPERLINK("https://ictv.global/id/ICTV19760120","ICTV19760120@prod")</f>
        <v>ICTV19760120@prod</v>
      </c>
    </row>
    <row r="153" spans="1:15" x14ac:dyDescent="0.2">
      <c r="A153">
        <v>6</v>
      </c>
      <c r="B153">
        <v>19790155</v>
      </c>
      <c r="C153">
        <v>19760120</v>
      </c>
      <c r="D153" t="s">
        <v>29</v>
      </c>
      <c r="E153" t="s">
        <v>122</v>
      </c>
      <c r="G153" t="s">
        <v>53</v>
      </c>
      <c r="H153" t="s">
        <v>128</v>
      </c>
      <c r="I153" t="s">
        <v>29</v>
      </c>
      <c r="J153">
        <v>19810201</v>
      </c>
      <c r="K153">
        <v>19810201</v>
      </c>
      <c r="L153" s="8" t="str">
        <f>HYPERLINK("https://test.ictv.global/id/TN19790155","TN19790155@TEST")</f>
        <v>TN19790155@TEST</v>
      </c>
      <c r="M153" s="8" t="str">
        <f>HYPERLINK("https://test.ictv.global/id/ICTV19760120","ICTV19760120@TEST")</f>
        <v>ICTV19760120@TEST</v>
      </c>
      <c r="N153" s="8" t="str">
        <f>HYPERLINK("https://ictv.global/id/TN19790155","TN19790155@prod")</f>
        <v>TN19790155@prod</v>
      </c>
      <c r="O153" s="8" t="str">
        <f>HYPERLINK("https://ictv.global/id/ICTV19760120","ICTV19760120@prod")</f>
        <v>ICTV19760120@prod</v>
      </c>
    </row>
    <row r="154" spans="1:15" x14ac:dyDescent="0.2">
      <c r="A154">
        <v>6</v>
      </c>
      <c r="B154">
        <v>19790155</v>
      </c>
      <c r="C154">
        <v>19760120</v>
      </c>
      <c r="D154" t="s">
        <v>29</v>
      </c>
      <c r="E154" t="s">
        <v>122</v>
      </c>
      <c r="G154" t="s">
        <v>53</v>
      </c>
      <c r="H154" t="s">
        <v>129</v>
      </c>
      <c r="I154" t="s">
        <v>29</v>
      </c>
      <c r="J154">
        <v>19810202</v>
      </c>
      <c r="K154">
        <v>19810202</v>
      </c>
      <c r="L154" s="8" t="str">
        <f>HYPERLINK("https://test.ictv.global/id/TN19790155","TN19790155@TEST")</f>
        <v>TN19790155@TEST</v>
      </c>
      <c r="M154" s="8" t="str">
        <f>HYPERLINK("https://test.ictv.global/id/ICTV19760120","ICTV19760120@TEST")</f>
        <v>ICTV19760120@TEST</v>
      </c>
      <c r="N154" s="8" t="str">
        <f>HYPERLINK("https://ictv.global/id/TN19790155","TN19790155@prod")</f>
        <v>TN19790155@prod</v>
      </c>
      <c r="O154" s="8" t="str">
        <f>HYPERLINK("https://ictv.global/id/ICTV19760120","ICTV19760120@prod")</f>
        <v>ICTV19760120@prod</v>
      </c>
    </row>
    <row r="155" spans="1:15" x14ac:dyDescent="0.2">
      <c r="A155">
        <v>6</v>
      </c>
      <c r="B155">
        <v>19790155</v>
      </c>
      <c r="C155">
        <v>19760120</v>
      </c>
      <c r="D155" t="s">
        <v>29</v>
      </c>
      <c r="E155" t="s">
        <v>122</v>
      </c>
      <c r="G155" t="s">
        <v>53</v>
      </c>
      <c r="H155" t="s">
        <v>130</v>
      </c>
      <c r="I155" t="s">
        <v>29</v>
      </c>
      <c r="J155">
        <v>19810203</v>
      </c>
      <c r="K155">
        <v>19810203</v>
      </c>
      <c r="L155" s="8" t="str">
        <f>HYPERLINK("https://test.ictv.global/id/TN19790155","TN19790155@TEST")</f>
        <v>TN19790155@TEST</v>
      </c>
      <c r="M155" s="8" t="str">
        <f>HYPERLINK("https://test.ictv.global/id/ICTV19760120","ICTV19760120@TEST")</f>
        <v>ICTV19760120@TEST</v>
      </c>
      <c r="N155" s="8" t="str">
        <f>HYPERLINK("https://ictv.global/id/TN19790155","TN19790155@prod")</f>
        <v>TN19790155@prod</v>
      </c>
      <c r="O155" s="8" t="str">
        <f>HYPERLINK("https://ictv.global/id/ICTV19760120","ICTV19760120@prod")</f>
        <v>ICTV19760120@prod</v>
      </c>
    </row>
    <row r="156" spans="1:15" x14ac:dyDescent="0.2">
      <c r="A156">
        <v>6</v>
      </c>
      <c r="B156">
        <v>19790155</v>
      </c>
      <c r="C156">
        <v>19760120</v>
      </c>
      <c r="D156" t="s">
        <v>29</v>
      </c>
      <c r="E156" t="s">
        <v>122</v>
      </c>
      <c r="G156" t="s">
        <v>53</v>
      </c>
      <c r="H156" t="s">
        <v>131</v>
      </c>
      <c r="I156" t="s">
        <v>29</v>
      </c>
      <c r="J156">
        <v>19810204</v>
      </c>
      <c r="K156">
        <v>19810204</v>
      </c>
      <c r="L156" s="8" t="str">
        <f>HYPERLINK("https://test.ictv.global/id/TN19790155","TN19790155@TEST")</f>
        <v>TN19790155@TEST</v>
      </c>
      <c r="M156" s="8" t="str">
        <f>HYPERLINK("https://test.ictv.global/id/ICTV19760120","ICTV19760120@TEST")</f>
        <v>ICTV19760120@TEST</v>
      </c>
      <c r="N156" s="8" t="str">
        <f>HYPERLINK("https://ictv.global/id/TN19790155","TN19790155@prod")</f>
        <v>TN19790155@prod</v>
      </c>
      <c r="O156" s="8" t="str">
        <f>HYPERLINK("https://ictv.global/id/ICTV19760120","ICTV19760120@prod")</f>
        <v>ICTV19760120@prod</v>
      </c>
    </row>
    <row r="157" spans="1:15" x14ac:dyDescent="0.2">
      <c r="A157">
        <v>6</v>
      </c>
      <c r="B157">
        <v>19790155</v>
      </c>
      <c r="C157">
        <v>19760120</v>
      </c>
      <c r="D157" t="s">
        <v>29</v>
      </c>
      <c r="E157" t="s">
        <v>122</v>
      </c>
      <c r="G157" t="s">
        <v>53</v>
      </c>
      <c r="H157" t="s">
        <v>132</v>
      </c>
      <c r="I157" t="s">
        <v>29</v>
      </c>
      <c r="J157">
        <v>19810205</v>
      </c>
      <c r="K157">
        <v>19810205</v>
      </c>
      <c r="L157" s="8" t="str">
        <f>HYPERLINK("https://test.ictv.global/id/TN19790155","TN19790155@TEST")</f>
        <v>TN19790155@TEST</v>
      </c>
      <c r="M157" s="8" t="str">
        <f>HYPERLINK("https://test.ictv.global/id/ICTV19760120","ICTV19760120@TEST")</f>
        <v>ICTV19760120@TEST</v>
      </c>
      <c r="N157" s="8" t="str">
        <f>HYPERLINK("https://ictv.global/id/TN19790155","TN19790155@prod")</f>
        <v>TN19790155@prod</v>
      </c>
      <c r="O157" s="8" t="str">
        <f>HYPERLINK("https://ictv.global/id/ICTV19760120","ICTV19760120@prod")</f>
        <v>ICTV19760120@prod</v>
      </c>
    </row>
    <row r="158" spans="1:15" x14ac:dyDescent="0.2">
      <c r="A158">
        <v>6</v>
      </c>
      <c r="B158">
        <v>19790155</v>
      </c>
      <c r="C158">
        <v>19760120</v>
      </c>
      <c r="D158" t="s">
        <v>29</v>
      </c>
      <c r="E158" t="s">
        <v>122</v>
      </c>
      <c r="G158" t="s">
        <v>53</v>
      </c>
      <c r="H158" t="s">
        <v>133</v>
      </c>
      <c r="I158" t="s">
        <v>29</v>
      </c>
      <c r="J158">
        <v>19810207</v>
      </c>
      <c r="K158">
        <v>19810207</v>
      </c>
      <c r="L158" s="8" t="str">
        <f>HYPERLINK("https://test.ictv.global/id/TN19790155","TN19790155@TEST")</f>
        <v>TN19790155@TEST</v>
      </c>
      <c r="M158" s="8" t="str">
        <f>HYPERLINK("https://test.ictv.global/id/ICTV19760120","ICTV19760120@TEST")</f>
        <v>ICTV19760120@TEST</v>
      </c>
      <c r="N158" s="8" t="str">
        <f>HYPERLINK("https://ictv.global/id/TN19790155","TN19790155@prod")</f>
        <v>TN19790155@prod</v>
      </c>
      <c r="O158" s="8" t="str">
        <f>HYPERLINK("https://ictv.global/id/ICTV19760120","ICTV19760120@prod")</f>
        <v>ICTV19760120@prod</v>
      </c>
    </row>
    <row r="159" spans="1:15" x14ac:dyDescent="0.2">
      <c r="A159">
        <v>6</v>
      </c>
      <c r="B159">
        <v>19790155</v>
      </c>
      <c r="C159">
        <v>19760120</v>
      </c>
      <c r="D159" t="s">
        <v>29</v>
      </c>
      <c r="E159" t="s">
        <v>122</v>
      </c>
      <c r="G159" t="s">
        <v>53</v>
      </c>
      <c r="H159" t="s">
        <v>134</v>
      </c>
      <c r="I159" t="s">
        <v>29</v>
      </c>
      <c r="J159">
        <v>19810208</v>
      </c>
      <c r="K159">
        <v>19810208</v>
      </c>
      <c r="L159" s="8" t="str">
        <f>HYPERLINK("https://test.ictv.global/id/TN19790155","TN19790155@TEST")</f>
        <v>TN19790155@TEST</v>
      </c>
      <c r="M159" s="8" t="str">
        <f>HYPERLINK("https://test.ictv.global/id/ICTV19760120","ICTV19760120@TEST")</f>
        <v>ICTV19760120@TEST</v>
      </c>
      <c r="N159" s="8" t="str">
        <f>HYPERLINK("https://ictv.global/id/TN19790155","TN19790155@prod")</f>
        <v>TN19790155@prod</v>
      </c>
      <c r="O159" s="8" t="str">
        <f>HYPERLINK("https://ictv.global/id/ICTV19760120","ICTV19760120@prod")</f>
        <v>ICTV19760120@prod</v>
      </c>
    </row>
    <row r="160" spans="1:15" x14ac:dyDescent="0.2">
      <c r="A160">
        <v>6</v>
      </c>
      <c r="B160">
        <v>19790155</v>
      </c>
      <c r="C160">
        <v>19760120</v>
      </c>
      <c r="D160" t="s">
        <v>29</v>
      </c>
      <c r="E160" t="s">
        <v>122</v>
      </c>
      <c r="G160" t="s">
        <v>53</v>
      </c>
      <c r="H160" t="s">
        <v>135</v>
      </c>
      <c r="I160" t="s">
        <v>29</v>
      </c>
      <c r="J160">
        <v>19810209</v>
      </c>
      <c r="K160">
        <v>19810209</v>
      </c>
      <c r="L160" s="8" t="str">
        <f>HYPERLINK("https://test.ictv.global/id/TN19790155","TN19790155@TEST")</f>
        <v>TN19790155@TEST</v>
      </c>
      <c r="M160" s="8" t="str">
        <f>HYPERLINK("https://test.ictv.global/id/ICTV19760120","ICTV19760120@TEST")</f>
        <v>ICTV19760120@TEST</v>
      </c>
      <c r="N160" s="8" t="str">
        <f>HYPERLINK("https://ictv.global/id/TN19790155","TN19790155@prod")</f>
        <v>TN19790155@prod</v>
      </c>
      <c r="O160" s="8" t="str">
        <f>HYPERLINK("https://ictv.global/id/ICTV19760120","ICTV19760120@prod")</f>
        <v>ICTV19760120@prod</v>
      </c>
    </row>
    <row r="161" spans="1:15" x14ac:dyDescent="0.2">
      <c r="A161">
        <v>6</v>
      </c>
      <c r="B161">
        <v>19790155</v>
      </c>
      <c r="C161">
        <v>19760120</v>
      </c>
      <c r="D161" t="s">
        <v>29</v>
      </c>
      <c r="E161" t="s">
        <v>122</v>
      </c>
      <c r="G161" t="s">
        <v>53</v>
      </c>
      <c r="H161" t="s">
        <v>136</v>
      </c>
      <c r="I161" t="s">
        <v>29</v>
      </c>
      <c r="J161">
        <v>19810210</v>
      </c>
      <c r="K161">
        <v>19810210</v>
      </c>
      <c r="L161" s="8" t="str">
        <f>HYPERLINK("https://test.ictv.global/id/TN19790155","TN19790155@TEST")</f>
        <v>TN19790155@TEST</v>
      </c>
      <c r="M161" s="8" t="str">
        <f>HYPERLINK("https://test.ictv.global/id/ICTV19760120","ICTV19760120@TEST")</f>
        <v>ICTV19760120@TEST</v>
      </c>
      <c r="N161" s="8" t="str">
        <f>HYPERLINK("https://ictv.global/id/TN19790155","TN19790155@prod")</f>
        <v>TN19790155@prod</v>
      </c>
      <c r="O161" s="8" t="str">
        <f>HYPERLINK("https://ictv.global/id/ICTV19760120","ICTV19760120@prod")</f>
        <v>ICTV19760120@prod</v>
      </c>
    </row>
    <row r="162" spans="1:15" x14ac:dyDescent="0.2">
      <c r="A162">
        <v>6</v>
      </c>
      <c r="B162">
        <v>19790155</v>
      </c>
      <c r="C162">
        <v>19760120</v>
      </c>
      <c r="D162" t="s">
        <v>29</v>
      </c>
      <c r="E162" t="s">
        <v>122</v>
      </c>
      <c r="G162" t="s">
        <v>53</v>
      </c>
      <c r="H162" t="s">
        <v>137</v>
      </c>
      <c r="I162" t="s">
        <v>29</v>
      </c>
      <c r="J162">
        <v>19810211</v>
      </c>
      <c r="K162">
        <v>19810211</v>
      </c>
      <c r="L162" s="8" t="str">
        <f>HYPERLINK("https://test.ictv.global/id/TN19790155","TN19790155@TEST")</f>
        <v>TN19790155@TEST</v>
      </c>
      <c r="M162" s="8" t="str">
        <f>HYPERLINK("https://test.ictv.global/id/ICTV19760120","ICTV19760120@TEST")</f>
        <v>ICTV19760120@TEST</v>
      </c>
      <c r="N162" s="8" t="str">
        <f>HYPERLINK("https://ictv.global/id/TN19790155","TN19790155@prod")</f>
        <v>TN19790155@prod</v>
      </c>
      <c r="O162" s="8" t="str">
        <f>HYPERLINK("https://ictv.global/id/ICTV19760120","ICTV19760120@prod")</f>
        <v>ICTV19760120@prod</v>
      </c>
    </row>
    <row r="163" spans="1:15" x14ac:dyDescent="0.2">
      <c r="A163">
        <v>6</v>
      </c>
      <c r="B163">
        <v>19790155</v>
      </c>
      <c r="C163">
        <v>19760120</v>
      </c>
      <c r="D163" t="s">
        <v>29</v>
      </c>
      <c r="E163" t="s">
        <v>122</v>
      </c>
      <c r="G163" t="s">
        <v>53</v>
      </c>
      <c r="H163" t="s">
        <v>138</v>
      </c>
      <c r="I163" t="s">
        <v>29</v>
      </c>
      <c r="J163">
        <v>19810212</v>
      </c>
      <c r="K163">
        <v>19810212</v>
      </c>
      <c r="L163" s="8" t="str">
        <f>HYPERLINK("https://test.ictv.global/id/TN19790155","TN19790155@TEST")</f>
        <v>TN19790155@TEST</v>
      </c>
      <c r="M163" s="8" t="str">
        <f>HYPERLINK("https://test.ictv.global/id/ICTV19760120","ICTV19760120@TEST")</f>
        <v>ICTV19760120@TEST</v>
      </c>
      <c r="N163" s="8" t="str">
        <f>HYPERLINK("https://ictv.global/id/TN19790155","TN19790155@prod")</f>
        <v>TN19790155@prod</v>
      </c>
      <c r="O163" s="8" t="str">
        <f>HYPERLINK("https://ictv.global/id/ICTV19760120","ICTV19760120@prod")</f>
        <v>ICTV19760120@prod</v>
      </c>
    </row>
    <row r="164" spans="1:15" x14ac:dyDescent="0.2">
      <c r="A164">
        <v>6</v>
      </c>
      <c r="B164">
        <v>19790155</v>
      </c>
      <c r="C164">
        <v>19760120</v>
      </c>
      <c r="D164" t="s">
        <v>29</v>
      </c>
      <c r="E164" t="s">
        <v>122</v>
      </c>
      <c r="G164" t="s">
        <v>53</v>
      </c>
      <c r="H164" t="s">
        <v>139</v>
      </c>
      <c r="I164" t="s">
        <v>29</v>
      </c>
      <c r="J164">
        <v>19810213</v>
      </c>
      <c r="K164">
        <v>19810213</v>
      </c>
      <c r="L164" s="8" t="str">
        <f>HYPERLINK("https://test.ictv.global/id/TN19790155","TN19790155@TEST")</f>
        <v>TN19790155@TEST</v>
      </c>
      <c r="M164" s="8" t="str">
        <f>HYPERLINK("https://test.ictv.global/id/ICTV19760120","ICTV19760120@TEST")</f>
        <v>ICTV19760120@TEST</v>
      </c>
      <c r="N164" s="8" t="str">
        <f>HYPERLINK("https://ictv.global/id/TN19790155","TN19790155@prod")</f>
        <v>TN19790155@prod</v>
      </c>
      <c r="O164" s="8" t="str">
        <f>HYPERLINK("https://ictv.global/id/ICTV19760120","ICTV19760120@prod")</f>
        <v>ICTV19760120@prod</v>
      </c>
    </row>
    <row r="165" spans="1:15" x14ac:dyDescent="0.2">
      <c r="A165">
        <v>6</v>
      </c>
      <c r="B165">
        <v>19790155</v>
      </c>
      <c r="C165">
        <v>19760120</v>
      </c>
      <c r="D165" t="s">
        <v>29</v>
      </c>
      <c r="E165" t="s">
        <v>122</v>
      </c>
      <c r="G165" t="s">
        <v>53</v>
      </c>
      <c r="H165" t="s">
        <v>140</v>
      </c>
      <c r="I165" t="s">
        <v>29</v>
      </c>
      <c r="J165">
        <v>19810214</v>
      </c>
      <c r="K165">
        <v>19810214</v>
      </c>
      <c r="L165" s="8" t="str">
        <f>HYPERLINK("https://test.ictv.global/id/TN19790155","TN19790155@TEST")</f>
        <v>TN19790155@TEST</v>
      </c>
      <c r="M165" s="8" t="str">
        <f>HYPERLINK("https://test.ictv.global/id/ICTV19760120","ICTV19760120@TEST")</f>
        <v>ICTV19760120@TEST</v>
      </c>
      <c r="N165" s="8" t="str">
        <f>HYPERLINK("https://ictv.global/id/TN19790155","TN19790155@prod")</f>
        <v>TN19790155@prod</v>
      </c>
      <c r="O165" s="8" t="str">
        <f>HYPERLINK("https://ictv.global/id/ICTV19760120","ICTV19760120@prod")</f>
        <v>ICTV19760120@prod</v>
      </c>
    </row>
    <row r="166" spans="1:15" x14ac:dyDescent="0.2">
      <c r="A166">
        <v>6</v>
      </c>
      <c r="B166">
        <v>19790155</v>
      </c>
      <c r="C166">
        <v>19760120</v>
      </c>
      <c r="D166" t="s">
        <v>29</v>
      </c>
      <c r="E166" t="s">
        <v>122</v>
      </c>
      <c r="G166" t="s">
        <v>53</v>
      </c>
      <c r="H166" t="s">
        <v>141</v>
      </c>
      <c r="I166" t="s">
        <v>29</v>
      </c>
      <c r="J166">
        <v>19810215</v>
      </c>
      <c r="K166">
        <v>19810215</v>
      </c>
      <c r="L166" s="8" t="str">
        <f>HYPERLINK("https://test.ictv.global/id/TN19790155","TN19790155@TEST")</f>
        <v>TN19790155@TEST</v>
      </c>
      <c r="M166" s="8" t="str">
        <f>HYPERLINK("https://test.ictv.global/id/ICTV19760120","ICTV19760120@TEST")</f>
        <v>ICTV19760120@TEST</v>
      </c>
      <c r="N166" s="8" t="str">
        <f>HYPERLINK("https://ictv.global/id/TN19790155","TN19790155@prod")</f>
        <v>TN19790155@prod</v>
      </c>
      <c r="O166" s="8" t="str">
        <f>HYPERLINK("https://ictv.global/id/ICTV19760120","ICTV19760120@prod")</f>
        <v>ICTV19760120@prod</v>
      </c>
    </row>
    <row r="167" spans="1:15" x14ac:dyDescent="0.2">
      <c r="A167">
        <v>6</v>
      </c>
      <c r="B167">
        <v>19790155</v>
      </c>
      <c r="C167">
        <v>19760120</v>
      </c>
      <c r="D167" t="s">
        <v>29</v>
      </c>
      <c r="E167" t="s">
        <v>122</v>
      </c>
      <c r="G167" t="s">
        <v>53</v>
      </c>
      <c r="H167" t="s">
        <v>142</v>
      </c>
      <c r="I167" t="s">
        <v>29</v>
      </c>
      <c r="J167">
        <v>19810216</v>
      </c>
      <c r="K167">
        <v>19810216</v>
      </c>
      <c r="L167" s="8" t="str">
        <f>HYPERLINK("https://test.ictv.global/id/TN19790155","TN19790155@TEST")</f>
        <v>TN19790155@TEST</v>
      </c>
      <c r="M167" s="8" t="str">
        <f>HYPERLINK("https://test.ictv.global/id/ICTV19760120","ICTV19760120@TEST")</f>
        <v>ICTV19760120@TEST</v>
      </c>
      <c r="N167" s="8" t="str">
        <f>HYPERLINK("https://ictv.global/id/TN19790155","TN19790155@prod")</f>
        <v>TN19790155@prod</v>
      </c>
      <c r="O167" s="8" t="str">
        <f>HYPERLINK("https://ictv.global/id/ICTV19760120","ICTV19760120@prod")</f>
        <v>ICTV19760120@prod</v>
      </c>
    </row>
    <row r="168" spans="1:15" x14ac:dyDescent="0.2">
      <c r="A168">
        <v>6</v>
      </c>
      <c r="B168">
        <v>19790155</v>
      </c>
      <c r="C168">
        <v>19760120</v>
      </c>
      <c r="D168" t="s">
        <v>29</v>
      </c>
      <c r="E168" t="s">
        <v>122</v>
      </c>
      <c r="G168" t="s">
        <v>53</v>
      </c>
      <c r="H168" t="s">
        <v>143</v>
      </c>
      <c r="I168" t="s">
        <v>29</v>
      </c>
      <c r="J168">
        <v>19810217</v>
      </c>
      <c r="K168">
        <v>19810217</v>
      </c>
      <c r="L168" s="8" t="str">
        <f>HYPERLINK("https://test.ictv.global/id/TN19790155","TN19790155@TEST")</f>
        <v>TN19790155@TEST</v>
      </c>
      <c r="M168" s="8" t="str">
        <f>HYPERLINK("https://test.ictv.global/id/ICTV19760120","ICTV19760120@TEST")</f>
        <v>ICTV19760120@TEST</v>
      </c>
      <c r="N168" s="8" t="str">
        <f>HYPERLINK("https://ictv.global/id/TN19790155","TN19790155@prod")</f>
        <v>TN19790155@prod</v>
      </c>
      <c r="O168" s="8" t="str">
        <f>HYPERLINK("https://ictv.global/id/ICTV19760120","ICTV19760120@prod")</f>
        <v>ICTV19760120@prod</v>
      </c>
    </row>
    <row r="169" spans="1:15" x14ac:dyDescent="0.2">
      <c r="A169">
        <v>6</v>
      </c>
      <c r="B169">
        <v>19790155</v>
      </c>
      <c r="C169">
        <v>19760120</v>
      </c>
      <c r="D169" t="s">
        <v>29</v>
      </c>
      <c r="E169" t="s">
        <v>122</v>
      </c>
      <c r="G169" t="s">
        <v>53</v>
      </c>
      <c r="H169" t="s">
        <v>144</v>
      </c>
      <c r="I169" t="s">
        <v>29</v>
      </c>
      <c r="J169">
        <v>19810218</v>
      </c>
      <c r="K169">
        <v>19810218</v>
      </c>
      <c r="L169" s="8" t="str">
        <f>HYPERLINK("https://test.ictv.global/id/TN19790155","TN19790155@TEST")</f>
        <v>TN19790155@TEST</v>
      </c>
      <c r="M169" s="8" t="str">
        <f>HYPERLINK("https://test.ictv.global/id/ICTV19760120","ICTV19760120@TEST")</f>
        <v>ICTV19760120@TEST</v>
      </c>
      <c r="N169" s="8" t="str">
        <f>HYPERLINK("https://ictv.global/id/TN19790155","TN19790155@prod")</f>
        <v>TN19790155@prod</v>
      </c>
      <c r="O169" s="8" t="str">
        <f>HYPERLINK("https://ictv.global/id/ICTV19760120","ICTV19760120@prod")</f>
        <v>ICTV19760120@prod</v>
      </c>
    </row>
    <row r="170" spans="1:15" x14ac:dyDescent="0.2">
      <c r="A170">
        <v>6</v>
      </c>
      <c r="B170">
        <v>19790155</v>
      </c>
      <c r="C170">
        <v>19760120</v>
      </c>
      <c r="D170" t="s">
        <v>29</v>
      </c>
      <c r="E170" t="s">
        <v>122</v>
      </c>
      <c r="G170" t="s">
        <v>53</v>
      </c>
      <c r="H170" t="s">
        <v>145</v>
      </c>
      <c r="I170" t="s">
        <v>29</v>
      </c>
      <c r="J170">
        <v>19810219</v>
      </c>
      <c r="K170">
        <v>19810219</v>
      </c>
      <c r="L170" s="8" t="str">
        <f>HYPERLINK("https://test.ictv.global/id/TN19790155","TN19790155@TEST")</f>
        <v>TN19790155@TEST</v>
      </c>
      <c r="M170" s="8" t="str">
        <f>HYPERLINK("https://test.ictv.global/id/ICTV19760120","ICTV19760120@TEST")</f>
        <v>ICTV19760120@TEST</v>
      </c>
      <c r="N170" s="8" t="str">
        <f>HYPERLINK("https://ictv.global/id/TN19790155","TN19790155@prod")</f>
        <v>TN19790155@prod</v>
      </c>
      <c r="O170" s="8" t="str">
        <f>HYPERLINK("https://ictv.global/id/ICTV19760120","ICTV19760120@prod")</f>
        <v>ICTV19760120@prod</v>
      </c>
    </row>
    <row r="171" spans="1:15" x14ac:dyDescent="0.2">
      <c r="A171">
        <v>6</v>
      </c>
      <c r="B171">
        <v>19790155</v>
      </c>
      <c r="C171">
        <v>19760120</v>
      </c>
      <c r="D171" t="s">
        <v>29</v>
      </c>
      <c r="E171" t="s">
        <v>122</v>
      </c>
      <c r="G171" t="s">
        <v>53</v>
      </c>
      <c r="H171" t="s">
        <v>146</v>
      </c>
      <c r="I171" t="s">
        <v>29</v>
      </c>
      <c r="J171">
        <v>19810220</v>
      </c>
      <c r="K171">
        <v>19810220</v>
      </c>
      <c r="L171" s="8" t="str">
        <f>HYPERLINK("https://test.ictv.global/id/TN19790155","TN19790155@TEST")</f>
        <v>TN19790155@TEST</v>
      </c>
      <c r="M171" s="8" t="str">
        <f>HYPERLINK("https://test.ictv.global/id/ICTV19760120","ICTV19760120@TEST")</f>
        <v>ICTV19760120@TEST</v>
      </c>
      <c r="N171" s="8" t="str">
        <f>HYPERLINK("https://ictv.global/id/TN19790155","TN19790155@prod")</f>
        <v>TN19790155@prod</v>
      </c>
      <c r="O171" s="8" t="str">
        <f>HYPERLINK("https://ictv.global/id/ICTV19760120","ICTV19760120@prod")</f>
        <v>ICTV19760120@prod</v>
      </c>
    </row>
    <row r="172" spans="1:15" x14ac:dyDescent="0.2">
      <c r="A172">
        <v>6</v>
      </c>
      <c r="B172">
        <v>19790155</v>
      </c>
      <c r="C172">
        <v>19760120</v>
      </c>
      <c r="D172" t="s">
        <v>29</v>
      </c>
      <c r="E172" t="s">
        <v>122</v>
      </c>
      <c r="G172" t="s">
        <v>53</v>
      </c>
      <c r="H172" t="s">
        <v>147</v>
      </c>
      <c r="I172" t="s">
        <v>29</v>
      </c>
      <c r="J172">
        <v>19810221</v>
      </c>
      <c r="K172">
        <v>19810221</v>
      </c>
      <c r="L172" s="8" t="str">
        <f>HYPERLINK("https://test.ictv.global/id/TN19790155","TN19790155@TEST")</f>
        <v>TN19790155@TEST</v>
      </c>
      <c r="M172" s="8" t="str">
        <f>HYPERLINK("https://test.ictv.global/id/ICTV19760120","ICTV19760120@TEST")</f>
        <v>ICTV19760120@TEST</v>
      </c>
      <c r="N172" s="8" t="str">
        <f>HYPERLINK("https://ictv.global/id/TN19790155","TN19790155@prod")</f>
        <v>TN19790155@prod</v>
      </c>
      <c r="O172" s="8" t="str">
        <f>HYPERLINK("https://ictv.global/id/ICTV19760120","ICTV19760120@prod")</f>
        <v>ICTV19760120@prod</v>
      </c>
    </row>
    <row r="173" spans="1:15" x14ac:dyDescent="0.2">
      <c r="A173">
        <v>6</v>
      </c>
      <c r="B173">
        <v>19790155</v>
      </c>
      <c r="C173">
        <v>19760120</v>
      </c>
      <c r="D173" t="s">
        <v>29</v>
      </c>
      <c r="E173" t="s">
        <v>122</v>
      </c>
      <c r="G173" t="s">
        <v>53</v>
      </c>
      <c r="H173" t="s">
        <v>148</v>
      </c>
      <c r="I173" t="s">
        <v>29</v>
      </c>
      <c r="J173">
        <v>19810223</v>
      </c>
      <c r="K173">
        <v>19810223</v>
      </c>
      <c r="L173" s="8" t="str">
        <f>HYPERLINK("https://test.ictv.global/id/TN19790155","TN19790155@TEST")</f>
        <v>TN19790155@TEST</v>
      </c>
      <c r="M173" s="8" t="str">
        <f>HYPERLINK("https://test.ictv.global/id/ICTV19760120","ICTV19760120@TEST")</f>
        <v>ICTV19760120@TEST</v>
      </c>
      <c r="N173" s="8" t="str">
        <f>HYPERLINK("https://ictv.global/id/TN19790155","TN19790155@prod")</f>
        <v>TN19790155@prod</v>
      </c>
      <c r="O173" s="8" t="str">
        <f>HYPERLINK("https://ictv.global/id/ICTV19760120","ICTV19760120@prod")</f>
        <v>ICTV19760120@prod</v>
      </c>
    </row>
    <row r="174" spans="1:15" x14ac:dyDescent="0.2">
      <c r="A174">
        <v>6</v>
      </c>
      <c r="B174">
        <v>19790155</v>
      </c>
      <c r="C174">
        <v>19760120</v>
      </c>
      <c r="D174" t="s">
        <v>29</v>
      </c>
      <c r="E174" t="s">
        <v>122</v>
      </c>
      <c r="G174" t="s">
        <v>53</v>
      </c>
      <c r="H174" t="s">
        <v>149</v>
      </c>
      <c r="I174" t="s">
        <v>29</v>
      </c>
      <c r="J174">
        <v>19810224</v>
      </c>
      <c r="K174">
        <v>19810224</v>
      </c>
      <c r="L174" s="8" t="str">
        <f>HYPERLINK("https://test.ictv.global/id/TN19790155","TN19790155@TEST")</f>
        <v>TN19790155@TEST</v>
      </c>
      <c r="M174" s="8" t="str">
        <f>HYPERLINK("https://test.ictv.global/id/ICTV19760120","ICTV19760120@TEST")</f>
        <v>ICTV19760120@TEST</v>
      </c>
      <c r="N174" s="8" t="str">
        <f>HYPERLINK("https://ictv.global/id/TN19790155","TN19790155@prod")</f>
        <v>TN19790155@prod</v>
      </c>
      <c r="O174" s="8" t="str">
        <f>HYPERLINK("https://ictv.global/id/ICTV19760120","ICTV19760120@prod")</f>
        <v>ICTV19760120@prod</v>
      </c>
    </row>
    <row r="175" spans="1:15" x14ac:dyDescent="0.2">
      <c r="A175">
        <v>6</v>
      </c>
      <c r="B175">
        <v>19790155</v>
      </c>
      <c r="C175">
        <v>19760120</v>
      </c>
      <c r="D175" t="s">
        <v>29</v>
      </c>
      <c r="E175" t="s">
        <v>122</v>
      </c>
      <c r="G175" t="s">
        <v>53</v>
      </c>
      <c r="H175" t="s">
        <v>150</v>
      </c>
      <c r="I175" t="s">
        <v>29</v>
      </c>
      <c r="J175">
        <v>19810225</v>
      </c>
      <c r="K175">
        <v>19810225</v>
      </c>
      <c r="L175" s="8" t="str">
        <f>HYPERLINK("https://test.ictv.global/id/TN19790155","TN19790155@TEST")</f>
        <v>TN19790155@TEST</v>
      </c>
      <c r="M175" s="8" t="str">
        <f>HYPERLINK("https://test.ictv.global/id/ICTV19760120","ICTV19760120@TEST")</f>
        <v>ICTV19760120@TEST</v>
      </c>
      <c r="N175" s="8" t="str">
        <f>HYPERLINK("https://ictv.global/id/TN19790155","TN19790155@prod")</f>
        <v>TN19790155@prod</v>
      </c>
      <c r="O175" s="8" t="str">
        <f>HYPERLINK("https://ictv.global/id/ICTV19760120","ICTV19760120@prod")</f>
        <v>ICTV19760120@prod</v>
      </c>
    </row>
    <row r="176" spans="1:15" x14ac:dyDescent="0.2">
      <c r="A176">
        <v>6</v>
      </c>
      <c r="B176">
        <v>19790155</v>
      </c>
      <c r="C176">
        <v>19760120</v>
      </c>
      <c r="D176" t="s">
        <v>29</v>
      </c>
      <c r="E176" t="s">
        <v>122</v>
      </c>
      <c r="G176" t="s">
        <v>53</v>
      </c>
      <c r="H176" t="s">
        <v>151</v>
      </c>
      <c r="I176" t="s">
        <v>29</v>
      </c>
      <c r="J176">
        <v>19810226</v>
      </c>
      <c r="K176">
        <v>19810226</v>
      </c>
      <c r="L176" s="8" t="str">
        <f>HYPERLINK("https://test.ictv.global/id/TN19790155","TN19790155@TEST")</f>
        <v>TN19790155@TEST</v>
      </c>
      <c r="M176" s="8" t="str">
        <f>HYPERLINK("https://test.ictv.global/id/ICTV19760120","ICTV19760120@TEST")</f>
        <v>ICTV19760120@TEST</v>
      </c>
      <c r="N176" s="8" t="str">
        <f>HYPERLINK("https://ictv.global/id/TN19790155","TN19790155@prod")</f>
        <v>TN19790155@prod</v>
      </c>
      <c r="O176" s="8" t="str">
        <f>HYPERLINK("https://ictv.global/id/ICTV19760120","ICTV19760120@prod")</f>
        <v>ICTV19760120@prod</v>
      </c>
    </row>
    <row r="177" spans="1:15" x14ac:dyDescent="0.2">
      <c r="A177">
        <v>6</v>
      </c>
      <c r="B177">
        <v>19790155</v>
      </c>
      <c r="C177">
        <v>19760120</v>
      </c>
      <c r="D177" t="s">
        <v>29</v>
      </c>
      <c r="E177" t="s">
        <v>122</v>
      </c>
      <c r="G177" t="s">
        <v>53</v>
      </c>
      <c r="H177" t="s">
        <v>152</v>
      </c>
      <c r="I177" t="s">
        <v>29</v>
      </c>
      <c r="J177">
        <v>19810227</v>
      </c>
      <c r="K177">
        <v>19810227</v>
      </c>
      <c r="L177" s="8" t="str">
        <f>HYPERLINK("https://test.ictv.global/id/TN19790155","TN19790155@TEST")</f>
        <v>TN19790155@TEST</v>
      </c>
      <c r="M177" s="8" t="str">
        <f>HYPERLINK("https://test.ictv.global/id/ICTV19760120","ICTV19760120@TEST")</f>
        <v>ICTV19760120@TEST</v>
      </c>
      <c r="N177" s="8" t="str">
        <f>HYPERLINK("https://ictv.global/id/TN19790155","TN19790155@prod")</f>
        <v>TN19790155@prod</v>
      </c>
      <c r="O177" s="8" t="str">
        <f>HYPERLINK("https://ictv.global/id/ICTV19760120","ICTV19760120@prod")</f>
        <v>ICTV19760120@prod</v>
      </c>
    </row>
    <row r="178" spans="1:15" x14ac:dyDescent="0.2">
      <c r="A178">
        <v>6</v>
      </c>
      <c r="B178">
        <v>19790155</v>
      </c>
      <c r="C178">
        <v>19760120</v>
      </c>
      <c r="D178" t="s">
        <v>29</v>
      </c>
      <c r="E178" t="s">
        <v>122</v>
      </c>
      <c r="G178" t="s">
        <v>53</v>
      </c>
      <c r="H178" t="s">
        <v>153</v>
      </c>
      <c r="I178" t="s">
        <v>29</v>
      </c>
      <c r="J178">
        <v>19810228</v>
      </c>
      <c r="K178">
        <v>19810228</v>
      </c>
      <c r="L178" s="8" t="str">
        <f>HYPERLINK("https://test.ictv.global/id/TN19790155","TN19790155@TEST")</f>
        <v>TN19790155@TEST</v>
      </c>
      <c r="M178" s="8" t="str">
        <f>HYPERLINK("https://test.ictv.global/id/ICTV19760120","ICTV19760120@TEST")</f>
        <v>ICTV19760120@TEST</v>
      </c>
      <c r="N178" s="8" t="str">
        <f>HYPERLINK("https://ictv.global/id/TN19790155","TN19790155@prod")</f>
        <v>TN19790155@prod</v>
      </c>
      <c r="O178" s="8" t="str">
        <f>HYPERLINK("https://ictv.global/id/ICTV19760120","ICTV19760120@prod")</f>
        <v>ICTV19760120@prod</v>
      </c>
    </row>
    <row r="179" spans="1:15" x14ac:dyDescent="0.2">
      <c r="A179">
        <v>6</v>
      </c>
      <c r="B179">
        <v>19790157</v>
      </c>
      <c r="C179">
        <v>19760123</v>
      </c>
      <c r="D179" t="s">
        <v>29</v>
      </c>
      <c r="E179" t="s">
        <v>154</v>
      </c>
      <c r="G179" t="s">
        <v>53</v>
      </c>
      <c r="H179" t="s">
        <v>155</v>
      </c>
      <c r="I179" t="s">
        <v>29</v>
      </c>
      <c r="J179">
        <v>19810230</v>
      </c>
      <c r="K179">
        <v>19810230</v>
      </c>
      <c r="L179" s="8" t="str">
        <f>HYPERLINK("https://test.ictv.global/id/TN19790157","TN19790157@TEST")</f>
        <v>TN19790157@TEST</v>
      </c>
      <c r="M179" s="8" t="str">
        <f>HYPERLINK("https://test.ictv.global/id/ICTV19760123","ICTV19760123@TEST")</f>
        <v>ICTV19760123@TEST</v>
      </c>
      <c r="N179" s="8" t="str">
        <f>HYPERLINK("https://ictv.global/id/TN19790157","TN19790157@prod")</f>
        <v>TN19790157@prod</v>
      </c>
      <c r="O179" s="8" t="str">
        <f>HYPERLINK("https://ictv.global/id/ICTV19760123","ICTV19760123@prod")</f>
        <v>ICTV19760123@prod</v>
      </c>
    </row>
    <row r="180" spans="1:15" x14ac:dyDescent="0.2">
      <c r="A180">
        <v>6</v>
      </c>
      <c r="B180">
        <v>19790157</v>
      </c>
      <c r="C180">
        <v>19760123</v>
      </c>
      <c r="D180" t="s">
        <v>29</v>
      </c>
      <c r="E180" t="s">
        <v>154</v>
      </c>
      <c r="G180" t="s">
        <v>53</v>
      </c>
      <c r="H180" t="s">
        <v>156</v>
      </c>
      <c r="I180" t="s">
        <v>29</v>
      </c>
      <c r="J180">
        <v>19810231</v>
      </c>
      <c r="K180">
        <v>19810231</v>
      </c>
      <c r="L180" s="8" t="str">
        <f>HYPERLINK("https://test.ictv.global/id/TN19790157","TN19790157@TEST")</f>
        <v>TN19790157@TEST</v>
      </c>
      <c r="M180" s="8" t="str">
        <f>HYPERLINK("https://test.ictv.global/id/ICTV19760123","ICTV19760123@TEST")</f>
        <v>ICTV19760123@TEST</v>
      </c>
      <c r="N180" s="8" t="str">
        <f>HYPERLINK("https://ictv.global/id/TN19790157","TN19790157@prod")</f>
        <v>TN19790157@prod</v>
      </c>
      <c r="O180" s="8" t="str">
        <f>HYPERLINK("https://ictv.global/id/ICTV19760123","ICTV19760123@prod")</f>
        <v>ICTV19760123@prod</v>
      </c>
    </row>
    <row r="181" spans="1:15" x14ac:dyDescent="0.2">
      <c r="A181">
        <v>6</v>
      </c>
      <c r="B181">
        <v>19790157</v>
      </c>
      <c r="C181">
        <v>19760123</v>
      </c>
      <c r="D181" t="s">
        <v>29</v>
      </c>
      <c r="E181" t="s">
        <v>154</v>
      </c>
      <c r="G181" t="s">
        <v>53</v>
      </c>
      <c r="H181" t="s">
        <v>157</v>
      </c>
      <c r="I181" t="s">
        <v>29</v>
      </c>
      <c r="J181">
        <v>19810232</v>
      </c>
      <c r="K181">
        <v>19810232</v>
      </c>
      <c r="L181" s="8" t="str">
        <f>HYPERLINK("https://test.ictv.global/id/TN19790157","TN19790157@TEST")</f>
        <v>TN19790157@TEST</v>
      </c>
      <c r="M181" s="8" t="str">
        <f>HYPERLINK("https://test.ictv.global/id/ICTV19760123","ICTV19760123@TEST")</f>
        <v>ICTV19760123@TEST</v>
      </c>
      <c r="N181" s="8" t="str">
        <f>HYPERLINK("https://ictv.global/id/TN19790157","TN19790157@prod")</f>
        <v>TN19790157@prod</v>
      </c>
      <c r="O181" s="8" t="str">
        <f>HYPERLINK("https://ictv.global/id/ICTV19760123","ICTV19760123@prod")</f>
        <v>ICTV19760123@prod</v>
      </c>
    </row>
    <row r="182" spans="1:15" x14ac:dyDescent="0.2">
      <c r="A182">
        <v>6</v>
      </c>
      <c r="B182">
        <v>19790157</v>
      </c>
      <c r="C182">
        <v>19760123</v>
      </c>
      <c r="D182" t="s">
        <v>29</v>
      </c>
      <c r="E182" t="s">
        <v>154</v>
      </c>
      <c r="G182" t="s">
        <v>53</v>
      </c>
      <c r="H182" t="s">
        <v>158</v>
      </c>
      <c r="I182" t="s">
        <v>29</v>
      </c>
      <c r="J182">
        <v>19810233</v>
      </c>
      <c r="K182">
        <v>19810233</v>
      </c>
      <c r="L182" s="8" t="str">
        <f>HYPERLINK("https://test.ictv.global/id/TN19790157","TN19790157@TEST")</f>
        <v>TN19790157@TEST</v>
      </c>
      <c r="M182" s="8" t="str">
        <f>HYPERLINK("https://test.ictv.global/id/ICTV19760123","ICTV19760123@TEST")</f>
        <v>ICTV19760123@TEST</v>
      </c>
      <c r="N182" s="8" t="str">
        <f>HYPERLINK("https://ictv.global/id/TN19790157","TN19790157@prod")</f>
        <v>TN19790157@prod</v>
      </c>
      <c r="O182" s="8" t="str">
        <f>HYPERLINK("https://ictv.global/id/ICTV19760123","ICTV19760123@prod")</f>
        <v>ICTV19760123@prod</v>
      </c>
    </row>
    <row r="183" spans="1:15" x14ac:dyDescent="0.2">
      <c r="A183">
        <v>6</v>
      </c>
      <c r="B183">
        <v>19790157</v>
      </c>
      <c r="C183">
        <v>19760123</v>
      </c>
      <c r="D183" t="s">
        <v>29</v>
      </c>
      <c r="E183" t="s">
        <v>154</v>
      </c>
      <c r="G183" t="s">
        <v>53</v>
      </c>
      <c r="H183" t="s">
        <v>159</v>
      </c>
      <c r="I183" t="s">
        <v>29</v>
      </c>
      <c r="J183">
        <v>19810234</v>
      </c>
      <c r="K183">
        <v>19810234</v>
      </c>
      <c r="L183" s="8" t="str">
        <f>HYPERLINK("https://test.ictv.global/id/TN19790157","TN19790157@TEST")</f>
        <v>TN19790157@TEST</v>
      </c>
      <c r="M183" s="8" t="str">
        <f>HYPERLINK("https://test.ictv.global/id/ICTV19760123","ICTV19760123@TEST")</f>
        <v>ICTV19760123@TEST</v>
      </c>
      <c r="N183" s="8" t="str">
        <f>HYPERLINK("https://ictv.global/id/TN19790157","TN19790157@prod")</f>
        <v>TN19790157@prod</v>
      </c>
      <c r="O183" s="8" t="str">
        <f>HYPERLINK("https://ictv.global/id/ICTV19760123","ICTV19760123@prod")</f>
        <v>ICTV19760123@prod</v>
      </c>
    </row>
    <row r="184" spans="1:15" x14ac:dyDescent="0.2">
      <c r="A184">
        <v>6</v>
      </c>
      <c r="B184">
        <v>19790158</v>
      </c>
      <c r="C184">
        <v>19760124</v>
      </c>
      <c r="D184" t="s">
        <v>29</v>
      </c>
      <c r="E184" t="s">
        <v>160</v>
      </c>
      <c r="G184" t="s">
        <v>53</v>
      </c>
      <c r="H184" t="s">
        <v>161</v>
      </c>
      <c r="I184" t="s">
        <v>29</v>
      </c>
      <c r="J184">
        <v>19810235</v>
      </c>
      <c r="K184">
        <v>19810235</v>
      </c>
      <c r="L184" s="8" t="str">
        <f>HYPERLINK("https://test.ictv.global/id/TN19790158","TN19790158@TEST")</f>
        <v>TN19790158@TEST</v>
      </c>
      <c r="M184" s="8" t="str">
        <f>HYPERLINK("https://test.ictv.global/id/ICTV19760124","ICTV19760124@TEST")</f>
        <v>ICTV19760124@TEST</v>
      </c>
      <c r="N184" s="8" t="str">
        <f>HYPERLINK("https://ictv.global/id/TN19790158","TN19790158@prod")</f>
        <v>TN19790158@prod</v>
      </c>
      <c r="O184" s="8" t="str">
        <f>HYPERLINK("https://ictv.global/id/ICTV19760124","ICTV19760124@prod")</f>
        <v>ICTV19760124@prod</v>
      </c>
    </row>
    <row r="185" spans="1:15" x14ac:dyDescent="0.2">
      <c r="A185">
        <v>6</v>
      </c>
      <c r="B185">
        <v>19790158</v>
      </c>
      <c r="C185">
        <v>19760124</v>
      </c>
      <c r="D185" t="s">
        <v>29</v>
      </c>
      <c r="E185" t="s">
        <v>160</v>
      </c>
      <c r="G185" t="s">
        <v>53</v>
      </c>
      <c r="H185" t="s">
        <v>162</v>
      </c>
      <c r="I185" t="s">
        <v>29</v>
      </c>
      <c r="J185">
        <v>19810236</v>
      </c>
      <c r="K185">
        <v>19810236</v>
      </c>
      <c r="L185" s="8" t="str">
        <f>HYPERLINK("https://test.ictv.global/id/TN19790158","TN19790158@TEST")</f>
        <v>TN19790158@TEST</v>
      </c>
      <c r="M185" s="8" t="str">
        <f>HYPERLINK("https://test.ictv.global/id/ICTV19760124","ICTV19760124@TEST")</f>
        <v>ICTV19760124@TEST</v>
      </c>
      <c r="N185" s="8" t="str">
        <f>HYPERLINK("https://ictv.global/id/TN19790158","TN19790158@prod")</f>
        <v>TN19790158@prod</v>
      </c>
      <c r="O185" s="8" t="str">
        <f>HYPERLINK("https://ictv.global/id/ICTV19760124","ICTV19760124@prod")</f>
        <v>ICTV19760124@prod</v>
      </c>
    </row>
    <row r="186" spans="1:15" x14ac:dyDescent="0.2">
      <c r="A186">
        <v>6</v>
      </c>
      <c r="B186">
        <v>19790158</v>
      </c>
      <c r="C186">
        <v>19760124</v>
      </c>
      <c r="D186" t="s">
        <v>29</v>
      </c>
      <c r="E186" t="s">
        <v>160</v>
      </c>
      <c r="G186" t="s">
        <v>53</v>
      </c>
      <c r="H186" t="s">
        <v>163</v>
      </c>
      <c r="I186" t="s">
        <v>29</v>
      </c>
      <c r="J186">
        <v>19810237</v>
      </c>
      <c r="K186">
        <v>19810237</v>
      </c>
      <c r="L186" s="8" t="str">
        <f>HYPERLINK("https://test.ictv.global/id/TN19790158","TN19790158@TEST")</f>
        <v>TN19790158@TEST</v>
      </c>
      <c r="M186" s="8" t="str">
        <f>HYPERLINK("https://test.ictv.global/id/ICTV19760124","ICTV19760124@TEST")</f>
        <v>ICTV19760124@TEST</v>
      </c>
      <c r="N186" s="8" t="str">
        <f>HYPERLINK("https://ictv.global/id/TN19790158","TN19790158@prod")</f>
        <v>TN19790158@prod</v>
      </c>
      <c r="O186" s="8" t="str">
        <f>HYPERLINK("https://ictv.global/id/ICTV19760124","ICTV19760124@prod")</f>
        <v>ICTV19760124@prod</v>
      </c>
    </row>
    <row r="187" spans="1:15" x14ac:dyDescent="0.2">
      <c r="A187">
        <v>6</v>
      </c>
      <c r="B187">
        <v>19790158</v>
      </c>
      <c r="C187">
        <v>19760124</v>
      </c>
      <c r="D187" t="s">
        <v>29</v>
      </c>
      <c r="E187" t="s">
        <v>160</v>
      </c>
      <c r="G187" t="s">
        <v>53</v>
      </c>
      <c r="H187" t="s">
        <v>164</v>
      </c>
      <c r="I187" t="s">
        <v>29</v>
      </c>
      <c r="J187">
        <v>19810238</v>
      </c>
      <c r="K187">
        <v>19810238</v>
      </c>
      <c r="L187" s="8" t="str">
        <f>HYPERLINK("https://test.ictv.global/id/TN19790158","TN19790158@TEST")</f>
        <v>TN19790158@TEST</v>
      </c>
      <c r="M187" s="8" t="str">
        <f>HYPERLINK("https://test.ictv.global/id/ICTV19760124","ICTV19760124@TEST")</f>
        <v>ICTV19760124@TEST</v>
      </c>
      <c r="N187" s="8" t="str">
        <f>HYPERLINK("https://ictv.global/id/TN19790158","TN19790158@prod")</f>
        <v>TN19790158@prod</v>
      </c>
      <c r="O187" s="8" t="str">
        <f>HYPERLINK("https://ictv.global/id/ICTV19760124","ICTV19760124@prod")</f>
        <v>ICTV19760124@prod</v>
      </c>
    </row>
    <row r="188" spans="1:15" x14ac:dyDescent="0.2">
      <c r="A188">
        <v>6</v>
      </c>
      <c r="B188">
        <v>19790159</v>
      </c>
      <c r="C188">
        <v>19760125</v>
      </c>
      <c r="D188" t="s">
        <v>29</v>
      </c>
      <c r="E188" t="s">
        <v>1234</v>
      </c>
      <c r="G188" t="s">
        <v>1165</v>
      </c>
      <c r="L188" s="8" t="str">
        <f>HYPERLINK("https://test.ictv.global/id/TN19790159","TN19790159@TEST")</f>
        <v>TN19790159@TEST</v>
      </c>
      <c r="M188" s="8" t="str">
        <f>HYPERLINK("https://test.ictv.global/id/ICTV19760125","ICTV19760125@TEST")</f>
        <v>ICTV19760125@TEST</v>
      </c>
      <c r="N188" s="8" t="str">
        <f>HYPERLINK("https://ictv.global/id/TN19790159","TN19790159@prod")</f>
        <v>TN19790159@prod</v>
      </c>
      <c r="O188" s="8" t="str">
        <f>HYPERLINK("https://ictv.global/id/ICTV19760125","ICTV19760125@prod")</f>
        <v>ICTV19760125@prod</v>
      </c>
    </row>
    <row r="189" spans="1:15" x14ac:dyDescent="0.2">
      <c r="A189">
        <v>6</v>
      </c>
      <c r="B189">
        <v>19790280</v>
      </c>
      <c r="C189">
        <v>19790280</v>
      </c>
      <c r="D189" t="s">
        <v>29</v>
      </c>
      <c r="E189" t="s">
        <v>165</v>
      </c>
      <c r="G189" t="s">
        <v>166</v>
      </c>
      <c r="H189" t="s">
        <v>167</v>
      </c>
      <c r="I189" t="s">
        <v>29</v>
      </c>
      <c r="J189">
        <v>19990680</v>
      </c>
      <c r="K189">
        <v>19810350</v>
      </c>
      <c r="L189" s="8" t="str">
        <f>HYPERLINK("https://test.ictv.global/id/TN19790280","TN19790280@TEST")</f>
        <v>TN19790280@TEST</v>
      </c>
      <c r="M189" s="8" t="str">
        <f>HYPERLINK("https://test.ictv.global/id/ICTV19790280","ICTV19790280@TEST")</f>
        <v>ICTV19790280@TEST</v>
      </c>
      <c r="N189" s="8" t="str">
        <f>HYPERLINK("https://ictv.global/id/TN19790280","TN19790280@prod")</f>
        <v>TN19790280@prod</v>
      </c>
      <c r="O189" s="8" t="str">
        <f>HYPERLINK("https://ictv.global/id/ICTV19790280","ICTV19790280@prod")</f>
        <v>ICTV19790280@prod</v>
      </c>
    </row>
    <row r="190" spans="1:15" x14ac:dyDescent="0.2">
      <c r="A190">
        <v>6</v>
      </c>
      <c r="B190">
        <v>19790281</v>
      </c>
      <c r="C190">
        <v>19790281</v>
      </c>
      <c r="D190" t="s">
        <v>29</v>
      </c>
      <c r="E190" t="s">
        <v>168</v>
      </c>
      <c r="G190" t="s">
        <v>166</v>
      </c>
      <c r="H190" t="s">
        <v>167</v>
      </c>
      <c r="I190" t="s">
        <v>29</v>
      </c>
      <c r="J190">
        <v>19990680</v>
      </c>
      <c r="K190">
        <v>19810350</v>
      </c>
      <c r="L190" s="8" t="str">
        <f>HYPERLINK("https://test.ictv.global/id/TN19790281","TN19790281@TEST")</f>
        <v>TN19790281@TEST</v>
      </c>
      <c r="M190" s="8" t="str">
        <f>HYPERLINK("https://test.ictv.global/id/ICTV19790281","ICTV19790281@TEST")</f>
        <v>ICTV19790281@TEST</v>
      </c>
      <c r="N190" s="8" t="str">
        <f>HYPERLINK("https://ictv.global/id/TN19790281","TN19790281@prod")</f>
        <v>TN19790281@prod</v>
      </c>
      <c r="O190" s="8" t="str">
        <f>HYPERLINK("https://ictv.global/id/ICTV19790281","ICTV19790281@prod")</f>
        <v>ICTV19790281@prod</v>
      </c>
    </row>
    <row r="191" spans="1:15" x14ac:dyDescent="0.2">
      <c r="A191">
        <v>7</v>
      </c>
      <c r="B191">
        <v>19810134</v>
      </c>
      <c r="C191">
        <v>19760077</v>
      </c>
      <c r="D191" t="s">
        <v>19</v>
      </c>
      <c r="E191" t="s">
        <v>169</v>
      </c>
      <c r="G191" t="s">
        <v>53</v>
      </c>
      <c r="H191" t="s">
        <v>170</v>
      </c>
      <c r="I191" t="s">
        <v>19</v>
      </c>
      <c r="J191">
        <v>19820133</v>
      </c>
      <c r="K191">
        <v>19820133</v>
      </c>
      <c r="L191" s="8" t="str">
        <f>HYPERLINK("https://test.ictv.global/id/TN19810134","TN19810134@TEST")</f>
        <v>TN19810134@TEST</v>
      </c>
      <c r="M191" s="8" t="str">
        <f>HYPERLINK("https://test.ictv.global/id/ICTV19760077","ICTV19760077@TEST")</f>
        <v>ICTV19760077@TEST</v>
      </c>
      <c r="N191" s="8" t="str">
        <f>HYPERLINK("https://ictv.global/id/TN19810134","TN19810134@prod")</f>
        <v>TN19810134@prod</v>
      </c>
      <c r="O191" s="8" t="str">
        <f>HYPERLINK("https://ictv.global/id/ICTV19760077","ICTV19760077@prod")</f>
        <v>ICTV19760077@prod</v>
      </c>
    </row>
    <row r="192" spans="1:15" x14ac:dyDescent="0.2">
      <c r="A192">
        <v>7</v>
      </c>
      <c r="B192">
        <v>19810134</v>
      </c>
      <c r="C192">
        <v>19760077</v>
      </c>
      <c r="D192" t="s">
        <v>19</v>
      </c>
      <c r="E192" t="s">
        <v>169</v>
      </c>
      <c r="G192" t="s">
        <v>53</v>
      </c>
      <c r="H192" t="s">
        <v>171</v>
      </c>
      <c r="I192" t="s">
        <v>19</v>
      </c>
      <c r="J192">
        <v>19820134</v>
      </c>
      <c r="K192">
        <v>19820134</v>
      </c>
      <c r="L192" s="8" t="str">
        <f>HYPERLINK("https://test.ictv.global/id/TN19810134","TN19810134@TEST")</f>
        <v>TN19810134@TEST</v>
      </c>
      <c r="M192" s="8" t="str">
        <f>HYPERLINK("https://test.ictv.global/id/ICTV19760077","ICTV19760077@TEST")</f>
        <v>ICTV19760077@TEST</v>
      </c>
      <c r="N192" s="8" t="str">
        <f>HYPERLINK("https://ictv.global/id/TN19810134","TN19810134@prod")</f>
        <v>TN19810134@prod</v>
      </c>
      <c r="O192" s="8" t="str">
        <f>HYPERLINK("https://ictv.global/id/ICTV19760077","ICTV19760077@prod")</f>
        <v>ICTV19760077@prod</v>
      </c>
    </row>
    <row r="193" spans="1:15" x14ac:dyDescent="0.2">
      <c r="A193">
        <v>7</v>
      </c>
      <c r="B193">
        <v>19810251</v>
      </c>
      <c r="C193">
        <v>19710139</v>
      </c>
      <c r="D193" t="s">
        <v>29</v>
      </c>
      <c r="E193" t="s">
        <v>1235</v>
      </c>
      <c r="G193" t="s">
        <v>1165</v>
      </c>
      <c r="L193" s="8" t="str">
        <f>HYPERLINK("https://test.ictv.global/id/TN19810251","TN19810251@TEST")</f>
        <v>TN19810251@TEST</v>
      </c>
      <c r="M193" s="8" t="str">
        <f>HYPERLINK("https://test.ictv.global/id/ICTV19710139","ICTV19710139@TEST")</f>
        <v>ICTV19710139@TEST</v>
      </c>
      <c r="N193" s="8" t="str">
        <f>HYPERLINK("https://ictv.global/id/TN19810251","TN19810251@prod")</f>
        <v>TN19810251@prod</v>
      </c>
      <c r="O193" s="8" t="str">
        <f>HYPERLINK("https://ictv.global/id/ICTV19710139","ICTV19710139@prod")</f>
        <v>ICTV19710139@prod</v>
      </c>
    </row>
    <row r="194" spans="1:15" x14ac:dyDescent="0.2">
      <c r="A194">
        <v>7</v>
      </c>
      <c r="B194">
        <v>19810290</v>
      </c>
      <c r="C194">
        <v>19760174</v>
      </c>
      <c r="D194" t="s">
        <v>29</v>
      </c>
      <c r="E194" t="s">
        <v>1236</v>
      </c>
      <c r="G194" t="s">
        <v>1165</v>
      </c>
      <c r="L194" s="8" t="str">
        <f>HYPERLINK("https://test.ictv.global/id/TN19810290","TN19810290@TEST")</f>
        <v>TN19810290@TEST</v>
      </c>
      <c r="M194" s="8" t="str">
        <f>HYPERLINK("https://test.ictv.global/id/ICTV19760174","ICTV19760174@TEST")</f>
        <v>ICTV19760174@TEST</v>
      </c>
      <c r="N194" s="8" t="str">
        <f>HYPERLINK("https://ictv.global/id/TN19810290","TN19810290@prod")</f>
        <v>TN19810290@prod</v>
      </c>
      <c r="O194" s="8" t="str">
        <f>HYPERLINK("https://ictv.global/id/ICTV19760174","ICTV19760174@prod")</f>
        <v>ICTV19760174@prod</v>
      </c>
    </row>
    <row r="195" spans="1:15" x14ac:dyDescent="0.2">
      <c r="A195">
        <v>7</v>
      </c>
      <c r="B195">
        <v>19810352</v>
      </c>
      <c r="C195">
        <v>19810352</v>
      </c>
      <c r="D195" t="s">
        <v>29</v>
      </c>
      <c r="E195" t="s">
        <v>1237</v>
      </c>
      <c r="G195" t="s">
        <v>1165</v>
      </c>
      <c r="L195" s="8" t="str">
        <f>HYPERLINK("https://test.ictv.global/id/TN19810352","TN19810352@TEST")</f>
        <v>TN19810352@TEST</v>
      </c>
      <c r="M195" s="8" t="str">
        <f>HYPERLINK("https://test.ictv.global/id/ICTV19810352","ICTV19810352@TEST")</f>
        <v>ICTV19810352@TEST</v>
      </c>
      <c r="N195" s="8" t="str">
        <f>HYPERLINK("https://ictv.global/id/TN19810352","TN19810352@prod")</f>
        <v>TN19810352@prod</v>
      </c>
      <c r="O195" s="8" t="str">
        <f>HYPERLINK("https://ictv.global/id/ICTV19810352","ICTV19810352@prod")</f>
        <v>ICTV19810352@prod</v>
      </c>
    </row>
    <row r="196" spans="1:15" x14ac:dyDescent="0.2">
      <c r="A196">
        <v>7</v>
      </c>
      <c r="B196">
        <v>19810393</v>
      </c>
      <c r="C196">
        <v>19790272</v>
      </c>
      <c r="D196" t="s">
        <v>29</v>
      </c>
      <c r="E196" t="s">
        <v>480</v>
      </c>
      <c r="G196" t="s">
        <v>1165</v>
      </c>
      <c r="L196" s="8" t="str">
        <f>HYPERLINK("https://test.ictv.global/id/TN19810393","TN19810393@TEST")</f>
        <v>TN19810393@TEST</v>
      </c>
      <c r="M196" s="8" t="str">
        <f>HYPERLINK("https://test.ictv.global/id/ICTV19790272","ICTV19790272@TEST")</f>
        <v>ICTV19790272@TEST</v>
      </c>
      <c r="N196" s="8" t="str">
        <f>HYPERLINK("https://ictv.global/id/TN19810393","TN19810393@prod")</f>
        <v>TN19810393@prod</v>
      </c>
      <c r="O196" s="8" t="str">
        <f>HYPERLINK("https://ictv.global/id/ICTV19790272","ICTV19790272@prod")</f>
        <v>ICTV19790272@prod</v>
      </c>
    </row>
    <row r="197" spans="1:15" x14ac:dyDescent="0.2">
      <c r="A197">
        <v>7</v>
      </c>
      <c r="B197">
        <v>19810395</v>
      </c>
      <c r="C197">
        <v>19790290</v>
      </c>
      <c r="D197" t="s">
        <v>29</v>
      </c>
      <c r="E197" t="s">
        <v>1238</v>
      </c>
      <c r="G197" t="s">
        <v>1165</v>
      </c>
      <c r="L197" s="8" t="str">
        <f>HYPERLINK("https://test.ictv.global/id/TN19810395","TN19810395@TEST")</f>
        <v>TN19810395@TEST</v>
      </c>
      <c r="M197" s="8" t="str">
        <f>HYPERLINK("https://test.ictv.global/id/ICTV19790290","ICTV19790290@TEST")</f>
        <v>ICTV19790290@TEST</v>
      </c>
      <c r="N197" s="8" t="str">
        <f>HYPERLINK("https://ictv.global/id/TN19810395","TN19810395@prod")</f>
        <v>TN19810395@prod</v>
      </c>
      <c r="O197" s="8" t="str">
        <f>HYPERLINK("https://ictv.global/id/ICTV19790290","ICTV19790290@prod")</f>
        <v>ICTV19790290@prod</v>
      </c>
    </row>
    <row r="198" spans="1:15" x14ac:dyDescent="0.2">
      <c r="A198">
        <v>7</v>
      </c>
      <c r="B198">
        <v>19810396</v>
      </c>
      <c r="C198">
        <v>19790292</v>
      </c>
      <c r="D198" t="s">
        <v>29</v>
      </c>
      <c r="E198" t="s">
        <v>529</v>
      </c>
      <c r="G198" t="s">
        <v>1165</v>
      </c>
      <c r="L198" s="8" t="str">
        <f>HYPERLINK("https://test.ictv.global/id/TN19810396","TN19810396@TEST")</f>
        <v>TN19810396@TEST</v>
      </c>
      <c r="M198" s="8" t="str">
        <f>HYPERLINK("https://test.ictv.global/id/ICTV19790292","ICTV19790292@TEST")</f>
        <v>ICTV19790292@TEST</v>
      </c>
      <c r="N198" s="8" t="str">
        <f>HYPERLINK("https://ictv.global/id/TN19810396","TN19810396@prod")</f>
        <v>TN19810396@prod</v>
      </c>
      <c r="O198" s="8" t="str">
        <f>HYPERLINK("https://ictv.global/id/ICTV19790292","ICTV19790292@prod")</f>
        <v>ICTV19790292@prod</v>
      </c>
    </row>
    <row r="199" spans="1:15" x14ac:dyDescent="0.2">
      <c r="A199">
        <v>7</v>
      </c>
      <c r="B199">
        <v>19810397</v>
      </c>
      <c r="C199">
        <v>19790293</v>
      </c>
      <c r="D199" t="s">
        <v>29</v>
      </c>
      <c r="E199" t="s">
        <v>1239</v>
      </c>
      <c r="G199" t="s">
        <v>1165</v>
      </c>
      <c r="L199" s="8" t="str">
        <f>HYPERLINK("https://test.ictv.global/id/TN19810397","TN19810397@TEST")</f>
        <v>TN19810397@TEST</v>
      </c>
      <c r="M199" s="8" t="str">
        <f>HYPERLINK("https://test.ictv.global/id/ICTV19790293","ICTV19790293@TEST")</f>
        <v>ICTV19790293@TEST</v>
      </c>
      <c r="N199" s="8" t="str">
        <f>HYPERLINK("https://ictv.global/id/TN19810397","TN19810397@prod")</f>
        <v>TN19810397@prod</v>
      </c>
      <c r="O199" s="8" t="str">
        <f>HYPERLINK("https://ictv.global/id/ICTV19790293","ICTV19790293@prod")</f>
        <v>ICTV19790293@prod</v>
      </c>
    </row>
    <row r="200" spans="1:15" x14ac:dyDescent="0.2">
      <c r="A200">
        <v>7</v>
      </c>
      <c r="B200">
        <v>19810398</v>
      </c>
      <c r="C200">
        <v>19790294</v>
      </c>
      <c r="D200" t="s">
        <v>29</v>
      </c>
      <c r="E200" t="s">
        <v>1240</v>
      </c>
      <c r="G200" t="s">
        <v>1165</v>
      </c>
      <c r="L200" s="8" t="str">
        <f>HYPERLINK("https://test.ictv.global/id/TN19810398","TN19810398@TEST")</f>
        <v>TN19810398@TEST</v>
      </c>
      <c r="M200" s="8" t="str">
        <f>HYPERLINK("https://test.ictv.global/id/ICTV19790294","ICTV19790294@TEST")</f>
        <v>ICTV19790294@TEST</v>
      </c>
      <c r="N200" s="8" t="str">
        <f>HYPERLINK("https://ictv.global/id/TN19810398","TN19810398@prod")</f>
        <v>TN19810398@prod</v>
      </c>
      <c r="O200" s="8" t="str">
        <f>HYPERLINK("https://ictv.global/id/ICTV19790294","ICTV19790294@prod")</f>
        <v>ICTV19790294@prod</v>
      </c>
    </row>
    <row r="201" spans="1:15" x14ac:dyDescent="0.2">
      <c r="A201">
        <v>7</v>
      </c>
      <c r="B201">
        <v>19810399</v>
      </c>
      <c r="C201">
        <v>19790295</v>
      </c>
      <c r="D201" t="s">
        <v>29</v>
      </c>
      <c r="E201" t="s">
        <v>1241</v>
      </c>
      <c r="G201" t="s">
        <v>1165</v>
      </c>
      <c r="L201" s="8" t="str">
        <f>HYPERLINK("https://test.ictv.global/id/TN19810399","TN19810399@TEST")</f>
        <v>TN19810399@TEST</v>
      </c>
      <c r="M201" s="8" t="str">
        <f>HYPERLINK("https://test.ictv.global/id/ICTV19790295","ICTV19790295@TEST")</f>
        <v>ICTV19790295@TEST</v>
      </c>
      <c r="N201" s="8" t="str">
        <f>HYPERLINK("https://ictv.global/id/TN19810399","TN19810399@prod")</f>
        <v>TN19810399@prod</v>
      </c>
      <c r="O201" s="8" t="str">
        <f>HYPERLINK("https://ictv.global/id/ICTV19790295","ICTV19790295@prod")</f>
        <v>ICTV19790295@prod</v>
      </c>
    </row>
    <row r="202" spans="1:15" x14ac:dyDescent="0.2">
      <c r="A202">
        <v>7</v>
      </c>
      <c r="B202">
        <v>19810400</v>
      </c>
      <c r="C202">
        <v>19790297</v>
      </c>
      <c r="D202" t="s">
        <v>29</v>
      </c>
      <c r="E202" t="s">
        <v>1242</v>
      </c>
      <c r="G202" t="s">
        <v>1165</v>
      </c>
      <c r="L202" s="7" t="str">
        <f>HYPERLINK("https://test.ictv.global/id/TN19810400","TN19810400@TEST")</f>
        <v>TN19810400@TEST</v>
      </c>
      <c r="M202" s="7" t="str">
        <f>HYPERLINK("https://test.ictv.global/id/ICTV19790297","ICTV19790297@TEST")</f>
        <v>ICTV19790297@TEST</v>
      </c>
      <c r="N202" s="7" t="str">
        <f>HYPERLINK("https://ictv.global/id/TN19810400","TN19810400@prod")</f>
        <v>TN19810400@prod</v>
      </c>
      <c r="O202" s="7" t="str">
        <f>HYPERLINK("https://ictv.global/id/ICTV19790297","ICTV19790297@prod")</f>
        <v>ICTV19790297@prod</v>
      </c>
    </row>
    <row r="203" spans="1:15" x14ac:dyDescent="0.2">
      <c r="A203">
        <v>7</v>
      </c>
      <c r="B203">
        <v>19810401</v>
      </c>
      <c r="C203">
        <v>19790298</v>
      </c>
      <c r="D203" t="s">
        <v>29</v>
      </c>
      <c r="E203" t="s">
        <v>1243</v>
      </c>
      <c r="G203" t="s">
        <v>1165</v>
      </c>
      <c r="L203" s="7" t="str">
        <f>HYPERLINK("https://test.ictv.global/id/TN19810401","TN19810401@TEST")</f>
        <v>TN19810401@TEST</v>
      </c>
      <c r="M203" s="7" t="str">
        <f>HYPERLINK("https://test.ictv.global/id/ICTV19790298","ICTV19790298@TEST")</f>
        <v>ICTV19790298@TEST</v>
      </c>
      <c r="N203" s="7" t="str">
        <f>HYPERLINK("https://ictv.global/id/TN19810401","TN19810401@prod")</f>
        <v>TN19810401@prod</v>
      </c>
      <c r="O203" s="7" t="str">
        <f>HYPERLINK("https://ictv.global/id/ICTV19790298","ICTV19790298@prod")</f>
        <v>ICTV19790298@prod</v>
      </c>
    </row>
    <row r="204" spans="1:15" x14ac:dyDescent="0.2">
      <c r="A204">
        <v>7</v>
      </c>
      <c r="B204">
        <v>19810403</v>
      </c>
      <c r="C204">
        <v>19790310</v>
      </c>
      <c r="D204" t="s">
        <v>29</v>
      </c>
      <c r="E204" t="s">
        <v>1244</v>
      </c>
      <c r="G204" t="s">
        <v>1165</v>
      </c>
      <c r="L204" s="7" t="str">
        <f>HYPERLINK("https://test.ictv.global/id/TN19810403","TN19810403@TEST")</f>
        <v>TN19810403@TEST</v>
      </c>
      <c r="M204" s="7" t="str">
        <f>HYPERLINK("https://test.ictv.global/id/ICTV19790310","ICTV19790310@TEST")</f>
        <v>ICTV19790310@TEST</v>
      </c>
      <c r="N204" s="7" t="str">
        <f>HYPERLINK("https://ictv.global/id/TN19810403","TN19810403@prod")</f>
        <v>TN19810403@prod</v>
      </c>
      <c r="O204" s="7" t="str">
        <f>HYPERLINK("https://ictv.global/id/ICTV19790310","ICTV19790310@prod")</f>
        <v>ICTV19790310@prod</v>
      </c>
    </row>
    <row r="205" spans="1:15" x14ac:dyDescent="0.2">
      <c r="A205">
        <v>7</v>
      </c>
      <c r="B205">
        <v>19810404</v>
      </c>
      <c r="C205">
        <v>19790311</v>
      </c>
      <c r="D205" t="s">
        <v>29</v>
      </c>
      <c r="E205" t="s">
        <v>1245</v>
      </c>
      <c r="G205" t="s">
        <v>1165</v>
      </c>
      <c r="L205" s="7" t="str">
        <f>HYPERLINK("https://test.ictv.global/id/TN19810404","TN19810404@TEST")</f>
        <v>TN19810404@TEST</v>
      </c>
      <c r="M205" s="7" t="str">
        <f>HYPERLINK("https://test.ictv.global/id/ICTV19790311","ICTV19790311@TEST")</f>
        <v>ICTV19790311@TEST</v>
      </c>
      <c r="N205" s="7" t="str">
        <f>HYPERLINK("https://ictv.global/id/TN19810404","TN19810404@prod")</f>
        <v>TN19810404@prod</v>
      </c>
      <c r="O205" s="7" t="str">
        <f>HYPERLINK("https://ictv.global/id/ICTV19790311","ICTV19790311@prod")</f>
        <v>ICTV19790311@prod</v>
      </c>
    </row>
    <row r="206" spans="1:15" x14ac:dyDescent="0.2">
      <c r="A206">
        <v>7</v>
      </c>
      <c r="B206">
        <v>19810405</v>
      </c>
      <c r="C206">
        <v>19790312</v>
      </c>
      <c r="D206" t="s">
        <v>29</v>
      </c>
      <c r="E206" t="s">
        <v>1246</v>
      </c>
      <c r="G206" t="s">
        <v>1165</v>
      </c>
      <c r="L206" s="7" t="str">
        <f>HYPERLINK("https://test.ictv.global/id/TN19810405","TN19810405@TEST")</f>
        <v>TN19810405@TEST</v>
      </c>
      <c r="M206" s="7" t="str">
        <f>HYPERLINK("https://test.ictv.global/id/ICTV19790312","ICTV19790312@TEST")</f>
        <v>ICTV19790312@TEST</v>
      </c>
      <c r="N206" s="7" t="str">
        <f>HYPERLINK("https://ictv.global/id/TN19810405","TN19810405@prod")</f>
        <v>TN19810405@prod</v>
      </c>
      <c r="O206" s="7" t="str">
        <f>HYPERLINK("https://ictv.global/id/ICTV19790312","ICTV19790312@prod")</f>
        <v>ICTV19790312@prod</v>
      </c>
    </row>
    <row r="207" spans="1:15" x14ac:dyDescent="0.2">
      <c r="A207">
        <v>7</v>
      </c>
      <c r="B207">
        <v>19810406</v>
      </c>
      <c r="C207">
        <v>19790313</v>
      </c>
      <c r="D207" t="s">
        <v>29</v>
      </c>
      <c r="E207" t="s">
        <v>1247</v>
      </c>
      <c r="G207" t="s">
        <v>1165</v>
      </c>
      <c r="L207" s="7" t="str">
        <f>HYPERLINK("https://test.ictv.global/id/TN19810406","TN19810406@TEST")</f>
        <v>TN19810406@TEST</v>
      </c>
      <c r="M207" s="7" t="str">
        <f>HYPERLINK("https://test.ictv.global/id/ICTV19790313","ICTV19790313@TEST")</f>
        <v>ICTV19790313@TEST</v>
      </c>
      <c r="N207" s="7" t="str">
        <f>HYPERLINK("https://ictv.global/id/TN19810406","TN19810406@prod")</f>
        <v>TN19810406@prod</v>
      </c>
      <c r="O207" s="7" t="str">
        <f>HYPERLINK("https://ictv.global/id/ICTV19790313","ICTV19790313@prod")</f>
        <v>ICTV19790313@prod</v>
      </c>
    </row>
    <row r="208" spans="1:15" x14ac:dyDescent="0.2">
      <c r="A208">
        <v>7</v>
      </c>
      <c r="B208">
        <v>19810407</v>
      </c>
      <c r="C208">
        <v>19790314</v>
      </c>
      <c r="D208" t="s">
        <v>29</v>
      </c>
      <c r="E208" t="s">
        <v>1248</v>
      </c>
      <c r="G208" t="s">
        <v>1165</v>
      </c>
      <c r="L208" s="7" t="str">
        <f>HYPERLINK("https://test.ictv.global/id/TN19810407","TN19810407@TEST")</f>
        <v>TN19810407@TEST</v>
      </c>
      <c r="M208" s="7" t="str">
        <f>HYPERLINK("https://test.ictv.global/id/ICTV19790314","ICTV19790314@TEST")</f>
        <v>ICTV19790314@TEST</v>
      </c>
      <c r="N208" s="7" t="str">
        <f>HYPERLINK("https://ictv.global/id/TN19810407","TN19810407@prod")</f>
        <v>TN19810407@prod</v>
      </c>
      <c r="O208" s="7" t="str">
        <f>HYPERLINK("https://ictv.global/id/ICTV19790314","ICTV19790314@prod")</f>
        <v>ICTV19790314@prod</v>
      </c>
    </row>
    <row r="209" spans="1:15" x14ac:dyDescent="0.2">
      <c r="A209">
        <v>7</v>
      </c>
      <c r="B209">
        <v>19810410</v>
      </c>
      <c r="C209">
        <v>19790319</v>
      </c>
      <c r="D209" t="s">
        <v>29</v>
      </c>
      <c r="E209" t="s">
        <v>1249</v>
      </c>
      <c r="G209" t="s">
        <v>1165</v>
      </c>
      <c r="L209" s="7" t="str">
        <f>HYPERLINK("https://test.ictv.global/id/TN19810410","TN19810410@TEST")</f>
        <v>TN19810410@TEST</v>
      </c>
      <c r="M209" s="7" t="str">
        <f>HYPERLINK("https://test.ictv.global/id/ICTV19790319","ICTV19790319@TEST")</f>
        <v>ICTV19790319@TEST</v>
      </c>
      <c r="N209" s="7" t="str">
        <f>HYPERLINK("https://ictv.global/id/TN19810410","TN19810410@prod")</f>
        <v>TN19810410@prod</v>
      </c>
      <c r="O209" s="7" t="str">
        <f>HYPERLINK("https://ictv.global/id/ICTV19790319","ICTV19790319@prod")</f>
        <v>ICTV19790319@prod</v>
      </c>
    </row>
    <row r="210" spans="1:15" x14ac:dyDescent="0.2">
      <c r="A210">
        <v>7</v>
      </c>
      <c r="B210">
        <v>19810451</v>
      </c>
      <c r="C210">
        <v>19760249</v>
      </c>
      <c r="D210" t="s">
        <v>29</v>
      </c>
      <c r="E210" t="s">
        <v>1250</v>
      </c>
      <c r="G210" t="s">
        <v>1165</v>
      </c>
      <c r="L210" s="7" t="str">
        <f>HYPERLINK("https://test.ictv.global/id/TN19810451","TN19810451@TEST")</f>
        <v>TN19810451@TEST</v>
      </c>
      <c r="M210" s="7" t="str">
        <f>HYPERLINK("https://test.ictv.global/id/ICTV19760249","ICTV19760249@TEST")</f>
        <v>ICTV19760249@TEST</v>
      </c>
      <c r="N210" s="7" t="str">
        <f>HYPERLINK("https://ictv.global/id/TN19810451","TN19810451@prod")</f>
        <v>TN19810451@prod</v>
      </c>
      <c r="O210" s="7" t="str">
        <f>HYPERLINK("https://ictv.global/id/ICTV19760249","ICTV19760249@prod")</f>
        <v>ICTV19760249@prod</v>
      </c>
    </row>
    <row r="211" spans="1:15" x14ac:dyDescent="0.2">
      <c r="A211">
        <v>7</v>
      </c>
      <c r="B211">
        <v>19810468</v>
      </c>
      <c r="C211">
        <v>19790365</v>
      </c>
      <c r="D211" t="s">
        <v>29</v>
      </c>
      <c r="E211" t="s">
        <v>1251</v>
      </c>
      <c r="G211" t="s">
        <v>1165</v>
      </c>
      <c r="L211" s="7" t="str">
        <f>HYPERLINK("https://test.ictv.global/id/TN19810468","TN19810468@TEST")</f>
        <v>TN19810468@TEST</v>
      </c>
      <c r="M211" s="7" t="str">
        <f>HYPERLINK("https://test.ictv.global/id/ICTV19790365","ICTV19790365@TEST")</f>
        <v>ICTV19790365@TEST</v>
      </c>
      <c r="N211" s="7" t="str">
        <f>HYPERLINK("https://ictv.global/id/TN19810468","TN19810468@prod")</f>
        <v>TN19810468@prod</v>
      </c>
      <c r="O211" s="7" t="str">
        <f>HYPERLINK("https://ictv.global/id/ICTV19790365","ICTV19790365@prod")</f>
        <v>ICTV19790365@prod</v>
      </c>
    </row>
    <row r="212" spans="1:15" x14ac:dyDescent="0.2">
      <c r="A212">
        <v>7</v>
      </c>
      <c r="B212">
        <v>19810471</v>
      </c>
      <c r="C212">
        <v>19760255</v>
      </c>
      <c r="D212" t="s">
        <v>29</v>
      </c>
      <c r="E212" t="s">
        <v>1252</v>
      </c>
      <c r="G212" t="s">
        <v>1165</v>
      </c>
      <c r="L212" s="7" t="str">
        <f>HYPERLINK("https://test.ictv.global/id/TN19810471","TN19810471@TEST")</f>
        <v>TN19810471@TEST</v>
      </c>
      <c r="M212" s="7" t="str">
        <f>HYPERLINK("https://test.ictv.global/id/ICTV19760255","ICTV19760255@TEST")</f>
        <v>ICTV19760255@TEST</v>
      </c>
      <c r="N212" s="7" t="str">
        <f>HYPERLINK("https://ictv.global/id/TN19810471","TN19810471@prod")</f>
        <v>TN19810471@prod</v>
      </c>
      <c r="O212" s="7" t="str">
        <f>HYPERLINK("https://ictv.global/id/ICTV19760255","ICTV19760255@prod")</f>
        <v>ICTV19760255@prod</v>
      </c>
    </row>
    <row r="213" spans="1:15" x14ac:dyDescent="0.2">
      <c r="A213">
        <v>7</v>
      </c>
      <c r="B213">
        <v>19810913</v>
      </c>
      <c r="C213">
        <v>19790783</v>
      </c>
      <c r="D213" t="s">
        <v>29</v>
      </c>
      <c r="E213" t="s">
        <v>1253</v>
      </c>
      <c r="G213" t="s">
        <v>1165</v>
      </c>
      <c r="L213" s="7" t="str">
        <f>HYPERLINK("https://test.ictv.global/id/TN19810913","TN19810913@TEST")</f>
        <v>TN19810913@TEST</v>
      </c>
      <c r="M213" s="7" t="str">
        <f>HYPERLINK("https://test.ictv.global/id/ICTV19790783","ICTV19790783@TEST")</f>
        <v>ICTV19790783@TEST</v>
      </c>
      <c r="N213" s="7" t="str">
        <f>HYPERLINK("https://ictv.global/id/TN19810913","TN19810913@prod")</f>
        <v>TN19810913@prod</v>
      </c>
      <c r="O213" s="7" t="str">
        <f>HYPERLINK("https://ictv.global/id/ICTV19790783","ICTV19790783@prod")</f>
        <v>ICTV19790783@prod</v>
      </c>
    </row>
    <row r="214" spans="1:15" x14ac:dyDescent="0.2">
      <c r="A214">
        <v>7</v>
      </c>
      <c r="B214">
        <v>19810915</v>
      </c>
      <c r="C214">
        <v>19790785</v>
      </c>
      <c r="D214" t="s">
        <v>29</v>
      </c>
      <c r="E214" t="s">
        <v>1254</v>
      </c>
      <c r="G214" t="s">
        <v>1165</v>
      </c>
      <c r="L214" s="7" t="str">
        <f>HYPERLINK("https://test.ictv.global/id/TN19810915","TN19810915@TEST")</f>
        <v>TN19810915@TEST</v>
      </c>
      <c r="M214" s="7" t="str">
        <f>HYPERLINK("https://test.ictv.global/id/ICTV19790785","ICTV19790785@TEST")</f>
        <v>ICTV19790785@TEST</v>
      </c>
      <c r="N214" s="7" t="str">
        <f>HYPERLINK("https://ictv.global/id/TN19810915","TN19810915@prod")</f>
        <v>TN19810915@prod</v>
      </c>
      <c r="O214" s="7" t="str">
        <f>HYPERLINK("https://ictv.global/id/ICTV19790785","ICTV19790785@prod")</f>
        <v>ICTV19790785@prod</v>
      </c>
    </row>
    <row r="215" spans="1:15" x14ac:dyDescent="0.2">
      <c r="A215">
        <v>7</v>
      </c>
      <c r="B215">
        <v>19810925</v>
      </c>
      <c r="C215">
        <v>19790795</v>
      </c>
      <c r="D215" t="s">
        <v>29</v>
      </c>
      <c r="E215" t="s">
        <v>1255</v>
      </c>
      <c r="G215" t="s">
        <v>1165</v>
      </c>
      <c r="L215" s="7" t="str">
        <f>HYPERLINK("https://test.ictv.global/id/TN19810925","TN19810925@TEST")</f>
        <v>TN19810925@TEST</v>
      </c>
      <c r="M215" s="7" t="str">
        <f>HYPERLINK("https://test.ictv.global/id/ICTV19790795","ICTV19790795@TEST")</f>
        <v>ICTV19790795@TEST</v>
      </c>
      <c r="N215" s="7" t="str">
        <f>HYPERLINK("https://ictv.global/id/TN19810925","TN19810925@prod")</f>
        <v>TN19810925@prod</v>
      </c>
      <c r="O215" s="7" t="str">
        <f>HYPERLINK("https://ictv.global/id/ICTV19790795","ICTV19790795@prod")</f>
        <v>ICTV19790795@prod</v>
      </c>
    </row>
    <row r="216" spans="1:15" x14ac:dyDescent="0.2">
      <c r="A216">
        <v>7</v>
      </c>
      <c r="B216">
        <v>19810926</v>
      </c>
      <c r="C216">
        <v>19790796</v>
      </c>
      <c r="D216" t="s">
        <v>29</v>
      </c>
      <c r="E216" t="s">
        <v>1256</v>
      </c>
      <c r="G216" t="s">
        <v>1165</v>
      </c>
      <c r="L216" s="7" t="str">
        <f>HYPERLINK("https://test.ictv.global/id/TN19810926","TN19810926@TEST")</f>
        <v>TN19810926@TEST</v>
      </c>
      <c r="M216" s="7" t="str">
        <f>HYPERLINK("https://test.ictv.global/id/ICTV19790796","ICTV19790796@TEST")</f>
        <v>ICTV19790796@TEST</v>
      </c>
      <c r="N216" s="7" t="str">
        <f>HYPERLINK("https://ictv.global/id/TN19810926","TN19810926@prod")</f>
        <v>TN19810926@prod</v>
      </c>
      <c r="O216" s="7" t="str">
        <f>HYPERLINK("https://ictv.global/id/ICTV19790796","ICTV19790796@prod")</f>
        <v>ICTV19790796@prod</v>
      </c>
    </row>
    <row r="217" spans="1:15" x14ac:dyDescent="0.2">
      <c r="A217">
        <v>7</v>
      </c>
      <c r="B217">
        <v>19810929</v>
      </c>
      <c r="C217">
        <v>19790799</v>
      </c>
      <c r="D217" t="s">
        <v>29</v>
      </c>
      <c r="E217" t="s">
        <v>1257</v>
      </c>
      <c r="G217" t="s">
        <v>1165</v>
      </c>
      <c r="L217" s="7" t="str">
        <f>HYPERLINK("https://test.ictv.global/id/TN19810929","TN19810929@TEST")</f>
        <v>TN19810929@TEST</v>
      </c>
      <c r="M217" s="7" t="str">
        <f>HYPERLINK("https://test.ictv.global/id/ICTV19790799","ICTV19790799@TEST")</f>
        <v>ICTV19790799@TEST</v>
      </c>
      <c r="N217" s="7" t="str">
        <f>HYPERLINK("https://ictv.global/id/TN19810929","TN19810929@prod")</f>
        <v>TN19810929@prod</v>
      </c>
      <c r="O217" s="7" t="str">
        <f>HYPERLINK("https://ictv.global/id/ICTV19790799","ICTV19790799@prod")</f>
        <v>ICTV19790799@prod</v>
      </c>
    </row>
    <row r="218" spans="1:15" x14ac:dyDescent="0.2">
      <c r="A218">
        <v>7</v>
      </c>
      <c r="B218">
        <v>19810949</v>
      </c>
      <c r="C218">
        <v>19760532</v>
      </c>
      <c r="D218" t="s">
        <v>29</v>
      </c>
      <c r="E218" t="s">
        <v>1258</v>
      </c>
      <c r="G218" t="s">
        <v>1165</v>
      </c>
      <c r="L218" s="7" t="str">
        <f>HYPERLINK("https://test.ictv.global/id/TN19810949","TN19810949@TEST")</f>
        <v>TN19810949@TEST</v>
      </c>
      <c r="M218" s="7" t="str">
        <f>HYPERLINK("https://test.ictv.global/id/ICTV19760532","ICTV19760532@TEST")</f>
        <v>ICTV19760532@TEST</v>
      </c>
      <c r="N218" s="7" t="str">
        <f>HYPERLINK("https://ictv.global/id/TN19810949","TN19810949@prod")</f>
        <v>TN19810949@prod</v>
      </c>
      <c r="O218" s="7" t="str">
        <f>HYPERLINK("https://ictv.global/id/ICTV19760532","ICTV19760532@prod")</f>
        <v>ICTV19760532@prod</v>
      </c>
    </row>
    <row r="219" spans="1:15" x14ac:dyDescent="0.2">
      <c r="A219">
        <v>7</v>
      </c>
      <c r="B219">
        <v>19810972</v>
      </c>
      <c r="C219">
        <v>19790842</v>
      </c>
      <c r="D219" t="s">
        <v>29</v>
      </c>
      <c r="E219" t="s">
        <v>1259</v>
      </c>
      <c r="F219" t="s">
        <v>1260</v>
      </c>
      <c r="G219" t="s">
        <v>1165</v>
      </c>
      <c r="L219" s="7" t="str">
        <f>HYPERLINK("https://test.ictv.global/id/TN19810972","TN19810972@TEST")</f>
        <v>TN19810972@TEST</v>
      </c>
      <c r="M219" s="7" t="str">
        <f>HYPERLINK("https://test.ictv.global/id/ICTV19790842","ICTV19790842@TEST")</f>
        <v>ICTV19790842@TEST</v>
      </c>
      <c r="N219" s="7" t="str">
        <f>HYPERLINK("https://ictv.global/id/TN19810972","TN19810972@prod")</f>
        <v>TN19810972@prod</v>
      </c>
      <c r="O219" s="7" t="str">
        <f>HYPERLINK("https://ictv.global/id/ICTV19790842","ICTV19790842@prod")</f>
        <v>ICTV19790842@prod</v>
      </c>
    </row>
    <row r="220" spans="1:15" x14ac:dyDescent="0.2">
      <c r="A220">
        <v>7</v>
      </c>
      <c r="B220">
        <v>19810977</v>
      </c>
      <c r="C220">
        <v>19760554</v>
      </c>
      <c r="D220" t="s">
        <v>29</v>
      </c>
      <c r="E220" t="s">
        <v>1261</v>
      </c>
      <c r="G220" t="s">
        <v>1165</v>
      </c>
      <c r="L220" s="7" t="str">
        <f>HYPERLINK("https://test.ictv.global/id/TN19810977","TN19810977@TEST")</f>
        <v>TN19810977@TEST</v>
      </c>
      <c r="M220" s="7" t="str">
        <f>HYPERLINK("https://test.ictv.global/id/ICTV19760554","ICTV19760554@TEST")</f>
        <v>ICTV19760554@TEST</v>
      </c>
      <c r="N220" s="7" t="str">
        <f>HYPERLINK("https://ictv.global/id/TN19810977","TN19810977@prod")</f>
        <v>TN19810977@prod</v>
      </c>
      <c r="O220" s="7" t="str">
        <f>HYPERLINK("https://ictv.global/id/ICTV19760554","ICTV19760554@prod")</f>
        <v>ICTV19760554@prod</v>
      </c>
    </row>
    <row r="221" spans="1:15" x14ac:dyDescent="0.2">
      <c r="A221">
        <v>7</v>
      </c>
      <c r="B221">
        <v>19811080</v>
      </c>
      <c r="C221">
        <v>19790953</v>
      </c>
      <c r="D221" t="s">
        <v>29</v>
      </c>
      <c r="E221" t="s">
        <v>172</v>
      </c>
      <c r="G221" t="s">
        <v>33</v>
      </c>
      <c r="H221" t="s">
        <v>173</v>
      </c>
      <c r="I221" t="s">
        <v>29</v>
      </c>
      <c r="J221">
        <v>19821162</v>
      </c>
      <c r="K221">
        <v>19821162</v>
      </c>
      <c r="L221" s="7" t="str">
        <f>HYPERLINK("https://test.ictv.global/id/TN19811080","TN19811080@TEST")</f>
        <v>TN19811080@TEST</v>
      </c>
      <c r="M221" s="7" t="str">
        <f>HYPERLINK("https://test.ictv.global/id/ICTV19790953","ICTV19790953@TEST")</f>
        <v>ICTV19790953@TEST</v>
      </c>
      <c r="N221" s="7" t="str">
        <f>HYPERLINK("https://ictv.global/id/TN19811080","TN19811080@prod")</f>
        <v>TN19811080@prod</v>
      </c>
      <c r="O221" s="7" t="str">
        <f>HYPERLINK("https://ictv.global/id/ICTV19790953","ICTV19790953@prod")</f>
        <v>ICTV19790953@prod</v>
      </c>
    </row>
    <row r="222" spans="1:15" x14ac:dyDescent="0.2">
      <c r="A222">
        <v>7</v>
      </c>
      <c r="B222">
        <v>19811085</v>
      </c>
      <c r="C222">
        <v>19790958</v>
      </c>
      <c r="D222" t="s">
        <v>29</v>
      </c>
      <c r="E222" t="s">
        <v>1262</v>
      </c>
      <c r="G222" t="s">
        <v>1165</v>
      </c>
      <c r="L222" s="7" t="str">
        <f>HYPERLINK("https://test.ictv.global/id/TN19811085","TN19811085@TEST")</f>
        <v>TN19811085@TEST</v>
      </c>
      <c r="M222" s="7" t="str">
        <f>HYPERLINK("https://test.ictv.global/id/ICTV19790958","ICTV19790958@TEST")</f>
        <v>ICTV19790958@TEST</v>
      </c>
      <c r="N222" s="7" t="str">
        <f>HYPERLINK("https://ictv.global/id/TN19811085","TN19811085@prod")</f>
        <v>TN19811085@prod</v>
      </c>
      <c r="O222" s="7" t="str">
        <f>HYPERLINK("https://ictv.global/id/ICTV19790958","ICTV19790958@prod")</f>
        <v>ICTV19790958@prod</v>
      </c>
    </row>
    <row r="223" spans="1:15" x14ac:dyDescent="0.2">
      <c r="A223">
        <v>7</v>
      </c>
      <c r="B223">
        <v>19811090</v>
      </c>
      <c r="C223">
        <v>19821162</v>
      </c>
      <c r="D223" t="s">
        <v>29</v>
      </c>
      <c r="E223" t="s">
        <v>173</v>
      </c>
      <c r="F223" t="s">
        <v>1263</v>
      </c>
      <c r="G223" t="s">
        <v>33</v>
      </c>
      <c r="H223" t="s">
        <v>173</v>
      </c>
      <c r="I223" t="s">
        <v>29</v>
      </c>
      <c r="J223">
        <v>19821162</v>
      </c>
      <c r="K223">
        <v>19821162</v>
      </c>
      <c r="L223" s="7" t="str">
        <f>HYPERLINK("https://test.ictv.global/id/TN19811090","TN19811090@TEST")</f>
        <v>TN19811090@TEST</v>
      </c>
      <c r="M223" s="7" t="str">
        <f>HYPERLINK("https://test.ictv.global/id/ICTV19821162","ICTV19821162@TEST")</f>
        <v>ICTV19821162@TEST</v>
      </c>
      <c r="N223" s="7" t="str">
        <f>HYPERLINK("https://ictv.global/id/TN19811090","TN19811090@prod")</f>
        <v>TN19811090@prod</v>
      </c>
      <c r="O223" s="7" t="str">
        <f>HYPERLINK("https://ictv.global/id/ICTV19821162","ICTV19821162@prod")</f>
        <v>ICTV19821162@prod</v>
      </c>
    </row>
    <row r="224" spans="1:15" x14ac:dyDescent="0.2">
      <c r="A224">
        <v>7</v>
      </c>
      <c r="B224">
        <v>19811111</v>
      </c>
      <c r="C224">
        <v>19760675</v>
      </c>
      <c r="D224" t="s">
        <v>29</v>
      </c>
      <c r="E224" t="s">
        <v>1264</v>
      </c>
      <c r="G224" t="s">
        <v>1165</v>
      </c>
      <c r="L224" s="7" t="str">
        <f>HYPERLINK("https://test.ictv.global/id/TN19811111","TN19811111@TEST")</f>
        <v>TN19811111@TEST</v>
      </c>
      <c r="M224" s="7" t="str">
        <f>HYPERLINK("https://test.ictv.global/id/ICTV19760675","ICTV19760675@TEST")</f>
        <v>ICTV19760675@TEST</v>
      </c>
      <c r="N224" s="7" t="str">
        <f>HYPERLINK("https://ictv.global/id/TN19811111","TN19811111@prod")</f>
        <v>TN19811111@prod</v>
      </c>
      <c r="O224" s="7" t="str">
        <f>HYPERLINK("https://ictv.global/id/ICTV19760675","ICTV19760675@prod")</f>
        <v>ICTV19760675@prod</v>
      </c>
    </row>
    <row r="225" spans="1:15" x14ac:dyDescent="0.2">
      <c r="A225">
        <v>7</v>
      </c>
      <c r="B225">
        <v>19811128</v>
      </c>
      <c r="C225">
        <v>19950542</v>
      </c>
      <c r="D225" t="s">
        <v>29</v>
      </c>
      <c r="E225" t="s">
        <v>174</v>
      </c>
      <c r="F225" t="s">
        <v>1265</v>
      </c>
      <c r="G225" t="s">
        <v>33</v>
      </c>
      <c r="H225" t="s">
        <v>174</v>
      </c>
      <c r="I225" t="s">
        <v>29</v>
      </c>
      <c r="J225">
        <v>19950542</v>
      </c>
      <c r="K225">
        <v>19821214</v>
      </c>
      <c r="L225" s="7" t="str">
        <f>HYPERLINK("https://test.ictv.global/id/TN19811128","TN19811128@TEST")</f>
        <v>TN19811128@TEST</v>
      </c>
      <c r="M225" s="7" t="str">
        <f>HYPERLINK("https://test.ictv.global/id/ICTV19950542","ICTV19950542@TEST")</f>
        <v>ICTV19950542@TEST</v>
      </c>
      <c r="N225" s="7" t="str">
        <f>HYPERLINK("https://ictv.global/id/TN19811128","TN19811128@prod")</f>
        <v>TN19811128@prod</v>
      </c>
      <c r="O225" s="7" t="str">
        <f>HYPERLINK("https://ictv.global/id/ICTV19950542","ICTV19950542@prod")</f>
        <v>ICTV19950542@prod</v>
      </c>
    </row>
    <row r="226" spans="1:15" x14ac:dyDescent="0.2">
      <c r="A226">
        <v>7</v>
      </c>
      <c r="B226">
        <v>19811129</v>
      </c>
      <c r="C226">
        <v>19760689</v>
      </c>
      <c r="D226" t="s">
        <v>29</v>
      </c>
      <c r="E226" t="s">
        <v>175</v>
      </c>
      <c r="G226" t="s">
        <v>31</v>
      </c>
      <c r="H226" t="s">
        <v>176</v>
      </c>
      <c r="I226" t="s">
        <v>29</v>
      </c>
      <c r="J226">
        <v>19821223</v>
      </c>
      <c r="K226">
        <v>19821223</v>
      </c>
      <c r="L226" s="7" t="str">
        <f>HYPERLINK("https://test.ictv.global/id/TN19811129","TN19811129@TEST")</f>
        <v>TN19811129@TEST</v>
      </c>
      <c r="M226" s="7" t="str">
        <f>HYPERLINK("https://test.ictv.global/id/ICTV19760689","ICTV19760689@TEST")</f>
        <v>ICTV19760689@TEST</v>
      </c>
      <c r="N226" s="7" t="str">
        <f>HYPERLINK("https://ictv.global/id/TN19811129","TN19811129@prod")</f>
        <v>TN19811129@prod</v>
      </c>
      <c r="O226" s="7" t="str">
        <f>HYPERLINK("https://ictv.global/id/ICTV19760689","ICTV19760689@prod")</f>
        <v>ICTV19760689@prod</v>
      </c>
    </row>
    <row r="227" spans="1:15" x14ac:dyDescent="0.2">
      <c r="A227">
        <v>7</v>
      </c>
      <c r="B227">
        <v>19811130</v>
      </c>
      <c r="C227">
        <v>19760690</v>
      </c>
      <c r="D227" t="s">
        <v>29</v>
      </c>
      <c r="E227" t="s">
        <v>177</v>
      </c>
      <c r="G227" t="s">
        <v>33</v>
      </c>
      <c r="H227" t="s">
        <v>178</v>
      </c>
      <c r="I227" t="s">
        <v>29</v>
      </c>
      <c r="J227">
        <v>19950553</v>
      </c>
      <c r="K227">
        <v>19821221</v>
      </c>
      <c r="L227" s="7" t="str">
        <f>HYPERLINK("https://test.ictv.global/id/TN19811130","TN19811130@TEST")</f>
        <v>TN19811130@TEST</v>
      </c>
      <c r="M227" s="7" t="str">
        <f>HYPERLINK("https://test.ictv.global/id/ICTV19760690","ICTV19760690@TEST")</f>
        <v>ICTV19760690@TEST</v>
      </c>
      <c r="N227" s="7" t="str">
        <f>HYPERLINK("https://ictv.global/id/TN19811130","TN19811130@prod")</f>
        <v>TN19811130@prod</v>
      </c>
      <c r="O227" s="7" t="str">
        <f>HYPERLINK("https://ictv.global/id/ICTV19760690","ICTV19760690@prod")</f>
        <v>ICTV19760690@prod</v>
      </c>
    </row>
    <row r="228" spans="1:15" x14ac:dyDescent="0.2">
      <c r="A228">
        <v>7</v>
      </c>
      <c r="B228">
        <v>19811133</v>
      </c>
      <c r="C228">
        <v>19760693</v>
      </c>
      <c r="D228" t="s">
        <v>29</v>
      </c>
      <c r="E228" t="s">
        <v>179</v>
      </c>
      <c r="G228" t="s">
        <v>33</v>
      </c>
      <c r="H228" t="s">
        <v>174</v>
      </c>
      <c r="I228" t="s">
        <v>29</v>
      </c>
      <c r="J228">
        <v>19950542</v>
      </c>
      <c r="K228">
        <v>19821214</v>
      </c>
      <c r="L228" s="7" t="str">
        <f>HYPERLINK("https://test.ictv.global/id/TN19811133","TN19811133@TEST")</f>
        <v>TN19811133@TEST</v>
      </c>
      <c r="M228" s="7" t="str">
        <f>HYPERLINK("https://test.ictv.global/id/ICTV19760693","ICTV19760693@TEST")</f>
        <v>ICTV19760693@TEST</v>
      </c>
      <c r="N228" s="7" t="str">
        <f>HYPERLINK("https://ictv.global/id/TN19811133","TN19811133@prod")</f>
        <v>TN19811133@prod</v>
      </c>
      <c r="O228" s="7" t="str">
        <f>HYPERLINK("https://ictv.global/id/ICTV19760693","ICTV19760693@prod")</f>
        <v>ICTV19760693@prod</v>
      </c>
    </row>
    <row r="229" spans="1:15" x14ac:dyDescent="0.2">
      <c r="A229">
        <v>7</v>
      </c>
      <c r="B229">
        <v>19811135</v>
      </c>
      <c r="C229">
        <v>19760695</v>
      </c>
      <c r="D229" t="s">
        <v>29</v>
      </c>
      <c r="E229" t="s">
        <v>180</v>
      </c>
      <c r="G229" t="s">
        <v>33</v>
      </c>
      <c r="H229" t="s">
        <v>174</v>
      </c>
      <c r="I229" t="s">
        <v>29</v>
      </c>
      <c r="J229">
        <v>19950542</v>
      </c>
      <c r="K229">
        <v>19821214</v>
      </c>
      <c r="L229" s="7" t="str">
        <f>HYPERLINK("https://test.ictv.global/id/TN19811135","TN19811135@TEST")</f>
        <v>TN19811135@TEST</v>
      </c>
      <c r="M229" s="7" t="str">
        <f>HYPERLINK("https://test.ictv.global/id/ICTV19760695","ICTV19760695@TEST")</f>
        <v>ICTV19760695@TEST</v>
      </c>
      <c r="N229" s="7" t="str">
        <f>HYPERLINK("https://ictv.global/id/TN19811135","TN19811135@prod")</f>
        <v>TN19811135@prod</v>
      </c>
      <c r="O229" s="7" t="str">
        <f>HYPERLINK("https://ictv.global/id/ICTV19760695","ICTV19760695@prod")</f>
        <v>ICTV19760695@prod</v>
      </c>
    </row>
    <row r="230" spans="1:15" x14ac:dyDescent="0.2">
      <c r="A230">
        <v>7</v>
      </c>
      <c r="B230">
        <v>19811136</v>
      </c>
      <c r="C230">
        <v>19760696</v>
      </c>
      <c r="D230" t="s">
        <v>29</v>
      </c>
      <c r="E230" t="s">
        <v>181</v>
      </c>
      <c r="G230" t="s">
        <v>33</v>
      </c>
      <c r="H230" t="s">
        <v>178</v>
      </c>
      <c r="I230" t="s">
        <v>29</v>
      </c>
      <c r="J230">
        <v>19950553</v>
      </c>
      <c r="K230">
        <v>19821221</v>
      </c>
      <c r="L230" s="7" t="str">
        <f>HYPERLINK("https://test.ictv.global/id/TN19811136","TN19811136@TEST")</f>
        <v>TN19811136@TEST</v>
      </c>
      <c r="M230" s="7" t="str">
        <f>HYPERLINK("https://test.ictv.global/id/ICTV19760696","ICTV19760696@TEST")</f>
        <v>ICTV19760696@TEST</v>
      </c>
      <c r="N230" s="7" t="str">
        <f>HYPERLINK("https://ictv.global/id/TN19811136","TN19811136@prod")</f>
        <v>TN19811136@prod</v>
      </c>
      <c r="O230" s="7" t="str">
        <f>HYPERLINK("https://ictv.global/id/ICTV19760696","ICTV19760696@prod")</f>
        <v>ICTV19760696@prod</v>
      </c>
    </row>
    <row r="231" spans="1:15" x14ac:dyDescent="0.2">
      <c r="A231">
        <v>7</v>
      </c>
      <c r="B231">
        <v>19811138</v>
      </c>
      <c r="C231">
        <v>19950553</v>
      </c>
      <c r="D231" t="s">
        <v>29</v>
      </c>
      <c r="E231" t="s">
        <v>178</v>
      </c>
      <c r="F231" t="s">
        <v>1266</v>
      </c>
      <c r="G231" t="s">
        <v>33</v>
      </c>
      <c r="H231" t="s">
        <v>178</v>
      </c>
      <c r="I231" t="s">
        <v>29</v>
      </c>
      <c r="J231">
        <v>19950553</v>
      </c>
      <c r="K231">
        <v>19821221</v>
      </c>
      <c r="L231" s="7" t="str">
        <f>HYPERLINK("https://test.ictv.global/id/TN19811138","TN19811138@TEST")</f>
        <v>TN19811138@TEST</v>
      </c>
      <c r="M231" s="7" t="str">
        <f>HYPERLINK("https://test.ictv.global/id/ICTV19950553","ICTV19950553@TEST")</f>
        <v>ICTV19950553@TEST</v>
      </c>
      <c r="N231" s="7" t="str">
        <f>HYPERLINK("https://ictv.global/id/TN19811138","TN19811138@prod")</f>
        <v>TN19811138@prod</v>
      </c>
      <c r="O231" s="7" t="str">
        <f>HYPERLINK("https://ictv.global/id/ICTV19950553","ICTV19950553@prod")</f>
        <v>ICTV19950553@prod</v>
      </c>
    </row>
    <row r="232" spans="1:15" x14ac:dyDescent="0.2">
      <c r="A232">
        <v>7</v>
      </c>
      <c r="B232">
        <v>19811139</v>
      </c>
      <c r="C232">
        <v>19760698</v>
      </c>
      <c r="D232" t="s">
        <v>29</v>
      </c>
      <c r="E232" t="s">
        <v>182</v>
      </c>
      <c r="G232" t="s">
        <v>33</v>
      </c>
      <c r="H232" t="s">
        <v>174</v>
      </c>
      <c r="I232" t="s">
        <v>29</v>
      </c>
      <c r="J232">
        <v>19950542</v>
      </c>
      <c r="K232">
        <v>19821214</v>
      </c>
      <c r="L232" s="7" t="str">
        <f>HYPERLINK("https://test.ictv.global/id/TN19811139","TN19811139@TEST")</f>
        <v>TN19811139@TEST</v>
      </c>
      <c r="M232" s="7" t="str">
        <f>HYPERLINK("https://test.ictv.global/id/ICTV19760698","ICTV19760698@TEST")</f>
        <v>ICTV19760698@TEST</v>
      </c>
      <c r="N232" s="7" t="str">
        <f>HYPERLINK("https://ictv.global/id/TN19811139","TN19811139@prod")</f>
        <v>TN19811139@prod</v>
      </c>
      <c r="O232" s="7" t="str">
        <f>HYPERLINK("https://ictv.global/id/ICTV19760698","ICTV19760698@prod")</f>
        <v>ICTV19760698@prod</v>
      </c>
    </row>
    <row r="233" spans="1:15" x14ac:dyDescent="0.2">
      <c r="A233">
        <v>7</v>
      </c>
      <c r="B233">
        <v>19811140</v>
      </c>
      <c r="C233">
        <v>19821223</v>
      </c>
      <c r="D233" t="s">
        <v>29</v>
      </c>
      <c r="E233" t="s">
        <v>176</v>
      </c>
      <c r="F233" t="s">
        <v>1267</v>
      </c>
      <c r="G233" t="s">
        <v>33</v>
      </c>
      <c r="H233" t="s">
        <v>176</v>
      </c>
      <c r="I233" t="s">
        <v>29</v>
      </c>
      <c r="J233">
        <v>19821223</v>
      </c>
      <c r="K233">
        <v>19821223</v>
      </c>
      <c r="L233" s="7" t="str">
        <f>HYPERLINK("https://test.ictv.global/id/TN19811140","TN19811140@TEST")</f>
        <v>TN19811140@TEST</v>
      </c>
      <c r="M233" s="7" t="str">
        <f>HYPERLINK("https://test.ictv.global/id/ICTV19821223","ICTV19821223@TEST")</f>
        <v>ICTV19821223@TEST</v>
      </c>
      <c r="N233" s="7" t="str">
        <f>HYPERLINK("https://ictv.global/id/TN19811140","TN19811140@prod")</f>
        <v>TN19811140@prod</v>
      </c>
      <c r="O233" s="7" t="str">
        <f>HYPERLINK("https://ictv.global/id/ICTV19821223","ICTV19821223@prod")</f>
        <v>ICTV19821223@prod</v>
      </c>
    </row>
    <row r="234" spans="1:15" x14ac:dyDescent="0.2">
      <c r="A234">
        <v>7</v>
      </c>
      <c r="B234">
        <v>19811194</v>
      </c>
      <c r="C234">
        <v>19951873</v>
      </c>
      <c r="D234" t="s">
        <v>29</v>
      </c>
      <c r="E234" t="s">
        <v>183</v>
      </c>
      <c r="F234" t="s">
        <v>1268</v>
      </c>
      <c r="G234" t="s">
        <v>33</v>
      </c>
      <c r="H234" t="s">
        <v>183</v>
      </c>
      <c r="I234" t="s">
        <v>29</v>
      </c>
      <c r="J234">
        <v>19951873</v>
      </c>
      <c r="K234">
        <v>19821299</v>
      </c>
      <c r="L234" s="7" t="str">
        <f>HYPERLINK("https://test.ictv.global/id/TN19811194","TN19811194@TEST")</f>
        <v>TN19811194@TEST</v>
      </c>
      <c r="M234" s="7" t="str">
        <f>HYPERLINK("https://test.ictv.global/id/ICTV19951873","ICTV19951873@TEST")</f>
        <v>ICTV19951873@TEST</v>
      </c>
      <c r="N234" s="7" t="str">
        <f>HYPERLINK("https://ictv.global/id/TN19811194","TN19811194@prod")</f>
        <v>TN19811194@prod</v>
      </c>
      <c r="O234" s="7" t="str">
        <f>HYPERLINK("https://ictv.global/id/ICTV19951873","ICTV19951873@prod")</f>
        <v>ICTV19951873@prod</v>
      </c>
    </row>
    <row r="235" spans="1:15" x14ac:dyDescent="0.2">
      <c r="A235">
        <v>7</v>
      </c>
      <c r="B235">
        <v>19811208</v>
      </c>
      <c r="C235">
        <v>19760773</v>
      </c>
      <c r="D235" t="s">
        <v>29</v>
      </c>
      <c r="E235" t="s">
        <v>184</v>
      </c>
      <c r="G235" t="s">
        <v>33</v>
      </c>
      <c r="H235" t="s">
        <v>183</v>
      </c>
      <c r="I235" t="s">
        <v>29</v>
      </c>
      <c r="J235">
        <v>19951873</v>
      </c>
      <c r="K235">
        <v>19821299</v>
      </c>
      <c r="L235" s="7" t="str">
        <f>HYPERLINK("https://test.ictv.global/id/TN19811208","TN19811208@TEST")</f>
        <v>TN19811208@TEST</v>
      </c>
      <c r="M235" s="7" t="str">
        <f>HYPERLINK("https://test.ictv.global/id/ICTV19760773","ICTV19760773@TEST")</f>
        <v>ICTV19760773@TEST</v>
      </c>
      <c r="N235" s="7" t="str">
        <f>HYPERLINK("https://ictv.global/id/TN19811208","TN19811208@prod")</f>
        <v>TN19811208@prod</v>
      </c>
      <c r="O235" s="7" t="str">
        <f>HYPERLINK("https://ictv.global/id/ICTV19760773","ICTV19760773@prod")</f>
        <v>ICTV19760773@prod</v>
      </c>
    </row>
    <row r="236" spans="1:15" x14ac:dyDescent="0.2">
      <c r="A236">
        <v>8</v>
      </c>
      <c r="B236">
        <v>19820149</v>
      </c>
      <c r="C236">
        <v>19820149</v>
      </c>
      <c r="D236" t="s">
        <v>19</v>
      </c>
      <c r="E236" t="s">
        <v>185</v>
      </c>
      <c r="G236" t="s">
        <v>186</v>
      </c>
      <c r="H236" t="s">
        <v>187</v>
      </c>
      <c r="I236" t="s">
        <v>19</v>
      </c>
      <c r="J236">
        <v>19840118</v>
      </c>
      <c r="K236">
        <v>19840118</v>
      </c>
      <c r="L236" s="7" t="str">
        <f>HYPERLINK("https://test.ictv.global/id/TN19820149","TN19820149@TEST")</f>
        <v>TN19820149@TEST</v>
      </c>
      <c r="M236" s="7" t="str">
        <f>HYPERLINK("https://test.ictv.global/id/ICTV19820149","ICTV19820149@TEST")</f>
        <v>ICTV19820149@TEST</v>
      </c>
      <c r="N236" s="7" t="str">
        <f>HYPERLINK("https://ictv.global/id/TN19820149","TN19820149@prod")</f>
        <v>TN19820149@prod</v>
      </c>
      <c r="O236" s="7" t="str">
        <f>HYPERLINK("https://ictv.global/id/ICTV19820149","ICTV19820149@prod")</f>
        <v>ICTV19820149@prod</v>
      </c>
    </row>
    <row r="237" spans="1:15" x14ac:dyDescent="0.2">
      <c r="A237">
        <v>8</v>
      </c>
      <c r="B237">
        <v>19820150</v>
      </c>
      <c r="C237">
        <v>19820150</v>
      </c>
      <c r="D237" t="s">
        <v>19</v>
      </c>
      <c r="E237" t="s">
        <v>188</v>
      </c>
      <c r="G237" t="s">
        <v>186</v>
      </c>
      <c r="H237" t="s">
        <v>187</v>
      </c>
      <c r="I237" t="s">
        <v>19</v>
      </c>
      <c r="J237">
        <v>19840118</v>
      </c>
      <c r="K237">
        <v>19840118</v>
      </c>
      <c r="L237" s="7" t="str">
        <f>HYPERLINK("https://test.ictv.global/id/TN19820150","TN19820150@TEST")</f>
        <v>TN19820150@TEST</v>
      </c>
      <c r="M237" s="7" t="str">
        <f>HYPERLINK("https://test.ictv.global/id/ICTV19820150","ICTV19820150@TEST")</f>
        <v>ICTV19820150@TEST</v>
      </c>
      <c r="N237" s="7" t="str">
        <f>HYPERLINK("https://ictv.global/id/TN19820150","TN19820150@prod")</f>
        <v>TN19820150@prod</v>
      </c>
      <c r="O237" s="7" t="str">
        <f>HYPERLINK("https://ictv.global/id/ICTV19820150","ICTV19820150@prod")</f>
        <v>ICTV19820150@prod</v>
      </c>
    </row>
    <row r="238" spans="1:15" x14ac:dyDescent="0.2">
      <c r="A238">
        <v>9</v>
      </c>
      <c r="B238">
        <v>19840169</v>
      </c>
      <c r="C238">
        <v>19780121</v>
      </c>
      <c r="D238" t="s">
        <v>19</v>
      </c>
      <c r="E238" t="s">
        <v>189</v>
      </c>
      <c r="G238" t="s">
        <v>53</v>
      </c>
      <c r="H238" t="s">
        <v>190</v>
      </c>
      <c r="I238" t="s">
        <v>19</v>
      </c>
      <c r="J238">
        <v>19870182</v>
      </c>
      <c r="K238">
        <v>19870182</v>
      </c>
      <c r="L238" s="7" t="str">
        <f>HYPERLINK("https://test.ictv.global/id/TN19840169","TN19840169@TEST")</f>
        <v>TN19840169@TEST</v>
      </c>
      <c r="M238" s="7" t="str">
        <f>HYPERLINK("https://test.ictv.global/id/ICTV19780121","ICTV19780121@TEST")</f>
        <v>ICTV19780121@TEST</v>
      </c>
      <c r="N238" s="7" t="str">
        <f>HYPERLINK("https://ictv.global/id/TN19840169","TN19840169@prod")</f>
        <v>TN19840169@prod</v>
      </c>
      <c r="O238" s="7" t="str">
        <f>HYPERLINK("https://ictv.global/id/ICTV19780121","ICTV19780121@prod")</f>
        <v>ICTV19780121@prod</v>
      </c>
    </row>
    <row r="239" spans="1:15" x14ac:dyDescent="0.2">
      <c r="A239">
        <v>9</v>
      </c>
      <c r="B239">
        <v>19840169</v>
      </c>
      <c r="C239">
        <v>19780121</v>
      </c>
      <c r="D239" t="s">
        <v>19</v>
      </c>
      <c r="E239" t="s">
        <v>189</v>
      </c>
      <c r="G239" t="s">
        <v>53</v>
      </c>
      <c r="H239" t="s">
        <v>191</v>
      </c>
      <c r="I239" t="s">
        <v>19</v>
      </c>
      <c r="J239">
        <v>19870183</v>
      </c>
      <c r="K239">
        <v>19870183</v>
      </c>
      <c r="L239" s="7" t="str">
        <f>HYPERLINK("https://test.ictv.global/id/TN19840169","TN19840169@TEST")</f>
        <v>TN19840169@TEST</v>
      </c>
      <c r="M239" s="7" t="str">
        <f>HYPERLINK("https://test.ictv.global/id/ICTV19780121","ICTV19780121@TEST")</f>
        <v>ICTV19780121@TEST</v>
      </c>
      <c r="N239" s="7" t="str">
        <f>HYPERLINK("https://ictv.global/id/TN19840169","TN19840169@prod")</f>
        <v>TN19840169@prod</v>
      </c>
      <c r="O239" s="7" t="str">
        <f>HYPERLINK("https://ictv.global/id/ICTV19780121","ICTV19780121@prod")</f>
        <v>ICTV19780121@prod</v>
      </c>
    </row>
    <row r="240" spans="1:15" x14ac:dyDescent="0.2">
      <c r="A240">
        <v>10</v>
      </c>
      <c r="B240">
        <v>19870072</v>
      </c>
      <c r="C240">
        <v>19760034</v>
      </c>
      <c r="D240" t="s">
        <v>26</v>
      </c>
      <c r="E240" t="s">
        <v>1269</v>
      </c>
      <c r="G240" t="s">
        <v>1165</v>
      </c>
      <c r="L240" s="7" t="str">
        <f>HYPERLINK("https://test.ictv.global/id/TN19870072","TN19870072@TEST")</f>
        <v>TN19870072@TEST</v>
      </c>
      <c r="M240" s="7" t="str">
        <f>HYPERLINK("https://test.ictv.global/id/ICTV19760034","ICTV19760034@TEST")</f>
        <v>ICTV19760034@TEST</v>
      </c>
      <c r="N240" s="7" t="str">
        <f>HYPERLINK("https://ictv.global/id/TN19870072","TN19870072@prod")</f>
        <v>TN19870072@prod</v>
      </c>
      <c r="O240" s="7" t="str">
        <f>HYPERLINK("https://ictv.global/id/ICTV19760034","ICTV19760034@prod")</f>
        <v>ICTV19760034@prod</v>
      </c>
    </row>
    <row r="241" spans="1:15" x14ac:dyDescent="0.2">
      <c r="A241">
        <v>10</v>
      </c>
      <c r="B241">
        <v>19870073</v>
      </c>
      <c r="C241">
        <v>19750034</v>
      </c>
      <c r="D241" t="s">
        <v>26</v>
      </c>
      <c r="E241" t="s">
        <v>25</v>
      </c>
      <c r="G241" t="s">
        <v>1165</v>
      </c>
      <c r="L241" s="7" t="str">
        <f>HYPERLINK("https://test.ictv.global/id/TN19870073","TN19870073@TEST")</f>
        <v>TN19870073@TEST</v>
      </c>
      <c r="M241" s="7" t="str">
        <f>HYPERLINK("https://test.ictv.global/id/ICTV19750034","ICTV19750034@TEST")</f>
        <v>ICTV19750034@TEST</v>
      </c>
      <c r="N241" s="7" t="str">
        <f>HYPERLINK("https://ictv.global/id/TN19870073","TN19870073@prod")</f>
        <v>TN19870073@prod</v>
      </c>
      <c r="O241" s="7" t="str">
        <f>HYPERLINK("https://ictv.global/id/ICTV19750034","ICTV19750034@prod")</f>
        <v>ICTV19750034@prod</v>
      </c>
    </row>
    <row r="242" spans="1:15" x14ac:dyDescent="0.2">
      <c r="A242">
        <v>10</v>
      </c>
      <c r="B242">
        <v>19870074</v>
      </c>
      <c r="C242">
        <v>19760036</v>
      </c>
      <c r="D242" t="s">
        <v>26</v>
      </c>
      <c r="E242" t="s">
        <v>1270</v>
      </c>
      <c r="G242" t="s">
        <v>1165</v>
      </c>
      <c r="L242" s="7" t="str">
        <f>HYPERLINK("https://test.ictv.global/id/TN19870074","TN19870074@TEST")</f>
        <v>TN19870074@TEST</v>
      </c>
      <c r="M242" s="7" t="str">
        <f>HYPERLINK("https://test.ictv.global/id/ICTV19760036","ICTV19760036@TEST")</f>
        <v>ICTV19760036@TEST</v>
      </c>
      <c r="N242" s="7" t="str">
        <f>HYPERLINK("https://ictv.global/id/TN19870074","TN19870074@prod")</f>
        <v>TN19870074@prod</v>
      </c>
      <c r="O242" s="7" t="str">
        <f>HYPERLINK("https://ictv.global/id/ICTV19760036","ICTV19760036@prod")</f>
        <v>ICTV19760036@prod</v>
      </c>
    </row>
    <row r="243" spans="1:15" x14ac:dyDescent="0.2">
      <c r="A243">
        <v>10</v>
      </c>
      <c r="B243">
        <v>19870086</v>
      </c>
      <c r="C243">
        <v>19710018</v>
      </c>
      <c r="D243" t="s">
        <v>19</v>
      </c>
      <c r="E243" t="s">
        <v>192</v>
      </c>
      <c r="G243" t="s">
        <v>100</v>
      </c>
      <c r="H243" t="s">
        <v>193</v>
      </c>
      <c r="I243" t="s">
        <v>19</v>
      </c>
      <c r="J243">
        <v>19900100</v>
      </c>
      <c r="K243">
        <v>19900100</v>
      </c>
      <c r="L243" s="7" t="str">
        <f>HYPERLINK("https://test.ictv.global/id/TN19870086","TN19870086@TEST")</f>
        <v>TN19870086@TEST</v>
      </c>
      <c r="M243" s="7" t="str">
        <f>HYPERLINK("https://test.ictv.global/id/ICTV19710018","ICTV19710018@TEST")</f>
        <v>ICTV19710018@TEST</v>
      </c>
      <c r="N243" s="7" t="str">
        <f>HYPERLINK("https://ictv.global/id/TN19870086","TN19870086@prod")</f>
        <v>TN19870086@prod</v>
      </c>
      <c r="O243" s="7" t="str">
        <f>HYPERLINK("https://ictv.global/id/ICTV19710018","ICTV19710018@prod")</f>
        <v>ICTV19710018@prod</v>
      </c>
    </row>
    <row r="244" spans="1:15" x14ac:dyDescent="0.2">
      <c r="A244">
        <v>10</v>
      </c>
      <c r="B244">
        <v>19870086</v>
      </c>
      <c r="C244">
        <v>19710018</v>
      </c>
      <c r="D244" t="s">
        <v>19</v>
      </c>
      <c r="E244" t="s">
        <v>192</v>
      </c>
      <c r="G244" t="s">
        <v>100</v>
      </c>
      <c r="H244" t="s">
        <v>194</v>
      </c>
      <c r="I244" t="s">
        <v>19</v>
      </c>
      <c r="J244">
        <v>19900101</v>
      </c>
      <c r="K244">
        <v>19900101</v>
      </c>
      <c r="L244" s="7" t="str">
        <f>HYPERLINK("https://test.ictv.global/id/TN19870086","TN19870086@TEST")</f>
        <v>TN19870086@TEST</v>
      </c>
      <c r="M244" s="7" t="str">
        <f>HYPERLINK("https://test.ictv.global/id/ICTV19710018","ICTV19710018@TEST")</f>
        <v>ICTV19710018@TEST</v>
      </c>
      <c r="N244" s="7" t="str">
        <f>HYPERLINK("https://ictv.global/id/TN19870086","TN19870086@prod")</f>
        <v>TN19870086@prod</v>
      </c>
      <c r="O244" s="7" t="str">
        <f>HYPERLINK("https://ictv.global/id/ICTV19710018","ICTV19710018@prod")</f>
        <v>ICTV19710018@prod</v>
      </c>
    </row>
    <row r="245" spans="1:15" x14ac:dyDescent="0.2">
      <c r="A245">
        <v>10</v>
      </c>
      <c r="B245">
        <v>19870086</v>
      </c>
      <c r="C245">
        <v>19710018</v>
      </c>
      <c r="D245" t="s">
        <v>19</v>
      </c>
      <c r="E245" t="s">
        <v>192</v>
      </c>
      <c r="G245" t="s">
        <v>100</v>
      </c>
      <c r="H245" t="s">
        <v>195</v>
      </c>
      <c r="I245" t="s">
        <v>19</v>
      </c>
      <c r="J245">
        <v>19900102</v>
      </c>
      <c r="K245">
        <v>19900102</v>
      </c>
      <c r="L245" s="7" t="str">
        <f>HYPERLINK("https://test.ictv.global/id/TN19870086","TN19870086@TEST")</f>
        <v>TN19870086@TEST</v>
      </c>
      <c r="M245" s="7" t="str">
        <f>HYPERLINK("https://test.ictv.global/id/ICTV19710018","ICTV19710018@TEST")</f>
        <v>ICTV19710018@TEST</v>
      </c>
      <c r="N245" s="7" t="str">
        <f>HYPERLINK("https://ictv.global/id/TN19870086","TN19870086@prod")</f>
        <v>TN19870086@prod</v>
      </c>
      <c r="O245" s="7" t="str">
        <f>HYPERLINK("https://ictv.global/id/ICTV19710018","ICTV19710018@prod")</f>
        <v>ICTV19710018@prod</v>
      </c>
    </row>
    <row r="246" spans="1:15" x14ac:dyDescent="0.2">
      <c r="A246">
        <v>10</v>
      </c>
      <c r="B246">
        <v>19870086</v>
      </c>
      <c r="C246">
        <v>19710018</v>
      </c>
      <c r="D246" t="s">
        <v>19</v>
      </c>
      <c r="E246" t="s">
        <v>192</v>
      </c>
      <c r="G246" t="s">
        <v>100</v>
      </c>
      <c r="H246" t="s">
        <v>196</v>
      </c>
      <c r="I246" t="s">
        <v>19</v>
      </c>
      <c r="J246">
        <v>19900103</v>
      </c>
      <c r="K246">
        <v>19900103</v>
      </c>
      <c r="L246" s="7" t="str">
        <f>HYPERLINK("https://test.ictv.global/id/TN19870086","TN19870086@TEST")</f>
        <v>TN19870086@TEST</v>
      </c>
      <c r="M246" s="7" t="str">
        <f>HYPERLINK("https://test.ictv.global/id/ICTV19710018","ICTV19710018@TEST")</f>
        <v>ICTV19710018@TEST</v>
      </c>
      <c r="N246" s="7" t="str">
        <f>HYPERLINK("https://ictv.global/id/TN19870086","TN19870086@prod")</f>
        <v>TN19870086@prod</v>
      </c>
      <c r="O246" s="7" t="str">
        <f>HYPERLINK("https://ictv.global/id/ICTV19710018","ICTV19710018@prod")</f>
        <v>ICTV19710018@prod</v>
      </c>
    </row>
    <row r="247" spans="1:15" x14ac:dyDescent="0.2">
      <c r="A247">
        <v>10</v>
      </c>
      <c r="B247">
        <v>19870134</v>
      </c>
      <c r="C247">
        <v>19840129</v>
      </c>
      <c r="D247" t="s">
        <v>19</v>
      </c>
      <c r="E247" t="s">
        <v>197</v>
      </c>
      <c r="G247" t="s">
        <v>53</v>
      </c>
      <c r="H247" t="s">
        <v>198</v>
      </c>
      <c r="I247" t="s">
        <v>19</v>
      </c>
      <c r="J247">
        <v>19900153</v>
      </c>
      <c r="K247">
        <v>19900153</v>
      </c>
      <c r="L247" s="7" t="str">
        <f>HYPERLINK("https://test.ictv.global/id/TN19870134","TN19870134@TEST")</f>
        <v>TN19870134@TEST</v>
      </c>
      <c r="M247" s="7" t="str">
        <f>HYPERLINK("https://test.ictv.global/id/ICTV19840129","ICTV19840129@TEST")</f>
        <v>ICTV19840129@TEST</v>
      </c>
      <c r="N247" s="7" t="str">
        <f>HYPERLINK("https://ictv.global/id/TN19870134","TN19870134@prod")</f>
        <v>TN19870134@prod</v>
      </c>
      <c r="O247" s="7" t="str">
        <f>HYPERLINK("https://ictv.global/id/ICTV19840129","ICTV19840129@prod")</f>
        <v>ICTV19840129@prod</v>
      </c>
    </row>
    <row r="248" spans="1:15" x14ac:dyDescent="0.2">
      <c r="A248">
        <v>10</v>
      </c>
      <c r="B248">
        <v>19870134</v>
      </c>
      <c r="C248">
        <v>19840129</v>
      </c>
      <c r="D248" t="s">
        <v>19</v>
      </c>
      <c r="E248" t="s">
        <v>197</v>
      </c>
      <c r="G248" t="s">
        <v>53</v>
      </c>
      <c r="H248" t="s">
        <v>199</v>
      </c>
      <c r="I248" t="s">
        <v>19</v>
      </c>
      <c r="J248">
        <v>19900154</v>
      </c>
      <c r="K248">
        <v>19900154</v>
      </c>
      <c r="L248" s="7" t="str">
        <f>HYPERLINK("https://test.ictv.global/id/TN19870134","TN19870134@TEST")</f>
        <v>TN19870134@TEST</v>
      </c>
      <c r="M248" s="7" t="str">
        <f>HYPERLINK("https://test.ictv.global/id/ICTV19840129","ICTV19840129@TEST")</f>
        <v>ICTV19840129@TEST</v>
      </c>
      <c r="N248" s="7" t="str">
        <f>HYPERLINK("https://ictv.global/id/TN19870134","TN19870134@prod")</f>
        <v>TN19870134@prod</v>
      </c>
      <c r="O248" s="7" t="str">
        <f>HYPERLINK("https://ictv.global/id/ICTV19840129","ICTV19840129@prod")</f>
        <v>ICTV19840129@prod</v>
      </c>
    </row>
    <row r="249" spans="1:15" x14ac:dyDescent="0.2">
      <c r="A249">
        <v>10</v>
      </c>
      <c r="B249">
        <v>19870151</v>
      </c>
      <c r="C249">
        <v>19750069</v>
      </c>
      <c r="D249" t="s">
        <v>19</v>
      </c>
      <c r="E249" t="s">
        <v>200</v>
      </c>
      <c r="G249" t="s">
        <v>100</v>
      </c>
      <c r="H249" t="s">
        <v>201</v>
      </c>
      <c r="I249" t="s">
        <v>19</v>
      </c>
      <c r="J249">
        <v>19900173</v>
      </c>
      <c r="K249">
        <v>19900173</v>
      </c>
      <c r="L249" s="7" t="str">
        <f>HYPERLINK("https://test.ictv.global/id/TN19870151","TN19870151@TEST")</f>
        <v>TN19870151@TEST</v>
      </c>
      <c r="M249" s="7" t="str">
        <f>HYPERLINK("https://test.ictv.global/id/ICTV19750069","ICTV19750069@TEST")</f>
        <v>ICTV19750069@TEST</v>
      </c>
      <c r="N249" s="7" t="str">
        <f>HYPERLINK("https://ictv.global/id/TN19870151","TN19870151@prod")</f>
        <v>TN19870151@prod</v>
      </c>
      <c r="O249" s="7" t="str">
        <f>HYPERLINK("https://ictv.global/id/ICTV19750069","ICTV19750069@prod")</f>
        <v>ICTV19750069@prod</v>
      </c>
    </row>
    <row r="250" spans="1:15" x14ac:dyDescent="0.2">
      <c r="A250">
        <v>10</v>
      </c>
      <c r="B250">
        <v>19870151</v>
      </c>
      <c r="C250">
        <v>19750069</v>
      </c>
      <c r="D250" t="s">
        <v>19</v>
      </c>
      <c r="E250" t="s">
        <v>200</v>
      </c>
      <c r="G250" t="s">
        <v>100</v>
      </c>
      <c r="H250" t="s">
        <v>202</v>
      </c>
      <c r="I250" t="s">
        <v>19</v>
      </c>
      <c r="J250">
        <v>19900176</v>
      </c>
      <c r="K250">
        <v>19900176</v>
      </c>
      <c r="L250" s="7" t="str">
        <f>HYPERLINK("https://test.ictv.global/id/TN19870151","TN19870151@TEST")</f>
        <v>TN19870151@TEST</v>
      </c>
      <c r="M250" s="7" t="str">
        <f>HYPERLINK("https://test.ictv.global/id/ICTV19750069","ICTV19750069@TEST")</f>
        <v>ICTV19750069@TEST</v>
      </c>
      <c r="N250" s="7" t="str">
        <f>HYPERLINK("https://ictv.global/id/TN19870151","TN19870151@prod")</f>
        <v>TN19870151@prod</v>
      </c>
      <c r="O250" s="7" t="str">
        <f>HYPERLINK("https://ictv.global/id/ICTV19750069","ICTV19750069@prod")</f>
        <v>ICTV19750069@prod</v>
      </c>
    </row>
    <row r="251" spans="1:15" x14ac:dyDescent="0.2">
      <c r="A251">
        <v>10</v>
      </c>
      <c r="B251">
        <v>19871000</v>
      </c>
      <c r="C251">
        <v>19840978</v>
      </c>
      <c r="D251" t="s">
        <v>29</v>
      </c>
      <c r="E251" t="s">
        <v>1271</v>
      </c>
      <c r="G251" t="s">
        <v>1165</v>
      </c>
      <c r="L251" s="7" t="str">
        <f>HYPERLINK("https://test.ictv.global/id/TN19871000","TN19871000@TEST")</f>
        <v>TN19871000@TEST</v>
      </c>
      <c r="M251" s="7" t="str">
        <f>HYPERLINK("https://test.ictv.global/id/ICTV19840978","ICTV19840978@TEST")</f>
        <v>ICTV19840978@TEST</v>
      </c>
      <c r="N251" s="7" t="str">
        <f>HYPERLINK("https://ictv.global/id/TN19871000","TN19871000@prod")</f>
        <v>TN19871000@prod</v>
      </c>
      <c r="O251" s="7" t="str">
        <f>HYPERLINK("https://ictv.global/id/ICTV19840978","ICTV19840978@prod")</f>
        <v>ICTV19840978@prod</v>
      </c>
    </row>
    <row r="252" spans="1:15" x14ac:dyDescent="0.2">
      <c r="A252">
        <v>11</v>
      </c>
      <c r="B252">
        <v>19900108</v>
      </c>
      <c r="C252">
        <v>19910109</v>
      </c>
      <c r="D252" t="s">
        <v>19</v>
      </c>
      <c r="E252" t="s">
        <v>203</v>
      </c>
      <c r="G252" t="s">
        <v>33</v>
      </c>
      <c r="H252" t="s">
        <v>203</v>
      </c>
      <c r="I252" t="s">
        <v>19</v>
      </c>
      <c r="J252">
        <v>19910109</v>
      </c>
      <c r="K252">
        <v>19910109</v>
      </c>
      <c r="L252" s="7" t="str">
        <f>HYPERLINK("https://test.ictv.global/id/TN19900108","TN19900108@TEST")</f>
        <v>TN19900108@TEST</v>
      </c>
      <c r="M252" s="7" t="str">
        <f>HYPERLINK("https://test.ictv.global/id/ICTV19910109","ICTV19910109@TEST")</f>
        <v>ICTV19910109@TEST</v>
      </c>
      <c r="N252" s="7" t="str">
        <f>HYPERLINK("https://ictv.global/id/TN19900108","TN19900108@prod")</f>
        <v>TN19900108@prod</v>
      </c>
      <c r="O252" s="7" t="str">
        <f>HYPERLINK("https://ictv.global/id/ICTV19910109","ICTV19910109@prod")</f>
        <v>ICTV19910109@prod</v>
      </c>
    </row>
    <row r="253" spans="1:15" x14ac:dyDescent="0.2">
      <c r="A253">
        <v>11</v>
      </c>
      <c r="B253">
        <v>19900110</v>
      </c>
      <c r="C253">
        <v>19810075</v>
      </c>
      <c r="D253" t="s">
        <v>19</v>
      </c>
      <c r="E253" t="s">
        <v>204</v>
      </c>
      <c r="G253" t="s">
        <v>33</v>
      </c>
      <c r="H253" t="s">
        <v>203</v>
      </c>
      <c r="I253" t="s">
        <v>19</v>
      </c>
      <c r="J253">
        <v>19910109</v>
      </c>
      <c r="K253">
        <v>19910109</v>
      </c>
      <c r="L253" s="7" t="str">
        <f>HYPERLINK("https://test.ictv.global/id/TN19900110","TN19900110@TEST")</f>
        <v>TN19900110@TEST</v>
      </c>
      <c r="M253" s="7" t="str">
        <f>HYPERLINK("https://test.ictv.global/id/ICTV19810075","ICTV19810075@TEST")</f>
        <v>ICTV19810075@TEST</v>
      </c>
      <c r="N253" s="7" t="str">
        <f>HYPERLINK("https://ictv.global/id/TN19900110","TN19900110@prod")</f>
        <v>TN19900110@prod</v>
      </c>
      <c r="O253" s="7" t="str">
        <f>HYPERLINK("https://ictv.global/id/ICTV19810075","ICTV19810075@prod")</f>
        <v>ICTV19810075@prod</v>
      </c>
    </row>
    <row r="254" spans="1:15" x14ac:dyDescent="0.2">
      <c r="A254">
        <v>11</v>
      </c>
      <c r="B254">
        <v>19900123</v>
      </c>
      <c r="C254">
        <v>19840099</v>
      </c>
      <c r="D254" t="s">
        <v>19</v>
      </c>
      <c r="E254" t="s">
        <v>1272</v>
      </c>
      <c r="G254" t="s">
        <v>1165</v>
      </c>
      <c r="L254" s="7" t="str">
        <f>HYPERLINK("https://test.ictv.global/id/TN19900123","TN19900123@TEST")</f>
        <v>TN19900123@TEST</v>
      </c>
      <c r="M254" s="7" t="str">
        <f>HYPERLINK("https://test.ictv.global/id/ICTV19840099","ICTV19840099@TEST")</f>
        <v>ICTV19840099@TEST</v>
      </c>
      <c r="N254" s="7" t="str">
        <f>HYPERLINK("https://ictv.global/id/TN19900123","TN19900123@prod")</f>
        <v>TN19900123@prod</v>
      </c>
      <c r="O254" s="7" t="str">
        <f>HYPERLINK("https://ictv.global/id/ICTV19840099","ICTV19840099@prod")</f>
        <v>ICTV19840099@prod</v>
      </c>
    </row>
    <row r="255" spans="1:15" x14ac:dyDescent="0.2">
      <c r="A255">
        <v>11</v>
      </c>
      <c r="B255">
        <v>19900164</v>
      </c>
      <c r="C255">
        <v>19740021</v>
      </c>
      <c r="D255" t="s">
        <v>19</v>
      </c>
      <c r="E255" t="s">
        <v>205</v>
      </c>
      <c r="G255" t="s">
        <v>53</v>
      </c>
      <c r="H255" t="s">
        <v>206</v>
      </c>
      <c r="I255" t="s">
        <v>19</v>
      </c>
      <c r="J255">
        <v>19910168</v>
      </c>
      <c r="K255">
        <v>19910168</v>
      </c>
      <c r="L255" s="7" t="str">
        <f>HYPERLINK("https://test.ictv.global/id/TN19900164","TN19900164@TEST")</f>
        <v>TN19900164@TEST</v>
      </c>
      <c r="M255" s="7" t="str">
        <f>HYPERLINK("https://test.ictv.global/id/ICTV19740021","ICTV19740021@TEST")</f>
        <v>ICTV19740021@TEST</v>
      </c>
      <c r="N255" s="7" t="str">
        <f>HYPERLINK("https://ictv.global/id/TN19900164","TN19900164@prod")</f>
        <v>TN19900164@prod</v>
      </c>
      <c r="O255" s="7" t="str">
        <f>HYPERLINK("https://ictv.global/id/ICTV19740021","ICTV19740021@prod")</f>
        <v>ICTV19740021@prod</v>
      </c>
    </row>
    <row r="256" spans="1:15" x14ac:dyDescent="0.2">
      <c r="A256">
        <v>11</v>
      </c>
      <c r="B256">
        <v>19900164</v>
      </c>
      <c r="C256">
        <v>19740021</v>
      </c>
      <c r="D256" t="s">
        <v>19</v>
      </c>
      <c r="E256" t="s">
        <v>205</v>
      </c>
      <c r="G256" t="s">
        <v>53</v>
      </c>
      <c r="H256" t="s">
        <v>207</v>
      </c>
      <c r="I256" t="s">
        <v>19</v>
      </c>
      <c r="J256">
        <v>19910169</v>
      </c>
      <c r="K256">
        <v>19910169</v>
      </c>
      <c r="L256" s="7" t="str">
        <f>HYPERLINK("https://test.ictv.global/id/TN19900164","TN19900164@TEST")</f>
        <v>TN19900164@TEST</v>
      </c>
      <c r="M256" s="7" t="str">
        <f>HYPERLINK("https://test.ictv.global/id/ICTV19740021","ICTV19740021@TEST")</f>
        <v>ICTV19740021@TEST</v>
      </c>
      <c r="N256" s="7" t="str">
        <f>HYPERLINK("https://ictv.global/id/TN19900164","TN19900164@prod")</f>
        <v>TN19900164@prod</v>
      </c>
      <c r="O256" s="7" t="str">
        <f>HYPERLINK("https://ictv.global/id/ICTV19740021","ICTV19740021@prod")</f>
        <v>ICTV19740021@prod</v>
      </c>
    </row>
    <row r="257" spans="1:15" x14ac:dyDescent="0.2">
      <c r="A257">
        <v>11</v>
      </c>
      <c r="B257">
        <v>19900164</v>
      </c>
      <c r="C257">
        <v>19740021</v>
      </c>
      <c r="D257" t="s">
        <v>19</v>
      </c>
      <c r="E257" t="s">
        <v>205</v>
      </c>
      <c r="G257" t="s">
        <v>53</v>
      </c>
      <c r="H257" t="s">
        <v>208</v>
      </c>
      <c r="I257" t="s">
        <v>19</v>
      </c>
      <c r="J257">
        <v>19910170</v>
      </c>
      <c r="K257">
        <v>19910170</v>
      </c>
      <c r="L257" s="7" t="str">
        <f>HYPERLINK("https://test.ictv.global/id/TN19900164","TN19900164@TEST")</f>
        <v>TN19900164@TEST</v>
      </c>
      <c r="M257" s="7" t="str">
        <f>HYPERLINK("https://test.ictv.global/id/ICTV19740021","ICTV19740021@TEST")</f>
        <v>ICTV19740021@TEST</v>
      </c>
      <c r="N257" s="7" t="str">
        <f>HYPERLINK("https://ictv.global/id/TN19900164","TN19900164@prod")</f>
        <v>TN19900164@prod</v>
      </c>
      <c r="O257" s="7" t="str">
        <f>HYPERLINK("https://ictv.global/id/ICTV19740021","ICTV19740021@prod")</f>
        <v>ICTV19740021@prod</v>
      </c>
    </row>
    <row r="258" spans="1:15" x14ac:dyDescent="0.2">
      <c r="A258">
        <v>11</v>
      </c>
      <c r="B258">
        <v>19900218</v>
      </c>
      <c r="C258">
        <v>19790137</v>
      </c>
      <c r="D258" t="s">
        <v>19</v>
      </c>
      <c r="E258" t="s">
        <v>1273</v>
      </c>
      <c r="G258" t="s">
        <v>1165</v>
      </c>
      <c r="L258" s="7" t="str">
        <f>HYPERLINK("https://test.ictv.global/id/TN19900218","TN19900218@TEST")</f>
        <v>TN19900218@TEST</v>
      </c>
      <c r="M258" s="7" t="str">
        <f>HYPERLINK("https://test.ictv.global/id/ICTV19790137","ICTV19790137@TEST")</f>
        <v>ICTV19790137@TEST</v>
      </c>
      <c r="N258" s="7" t="str">
        <f>HYPERLINK("https://ictv.global/id/TN19900218","TN19900218@prod")</f>
        <v>TN19900218@prod</v>
      </c>
      <c r="O258" s="7" t="str">
        <f>HYPERLINK("https://ictv.global/id/ICTV19790137","ICTV19790137@prod")</f>
        <v>ICTV19790137@prod</v>
      </c>
    </row>
    <row r="259" spans="1:15" x14ac:dyDescent="0.2">
      <c r="A259">
        <v>11</v>
      </c>
      <c r="B259">
        <v>19900235</v>
      </c>
      <c r="C259">
        <v>19760286</v>
      </c>
      <c r="D259" t="s">
        <v>29</v>
      </c>
      <c r="E259" t="s">
        <v>1274</v>
      </c>
      <c r="G259" t="s">
        <v>1165</v>
      </c>
      <c r="L259" s="7" t="str">
        <f>HYPERLINK("https://test.ictv.global/id/TN19900235","TN19900235@TEST")</f>
        <v>TN19900235@TEST</v>
      </c>
      <c r="M259" s="7" t="str">
        <f>HYPERLINK("https://test.ictv.global/id/ICTV19760286","ICTV19760286@TEST")</f>
        <v>ICTV19760286@TEST</v>
      </c>
      <c r="N259" s="7" t="str">
        <f>HYPERLINK("https://ictv.global/id/TN19900235","TN19900235@prod")</f>
        <v>TN19900235@prod</v>
      </c>
      <c r="O259" s="7" t="str">
        <f>HYPERLINK("https://ictv.global/id/ICTV19760286","ICTV19760286@prod")</f>
        <v>ICTV19760286@prod</v>
      </c>
    </row>
    <row r="260" spans="1:15" x14ac:dyDescent="0.2">
      <c r="A260">
        <v>11</v>
      </c>
      <c r="B260">
        <v>19900237</v>
      </c>
      <c r="C260">
        <v>19790450</v>
      </c>
      <c r="D260" t="s">
        <v>29</v>
      </c>
      <c r="E260" t="s">
        <v>1275</v>
      </c>
      <c r="G260" t="s">
        <v>1165</v>
      </c>
      <c r="L260" s="7" t="str">
        <f>HYPERLINK("https://test.ictv.global/id/TN19900237","TN19900237@TEST")</f>
        <v>TN19900237@TEST</v>
      </c>
      <c r="M260" s="7" t="str">
        <f>HYPERLINK("https://test.ictv.global/id/ICTV19790450","ICTV19790450@TEST")</f>
        <v>ICTV19790450@TEST</v>
      </c>
      <c r="N260" s="7" t="str">
        <f>HYPERLINK("https://ictv.global/id/TN19900237","TN19900237@prod")</f>
        <v>TN19900237@prod</v>
      </c>
      <c r="O260" s="7" t="str">
        <f>HYPERLINK("https://ictv.global/id/ICTV19790450","ICTV19790450@prod")</f>
        <v>ICTV19790450@prod</v>
      </c>
    </row>
    <row r="261" spans="1:15" x14ac:dyDescent="0.2">
      <c r="A261">
        <v>11</v>
      </c>
      <c r="B261">
        <v>19900243</v>
      </c>
      <c r="C261">
        <v>19790456</v>
      </c>
      <c r="D261" t="s">
        <v>29</v>
      </c>
      <c r="E261" t="s">
        <v>1276</v>
      </c>
      <c r="G261" t="s">
        <v>1165</v>
      </c>
      <c r="L261" s="7" t="str">
        <f>HYPERLINK("https://test.ictv.global/id/TN19900243","TN19900243@TEST")</f>
        <v>TN19900243@TEST</v>
      </c>
      <c r="M261" s="7" t="str">
        <f>HYPERLINK("https://test.ictv.global/id/ICTV19790456","ICTV19790456@TEST")</f>
        <v>ICTV19790456@TEST</v>
      </c>
      <c r="N261" s="7" t="str">
        <f>HYPERLINK("https://ictv.global/id/TN19900243","TN19900243@prod")</f>
        <v>TN19900243@prod</v>
      </c>
      <c r="O261" s="7" t="str">
        <f>HYPERLINK("https://ictv.global/id/ICTV19790456","ICTV19790456@prod")</f>
        <v>ICTV19790456@prod</v>
      </c>
    </row>
    <row r="262" spans="1:15" x14ac:dyDescent="0.2">
      <c r="A262">
        <v>11</v>
      </c>
      <c r="B262">
        <v>19900244</v>
      </c>
      <c r="C262">
        <v>19760293</v>
      </c>
      <c r="D262" t="s">
        <v>29</v>
      </c>
      <c r="E262" t="s">
        <v>1277</v>
      </c>
      <c r="G262" t="s">
        <v>1165</v>
      </c>
      <c r="L262" s="7" t="str">
        <f>HYPERLINK("https://test.ictv.global/id/TN19900244","TN19900244@TEST")</f>
        <v>TN19900244@TEST</v>
      </c>
      <c r="M262" s="7" t="str">
        <f>HYPERLINK("https://test.ictv.global/id/ICTV19760293","ICTV19760293@TEST")</f>
        <v>ICTV19760293@TEST</v>
      </c>
      <c r="N262" s="7" t="str">
        <f>HYPERLINK("https://ictv.global/id/TN19900244","TN19900244@prod")</f>
        <v>TN19900244@prod</v>
      </c>
      <c r="O262" s="7" t="str">
        <f>HYPERLINK("https://ictv.global/id/ICTV19760293","ICTV19760293@prod")</f>
        <v>ICTV19760293@prod</v>
      </c>
    </row>
    <row r="263" spans="1:15" x14ac:dyDescent="0.2">
      <c r="A263">
        <v>11</v>
      </c>
      <c r="B263">
        <v>19900245</v>
      </c>
      <c r="C263">
        <v>19760294</v>
      </c>
      <c r="D263" t="s">
        <v>29</v>
      </c>
      <c r="E263" t="s">
        <v>1278</v>
      </c>
      <c r="G263" t="s">
        <v>1165</v>
      </c>
      <c r="L263" s="7" t="str">
        <f>HYPERLINK("https://test.ictv.global/id/TN19900245","TN19900245@TEST")</f>
        <v>TN19900245@TEST</v>
      </c>
      <c r="M263" s="7" t="str">
        <f>HYPERLINK("https://test.ictv.global/id/ICTV19760294","ICTV19760294@TEST")</f>
        <v>ICTV19760294@TEST</v>
      </c>
      <c r="N263" s="7" t="str">
        <f>HYPERLINK("https://ictv.global/id/TN19900245","TN19900245@prod")</f>
        <v>TN19900245@prod</v>
      </c>
      <c r="O263" s="7" t="str">
        <f>HYPERLINK("https://ictv.global/id/ICTV19760294","ICTV19760294@prod")</f>
        <v>ICTV19760294@prod</v>
      </c>
    </row>
    <row r="264" spans="1:15" x14ac:dyDescent="0.2">
      <c r="A264">
        <v>11</v>
      </c>
      <c r="B264">
        <v>19900267</v>
      </c>
      <c r="C264">
        <v>19760560</v>
      </c>
      <c r="D264" t="s">
        <v>29</v>
      </c>
      <c r="E264" t="s">
        <v>1279</v>
      </c>
      <c r="G264" t="s">
        <v>1165</v>
      </c>
      <c r="L264" s="7" t="str">
        <f>HYPERLINK("https://test.ictv.global/id/TN19900267","TN19900267@TEST")</f>
        <v>TN19900267@TEST</v>
      </c>
      <c r="M264" s="7" t="str">
        <f>HYPERLINK("https://test.ictv.global/id/ICTV19760560","ICTV19760560@TEST")</f>
        <v>ICTV19760560@TEST</v>
      </c>
      <c r="N264" s="7" t="str">
        <f>HYPERLINK("https://ictv.global/id/TN19900267","TN19900267@prod")</f>
        <v>TN19900267@prod</v>
      </c>
      <c r="O264" s="7" t="str">
        <f>HYPERLINK("https://ictv.global/id/ICTV19760560","ICTV19760560@prod")</f>
        <v>ICTV19760560@prod</v>
      </c>
    </row>
    <row r="265" spans="1:15" x14ac:dyDescent="0.2">
      <c r="A265">
        <v>11</v>
      </c>
      <c r="B265">
        <v>19900274</v>
      </c>
      <c r="C265">
        <v>19810172</v>
      </c>
      <c r="D265" t="s">
        <v>29</v>
      </c>
      <c r="E265" t="s">
        <v>383</v>
      </c>
      <c r="G265" t="s">
        <v>1165</v>
      </c>
      <c r="L265" s="7" t="str">
        <f>HYPERLINK("https://test.ictv.global/id/TN19900274","TN19900274@TEST")</f>
        <v>TN19900274@TEST</v>
      </c>
      <c r="M265" s="7" t="str">
        <f>HYPERLINK("https://test.ictv.global/id/ICTV19810172","ICTV19810172@TEST")</f>
        <v>ICTV19810172@TEST</v>
      </c>
      <c r="N265" s="7" t="str">
        <f>HYPERLINK("https://ictv.global/id/TN19900274","TN19900274@prod")</f>
        <v>TN19900274@prod</v>
      </c>
      <c r="O265" s="7" t="str">
        <f>HYPERLINK("https://ictv.global/id/ICTV19810172","ICTV19810172@prod")</f>
        <v>ICTV19810172@prod</v>
      </c>
    </row>
    <row r="266" spans="1:15" x14ac:dyDescent="0.2">
      <c r="A266">
        <v>11</v>
      </c>
      <c r="B266">
        <v>19900275</v>
      </c>
      <c r="C266">
        <v>19810173</v>
      </c>
      <c r="D266" t="s">
        <v>29</v>
      </c>
      <c r="E266" t="s">
        <v>384</v>
      </c>
      <c r="G266" t="s">
        <v>1165</v>
      </c>
      <c r="L266" s="7" t="str">
        <f>HYPERLINK("https://test.ictv.global/id/TN19900275","TN19900275@TEST")</f>
        <v>TN19900275@TEST</v>
      </c>
      <c r="M266" s="7" t="str">
        <f>HYPERLINK("https://test.ictv.global/id/ICTV19810173","ICTV19810173@TEST")</f>
        <v>ICTV19810173@TEST</v>
      </c>
      <c r="N266" s="7" t="str">
        <f>HYPERLINK("https://ictv.global/id/TN19900275","TN19900275@prod")</f>
        <v>TN19900275@prod</v>
      </c>
      <c r="O266" s="7" t="str">
        <f>HYPERLINK("https://ictv.global/id/ICTV19810173","ICTV19810173@prod")</f>
        <v>ICTV19810173@prod</v>
      </c>
    </row>
    <row r="267" spans="1:15" x14ac:dyDescent="0.2">
      <c r="A267">
        <v>11</v>
      </c>
      <c r="B267">
        <v>19900276</v>
      </c>
      <c r="C267">
        <v>19810174</v>
      </c>
      <c r="D267" t="s">
        <v>29</v>
      </c>
      <c r="E267" t="s">
        <v>1280</v>
      </c>
      <c r="G267" t="s">
        <v>1165</v>
      </c>
      <c r="L267" s="7" t="str">
        <f>HYPERLINK("https://test.ictv.global/id/TN19900276","TN19900276@TEST")</f>
        <v>TN19900276@TEST</v>
      </c>
      <c r="M267" s="7" t="str">
        <f>HYPERLINK("https://test.ictv.global/id/ICTV19810174","ICTV19810174@TEST")</f>
        <v>ICTV19810174@TEST</v>
      </c>
      <c r="N267" s="7" t="str">
        <f>HYPERLINK("https://ictv.global/id/TN19900276","TN19900276@prod")</f>
        <v>TN19900276@prod</v>
      </c>
      <c r="O267" s="7" t="str">
        <f>HYPERLINK("https://ictv.global/id/ICTV19810174","ICTV19810174@prod")</f>
        <v>ICTV19810174@prod</v>
      </c>
    </row>
    <row r="268" spans="1:15" x14ac:dyDescent="0.2">
      <c r="A268">
        <v>11</v>
      </c>
      <c r="B268">
        <v>19900277</v>
      </c>
      <c r="C268">
        <v>19810175</v>
      </c>
      <c r="D268" t="s">
        <v>29</v>
      </c>
      <c r="E268" t="s">
        <v>385</v>
      </c>
      <c r="G268" t="s">
        <v>1165</v>
      </c>
      <c r="L268" s="7" t="str">
        <f>HYPERLINK("https://test.ictv.global/id/TN19900277","TN19900277@TEST")</f>
        <v>TN19900277@TEST</v>
      </c>
      <c r="M268" s="7" t="str">
        <f>HYPERLINK("https://test.ictv.global/id/ICTV19810175","ICTV19810175@TEST")</f>
        <v>ICTV19810175@TEST</v>
      </c>
      <c r="N268" s="7" t="str">
        <f>HYPERLINK("https://ictv.global/id/TN19900277","TN19900277@prod")</f>
        <v>TN19900277@prod</v>
      </c>
      <c r="O268" s="7" t="str">
        <f>HYPERLINK("https://ictv.global/id/ICTV19810175","ICTV19810175@prod")</f>
        <v>ICTV19810175@prod</v>
      </c>
    </row>
    <row r="269" spans="1:15" x14ac:dyDescent="0.2">
      <c r="A269">
        <v>11</v>
      </c>
      <c r="B269">
        <v>19900278</v>
      </c>
      <c r="C269">
        <v>19810176</v>
      </c>
      <c r="D269" t="s">
        <v>29</v>
      </c>
      <c r="E269" t="s">
        <v>387</v>
      </c>
      <c r="G269" t="s">
        <v>1165</v>
      </c>
      <c r="L269" s="7" t="str">
        <f>HYPERLINK("https://test.ictv.global/id/TN19900278","TN19900278@TEST")</f>
        <v>TN19900278@TEST</v>
      </c>
      <c r="M269" s="7" t="str">
        <f>HYPERLINK("https://test.ictv.global/id/ICTV19810176","ICTV19810176@TEST")</f>
        <v>ICTV19810176@TEST</v>
      </c>
      <c r="N269" s="7" t="str">
        <f>HYPERLINK("https://ictv.global/id/TN19900278","TN19900278@prod")</f>
        <v>TN19900278@prod</v>
      </c>
      <c r="O269" s="7" t="str">
        <f>HYPERLINK("https://ictv.global/id/ICTV19810176","ICTV19810176@prod")</f>
        <v>ICTV19810176@prod</v>
      </c>
    </row>
    <row r="270" spans="1:15" x14ac:dyDescent="0.2">
      <c r="A270">
        <v>11</v>
      </c>
      <c r="B270">
        <v>19900279</v>
      </c>
      <c r="C270">
        <v>19810177</v>
      </c>
      <c r="D270" t="s">
        <v>29</v>
      </c>
      <c r="E270" t="s">
        <v>388</v>
      </c>
      <c r="G270" t="s">
        <v>1165</v>
      </c>
      <c r="L270" s="7" t="str">
        <f>HYPERLINK("https://test.ictv.global/id/TN19900279","TN19900279@TEST")</f>
        <v>TN19900279@TEST</v>
      </c>
      <c r="M270" s="7" t="str">
        <f>HYPERLINK("https://test.ictv.global/id/ICTV19810177","ICTV19810177@TEST")</f>
        <v>ICTV19810177@TEST</v>
      </c>
      <c r="N270" s="7" t="str">
        <f>HYPERLINK("https://ictv.global/id/TN19900279","TN19900279@prod")</f>
        <v>TN19900279@prod</v>
      </c>
      <c r="O270" s="7" t="str">
        <f>HYPERLINK("https://ictv.global/id/ICTV19810177","ICTV19810177@prod")</f>
        <v>ICTV19810177@prod</v>
      </c>
    </row>
    <row r="271" spans="1:15" x14ac:dyDescent="0.2">
      <c r="A271">
        <v>11</v>
      </c>
      <c r="B271">
        <v>19900280</v>
      </c>
      <c r="C271">
        <v>19810178</v>
      </c>
      <c r="D271" t="s">
        <v>29</v>
      </c>
      <c r="E271" t="s">
        <v>389</v>
      </c>
      <c r="G271" t="s">
        <v>1165</v>
      </c>
      <c r="L271" s="7" t="str">
        <f>HYPERLINK("https://test.ictv.global/id/TN19900280","TN19900280@TEST")</f>
        <v>TN19900280@TEST</v>
      </c>
      <c r="M271" s="7" t="str">
        <f>HYPERLINK("https://test.ictv.global/id/ICTV19810178","ICTV19810178@TEST")</f>
        <v>ICTV19810178@TEST</v>
      </c>
      <c r="N271" s="7" t="str">
        <f>HYPERLINK("https://ictv.global/id/TN19900280","TN19900280@prod")</f>
        <v>TN19900280@prod</v>
      </c>
      <c r="O271" s="7" t="str">
        <f>HYPERLINK("https://ictv.global/id/ICTV19810178","ICTV19810178@prod")</f>
        <v>ICTV19810178@prod</v>
      </c>
    </row>
    <row r="272" spans="1:15" x14ac:dyDescent="0.2">
      <c r="A272">
        <v>11</v>
      </c>
      <c r="B272">
        <v>19900355</v>
      </c>
      <c r="C272">
        <v>19820251</v>
      </c>
      <c r="D272" t="s">
        <v>29</v>
      </c>
      <c r="E272" t="s">
        <v>1281</v>
      </c>
      <c r="G272" t="s">
        <v>1165</v>
      </c>
      <c r="L272" s="7" t="str">
        <f>HYPERLINK("https://test.ictv.global/id/TN19900355","TN19900355@TEST")</f>
        <v>TN19900355@TEST</v>
      </c>
      <c r="M272" s="7" t="str">
        <f>HYPERLINK("https://test.ictv.global/id/ICTV19820251","ICTV19820251@TEST")</f>
        <v>ICTV19820251@TEST</v>
      </c>
      <c r="N272" s="7" t="str">
        <f>HYPERLINK("https://ictv.global/id/TN19900355","TN19900355@prod")</f>
        <v>TN19900355@prod</v>
      </c>
      <c r="O272" s="7" t="str">
        <f>HYPERLINK("https://ictv.global/id/ICTV19820251","ICTV19820251@prod")</f>
        <v>ICTV19820251@prod</v>
      </c>
    </row>
    <row r="273" spans="1:15" x14ac:dyDescent="0.2">
      <c r="A273">
        <v>11</v>
      </c>
      <c r="B273">
        <v>19900357</v>
      </c>
      <c r="C273">
        <v>19820254</v>
      </c>
      <c r="D273" t="s">
        <v>29</v>
      </c>
      <c r="E273" t="s">
        <v>1282</v>
      </c>
      <c r="G273" t="s">
        <v>1165</v>
      </c>
      <c r="L273" s="7" t="str">
        <f>HYPERLINK("https://test.ictv.global/id/TN19900357","TN19900357@TEST")</f>
        <v>TN19900357@TEST</v>
      </c>
      <c r="M273" s="7" t="str">
        <f>HYPERLINK("https://test.ictv.global/id/ICTV19820254","ICTV19820254@TEST")</f>
        <v>ICTV19820254@TEST</v>
      </c>
      <c r="N273" s="7" t="str">
        <f>HYPERLINK("https://ictv.global/id/TN19900357","TN19900357@prod")</f>
        <v>TN19900357@prod</v>
      </c>
      <c r="O273" s="7" t="str">
        <f>HYPERLINK("https://ictv.global/id/ICTV19820254","ICTV19820254@prod")</f>
        <v>ICTV19820254@prod</v>
      </c>
    </row>
    <row r="274" spans="1:15" x14ac:dyDescent="0.2">
      <c r="A274">
        <v>11</v>
      </c>
      <c r="B274">
        <v>19900386</v>
      </c>
      <c r="C274">
        <v>19760156</v>
      </c>
      <c r="D274" t="s">
        <v>29</v>
      </c>
      <c r="E274" t="s">
        <v>1283</v>
      </c>
      <c r="G274" t="s">
        <v>1165</v>
      </c>
      <c r="L274" s="7" t="str">
        <f>HYPERLINK("https://test.ictv.global/id/TN19900386","TN19900386@TEST")</f>
        <v>TN19900386@TEST</v>
      </c>
      <c r="M274" s="7" t="str">
        <f>HYPERLINK("https://test.ictv.global/id/ICTV19760156","ICTV19760156@TEST")</f>
        <v>ICTV19760156@TEST</v>
      </c>
      <c r="N274" s="7" t="str">
        <f>HYPERLINK("https://ictv.global/id/TN19900386","TN19900386@prod")</f>
        <v>TN19900386@prod</v>
      </c>
      <c r="O274" s="7" t="str">
        <f>HYPERLINK("https://ictv.global/id/ICTV19760156","ICTV19760156@prod")</f>
        <v>ICTV19760156@prod</v>
      </c>
    </row>
    <row r="275" spans="1:15" x14ac:dyDescent="0.2">
      <c r="A275">
        <v>11</v>
      </c>
      <c r="B275">
        <v>19900405</v>
      </c>
      <c r="C275">
        <v>19760172</v>
      </c>
      <c r="D275" t="s">
        <v>29</v>
      </c>
      <c r="E275" t="s">
        <v>1284</v>
      </c>
      <c r="G275" t="s">
        <v>1165</v>
      </c>
      <c r="L275" s="7" t="str">
        <f>HYPERLINK("https://test.ictv.global/id/TN19900405","TN19900405@TEST")</f>
        <v>TN19900405@TEST</v>
      </c>
      <c r="M275" s="7" t="str">
        <f>HYPERLINK("https://test.ictv.global/id/ICTV19760172","ICTV19760172@TEST")</f>
        <v>ICTV19760172@TEST</v>
      </c>
      <c r="N275" s="7" t="str">
        <f>HYPERLINK("https://ictv.global/id/TN19900405","TN19900405@prod")</f>
        <v>TN19900405@prod</v>
      </c>
      <c r="O275" s="7" t="str">
        <f>HYPERLINK("https://ictv.global/id/ICTV19760172","ICTV19760172@prod")</f>
        <v>ICTV19760172@prod</v>
      </c>
    </row>
    <row r="276" spans="1:15" x14ac:dyDescent="0.2">
      <c r="A276">
        <v>11</v>
      </c>
      <c r="B276">
        <v>19900428</v>
      </c>
      <c r="C276">
        <v>19790299</v>
      </c>
      <c r="D276" t="s">
        <v>29</v>
      </c>
      <c r="E276" t="s">
        <v>1285</v>
      </c>
      <c r="G276" t="s">
        <v>1165</v>
      </c>
      <c r="L276" s="7" t="str">
        <f>HYPERLINK("https://test.ictv.global/id/TN19900428","TN19900428@TEST")</f>
        <v>TN19900428@TEST</v>
      </c>
      <c r="M276" s="7" t="str">
        <f>HYPERLINK("https://test.ictv.global/id/ICTV19790299","ICTV19790299@TEST")</f>
        <v>ICTV19790299@TEST</v>
      </c>
      <c r="N276" s="7" t="str">
        <f>HYPERLINK("https://ictv.global/id/TN19900428","TN19900428@prod")</f>
        <v>TN19900428@prod</v>
      </c>
      <c r="O276" s="7" t="str">
        <f>HYPERLINK("https://ictv.global/id/ICTV19790299","ICTV19790299@prod")</f>
        <v>ICTV19790299@prod</v>
      </c>
    </row>
    <row r="277" spans="1:15" x14ac:dyDescent="0.2">
      <c r="A277">
        <v>11</v>
      </c>
      <c r="B277">
        <v>19900475</v>
      </c>
      <c r="C277">
        <v>19870408</v>
      </c>
      <c r="D277" t="s">
        <v>29</v>
      </c>
      <c r="E277" t="s">
        <v>1286</v>
      </c>
      <c r="G277" t="s">
        <v>1165</v>
      </c>
      <c r="L277" s="7" t="str">
        <f>HYPERLINK("https://test.ictv.global/id/TN19900475","TN19900475@TEST")</f>
        <v>TN19900475@TEST</v>
      </c>
      <c r="M277" s="7" t="str">
        <f>HYPERLINK("https://test.ictv.global/id/ICTV19870408","ICTV19870408@TEST")</f>
        <v>ICTV19870408@TEST</v>
      </c>
      <c r="N277" s="7" t="str">
        <f>HYPERLINK("https://ictv.global/id/TN19900475","TN19900475@prod")</f>
        <v>TN19900475@prod</v>
      </c>
      <c r="O277" s="7" t="str">
        <f>HYPERLINK("https://ictv.global/id/ICTV19870408","ICTV19870408@prod")</f>
        <v>ICTV19870408@prod</v>
      </c>
    </row>
    <row r="278" spans="1:15" x14ac:dyDescent="0.2">
      <c r="A278">
        <v>11</v>
      </c>
      <c r="B278">
        <v>19900477</v>
      </c>
      <c r="C278">
        <v>19870410</v>
      </c>
      <c r="D278" t="s">
        <v>29</v>
      </c>
      <c r="E278" t="s">
        <v>1287</v>
      </c>
      <c r="G278" t="s">
        <v>1165</v>
      </c>
      <c r="L278" s="7" t="str">
        <f>HYPERLINK("https://test.ictv.global/id/TN19900477","TN19900477@TEST")</f>
        <v>TN19900477@TEST</v>
      </c>
      <c r="M278" s="7" t="str">
        <f>HYPERLINK("https://test.ictv.global/id/ICTV19870410","ICTV19870410@TEST")</f>
        <v>ICTV19870410@TEST</v>
      </c>
      <c r="N278" s="7" t="str">
        <f>HYPERLINK("https://ictv.global/id/TN19900477","TN19900477@prod")</f>
        <v>TN19900477@prod</v>
      </c>
      <c r="O278" s="7" t="str">
        <f>HYPERLINK("https://ictv.global/id/ICTV19870410","ICTV19870410@prod")</f>
        <v>ICTV19870410@prod</v>
      </c>
    </row>
    <row r="279" spans="1:15" x14ac:dyDescent="0.2">
      <c r="A279">
        <v>11</v>
      </c>
      <c r="B279">
        <v>19900480</v>
      </c>
      <c r="C279">
        <v>19870413</v>
      </c>
      <c r="D279" t="s">
        <v>29</v>
      </c>
      <c r="E279" t="s">
        <v>1288</v>
      </c>
      <c r="G279" t="s">
        <v>1165</v>
      </c>
      <c r="L279" s="7" t="str">
        <f>HYPERLINK("https://test.ictv.global/id/TN19900480","TN19900480@TEST")</f>
        <v>TN19900480@TEST</v>
      </c>
      <c r="M279" s="7" t="str">
        <f>HYPERLINK("https://test.ictv.global/id/ICTV19870413","ICTV19870413@TEST")</f>
        <v>ICTV19870413@TEST</v>
      </c>
      <c r="N279" s="7" t="str">
        <f>HYPERLINK("https://ictv.global/id/TN19900480","TN19900480@prod")</f>
        <v>TN19900480@prod</v>
      </c>
      <c r="O279" s="7" t="str">
        <f>HYPERLINK("https://ictv.global/id/ICTV19870413","ICTV19870413@prod")</f>
        <v>ICTV19870413@prod</v>
      </c>
    </row>
    <row r="280" spans="1:15" x14ac:dyDescent="0.2">
      <c r="A280">
        <v>11</v>
      </c>
      <c r="B280">
        <v>19900482</v>
      </c>
      <c r="C280">
        <v>19870415</v>
      </c>
      <c r="D280" t="s">
        <v>29</v>
      </c>
      <c r="E280" t="s">
        <v>1289</v>
      </c>
      <c r="G280" t="s">
        <v>1165</v>
      </c>
      <c r="L280" s="7" t="str">
        <f>HYPERLINK("https://test.ictv.global/id/TN19900482","TN19900482@TEST")</f>
        <v>TN19900482@TEST</v>
      </c>
      <c r="M280" s="7" t="str">
        <f>HYPERLINK("https://test.ictv.global/id/ICTV19870415","ICTV19870415@TEST")</f>
        <v>ICTV19870415@TEST</v>
      </c>
      <c r="N280" s="7" t="str">
        <f>HYPERLINK("https://ictv.global/id/TN19900482","TN19900482@prod")</f>
        <v>TN19900482@prod</v>
      </c>
      <c r="O280" s="7" t="str">
        <f>HYPERLINK("https://ictv.global/id/ICTV19870415","ICTV19870415@prod")</f>
        <v>ICTV19870415@prod</v>
      </c>
    </row>
    <row r="281" spans="1:15" x14ac:dyDescent="0.2">
      <c r="A281">
        <v>11</v>
      </c>
      <c r="B281">
        <v>19900492</v>
      </c>
      <c r="C281">
        <v>19790284</v>
      </c>
      <c r="D281" t="s">
        <v>29</v>
      </c>
      <c r="E281" t="s">
        <v>1290</v>
      </c>
      <c r="G281" t="s">
        <v>1165</v>
      </c>
      <c r="L281" s="7" t="str">
        <f>HYPERLINK("https://test.ictv.global/id/TN19900492","TN19900492@TEST")</f>
        <v>TN19900492@TEST</v>
      </c>
      <c r="M281" s="7" t="str">
        <f>HYPERLINK("https://test.ictv.global/id/ICTV19790284","ICTV19790284@TEST")</f>
        <v>ICTV19790284@TEST</v>
      </c>
      <c r="N281" s="7" t="str">
        <f>HYPERLINK("https://ictv.global/id/TN19900492","TN19900492@prod")</f>
        <v>TN19900492@prod</v>
      </c>
      <c r="O281" s="7" t="str">
        <f>HYPERLINK("https://ictv.global/id/ICTV19790284","ICTV19790284@prod")</f>
        <v>ICTV19790284@prod</v>
      </c>
    </row>
    <row r="282" spans="1:15" x14ac:dyDescent="0.2">
      <c r="A282">
        <v>11</v>
      </c>
      <c r="B282">
        <v>19900549</v>
      </c>
      <c r="C282">
        <v>19820438</v>
      </c>
      <c r="D282" t="s">
        <v>29</v>
      </c>
      <c r="E282" t="s">
        <v>1291</v>
      </c>
      <c r="G282" t="s">
        <v>1165</v>
      </c>
      <c r="L282" s="7" t="str">
        <f>HYPERLINK("https://test.ictv.global/id/TN19900549","TN19900549@TEST")</f>
        <v>TN19900549@TEST</v>
      </c>
      <c r="M282" s="7" t="str">
        <f>HYPERLINK("https://test.ictv.global/id/ICTV19820438","ICTV19820438@TEST")</f>
        <v>ICTV19820438@TEST</v>
      </c>
      <c r="N282" s="7" t="str">
        <f>HYPERLINK("https://ictv.global/id/TN19900549","TN19900549@prod")</f>
        <v>TN19900549@prod</v>
      </c>
      <c r="O282" s="7" t="str">
        <f>HYPERLINK("https://ictv.global/id/ICTV19820438","ICTV19820438@prod")</f>
        <v>ICTV19820438@prod</v>
      </c>
    </row>
    <row r="283" spans="1:15" x14ac:dyDescent="0.2">
      <c r="A283">
        <v>11</v>
      </c>
      <c r="B283">
        <v>19900556</v>
      </c>
      <c r="C283">
        <v>19760588</v>
      </c>
      <c r="D283" t="s">
        <v>29</v>
      </c>
      <c r="E283" t="s">
        <v>1292</v>
      </c>
      <c r="G283" t="s">
        <v>1165</v>
      </c>
      <c r="L283" s="7" t="str">
        <f>HYPERLINK("https://test.ictv.global/id/TN19900556","TN19900556@TEST")</f>
        <v>TN19900556@TEST</v>
      </c>
      <c r="M283" s="7" t="str">
        <f>HYPERLINK("https://test.ictv.global/id/ICTV19760588","ICTV19760588@TEST")</f>
        <v>ICTV19760588@TEST</v>
      </c>
      <c r="N283" s="7" t="str">
        <f>HYPERLINK("https://ictv.global/id/TN19900556","TN19900556@prod")</f>
        <v>TN19900556@prod</v>
      </c>
      <c r="O283" s="7" t="str">
        <f>HYPERLINK("https://ictv.global/id/ICTV19760588","ICTV19760588@prod")</f>
        <v>ICTV19760588@prod</v>
      </c>
    </row>
    <row r="284" spans="1:15" x14ac:dyDescent="0.2">
      <c r="A284">
        <v>11</v>
      </c>
      <c r="B284">
        <v>19900627</v>
      </c>
      <c r="C284">
        <v>19840530</v>
      </c>
      <c r="D284" t="s">
        <v>29</v>
      </c>
      <c r="E284" t="s">
        <v>1293</v>
      </c>
      <c r="G284" t="s">
        <v>1165</v>
      </c>
      <c r="L284" s="7" t="str">
        <f>HYPERLINK("https://test.ictv.global/id/TN19900627","TN19900627@TEST")</f>
        <v>TN19900627@TEST</v>
      </c>
      <c r="M284" s="7" t="str">
        <f>HYPERLINK("https://test.ictv.global/id/ICTV19840530","ICTV19840530@TEST")</f>
        <v>ICTV19840530@TEST</v>
      </c>
      <c r="N284" s="7" t="str">
        <f>HYPERLINK("https://ictv.global/id/TN19900627","TN19900627@prod")</f>
        <v>TN19900627@prod</v>
      </c>
      <c r="O284" s="7" t="str">
        <f>HYPERLINK("https://ictv.global/id/ICTV19840530","ICTV19840530@prod")</f>
        <v>ICTV19840530@prod</v>
      </c>
    </row>
    <row r="285" spans="1:15" x14ac:dyDescent="0.2">
      <c r="A285">
        <v>11</v>
      </c>
      <c r="B285">
        <v>19900628</v>
      </c>
      <c r="C285">
        <v>19840531</v>
      </c>
      <c r="D285" t="s">
        <v>29</v>
      </c>
      <c r="E285" t="s">
        <v>1294</v>
      </c>
      <c r="G285" t="s">
        <v>1165</v>
      </c>
      <c r="L285" s="7" t="str">
        <f>HYPERLINK("https://test.ictv.global/id/TN19900628","TN19900628@TEST")</f>
        <v>TN19900628@TEST</v>
      </c>
      <c r="M285" s="7" t="str">
        <f>HYPERLINK("https://test.ictv.global/id/ICTV19840531","ICTV19840531@TEST")</f>
        <v>ICTV19840531@TEST</v>
      </c>
      <c r="N285" s="7" t="str">
        <f>HYPERLINK("https://ictv.global/id/TN19900628","TN19900628@prod")</f>
        <v>TN19900628@prod</v>
      </c>
      <c r="O285" s="7" t="str">
        <f>HYPERLINK("https://ictv.global/id/ICTV19840531","ICTV19840531@prod")</f>
        <v>ICTV19840531@prod</v>
      </c>
    </row>
    <row r="286" spans="1:15" x14ac:dyDescent="0.2">
      <c r="A286">
        <v>11</v>
      </c>
      <c r="B286">
        <v>19900808</v>
      </c>
      <c r="C286">
        <v>19710239</v>
      </c>
      <c r="D286" t="s">
        <v>29</v>
      </c>
      <c r="E286" t="s">
        <v>1295</v>
      </c>
      <c r="G286" t="s">
        <v>1165</v>
      </c>
      <c r="L286" s="7" t="str">
        <f>HYPERLINK("https://test.ictv.global/id/TN19900808","TN19900808@TEST")</f>
        <v>TN19900808@TEST</v>
      </c>
      <c r="M286" s="7" t="str">
        <f>HYPERLINK("https://test.ictv.global/id/ICTV19710239","ICTV19710239@TEST")</f>
        <v>ICTV19710239@TEST</v>
      </c>
      <c r="N286" s="7" t="str">
        <f>HYPERLINK("https://ictv.global/id/TN19900808","TN19900808@prod")</f>
        <v>TN19900808@prod</v>
      </c>
      <c r="O286" s="7" t="str">
        <f>HYPERLINK("https://ictv.global/id/ICTV19710239","ICTV19710239@prod")</f>
        <v>ICTV19710239@prod</v>
      </c>
    </row>
    <row r="287" spans="1:15" x14ac:dyDescent="0.2">
      <c r="A287">
        <v>11</v>
      </c>
      <c r="B287">
        <v>19900925</v>
      </c>
      <c r="C287">
        <v>19760334</v>
      </c>
      <c r="D287" t="s">
        <v>29</v>
      </c>
      <c r="E287" t="s">
        <v>1296</v>
      </c>
      <c r="G287" t="s">
        <v>1165</v>
      </c>
      <c r="L287" s="7" t="str">
        <f>HYPERLINK("https://test.ictv.global/id/TN19900925","TN19900925@TEST")</f>
        <v>TN19900925@TEST</v>
      </c>
      <c r="M287" s="7" t="str">
        <f>HYPERLINK("https://test.ictv.global/id/ICTV19760334","ICTV19760334@TEST")</f>
        <v>ICTV19760334@TEST</v>
      </c>
      <c r="N287" s="7" t="str">
        <f>HYPERLINK("https://ictv.global/id/TN19900925","TN19900925@prod")</f>
        <v>TN19900925@prod</v>
      </c>
      <c r="O287" s="7" t="str">
        <f>HYPERLINK("https://ictv.global/id/ICTV19760334","ICTV19760334@prod")</f>
        <v>ICTV19760334@prod</v>
      </c>
    </row>
    <row r="288" spans="1:15" x14ac:dyDescent="0.2">
      <c r="A288">
        <v>11</v>
      </c>
      <c r="B288">
        <v>19900926</v>
      </c>
      <c r="C288">
        <v>19760335</v>
      </c>
      <c r="D288" t="s">
        <v>29</v>
      </c>
      <c r="E288" t="s">
        <v>1297</v>
      </c>
      <c r="G288" t="s">
        <v>1165</v>
      </c>
      <c r="L288" s="7" t="str">
        <f>HYPERLINK("https://test.ictv.global/id/TN19900926","TN19900926@TEST")</f>
        <v>TN19900926@TEST</v>
      </c>
      <c r="M288" s="7" t="str">
        <f>HYPERLINK("https://test.ictv.global/id/ICTV19760335","ICTV19760335@TEST")</f>
        <v>ICTV19760335@TEST</v>
      </c>
      <c r="N288" s="7" t="str">
        <f>HYPERLINK("https://ictv.global/id/TN19900926","TN19900926@prod")</f>
        <v>TN19900926@prod</v>
      </c>
      <c r="O288" s="7" t="str">
        <f>HYPERLINK("https://ictv.global/id/ICTV19760335","ICTV19760335@prod")</f>
        <v>ICTV19760335@prod</v>
      </c>
    </row>
    <row r="289" spans="1:15" x14ac:dyDescent="0.2">
      <c r="A289">
        <v>11</v>
      </c>
      <c r="B289">
        <v>19900927</v>
      </c>
      <c r="C289">
        <v>19760336</v>
      </c>
      <c r="D289" t="s">
        <v>29</v>
      </c>
      <c r="E289" t="s">
        <v>1298</v>
      </c>
      <c r="G289" t="s">
        <v>1165</v>
      </c>
      <c r="L289" s="7" t="str">
        <f>HYPERLINK("https://test.ictv.global/id/TN19900927","TN19900927@TEST")</f>
        <v>TN19900927@TEST</v>
      </c>
      <c r="M289" s="7" t="str">
        <f>HYPERLINK("https://test.ictv.global/id/ICTV19760336","ICTV19760336@TEST")</f>
        <v>ICTV19760336@TEST</v>
      </c>
      <c r="N289" s="7" t="str">
        <f>HYPERLINK("https://ictv.global/id/TN19900927","TN19900927@prod")</f>
        <v>TN19900927@prod</v>
      </c>
      <c r="O289" s="7" t="str">
        <f>HYPERLINK("https://ictv.global/id/ICTV19760336","ICTV19760336@prod")</f>
        <v>ICTV19760336@prod</v>
      </c>
    </row>
    <row r="290" spans="1:15" x14ac:dyDescent="0.2">
      <c r="A290">
        <v>11</v>
      </c>
      <c r="B290">
        <v>19900928</v>
      </c>
      <c r="C290">
        <v>19760337</v>
      </c>
      <c r="D290" t="s">
        <v>29</v>
      </c>
      <c r="E290" t="s">
        <v>1299</v>
      </c>
      <c r="G290" t="s">
        <v>1165</v>
      </c>
      <c r="L290" s="7" t="str">
        <f>HYPERLINK("https://test.ictv.global/id/TN19900928","TN19900928@TEST")</f>
        <v>TN19900928@TEST</v>
      </c>
      <c r="M290" s="7" t="str">
        <f>HYPERLINK("https://test.ictv.global/id/ICTV19760337","ICTV19760337@TEST")</f>
        <v>ICTV19760337@TEST</v>
      </c>
      <c r="N290" s="7" t="str">
        <f>HYPERLINK("https://ictv.global/id/TN19900928","TN19900928@prod")</f>
        <v>TN19900928@prod</v>
      </c>
      <c r="O290" s="7" t="str">
        <f>HYPERLINK("https://ictv.global/id/ICTV19760337","ICTV19760337@prod")</f>
        <v>ICTV19760337@prod</v>
      </c>
    </row>
    <row r="291" spans="1:15" x14ac:dyDescent="0.2">
      <c r="A291">
        <v>11</v>
      </c>
      <c r="B291">
        <v>19900929</v>
      </c>
      <c r="C291">
        <v>19760338</v>
      </c>
      <c r="D291" t="s">
        <v>29</v>
      </c>
      <c r="E291" t="s">
        <v>1300</v>
      </c>
      <c r="G291" t="s">
        <v>1165</v>
      </c>
      <c r="L291" s="7" t="str">
        <f>HYPERLINK("https://test.ictv.global/id/TN19900929","TN19900929@TEST")</f>
        <v>TN19900929@TEST</v>
      </c>
      <c r="M291" s="7" t="str">
        <f>HYPERLINK("https://test.ictv.global/id/ICTV19760338","ICTV19760338@TEST")</f>
        <v>ICTV19760338@TEST</v>
      </c>
      <c r="N291" s="7" t="str">
        <f>HYPERLINK("https://ictv.global/id/TN19900929","TN19900929@prod")</f>
        <v>TN19900929@prod</v>
      </c>
      <c r="O291" s="7" t="str">
        <f>HYPERLINK("https://ictv.global/id/ICTV19760338","ICTV19760338@prod")</f>
        <v>ICTV19760338@prod</v>
      </c>
    </row>
    <row r="292" spans="1:15" x14ac:dyDescent="0.2">
      <c r="A292">
        <v>11</v>
      </c>
      <c r="B292">
        <v>19900930</v>
      </c>
      <c r="C292">
        <v>19760339</v>
      </c>
      <c r="D292" t="s">
        <v>29</v>
      </c>
      <c r="E292" t="s">
        <v>1301</v>
      </c>
      <c r="G292" t="s">
        <v>1165</v>
      </c>
      <c r="L292" s="7" t="str">
        <f>HYPERLINK("https://test.ictv.global/id/TN19900930","TN19900930@TEST")</f>
        <v>TN19900930@TEST</v>
      </c>
      <c r="M292" s="7" t="str">
        <f>HYPERLINK("https://test.ictv.global/id/ICTV19760339","ICTV19760339@TEST")</f>
        <v>ICTV19760339@TEST</v>
      </c>
      <c r="N292" s="7" t="str">
        <f>HYPERLINK("https://ictv.global/id/TN19900930","TN19900930@prod")</f>
        <v>TN19900930@prod</v>
      </c>
      <c r="O292" s="7" t="str">
        <f>HYPERLINK("https://ictv.global/id/ICTV19760339","ICTV19760339@prod")</f>
        <v>ICTV19760339@prod</v>
      </c>
    </row>
    <row r="293" spans="1:15" x14ac:dyDescent="0.2">
      <c r="A293">
        <v>11</v>
      </c>
      <c r="B293">
        <v>19900931</v>
      </c>
      <c r="C293">
        <v>19760340</v>
      </c>
      <c r="D293" t="s">
        <v>29</v>
      </c>
      <c r="E293" t="s">
        <v>1302</v>
      </c>
      <c r="G293" t="s">
        <v>1165</v>
      </c>
      <c r="L293" s="7" t="str">
        <f>HYPERLINK("https://test.ictv.global/id/TN19900931","TN19900931@TEST")</f>
        <v>TN19900931@TEST</v>
      </c>
      <c r="M293" s="7" t="str">
        <f>HYPERLINK("https://test.ictv.global/id/ICTV19760340","ICTV19760340@TEST")</f>
        <v>ICTV19760340@TEST</v>
      </c>
      <c r="N293" s="7" t="str">
        <f>HYPERLINK("https://ictv.global/id/TN19900931","TN19900931@prod")</f>
        <v>TN19900931@prod</v>
      </c>
      <c r="O293" s="7" t="str">
        <f>HYPERLINK("https://ictv.global/id/ICTV19760340","ICTV19760340@prod")</f>
        <v>ICTV19760340@prod</v>
      </c>
    </row>
    <row r="294" spans="1:15" x14ac:dyDescent="0.2">
      <c r="A294">
        <v>11</v>
      </c>
      <c r="B294">
        <v>19900932</v>
      </c>
      <c r="C294">
        <v>19760341</v>
      </c>
      <c r="D294" t="s">
        <v>29</v>
      </c>
      <c r="E294" t="s">
        <v>1303</v>
      </c>
      <c r="G294" t="s">
        <v>1165</v>
      </c>
      <c r="L294" s="7" t="str">
        <f>HYPERLINK("https://test.ictv.global/id/TN19900932","TN19900932@TEST")</f>
        <v>TN19900932@TEST</v>
      </c>
      <c r="M294" s="7" t="str">
        <f>HYPERLINK("https://test.ictv.global/id/ICTV19760341","ICTV19760341@TEST")</f>
        <v>ICTV19760341@TEST</v>
      </c>
      <c r="N294" s="7" t="str">
        <f>HYPERLINK("https://ictv.global/id/TN19900932","TN19900932@prod")</f>
        <v>TN19900932@prod</v>
      </c>
      <c r="O294" s="7" t="str">
        <f>HYPERLINK("https://ictv.global/id/ICTV19760341","ICTV19760341@prod")</f>
        <v>ICTV19760341@prod</v>
      </c>
    </row>
    <row r="295" spans="1:15" x14ac:dyDescent="0.2">
      <c r="A295">
        <v>11</v>
      </c>
      <c r="B295">
        <v>19900933</v>
      </c>
      <c r="C295">
        <v>19760342</v>
      </c>
      <c r="D295" t="s">
        <v>29</v>
      </c>
      <c r="E295" t="s">
        <v>1304</v>
      </c>
      <c r="G295" t="s">
        <v>1165</v>
      </c>
      <c r="L295" s="7" t="str">
        <f>HYPERLINK("https://test.ictv.global/id/TN19900933","TN19900933@TEST")</f>
        <v>TN19900933@TEST</v>
      </c>
      <c r="M295" s="7" t="str">
        <f>HYPERLINK("https://test.ictv.global/id/ICTV19760342","ICTV19760342@TEST")</f>
        <v>ICTV19760342@TEST</v>
      </c>
      <c r="N295" s="7" t="str">
        <f>HYPERLINK("https://ictv.global/id/TN19900933","TN19900933@prod")</f>
        <v>TN19900933@prod</v>
      </c>
      <c r="O295" s="7" t="str">
        <f>HYPERLINK("https://ictv.global/id/ICTV19760342","ICTV19760342@prod")</f>
        <v>ICTV19760342@prod</v>
      </c>
    </row>
    <row r="296" spans="1:15" x14ac:dyDescent="0.2">
      <c r="A296">
        <v>11</v>
      </c>
      <c r="B296">
        <v>19900935</v>
      </c>
      <c r="C296">
        <v>19760344</v>
      </c>
      <c r="D296" t="s">
        <v>29</v>
      </c>
      <c r="E296" t="s">
        <v>1305</v>
      </c>
      <c r="G296" t="s">
        <v>1165</v>
      </c>
      <c r="L296" s="7" t="str">
        <f>HYPERLINK("https://test.ictv.global/id/TN19900935","TN19900935@TEST")</f>
        <v>TN19900935@TEST</v>
      </c>
      <c r="M296" s="7" t="str">
        <f>HYPERLINK("https://test.ictv.global/id/ICTV19760344","ICTV19760344@TEST")</f>
        <v>ICTV19760344@TEST</v>
      </c>
      <c r="N296" s="7" t="str">
        <f>HYPERLINK("https://ictv.global/id/TN19900935","TN19900935@prod")</f>
        <v>TN19900935@prod</v>
      </c>
      <c r="O296" s="7" t="str">
        <f>HYPERLINK("https://ictv.global/id/ICTV19760344","ICTV19760344@prod")</f>
        <v>ICTV19760344@prod</v>
      </c>
    </row>
    <row r="297" spans="1:15" x14ac:dyDescent="0.2">
      <c r="A297">
        <v>11</v>
      </c>
      <c r="B297">
        <v>19900936</v>
      </c>
      <c r="C297">
        <v>19760345</v>
      </c>
      <c r="D297" t="s">
        <v>29</v>
      </c>
      <c r="E297" t="s">
        <v>1306</v>
      </c>
      <c r="G297" t="s">
        <v>1165</v>
      </c>
      <c r="L297" s="7" t="str">
        <f>HYPERLINK("https://test.ictv.global/id/TN19900936","TN19900936@TEST")</f>
        <v>TN19900936@TEST</v>
      </c>
      <c r="M297" s="7" t="str">
        <f>HYPERLINK("https://test.ictv.global/id/ICTV19760345","ICTV19760345@TEST")</f>
        <v>ICTV19760345@TEST</v>
      </c>
      <c r="N297" s="7" t="str">
        <f>HYPERLINK("https://ictv.global/id/TN19900936","TN19900936@prod")</f>
        <v>TN19900936@prod</v>
      </c>
      <c r="O297" s="7" t="str">
        <f>HYPERLINK("https://ictv.global/id/ICTV19760345","ICTV19760345@prod")</f>
        <v>ICTV19760345@prod</v>
      </c>
    </row>
    <row r="298" spans="1:15" x14ac:dyDescent="0.2">
      <c r="A298">
        <v>11</v>
      </c>
      <c r="B298">
        <v>19900937</v>
      </c>
      <c r="C298">
        <v>19760346</v>
      </c>
      <c r="D298" t="s">
        <v>29</v>
      </c>
      <c r="E298" t="s">
        <v>1307</v>
      </c>
      <c r="G298" t="s">
        <v>1165</v>
      </c>
      <c r="L298" s="7" t="str">
        <f>HYPERLINK("https://test.ictv.global/id/TN19900937","TN19900937@TEST")</f>
        <v>TN19900937@TEST</v>
      </c>
      <c r="M298" s="7" t="str">
        <f>HYPERLINK("https://test.ictv.global/id/ICTV19760346","ICTV19760346@TEST")</f>
        <v>ICTV19760346@TEST</v>
      </c>
      <c r="N298" s="7" t="str">
        <f>HYPERLINK("https://ictv.global/id/TN19900937","TN19900937@prod")</f>
        <v>TN19900937@prod</v>
      </c>
      <c r="O298" s="7" t="str">
        <f>HYPERLINK("https://ictv.global/id/ICTV19760346","ICTV19760346@prod")</f>
        <v>ICTV19760346@prod</v>
      </c>
    </row>
    <row r="299" spans="1:15" x14ac:dyDescent="0.2">
      <c r="A299">
        <v>11</v>
      </c>
      <c r="B299">
        <v>19900938</v>
      </c>
      <c r="C299">
        <v>19760347</v>
      </c>
      <c r="D299" t="s">
        <v>29</v>
      </c>
      <c r="E299" t="s">
        <v>1308</v>
      </c>
      <c r="G299" t="s">
        <v>1165</v>
      </c>
      <c r="L299" s="7" t="str">
        <f>HYPERLINK("https://test.ictv.global/id/TN19900938","TN19900938@TEST")</f>
        <v>TN19900938@TEST</v>
      </c>
      <c r="M299" s="7" t="str">
        <f>HYPERLINK("https://test.ictv.global/id/ICTV19760347","ICTV19760347@TEST")</f>
        <v>ICTV19760347@TEST</v>
      </c>
      <c r="N299" s="7" t="str">
        <f>HYPERLINK("https://ictv.global/id/TN19900938","TN19900938@prod")</f>
        <v>TN19900938@prod</v>
      </c>
      <c r="O299" s="7" t="str">
        <f>HYPERLINK("https://ictv.global/id/ICTV19760347","ICTV19760347@prod")</f>
        <v>ICTV19760347@prod</v>
      </c>
    </row>
    <row r="300" spans="1:15" x14ac:dyDescent="0.2">
      <c r="A300">
        <v>11</v>
      </c>
      <c r="B300">
        <v>19901052</v>
      </c>
      <c r="C300">
        <v>19760812</v>
      </c>
      <c r="D300" t="s">
        <v>29</v>
      </c>
      <c r="E300" t="s">
        <v>1309</v>
      </c>
      <c r="G300" t="s">
        <v>1165</v>
      </c>
      <c r="L300" s="7" t="str">
        <f>HYPERLINK("https://test.ictv.global/id/TN19901052","TN19901052@TEST")</f>
        <v>TN19901052@TEST</v>
      </c>
      <c r="M300" s="7" t="str">
        <f>HYPERLINK("https://test.ictv.global/id/ICTV19760812","ICTV19760812@TEST")</f>
        <v>ICTV19760812@TEST</v>
      </c>
      <c r="N300" s="7" t="str">
        <f>HYPERLINK("https://ictv.global/id/TN19901052","TN19901052@prod")</f>
        <v>TN19901052@prod</v>
      </c>
      <c r="O300" s="7" t="str">
        <f>HYPERLINK("https://ictv.global/id/ICTV19760812","ICTV19760812@prod")</f>
        <v>ICTV19760812@prod</v>
      </c>
    </row>
    <row r="301" spans="1:15" x14ac:dyDescent="0.2">
      <c r="A301">
        <v>11</v>
      </c>
      <c r="B301">
        <v>19901071</v>
      </c>
      <c r="C301">
        <v>19710264</v>
      </c>
      <c r="D301" t="s">
        <v>29</v>
      </c>
      <c r="E301" t="s">
        <v>209</v>
      </c>
      <c r="G301" t="s">
        <v>31</v>
      </c>
      <c r="H301" t="s">
        <v>210</v>
      </c>
      <c r="I301" t="s">
        <v>29</v>
      </c>
      <c r="J301">
        <v>19911346</v>
      </c>
      <c r="K301">
        <v>19911346</v>
      </c>
      <c r="L301" s="7" t="str">
        <f>HYPERLINK("https://test.ictv.global/id/TN19901071","TN19901071@TEST")</f>
        <v>TN19901071@TEST</v>
      </c>
      <c r="M301" s="7" t="str">
        <f>HYPERLINK("https://test.ictv.global/id/ICTV19710264","ICTV19710264@TEST")</f>
        <v>ICTV19710264@TEST</v>
      </c>
      <c r="N301" s="7" t="str">
        <f>HYPERLINK("https://ictv.global/id/TN19901071","TN19901071@prod")</f>
        <v>TN19901071@prod</v>
      </c>
      <c r="O301" s="7" t="str">
        <f>HYPERLINK("https://ictv.global/id/ICTV19710264","ICTV19710264@prod")</f>
        <v>ICTV19710264@prod</v>
      </c>
    </row>
    <row r="302" spans="1:15" x14ac:dyDescent="0.2">
      <c r="A302">
        <v>11</v>
      </c>
      <c r="B302">
        <v>19901076</v>
      </c>
      <c r="C302">
        <v>19710284</v>
      </c>
      <c r="D302" t="s">
        <v>29</v>
      </c>
      <c r="E302" t="s">
        <v>211</v>
      </c>
      <c r="G302" t="s">
        <v>31</v>
      </c>
      <c r="H302" t="s">
        <v>210</v>
      </c>
      <c r="I302" t="s">
        <v>29</v>
      </c>
      <c r="J302">
        <v>19911346</v>
      </c>
      <c r="K302">
        <v>19911346</v>
      </c>
      <c r="L302" s="7" t="str">
        <f>HYPERLINK("https://test.ictv.global/id/TN19901076","TN19901076@TEST")</f>
        <v>TN19901076@TEST</v>
      </c>
      <c r="M302" s="7" t="str">
        <f>HYPERLINK("https://test.ictv.global/id/ICTV19710284","ICTV19710284@TEST")</f>
        <v>ICTV19710284@TEST</v>
      </c>
      <c r="N302" s="7" t="str">
        <f>HYPERLINK("https://ictv.global/id/TN19901076","TN19901076@prod")</f>
        <v>TN19901076@prod</v>
      </c>
      <c r="O302" s="7" t="str">
        <f>HYPERLINK("https://ictv.global/id/ICTV19710284","ICTV19710284@prod")</f>
        <v>ICTV19710284@prod</v>
      </c>
    </row>
    <row r="303" spans="1:15" x14ac:dyDescent="0.2">
      <c r="A303">
        <v>11</v>
      </c>
      <c r="B303">
        <v>19901077</v>
      </c>
      <c r="C303">
        <v>19911346</v>
      </c>
      <c r="D303" t="s">
        <v>29</v>
      </c>
      <c r="E303" t="s">
        <v>210</v>
      </c>
      <c r="G303" t="s">
        <v>33</v>
      </c>
      <c r="H303" t="s">
        <v>210</v>
      </c>
      <c r="I303" t="s">
        <v>29</v>
      </c>
      <c r="J303">
        <v>19911346</v>
      </c>
      <c r="K303">
        <v>19911346</v>
      </c>
      <c r="L303" s="7" t="str">
        <f>HYPERLINK("https://test.ictv.global/id/TN19901077","TN19901077@TEST")</f>
        <v>TN19901077@TEST</v>
      </c>
      <c r="M303" s="7" t="str">
        <f>HYPERLINK("https://test.ictv.global/id/ICTV19911346","ICTV19911346@TEST")</f>
        <v>ICTV19911346@TEST</v>
      </c>
      <c r="N303" s="7" t="str">
        <f>HYPERLINK("https://ictv.global/id/TN19901077","TN19901077@prod")</f>
        <v>TN19901077@prod</v>
      </c>
      <c r="O303" s="7" t="str">
        <f>HYPERLINK("https://ictv.global/id/ICTV19911346","ICTV19911346@prod")</f>
        <v>ICTV19911346@prod</v>
      </c>
    </row>
    <row r="304" spans="1:15" x14ac:dyDescent="0.2">
      <c r="A304">
        <v>11</v>
      </c>
      <c r="B304">
        <v>19901080</v>
      </c>
      <c r="C304">
        <v>19710268</v>
      </c>
      <c r="D304" t="s">
        <v>29</v>
      </c>
      <c r="E304" t="s">
        <v>1310</v>
      </c>
      <c r="G304" t="s">
        <v>1165</v>
      </c>
      <c r="L304" s="7" t="str">
        <f>HYPERLINK("https://test.ictv.global/id/TN19901080","TN19901080@TEST")</f>
        <v>TN19901080@TEST</v>
      </c>
      <c r="M304" s="7" t="str">
        <f>HYPERLINK("https://test.ictv.global/id/ICTV19710268","ICTV19710268@TEST")</f>
        <v>ICTV19710268@TEST</v>
      </c>
      <c r="N304" s="7" t="str">
        <f>HYPERLINK("https://ictv.global/id/TN19901080","TN19901080@prod")</f>
        <v>TN19901080@prod</v>
      </c>
      <c r="O304" s="7" t="str">
        <f>HYPERLINK("https://ictv.global/id/ICTV19710268","ICTV19710268@prod")</f>
        <v>ICTV19710268@prod</v>
      </c>
    </row>
    <row r="305" spans="1:15" x14ac:dyDescent="0.2">
      <c r="A305">
        <v>11</v>
      </c>
      <c r="B305">
        <v>19901084</v>
      </c>
      <c r="C305">
        <v>19790733</v>
      </c>
      <c r="D305" t="s">
        <v>29</v>
      </c>
      <c r="E305" t="s">
        <v>1311</v>
      </c>
      <c r="G305" t="s">
        <v>1165</v>
      </c>
      <c r="L305" s="7" t="str">
        <f>HYPERLINK("https://test.ictv.global/id/TN19901084","TN19901084@TEST")</f>
        <v>TN19901084@TEST</v>
      </c>
      <c r="M305" s="7" t="str">
        <f>HYPERLINK("https://test.ictv.global/id/ICTV19790733","ICTV19790733@TEST")</f>
        <v>ICTV19790733@TEST</v>
      </c>
      <c r="N305" s="7" t="str">
        <f>HYPERLINK("https://ictv.global/id/TN19901084","TN19901084@prod")</f>
        <v>TN19901084@prod</v>
      </c>
      <c r="O305" s="7" t="str">
        <f>HYPERLINK("https://ictv.global/id/ICTV19790733","ICTV19790733@prod")</f>
        <v>ICTV19790733@prod</v>
      </c>
    </row>
    <row r="306" spans="1:15" x14ac:dyDescent="0.2">
      <c r="A306">
        <v>11</v>
      </c>
      <c r="B306">
        <v>19901085</v>
      </c>
      <c r="C306">
        <v>19790734</v>
      </c>
      <c r="D306" t="s">
        <v>29</v>
      </c>
      <c r="E306" t="s">
        <v>1312</v>
      </c>
      <c r="G306" t="s">
        <v>1165</v>
      </c>
      <c r="L306" s="7" t="str">
        <f>HYPERLINK("https://test.ictv.global/id/TN19901085","TN19901085@TEST")</f>
        <v>TN19901085@TEST</v>
      </c>
      <c r="M306" s="7" t="str">
        <f>HYPERLINK("https://test.ictv.global/id/ICTV19790734","ICTV19790734@TEST")</f>
        <v>ICTV19790734@TEST</v>
      </c>
      <c r="N306" s="7" t="str">
        <f>HYPERLINK("https://ictv.global/id/TN19901085","TN19901085@prod")</f>
        <v>TN19901085@prod</v>
      </c>
      <c r="O306" s="7" t="str">
        <f>HYPERLINK("https://ictv.global/id/ICTV19790734","ICTV19790734@prod")</f>
        <v>ICTV19790734@prod</v>
      </c>
    </row>
    <row r="307" spans="1:15" x14ac:dyDescent="0.2">
      <c r="A307">
        <v>11</v>
      </c>
      <c r="B307">
        <v>19901110</v>
      </c>
      <c r="C307">
        <v>19760478</v>
      </c>
      <c r="D307" t="s">
        <v>29</v>
      </c>
      <c r="E307" t="s">
        <v>1313</v>
      </c>
      <c r="G307" t="s">
        <v>1165</v>
      </c>
      <c r="L307" s="7" t="str">
        <f>HYPERLINK("https://test.ictv.global/id/TN19901110","TN19901110@TEST")</f>
        <v>TN19901110@TEST</v>
      </c>
      <c r="M307" s="7" t="str">
        <f>HYPERLINK("https://test.ictv.global/id/ICTV19760478","ICTV19760478@TEST")</f>
        <v>ICTV19760478@TEST</v>
      </c>
      <c r="N307" s="7" t="str">
        <f>HYPERLINK("https://ictv.global/id/TN19901110","TN19901110@prod")</f>
        <v>TN19901110@prod</v>
      </c>
      <c r="O307" s="7" t="str">
        <f>HYPERLINK("https://ictv.global/id/ICTV19760478","ICTV19760478@prod")</f>
        <v>ICTV19760478@prod</v>
      </c>
    </row>
    <row r="308" spans="1:15" x14ac:dyDescent="0.2">
      <c r="A308">
        <v>11</v>
      </c>
      <c r="B308">
        <v>19901111</v>
      </c>
      <c r="C308">
        <v>19760479</v>
      </c>
      <c r="D308" t="s">
        <v>29</v>
      </c>
      <c r="E308" t="s">
        <v>1314</v>
      </c>
      <c r="G308" t="s">
        <v>1165</v>
      </c>
      <c r="L308" s="7" t="str">
        <f>HYPERLINK("https://test.ictv.global/id/TN19901111","TN19901111@TEST")</f>
        <v>TN19901111@TEST</v>
      </c>
      <c r="M308" s="7" t="str">
        <f>HYPERLINK("https://test.ictv.global/id/ICTV19760479","ICTV19760479@TEST")</f>
        <v>ICTV19760479@TEST</v>
      </c>
      <c r="N308" s="7" t="str">
        <f>HYPERLINK("https://ictv.global/id/TN19901111","TN19901111@prod")</f>
        <v>TN19901111@prod</v>
      </c>
      <c r="O308" s="7" t="str">
        <f>HYPERLINK("https://ictv.global/id/ICTV19760479","ICTV19760479@prod")</f>
        <v>ICTV19760479@prod</v>
      </c>
    </row>
    <row r="309" spans="1:15" x14ac:dyDescent="0.2">
      <c r="A309">
        <v>11</v>
      </c>
      <c r="B309">
        <v>19901112</v>
      </c>
      <c r="C309">
        <v>19760480</v>
      </c>
      <c r="D309" t="s">
        <v>29</v>
      </c>
      <c r="E309" t="s">
        <v>1315</v>
      </c>
      <c r="G309" t="s">
        <v>1165</v>
      </c>
      <c r="L309" s="7" t="str">
        <f>HYPERLINK("https://test.ictv.global/id/TN19901112","TN19901112@TEST")</f>
        <v>TN19901112@TEST</v>
      </c>
      <c r="M309" s="7" t="str">
        <f>HYPERLINK("https://test.ictv.global/id/ICTV19760480","ICTV19760480@TEST")</f>
        <v>ICTV19760480@TEST</v>
      </c>
      <c r="N309" s="7" t="str">
        <f>HYPERLINK("https://ictv.global/id/TN19901112","TN19901112@prod")</f>
        <v>TN19901112@prod</v>
      </c>
      <c r="O309" s="7" t="str">
        <f>HYPERLINK("https://ictv.global/id/ICTV19760480","ICTV19760480@prod")</f>
        <v>ICTV19760480@prod</v>
      </c>
    </row>
    <row r="310" spans="1:15" x14ac:dyDescent="0.2">
      <c r="A310">
        <v>11</v>
      </c>
      <c r="B310">
        <v>19901117</v>
      </c>
      <c r="C310">
        <v>19901117</v>
      </c>
      <c r="D310" t="s">
        <v>29</v>
      </c>
      <c r="E310" t="s">
        <v>1316</v>
      </c>
      <c r="G310" t="s">
        <v>1165</v>
      </c>
      <c r="L310" s="7" t="str">
        <f>HYPERLINK("https://test.ictv.global/id/TN19901117","TN19901117@TEST")</f>
        <v>TN19901117@TEST</v>
      </c>
      <c r="M310" s="7" t="str">
        <f>HYPERLINK("https://test.ictv.global/id/ICTV19901117","ICTV19901117@TEST")</f>
        <v>ICTV19901117@TEST</v>
      </c>
      <c r="N310" s="7" t="str">
        <f>HYPERLINK("https://ictv.global/id/TN19901117","TN19901117@prod")</f>
        <v>TN19901117@prod</v>
      </c>
      <c r="O310" s="7" t="str">
        <f>HYPERLINK("https://ictv.global/id/ICTV19901117","ICTV19901117@prod")</f>
        <v>ICTV19901117@prod</v>
      </c>
    </row>
    <row r="311" spans="1:15" x14ac:dyDescent="0.2">
      <c r="A311">
        <v>11</v>
      </c>
      <c r="B311">
        <v>19901131</v>
      </c>
      <c r="C311">
        <v>19790775</v>
      </c>
      <c r="D311" t="s">
        <v>29</v>
      </c>
      <c r="E311" t="s">
        <v>212</v>
      </c>
      <c r="G311" t="s">
        <v>33</v>
      </c>
      <c r="H311" t="s">
        <v>213</v>
      </c>
      <c r="I311" t="s">
        <v>29</v>
      </c>
      <c r="J311">
        <v>19911399</v>
      </c>
      <c r="K311">
        <v>19911399</v>
      </c>
      <c r="L311" s="7" t="str">
        <f>HYPERLINK("https://test.ictv.global/id/TN19901131","TN19901131@TEST")</f>
        <v>TN19901131@TEST</v>
      </c>
      <c r="M311" s="7" t="str">
        <f>HYPERLINK("https://test.ictv.global/id/ICTV19790775","ICTV19790775@TEST")</f>
        <v>ICTV19790775@TEST</v>
      </c>
      <c r="N311" s="7" t="str">
        <f>HYPERLINK("https://ictv.global/id/TN19901131","TN19901131@prod")</f>
        <v>TN19901131@prod</v>
      </c>
      <c r="O311" s="7" t="str">
        <f>HYPERLINK("https://ictv.global/id/ICTV19790775","ICTV19790775@prod")</f>
        <v>ICTV19790775@prod</v>
      </c>
    </row>
    <row r="312" spans="1:15" x14ac:dyDescent="0.2">
      <c r="A312">
        <v>11</v>
      </c>
      <c r="B312">
        <v>19901132</v>
      </c>
      <c r="C312">
        <v>19790776</v>
      </c>
      <c r="D312" t="s">
        <v>29</v>
      </c>
      <c r="E312" t="s">
        <v>214</v>
      </c>
      <c r="G312" t="s">
        <v>33</v>
      </c>
      <c r="H312" t="s">
        <v>215</v>
      </c>
      <c r="I312" t="s">
        <v>29</v>
      </c>
      <c r="J312">
        <v>19911398</v>
      </c>
      <c r="K312">
        <v>19911398</v>
      </c>
      <c r="L312" s="7" t="str">
        <f>HYPERLINK("https://test.ictv.global/id/TN19901132","TN19901132@TEST")</f>
        <v>TN19901132@TEST</v>
      </c>
      <c r="M312" s="7" t="str">
        <f>HYPERLINK("https://test.ictv.global/id/ICTV19790776","ICTV19790776@TEST")</f>
        <v>ICTV19790776@TEST</v>
      </c>
      <c r="N312" s="7" t="str">
        <f>HYPERLINK("https://ictv.global/id/TN19901132","TN19901132@prod")</f>
        <v>TN19901132@prod</v>
      </c>
      <c r="O312" s="7" t="str">
        <f>HYPERLINK("https://ictv.global/id/ICTV19790776","ICTV19790776@prod")</f>
        <v>ICTV19790776@prod</v>
      </c>
    </row>
    <row r="313" spans="1:15" x14ac:dyDescent="0.2">
      <c r="A313">
        <v>11</v>
      </c>
      <c r="B313">
        <v>19901134</v>
      </c>
      <c r="C313">
        <v>19790778</v>
      </c>
      <c r="D313" t="s">
        <v>29</v>
      </c>
      <c r="E313" t="s">
        <v>216</v>
      </c>
      <c r="G313" t="s">
        <v>33</v>
      </c>
      <c r="H313" t="s">
        <v>213</v>
      </c>
      <c r="I313" t="s">
        <v>29</v>
      </c>
      <c r="J313">
        <v>19911399</v>
      </c>
      <c r="K313">
        <v>19911399</v>
      </c>
      <c r="L313" s="7" t="str">
        <f>HYPERLINK("https://test.ictv.global/id/TN19901134","TN19901134@TEST")</f>
        <v>TN19901134@TEST</v>
      </c>
      <c r="M313" s="7" t="str">
        <f>HYPERLINK("https://test.ictv.global/id/ICTV19790778","ICTV19790778@TEST")</f>
        <v>ICTV19790778@TEST</v>
      </c>
      <c r="N313" s="7" t="str">
        <f>HYPERLINK("https://ictv.global/id/TN19901134","TN19901134@prod")</f>
        <v>TN19901134@prod</v>
      </c>
      <c r="O313" s="7" t="str">
        <f>HYPERLINK("https://ictv.global/id/ICTV19790778","ICTV19790778@prod")</f>
        <v>ICTV19790778@prod</v>
      </c>
    </row>
    <row r="314" spans="1:15" x14ac:dyDescent="0.2">
      <c r="A314">
        <v>11</v>
      </c>
      <c r="B314">
        <v>19901135</v>
      </c>
      <c r="C314">
        <v>19911398</v>
      </c>
      <c r="D314" t="s">
        <v>29</v>
      </c>
      <c r="E314" t="s">
        <v>215</v>
      </c>
      <c r="F314" t="s">
        <v>1317</v>
      </c>
      <c r="G314" t="s">
        <v>33</v>
      </c>
      <c r="H314" t="s">
        <v>215</v>
      </c>
      <c r="I314" t="s">
        <v>29</v>
      </c>
      <c r="J314">
        <v>19911398</v>
      </c>
      <c r="K314">
        <v>19911398</v>
      </c>
      <c r="L314" s="7" t="str">
        <f>HYPERLINK("https://test.ictv.global/id/TN19901135","TN19901135@TEST")</f>
        <v>TN19901135@TEST</v>
      </c>
      <c r="M314" s="7" t="str">
        <f>HYPERLINK("https://test.ictv.global/id/ICTV19911398","ICTV19911398@TEST")</f>
        <v>ICTV19911398@TEST</v>
      </c>
      <c r="N314" s="7" t="str">
        <f>HYPERLINK("https://ictv.global/id/TN19901135","TN19901135@prod")</f>
        <v>TN19901135@prod</v>
      </c>
      <c r="O314" s="7" t="str">
        <f>HYPERLINK("https://ictv.global/id/ICTV19911398","ICTV19911398@prod")</f>
        <v>ICTV19911398@prod</v>
      </c>
    </row>
    <row r="315" spans="1:15" x14ac:dyDescent="0.2">
      <c r="A315">
        <v>11</v>
      </c>
      <c r="B315">
        <v>19901136</v>
      </c>
      <c r="C315">
        <v>19911399</v>
      </c>
      <c r="D315" t="s">
        <v>29</v>
      </c>
      <c r="E315" t="s">
        <v>213</v>
      </c>
      <c r="F315" t="s">
        <v>1318</v>
      </c>
      <c r="G315" t="s">
        <v>33</v>
      </c>
      <c r="H315" t="s">
        <v>213</v>
      </c>
      <c r="I315" t="s">
        <v>29</v>
      </c>
      <c r="J315">
        <v>19911399</v>
      </c>
      <c r="K315">
        <v>19911399</v>
      </c>
      <c r="L315" s="7" t="str">
        <f>HYPERLINK("https://test.ictv.global/id/TN19901136","TN19901136@TEST")</f>
        <v>TN19901136@TEST</v>
      </c>
      <c r="M315" s="7" t="str">
        <f>HYPERLINK("https://test.ictv.global/id/ICTV19911399","ICTV19911399@TEST")</f>
        <v>ICTV19911399@TEST</v>
      </c>
      <c r="N315" s="7" t="str">
        <f>HYPERLINK("https://ictv.global/id/TN19901136","TN19901136@prod")</f>
        <v>TN19901136@prod</v>
      </c>
      <c r="O315" s="7" t="str">
        <f>HYPERLINK("https://ictv.global/id/ICTV19911399","ICTV19911399@prod")</f>
        <v>ICTV19911399@prod</v>
      </c>
    </row>
    <row r="316" spans="1:15" x14ac:dyDescent="0.2">
      <c r="A316">
        <v>11</v>
      </c>
      <c r="B316">
        <v>19901137</v>
      </c>
      <c r="C316">
        <v>19790781</v>
      </c>
      <c r="D316" t="s">
        <v>29</v>
      </c>
      <c r="E316" t="s">
        <v>217</v>
      </c>
      <c r="G316" t="s">
        <v>33</v>
      </c>
      <c r="H316" t="s">
        <v>215</v>
      </c>
      <c r="I316" t="s">
        <v>29</v>
      </c>
      <c r="J316">
        <v>19911398</v>
      </c>
      <c r="K316">
        <v>19911398</v>
      </c>
      <c r="L316" s="7" t="str">
        <f>HYPERLINK("https://test.ictv.global/id/TN19901137","TN19901137@TEST")</f>
        <v>TN19901137@TEST</v>
      </c>
      <c r="M316" s="7" t="str">
        <f>HYPERLINK("https://test.ictv.global/id/ICTV19790781","ICTV19790781@TEST")</f>
        <v>ICTV19790781@TEST</v>
      </c>
      <c r="N316" s="7" t="str">
        <f>HYPERLINK("https://ictv.global/id/TN19901137","TN19901137@prod")</f>
        <v>TN19901137@prod</v>
      </c>
      <c r="O316" s="7" t="str">
        <f>HYPERLINK("https://ictv.global/id/ICTV19790781","ICTV19790781@prod")</f>
        <v>ICTV19790781@prod</v>
      </c>
    </row>
    <row r="317" spans="1:15" x14ac:dyDescent="0.2">
      <c r="A317">
        <v>11</v>
      </c>
      <c r="B317">
        <v>19901138</v>
      </c>
      <c r="C317">
        <v>19760512</v>
      </c>
      <c r="D317" t="s">
        <v>29</v>
      </c>
      <c r="E317" t="s">
        <v>218</v>
      </c>
      <c r="G317" t="s">
        <v>33</v>
      </c>
      <c r="H317" t="s">
        <v>215</v>
      </c>
      <c r="I317" t="s">
        <v>29</v>
      </c>
      <c r="J317">
        <v>19911398</v>
      </c>
      <c r="K317">
        <v>19911398</v>
      </c>
      <c r="L317" s="7" t="str">
        <f>HYPERLINK("https://test.ictv.global/id/TN19901138","TN19901138@TEST")</f>
        <v>TN19901138@TEST</v>
      </c>
      <c r="M317" s="7" t="str">
        <f>HYPERLINK("https://test.ictv.global/id/ICTV19760512","ICTV19760512@TEST")</f>
        <v>ICTV19760512@TEST</v>
      </c>
      <c r="N317" s="7" t="str">
        <f>HYPERLINK("https://ictv.global/id/TN19901138","TN19901138@prod")</f>
        <v>TN19901138@prod</v>
      </c>
      <c r="O317" s="7" t="str">
        <f>HYPERLINK("https://ictv.global/id/ICTV19760512","ICTV19760512@prod")</f>
        <v>ICTV19760512@prod</v>
      </c>
    </row>
    <row r="318" spans="1:15" x14ac:dyDescent="0.2">
      <c r="A318">
        <v>11</v>
      </c>
      <c r="B318">
        <v>19901146</v>
      </c>
      <c r="C318">
        <v>19820979</v>
      </c>
      <c r="D318" t="s">
        <v>29</v>
      </c>
      <c r="E318" t="s">
        <v>1319</v>
      </c>
      <c r="G318" t="s">
        <v>1165</v>
      </c>
      <c r="L318" s="7" t="str">
        <f>HYPERLINK("https://test.ictv.global/id/TN19901146","TN19901146@TEST")</f>
        <v>TN19901146@TEST</v>
      </c>
      <c r="M318" s="7" t="str">
        <f>HYPERLINK("https://test.ictv.global/id/ICTV19820979","ICTV19820979@TEST")</f>
        <v>ICTV19820979@TEST</v>
      </c>
      <c r="N318" s="7" t="str">
        <f>HYPERLINK("https://ictv.global/id/TN19901146","TN19901146@prod")</f>
        <v>TN19901146@prod</v>
      </c>
      <c r="O318" s="7" t="str">
        <f>HYPERLINK("https://ictv.global/id/ICTV19820979","ICTV19820979@prod")</f>
        <v>ICTV19820979@prod</v>
      </c>
    </row>
    <row r="319" spans="1:15" x14ac:dyDescent="0.2">
      <c r="A319">
        <v>11</v>
      </c>
      <c r="B319">
        <v>19901147</v>
      </c>
      <c r="C319">
        <v>19820980</v>
      </c>
      <c r="D319" t="s">
        <v>29</v>
      </c>
      <c r="E319" t="s">
        <v>1320</v>
      </c>
      <c r="G319" t="s">
        <v>1165</v>
      </c>
      <c r="L319" s="7" t="str">
        <f>HYPERLINK("https://test.ictv.global/id/TN19901147","TN19901147@TEST")</f>
        <v>TN19901147@TEST</v>
      </c>
      <c r="M319" s="7" t="str">
        <f>HYPERLINK("https://test.ictv.global/id/ICTV19820980","ICTV19820980@TEST")</f>
        <v>ICTV19820980@TEST</v>
      </c>
      <c r="N319" s="7" t="str">
        <f>HYPERLINK("https://ictv.global/id/TN19901147","TN19901147@prod")</f>
        <v>TN19901147@prod</v>
      </c>
      <c r="O319" s="7" t="str">
        <f>HYPERLINK("https://ictv.global/id/ICTV19820980","ICTV19820980@prod")</f>
        <v>ICTV19820980@prod</v>
      </c>
    </row>
    <row r="320" spans="1:15" x14ac:dyDescent="0.2">
      <c r="A320">
        <v>11</v>
      </c>
      <c r="B320">
        <v>19901150</v>
      </c>
      <c r="C320">
        <v>19820983</v>
      </c>
      <c r="D320" t="s">
        <v>29</v>
      </c>
      <c r="E320" t="s">
        <v>1321</v>
      </c>
      <c r="G320" t="s">
        <v>1165</v>
      </c>
      <c r="L320" s="7" t="str">
        <f>HYPERLINK("https://test.ictv.global/id/TN19901150","TN19901150@TEST")</f>
        <v>TN19901150@TEST</v>
      </c>
      <c r="M320" s="7" t="str">
        <f>HYPERLINK("https://test.ictv.global/id/ICTV19820983","ICTV19820983@TEST")</f>
        <v>ICTV19820983@TEST</v>
      </c>
      <c r="N320" s="7" t="str">
        <f>HYPERLINK("https://ictv.global/id/TN19901150","TN19901150@prod")</f>
        <v>TN19901150@prod</v>
      </c>
      <c r="O320" s="7" t="str">
        <f>HYPERLINK("https://ictv.global/id/ICTV19820983","ICTV19820983@prod")</f>
        <v>ICTV19820983@prod</v>
      </c>
    </row>
    <row r="321" spans="1:15" x14ac:dyDescent="0.2">
      <c r="A321">
        <v>11</v>
      </c>
      <c r="B321">
        <v>19901151</v>
      </c>
      <c r="C321">
        <v>19820984</v>
      </c>
      <c r="D321" t="s">
        <v>29</v>
      </c>
      <c r="E321" t="s">
        <v>1322</v>
      </c>
      <c r="G321" t="s">
        <v>1165</v>
      </c>
      <c r="L321" s="7" t="str">
        <f>HYPERLINK("https://test.ictv.global/id/TN19901151","TN19901151@TEST")</f>
        <v>TN19901151@TEST</v>
      </c>
      <c r="M321" s="7" t="str">
        <f>HYPERLINK("https://test.ictv.global/id/ICTV19820984","ICTV19820984@TEST")</f>
        <v>ICTV19820984@TEST</v>
      </c>
      <c r="N321" s="7" t="str">
        <f>HYPERLINK("https://ictv.global/id/TN19901151","TN19901151@prod")</f>
        <v>TN19901151@prod</v>
      </c>
      <c r="O321" s="7" t="str">
        <f>HYPERLINK("https://ictv.global/id/ICTV19820984","ICTV19820984@prod")</f>
        <v>ICTV19820984@prod</v>
      </c>
    </row>
    <row r="322" spans="1:15" x14ac:dyDescent="0.2">
      <c r="A322">
        <v>11</v>
      </c>
      <c r="B322">
        <v>19901153</v>
      </c>
      <c r="C322">
        <v>19820986</v>
      </c>
      <c r="D322" t="s">
        <v>29</v>
      </c>
      <c r="E322" t="s">
        <v>1323</v>
      </c>
      <c r="G322" t="s">
        <v>1165</v>
      </c>
      <c r="L322" s="7" t="str">
        <f>HYPERLINK("https://test.ictv.global/id/TN19901153","TN19901153@TEST")</f>
        <v>TN19901153@TEST</v>
      </c>
      <c r="M322" s="7" t="str">
        <f>HYPERLINK("https://test.ictv.global/id/ICTV19820986","ICTV19820986@TEST")</f>
        <v>ICTV19820986@TEST</v>
      </c>
      <c r="N322" s="7" t="str">
        <f>HYPERLINK("https://ictv.global/id/TN19901153","TN19901153@prod")</f>
        <v>TN19901153@prod</v>
      </c>
      <c r="O322" s="7" t="str">
        <f>HYPERLINK("https://ictv.global/id/ICTV19820986","ICTV19820986@prod")</f>
        <v>ICTV19820986@prod</v>
      </c>
    </row>
    <row r="323" spans="1:15" x14ac:dyDescent="0.2">
      <c r="A323">
        <v>11</v>
      </c>
      <c r="B323">
        <v>19901154</v>
      </c>
      <c r="C323">
        <v>19820987</v>
      </c>
      <c r="D323" t="s">
        <v>29</v>
      </c>
      <c r="E323" t="s">
        <v>1324</v>
      </c>
      <c r="G323" t="s">
        <v>1165</v>
      </c>
      <c r="L323" s="7" t="str">
        <f>HYPERLINK("https://test.ictv.global/id/TN19901154","TN19901154@TEST")</f>
        <v>TN19901154@TEST</v>
      </c>
      <c r="M323" s="7" t="str">
        <f>HYPERLINK("https://test.ictv.global/id/ICTV19820987","ICTV19820987@TEST")</f>
        <v>ICTV19820987@TEST</v>
      </c>
      <c r="N323" s="7" t="str">
        <f>HYPERLINK("https://ictv.global/id/TN19901154","TN19901154@prod")</f>
        <v>TN19901154@prod</v>
      </c>
      <c r="O323" s="7" t="str">
        <f>HYPERLINK("https://ictv.global/id/ICTV19820987","ICTV19820987@prod")</f>
        <v>ICTV19820987@prod</v>
      </c>
    </row>
    <row r="324" spans="1:15" x14ac:dyDescent="0.2">
      <c r="A324">
        <v>11</v>
      </c>
      <c r="B324">
        <v>19901155</v>
      </c>
      <c r="C324">
        <v>19820988</v>
      </c>
      <c r="D324" t="s">
        <v>29</v>
      </c>
      <c r="E324" t="s">
        <v>1325</v>
      </c>
      <c r="G324" t="s">
        <v>1165</v>
      </c>
      <c r="L324" s="7" t="str">
        <f>HYPERLINK("https://test.ictv.global/id/TN19901155","TN19901155@TEST")</f>
        <v>TN19901155@TEST</v>
      </c>
      <c r="M324" s="7" t="str">
        <f>HYPERLINK("https://test.ictv.global/id/ICTV19820988","ICTV19820988@TEST")</f>
        <v>ICTV19820988@TEST</v>
      </c>
      <c r="N324" s="7" t="str">
        <f>HYPERLINK("https://ictv.global/id/TN19901155","TN19901155@prod")</f>
        <v>TN19901155@prod</v>
      </c>
      <c r="O324" s="7" t="str">
        <f>HYPERLINK("https://ictv.global/id/ICTV19820988","ICTV19820988@prod")</f>
        <v>ICTV19820988@prod</v>
      </c>
    </row>
    <row r="325" spans="1:15" x14ac:dyDescent="0.2">
      <c r="A325">
        <v>11</v>
      </c>
      <c r="B325">
        <v>19901165</v>
      </c>
      <c r="C325">
        <v>19710301</v>
      </c>
      <c r="D325" t="s">
        <v>29</v>
      </c>
      <c r="E325" t="s">
        <v>1326</v>
      </c>
      <c r="G325" t="s">
        <v>1165</v>
      </c>
      <c r="L325" s="7" t="str">
        <f>HYPERLINK("https://test.ictv.global/id/TN19901165","TN19901165@TEST")</f>
        <v>TN19901165@TEST</v>
      </c>
      <c r="M325" s="7" t="str">
        <f>HYPERLINK("https://test.ictv.global/id/ICTV19710301","ICTV19710301@TEST")</f>
        <v>ICTV19710301@TEST</v>
      </c>
      <c r="N325" s="7" t="str">
        <f>HYPERLINK("https://ictv.global/id/TN19901165","TN19901165@prod")</f>
        <v>TN19901165@prod</v>
      </c>
      <c r="O325" s="7" t="str">
        <f>HYPERLINK("https://ictv.global/id/ICTV19710301","ICTV19710301@prod")</f>
        <v>ICTV19710301@prod</v>
      </c>
    </row>
    <row r="326" spans="1:15" x14ac:dyDescent="0.2">
      <c r="A326">
        <v>11</v>
      </c>
      <c r="B326">
        <v>19901169</v>
      </c>
      <c r="C326">
        <v>19710306</v>
      </c>
      <c r="D326" t="s">
        <v>29</v>
      </c>
      <c r="E326" t="s">
        <v>1327</v>
      </c>
      <c r="G326" t="s">
        <v>1165</v>
      </c>
      <c r="L326" s="7" t="str">
        <f>HYPERLINK("https://test.ictv.global/id/TN19901169","TN19901169@TEST")</f>
        <v>TN19901169@TEST</v>
      </c>
      <c r="M326" s="7" t="str">
        <f>HYPERLINK("https://test.ictv.global/id/ICTV19710306","ICTV19710306@TEST")</f>
        <v>ICTV19710306@TEST</v>
      </c>
      <c r="N326" s="7" t="str">
        <f>HYPERLINK("https://ictv.global/id/TN19901169","TN19901169@prod")</f>
        <v>TN19901169@prod</v>
      </c>
      <c r="O326" s="7" t="str">
        <f>HYPERLINK("https://ictv.global/id/ICTV19710306","ICTV19710306@prod")</f>
        <v>ICTV19710306@prod</v>
      </c>
    </row>
    <row r="327" spans="1:15" x14ac:dyDescent="0.2">
      <c r="A327">
        <v>11</v>
      </c>
      <c r="B327">
        <v>19901173</v>
      </c>
      <c r="C327">
        <v>19790824</v>
      </c>
      <c r="D327" t="s">
        <v>29</v>
      </c>
      <c r="E327" t="s">
        <v>1328</v>
      </c>
      <c r="G327" t="s">
        <v>1165</v>
      </c>
      <c r="L327" s="7" t="str">
        <f>HYPERLINK("https://test.ictv.global/id/TN19901173","TN19901173@TEST")</f>
        <v>TN19901173@TEST</v>
      </c>
      <c r="M327" s="7" t="str">
        <f>HYPERLINK("https://test.ictv.global/id/ICTV19790824","ICTV19790824@TEST")</f>
        <v>ICTV19790824@TEST</v>
      </c>
      <c r="N327" s="7" t="str">
        <f>HYPERLINK("https://ictv.global/id/TN19901173","TN19901173@prod")</f>
        <v>TN19901173@prod</v>
      </c>
      <c r="O327" s="7" t="str">
        <f>HYPERLINK("https://ictv.global/id/ICTV19790824","ICTV19790824@prod")</f>
        <v>ICTV19790824@prod</v>
      </c>
    </row>
    <row r="328" spans="1:15" x14ac:dyDescent="0.2">
      <c r="A328">
        <v>11</v>
      </c>
      <c r="B328">
        <v>19901175</v>
      </c>
      <c r="C328">
        <v>19901175</v>
      </c>
      <c r="D328" t="s">
        <v>29</v>
      </c>
      <c r="E328" t="s">
        <v>219</v>
      </c>
      <c r="G328" t="s">
        <v>220</v>
      </c>
      <c r="H328" t="s">
        <v>221</v>
      </c>
      <c r="I328" t="s">
        <v>29</v>
      </c>
      <c r="J328">
        <v>19911434</v>
      </c>
      <c r="K328">
        <v>19911434</v>
      </c>
      <c r="L328" s="7" t="str">
        <f>HYPERLINK("https://test.ictv.global/id/TN19901175","TN19901175@TEST")</f>
        <v>TN19901175@TEST</v>
      </c>
      <c r="M328" s="7" t="str">
        <f>HYPERLINK("https://test.ictv.global/id/ICTV19901175","ICTV19901175@TEST")</f>
        <v>ICTV19901175@TEST</v>
      </c>
      <c r="N328" s="7" t="str">
        <f>HYPERLINK("https://ictv.global/id/TN19901175","TN19901175@prod")</f>
        <v>TN19901175@prod</v>
      </c>
      <c r="O328" s="7" t="str">
        <f>HYPERLINK("https://ictv.global/id/ICTV19901175","ICTV19901175@prod")</f>
        <v>ICTV19901175@prod</v>
      </c>
    </row>
    <row r="329" spans="1:15" x14ac:dyDescent="0.2">
      <c r="A329">
        <v>11</v>
      </c>
      <c r="B329">
        <v>19901175</v>
      </c>
      <c r="C329">
        <v>19901175</v>
      </c>
      <c r="D329" t="s">
        <v>29</v>
      </c>
      <c r="E329" t="s">
        <v>219</v>
      </c>
      <c r="G329" t="s">
        <v>53</v>
      </c>
      <c r="H329" t="s">
        <v>222</v>
      </c>
      <c r="I329" t="s">
        <v>29</v>
      </c>
      <c r="J329">
        <v>19911435</v>
      </c>
      <c r="K329">
        <v>19911435</v>
      </c>
      <c r="L329" s="7" t="str">
        <f>HYPERLINK("https://test.ictv.global/id/TN19901175","TN19901175@TEST")</f>
        <v>TN19901175@TEST</v>
      </c>
      <c r="M329" s="7" t="str">
        <f>HYPERLINK("https://test.ictv.global/id/ICTV19901175","ICTV19901175@TEST")</f>
        <v>ICTV19901175@TEST</v>
      </c>
      <c r="N329" s="7" t="str">
        <f>HYPERLINK("https://ictv.global/id/TN19901175","TN19901175@prod")</f>
        <v>TN19901175@prod</v>
      </c>
      <c r="O329" s="7" t="str">
        <f>HYPERLINK("https://ictv.global/id/ICTV19901175","ICTV19901175@prod")</f>
        <v>ICTV19901175@prod</v>
      </c>
    </row>
    <row r="330" spans="1:15" x14ac:dyDescent="0.2">
      <c r="A330">
        <v>11</v>
      </c>
      <c r="B330">
        <v>19901176</v>
      </c>
      <c r="C330">
        <v>19821004</v>
      </c>
      <c r="D330" t="s">
        <v>29</v>
      </c>
      <c r="E330" t="s">
        <v>223</v>
      </c>
      <c r="G330" t="s">
        <v>33</v>
      </c>
      <c r="H330" t="s">
        <v>224</v>
      </c>
      <c r="I330" t="s">
        <v>29</v>
      </c>
      <c r="J330">
        <v>19911444</v>
      </c>
      <c r="K330">
        <v>19911444</v>
      </c>
      <c r="L330" s="7" t="str">
        <f>HYPERLINK("https://test.ictv.global/id/TN19901176","TN19901176@TEST")</f>
        <v>TN19901176@TEST</v>
      </c>
      <c r="M330" s="7" t="str">
        <f>HYPERLINK("https://test.ictv.global/id/ICTV19821004","ICTV19821004@TEST")</f>
        <v>ICTV19821004@TEST</v>
      </c>
      <c r="N330" s="7" t="str">
        <f>HYPERLINK("https://ictv.global/id/TN19901176","TN19901176@prod")</f>
        <v>TN19901176@prod</v>
      </c>
      <c r="O330" s="7" t="str">
        <f>HYPERLINK("https://ictv.global/id/ICTV19821004","ICTV19821004@prod")</f>
        <v>ICTV19821004@prod</v>
      </c>
    </row>
    <row r="331" spans="1:15" x14ac:dyDescent="0.2">
      <c r="A331">
        <v>11</v>
      </c>
      <c r="B331">
        <v>19901177</v>
      </c>
      <c r="C331">
        <v>19821005</v>
      </c>
      <c r="D331" t="s">
        <v>29</v>
      </c>
      <c r="E331" t="s">
        <v>1329</v>
      </c>
      <c r="G331" t="s">
        <v>1165</v>
      </c>
      <c r="L331" s="7" t="str">
        <f>HYPERLINK("https://test.ictv.global/id/TN19901177","TN19901177@TEST")</f>
        <v>TN19901177@TEST</v>
      </c>
      <c r="M331" s="7" t="str">
        <f>HYPERLINK("https://test.ictv.global/id/ICTV19821005","ICTV19821005@TEST")</f>
        <v>ICTV19821005@TEST</v>
      </c>
      <c r="N331" s="7" t="str">
        <f>HYPERLINK("https://ictv.global/id/TN19901177","TN19901177@prod")</f>
        <v>TN19901177@prod</v>
      </c>
      <c r="O331" s="7" t="str">
        <f>HYPERLINK("https://ictv.global/id/ICTV19821005","ICTV19821005@prod")</f>
        <v>ICTV19821005@prod</v>
      </c>
    </row>
    <row r="332" spans="1:15" x14ac:dyDescent="0.2">
      <c r="A332">
        <v>11</v>
      </c>
      <c r="B332">
        <v>19901178</v>
      </c>
      <c r="C332">
        <v>19760526</v>
      </c>
      <c r="D332" t="s">
        <v>29</v>
      </c>
      <c r="E332" t="s">
        <v>225</v>
      </c>
      <c r="G332" t="s">
        <v>33</v>
      </c>
      <c r="H332" t="s">
        <v>224</v>
      </c>
      <c r="I332" t="s">
        <v>29</v>
      </c>
      <c r="J332">
        <v>19911444</v>
      </c>
      <c r="K332">
        <v>19911444</v>
      </c>
      <c r="L332" s="7" t="str">
        <f>HYPERLINK("https://test.ictv.global/id/TN19901178","TN19901178@TEST")</f>
        <v>TN19901178@TEST</v>
      </c>
      <c r="M332" s="7" t="str">
        <f>HYPERLINK("https://test.ictv.global/id/ICTV19760526","ICTV19760526@TEST")</f>
        <v>ICTV19760526@TEST</v>
      </c>
      <c r="N332" s="7" t="str">
        <f>HYPERLINK("https://ictv.global/id/TN19901178","TN19901178@prod")</f>
        <v>TN19901178@prod</v>
      </c>
      <c r="O332" s="7" t="str">
        <f>HYPERLINK("https://ictv.global/id/ICTV19760526","ICTV19760526@prod")</f>
        <v>ICTV19760526@prod</v>
      </c>
    </row>
    <row r="333" spans="1:15" x14ac:dyDescent="0.2">
      <c r="A333">
        <v>11</v>
      </c>
      <c r="B333">
        <v>19901179</v>
      </c>
      <c r="C333">
        <v>19821007</v>
      </c>
      <c r="D333" t="s">
        <v>29</v>
      </c>
      <c r="E333" t="s">
        <v>1330</v>
      </c>
      <c r="G333" t="s">
        <v>1165</v>
      </c>
      <c r="L333" s="7" t="str">
        <f>HYPERLINK("https://test.ictv.global/id/TN19901179","TN19901179@TEST")</f>
        <v>TN19901179@TEST</v>
      </c>
      <c r="M333" s="7" t="str">
        <f>HYPERLINK("https://test.ictv.global/id/ICTV19821007","ICTV19821007@TEST")</f>
        <v>ICTV19821007@TEST</v>
      </c>
      <c r="N333" s="7" t="str">
        <f>HYPERLINK("https://ictv.global/id/TN19901179","TN19901179@prod")</f>
        <v>TN19901179@prod</v>
      </c>
      <c r="O333" s="7" t="str">
        <f>HYPERLINK("https://ictv.global/id/ICTV19821007","ICTV19821007@prod")</f>
        <v>ICTV19821007@prod</v>
      </c>
    </row>
    <row r="334" spans="1:15" x14ac:dyDescent="0.2">
      <c r="A334">
        <v>11</v>
      </c>
      <c r="B334">
        <v>19901180</v>
      </c>
      <c r="C334">
        <v>19760529</v>
      </c>
      <c r="D334" t="s">
        <v>29</v>
      </c>
      <c r="E334" t="s">
        <v>1331</v>
      </c>
      <c r="G334" t="s">
        <v>1165</v>
      </c>
      <c r="L334" s="7" t="str">
        <f>HYPERLINK("https://test.ictv.global/id/TN19901180","TN19901180@TEST")</f>
        <v>TN19901180@TEST</v>
      </c>
      <c r="M334" s="7" t="str">
        <f>HYPERLINK("https://test.ictv.global/id/ICTV19760529","ICTV19760529@TEST")</f>
        <v>ICTV19760529@TEST</v>
      </c>
      <c r="N334" s="7" t="str">
        <f>HYPERLINK("https://ictv.global/id/TN19901180","TN19901180@prod")</f>
        <v>TN19901180@prod</v>
      </c>
      <c r="O334" s="7" t="str">
        <f>HYPERLINK("https://ictv.global/id/ICTV19760529","ICTV19760529@prod")</f>
        <v>ICTV19760529@prod</v>
      </c>
    </row>
    <row r="335" spans="1:15" x14ac:dyDescent="0.2">
      <c r="A335">
        <v>11</v>
      </c>
      <c r="B335">
        <v>19901186</v>
      </c>
      <c r="C335">
        <v>19760538</v>
      </c>
      <c r="D335" t="s">
        <v>29</v>
      </c>
      <c r="E335" t="s">
        <v>1332</v>
      </c>
      <c r="G335" t="s">
        <v>1165</v>
      </c>
      <c r="L335" s="7" t="str">
        <f>HYPERLINK("https://test.ictv.global/id/TN19901186","TN19901186@TEST")</f>
        <v>TN19901186@TEST</v>
      </c>
      <c r="M335" s="7" t="str">
        <f>HYPERLINK("https://test.ictv.global/id/ICTV19760538","ICTV19760538@TEST")</f>
        <v>ICTV19760538@TEST</v>
      </c>
      <c r="N335" s="7" t="str">
        <f>HYPERLINK("https://ictv.global/id/TN19901186","TN19901186@prod")</f>
        <v>TN19901186@prod</v>
      </c>
      <c r="O335" s="7" t="str">
        <f>HYPERLINK("https://ictv.global/id/ICTV19760538","ICTV19760538@prod")</f>
        <v>ICTV19760538@prod</v>
      </c>
    </row>
    <row r="336" spans="1:15" x14ac:dyDescent="0.2">
      <c r="A336">
        <v>11</v>
      </c>
      <c r="B336">
        <v>19901209</v>
      </c>
      <c r="C336">
        <v>19820588</v>
      </c>
      <c r="D336" t="s">
        <v>29</v>
      </c>
      <c r="E336" t="s">
        <v>1333</v>
      </c>
      <c r="G336" t="s">
        <v>1165</v>
      </c>
      <c r="L336" s="7" t="str">
        <f>HYPERLINK("https://test.ictv.global/id/TN19901209","TN19901209@TEST")</f>
        <v>TN19901209@TEST</v>
      </c>
      <c r="M336" s="7" t="str">
        <f>HYPERLINK("https://test.ictv.global/id/ICTV19820588","ICTV19820588@TEST")</f>
        <v>ICTV19820588@TEST</v>
      </c>
      <c r="N336" s="7" t="str">
        <f>HYPERLINK("https://ictv.global/id/TN19901209","TN19901209@prod")</f>
        <v>TN19901209@prod</v>
      </c>
      <c r="O336" s="7" t="str">
        <f>HYPERLINK("https://ictv.global/id/ICTV19820588","ICTV19820588@prod")</f>
        <v>ICTV19820588@prod</v>
      </c>
    </row>
    <row r="337" spans="1:15" x14ac:dyDescent="0.2">
      <c r="A337">
        <v>11</v>
      </c>
      <c r="B337">
        <v>19901210</v>
      </c>
      <c r="C337">
        <v>19820589</v>
      </c>
      <c r="D337" t="s">
        <v>29</v>
      </c>
      <c r="E337" t="s">
        <v>1334</v>
      </c>
      <c r="G337" t="s">
        <v>1165</v>
      </c>
      <c r="L337" s="7" t="str">
        <f>HYPERLINK("https://test.ictv.global/id/TN19901210","TN19901210@TEST")</f>
        <v>TN19901210@TEST</v>
      </c>
      <c r="M337" s="7" t="str">
        <f>HYPERLINK("https://test.ictv.global/id/ICTV19820589","ICTV19820589@TEST")</f>
        <v>ICTV19820589@TEST</v>
      </c>
      <c r="N337" s="7" t="str">
        <f>HYPERLINK("https://ictv.global/id/TN19901210","TN19901210@prod")</f>
        <v>TN19901210@prod</v>
      </c>
      <c r="O337" s="7" t="str">
        <f>HYPERLINK("https://ictv.global/id/ICTV19820589","ICTV19820589@prod")</f>
        <v>ICTV19820589@prod</v>
      </c>
    </row>
    <row r="338" spans="1:15" x14ac:dyDescent="0.2">
      <c r="A338">
        <v>11</v>
      </c>
      <c r="B338">
        <v>19901212</v>
      </c>
      <c r="C338">
        <v>19820591</v>
      </c>
      <c r="D338" t="s">
        <v>29</v>
      </c>
      <c r="E338" t="s">
        <v>1335</v>
      </c>
      <c r="G338" t="s">
        <v>1165</v>
      </c>
      <c r="L338" s="7" t="str">
        <f>HYPERLINK("https://test.ictv.global/id/TN19901212","TN19901212@TEST")</f>
        <v>TN19901212@TEST</v>
      </c>
      <c r="M338" s="7" t="str">
        <f>HYPERLINK("https://test.ictv.global/id/ICTV19820591","ICTV19820591@TEST")</f>
        <v>ICTV19820591@TEST</v>
      </c>
      <c r="N338" s="7" t="str">
        <f>HYPERLINK("https://ictv.global/id/TN19901212","TN19901212@prod")</f>
        <v>TN19901212@prod</v>
      </c>
      <c r="O338" s="7" t="str">
        <f>HYPERLINK("https://ictv.global/id/ICTV19820591","ICTV19820591@prod")</f>
        <v>ICTV19820591@prod</v>
      </c>
    </row>
    <row r="339" spans="1:15" x14ac:dyDescent="0.2">
      <c r="A339">
        <v>11</v>
      </c>
      <c r="B339">
        <v>19901213</v>
      </c>
      <c r="C339">
        <v>19820592</v>
      </c>
      <c r="D339" t="s">
        <v>29</v>
      </c>
      <c r="E339" t="s">
        <v>1336</v>
      </c>
      <c r="G339" t="s">
        <v>1165</v>
      </c>
      <c r="L339" s="7" t="str">
        <f>HYPERLINK("https://test.ictv.global/id/TN19901213","TN19901213@TEST")</f>
        <v>TN19901213@TEST</v>
      </c>
      <c r="M339" s="7" t="str">
        <f>HYPERLINK("https://test.ictv.global/id/ICTV19820592","ICTV19820592@TEST")</f>
        <v>ICTV19820592@TEST</v>
      </c>
      <c r="N339" s="7" t="str">
        <f>HYPERLINK("https://ictv.global/id/TN19901213","TN19901213@prod")</f>
        <v>TN19901213@prod</v>
      </c>
      <c r="O339" s="7" t="str">
        <f>HYPERLINK("https://ictv.global/id/ICTV19820592","ICTV19820592@prod")</f>
        <v>ICTV19820592@prod</v>
      </c>
    </row>
    <row r="340" spans="1:15" x14ac:dyDescent="0.2">
      <c r="A340">
        <v>11</v>
      </c>
      <c r="B340">
        <v>19901214</v>
      </c>
      <c r="C340">
        <v>19820593</v>
      </c>
      <c r="D340" t="s">
        <v>29</v>
      </c>
      <c r="E340" t="s">
        <v>1337</v>
      </c>
      <c r="G340" t="s">
        <v>1165</v>
      </c>
      <c r="L340" s="7" t="str">
        <f>HYPERLINK("https://test.ictv.global/id/TN19901214","TN19901214@TEST")</f>
        <v>TN19901214@TEST</v>
      </c>
      <c r="M340" s="7" t="str">
        <f>HYPERLINK("https://test.ictv.global/id/ICTV19820593","ICTV19820593@TEST")</f>
        <v>ICTV19820593@TEST</v>
      </c>
      <c r="N340" s="7" t="str">
        <f>HYPERLINK("https://ictv.global/id/TN19901214","TN19901214@prod")</f>
        <v>TN19901214@prod</v>
      </c>
      <c r="O340" s="7" t="str">
        <f>HYPERLINK("https://ictv.global/id/ICTV19820593","ICTV19820593@prod")</f>
        <v>ICTV19820593@prod</v>
      </c>
    </row>
    <row r="341" spans="1:15" x14ac:dyDescent="0.2">
      <c r="A341">
        <v>11</v>
      </c>
      <c r="B341">
        <v>19901217</v>
      </c>
      <c r="C341">
        <v>19821059</v>
      </c>
      <c r="D341" t="s">
        <v>29</v>
      </c>
      <c r="E341" t="s">
        <v>1338</v>
      </c>
      <c r="G341" t="s">
        <v>1165</v>
      </c>
      <c r="L341" s="7" t="str">
        <f>HYPERLINK("https://test.ictv.global/id/TN19901217","TN19901217@TEST")</f>
        <v>TN19901217@TEST</v>
      </c>
      <c r="M341" s="7" t="str">
        <f>HYPERLINK("https://test.ictv.global/id/ICTV19821059","ICTV19821059@TEST")</f>
        <v>ICTV19821059@TEST</v>
      </c>
      <c r="N341" s="7" t="str">
        <f>HYPERLINK("https://ictv.global/id/TN19901217","TN19901217@prod")</f>
        <v>TN19901217@prod</v>
      </c>
      <c r="O341" s="7" t="str">
        <f>HYPERLINK("https://ictv.global/id/ICTV19821059","ICTV19821059@prod")</f>
        <v>ICTV19821059@prod</v>
      </c>
    </row>
    <row r="342" spans="1:15" x14ac:dyDescent="0.2">
      <c r="A342">
        <v>11</v>
      </c>
      <c r="B342">
        <v>19901218</v>
      </c>
      <c r="C342">
        <v>19821060</v>
      </c>
      <c r="D342" t="s">
        <v>29</v>
      </c>
      <c r="E342" t="s">
        <v>1339</v>
      </c>
      <c r="G342" t="s">
        <v>1165</v>
      </c>
      <c r="L342" s="7" t="str">
        <f>HYPERLINK("https://test.ictv.global/id/TN19901218","TN19901218@TEST")</f>
        <v>TN19901218@TEST</v>
      </c>
      <c r="M342" s="7" t="str">
        <f>HYPERLINK("https://test.ictv.global/id/ICTV19821060","ICTV19821060@TEST")</f>
        <v>ICTV19821060@TEST</v>
      </c>
      <c r="N342" s="7" t="str">
        <f>HYPERLINK("https://ictv.global/id/TN19901218","TN19901218@prod")</f>
        <v>TN19901218@prod</v>
      </c>
      <c r="O342" s="7" t="str">
        <f>HYPERLINK("https://ictv.global/id/ICTV19821060","ICTV19821060@prod")</f>
        <v>ICTV19821060@prod</v>
      </c>
    </row>
    <row r="343" spans="1:15" x14ac:dyDescent="0.2">
      <c r="A343">
        <v>11</v>
      </c>
      <c r="B343">
        <v>19901235</v>
      </c>
      <c r="C343">
        <v>19821077</v>
      </c>
      <c r="D343" t="s">
        <v>29</v>
      </c>
      <c r="E343" t="s">
        <v>1340</v>
      </c>
      <c r="G343" t="s">
        <v>1165</v>
      </c>
      <c r="L343" s="7" t="str">
        <f>HYPERLINK("https://test.ictv.global/id/TN19901235","TN19901235@TEST")</f>
        <v>TN19901235@TEST</v>
      </c>
      <c r="M343" s="7" t="str">
        <f>HYPERLINK("https://test.ictv.global/id/ICTV19821077","ICTV19821077@TEST")</f>
        <v>ICTV19821077@TEST</v>
      </c>
      <c r="N343" s="7" t="str">
        <f>HYPERLINK("https://ictv.global/id/TN19901235","TN19901235@prod")</f>
        <v>TN19901235@prod</v>
      </c>
      <c r="O343" s="7" t="str">
        <f>HYPERLINK("https://ictv.global/id/ICTV19821077","ICTV19821077@prod")</f>
        <v>ICTV19821077@prod</v>
      </c>
    </row>
    <row r="344" spans="1:15" x14ac:dyDescent="0.2">
      <c r="A344">
        <v>11</v>
      </c>
      <c r="B344">
        <v>19901243</v>
      </c>
      <c r="C344">
        <v>19821338</v>
      </c>
      <c r="D344" t="s">
        <v>29</v>
      </c>
      <c r="E344" t="s">
        <v>1341</v>
      </c>
      <c r="G344" t="s">
        <v>1165</v>
      </c>
      <c r="L344" s="7" t="str">
        <f>HYPERLINK("https://test.ictv.global/id/TN19901243","TN19901243@TEST")</f>
        <v>TN19901243@TEST</v>
      </c>
      <c r="M344" s="7" t="str">
        <f>HYPERLINK("https://test.ictv.global/id/ICTV19821338","ICTV19821338@TEST")</f>
        <v>ICTV19821338@TEST</v>
      </c>
      <c r="N344" s="7" t="str">
        <f>HYPERLINK("https://ictv.global/id/TN19901243","TN19901243@prod")</f>
        <v>TN19901243@prod</v>
      </c>
      <c r="O344" s="7" t="str">
        <f>HYPERLINK("https://ictv.global/id/ICTV19821338","ICTV19821338@prod")</f>
        <v>ICTV19821338@prod</v>
      </c>
    </row>
    <row r="345" spans="1:15" x14ac:dyDescent="0.2">
      <c r="A345">
        <v>11</v>
      </c>
      <c r="B345">
        <v>19901244</v>
      </c>
      <c r="C345">
        <v>19821339</v>
      </c>
      <c r="D345" t="s">
        <v>29</v>
      </c>
      <c r="E345" t="s">
        <v>226</v>
      </c>
      <c r="G345" t="s">
        <v>53</v>
      </c>
      <c r="H345" t="s">
        <v>227</v>
      </c>
      <c r="I345" t="s">
        <v>29</v>
      </c>
      <c r="J345">
        <v>19911509</v>
      </c>
      <c r="K345">
        <v>19911509</v>
      </c>
      <c r="L345" s="7" t="str">
        <f>HYPERLINK("https://test.ictv.global/id/TN19901244","TN19901244@TEST")</f>
        <v>TN19901244@TEST</v>
      </c>
      <c r="M345" s="7" t="str">
        <f>HYPERLINK("https://test.ictv.global/id/ICTV19821339","ICTV19821339@TEST")</f>
        <v>ICTV19821339@TEST</v>
      </c>
      <c r="N345" s="7" t="str">
        <f>HYPERLINK("https://ictv.global/id/TN19901244","TN19901244@prod")</f>
        <v>TN19901244@prod</v>
      </c>
      <c r="O345" s="7" t="str">
        <f>HYPERLINK("https://ictv.global/id/ICTV19821339","ICTV19821339@prod")</f>
        <v>ICTV19821339@prod</v>
      </c>
    </row>
    <row r="346" spans="1:15" x14ac:dyDescent="0.2">
      <c r="A346">
        <v>11</v>
      </c>
      <c r="B346">
        <v>19901244</v>
      </c>
      <c r="C346">
        <v>19821339</v>
      </c>
      <c r="D346" t="s">
        <v>29</v>
      </c>
      <c r="E346" t="s">
        <v>226</v>
      </c>
      <c r="G346" t="s">
        <v>53</v>
      </c>
      <c r="H346" t="s">
        <v>228</v>
      </c>
      <c r="I346" t="s">
        <v>29</v>
      </c>
      <c r="J346">
        <v>19911510</v>
      </c>
      <c r="K346">
        <v>19911510</v>
      </c>
      <c r="L346" s="7" t="str">
        <f>HYPERLINK("https://test.ictv.global/id/TN19901244","TN19901244@TEST")</f>
        <v>TN19901244@TEST</v>
      </c>
      <c r="M346" s="7" t="str">
        <f>HYPERLINK("https://test.ictv.global/id/ICTV19821339","ICTV19821339@TEST")</f>
        <v>ICTV19821339@TEST</v>
      </c>
      <c r="N346" s="7" t="str">
        <f>HYPERLINK("https://ictv.global/id/TN19901244","TN19901244@prod")</f>
        <v>TN19901244@prod</v>
      </c>
      <c r="O346" s="7" t="str">
        <f>HYPERLINK("https://ictv.global/id/ICTV19821339","ICTV19821339@prod")</f>
        <v>ICTV19821339@prod</v>
      </c>
    </row>
    <row r="347" spans="1:15" x14ac:dyDescent="0.2">
      <c r="A347">
        <v>11</v>
      </c>
      <c r="B347">
        <v>19901244</v>
      </c>
      <c r="C347">
        <v>19821339</v>
      </c>
      <c r="D347" t="s">
        <v>29</v>
      </c>
      <c r="E347" t="s">
        <v>226</v>
      </c>
      <c r="G347" t="s">
        <v>53</v>
      </c>
      <c r="H347" t="s">
        <v>229</v>
      </c>
      <c r="I347" t="s">
        <v>29</v>
      </c>
      <c r="J347">
        <v>19911511</v>
      </c>
      <c r="K347">
        <v>19911511</v>
      </c>
      <c r="L347" s="7" t="str">
        <f>HYPERLINK("https://test.ictv.global/id/TN19901244","TN19901244@TEST")</f>
        <v>TN19901244@TEST</v>
      </c>
      <c r="M347" s="7" t="str">
        <f>HYPERLINK("https://test.ictv.global/id/ICTV19821339","ICTV19821339@TEST")</f>
        <v>ICTV19821339@TEST</v>
      </c>
      <c r="N347" s="7" t="str">
        <f>HYPERLINK("https://ictv.global/id/TN19901244","TN19901244@prod")</f>
        <v>TN19901244@prod</v>
      </c>
      <c r="O347" s="7" t="str">
        <f>HYPERLINK("https://ictv.global/id/ICTV19821339","ICTV19821339@prod")</f>
        <v>ICTV19821339@prod</v>
      </c>
    </row>
    <row r="348" spans="1:15" x14ac:dyDescent="0.2">
      <c r="A348">
        <v>11</v>
      </c>
      <c r="B348">
        <v>19901268</v>
      </c>
      <c r="C348">
        <v>19821163</v>
      </c>
      <c r="D348" t="s">
        <v>29</v>
      </c>
      <c r="E348" t="s">
        <v>230</v>
      </c>
      <c r="G348" t="s">
        <v>33</v>
      </c>
      <c r="H348" t="s">
        <v>231</v>
      </c>
      <c r="I348" t="s">
        <v>29</v>
      </c>
      <c r="J348">
        <v>19911545</v>
      </c>
      <c r="K348">
        <v>19911545</v>
      </c>
      <c r="L348" s="7" t="str">
        <f>HYPERLINK("https://test.ictv.global/id/TN19901268","TN19901268@TEST")</f>
        <v>TN19901268@TEST</v>
      </c>
      <c r="M348" s="7" t="str">
        <f>HYPERLINK("https://test.ictv.global/id/ICTV19821163","ICTV19821163@TEST")</f>
        <v>ICTV19821163@TEST</v>
      </c>
      <c r="N348" s="7" t="str">
        <f>HYPERLINK("https://ictv.global/id/TN19901268","TN19901268@prod")</f>
        <v>TN19901268@prod</v>
      </c>
      <c r="O348" s="7" t="str">
        <f>HYPERLINK("https://ictv.global/id/ICTV19821163","ICTV19821163@prod")</f>
        <v>ICTV19821163@prod</v>
      </c>
    </row>
    <row r="349" spans="1:15" x14ac:dyDescent="0.2">
      <c r="A349">
        <v>11</v>
      </c>
      <c r="B349">
        <v>19901271</v>
      </c>
      <c r="C349">
        <v>19911545</v>
      </c>
      <c r="D349" t="s">
        <v>29</v>
      </c>
      <c r="E349" t="s">
        <v>231</v>
      </c>
      <c r="F349" t="s">
        <v>1342</v>
      </c>
      <c r="G349" t="s">
        <v>33</v>
      </c>
      <c r="H349" t="s">
        <v>231</v>
      </c>
      <c r="I349" t="s">
        <v>29</v>
      </c>
      <c r="J349">
        <v>19911545</v>
      </c>
      <c r="K349">
        <v>19911545</v>
      </c>
      <c r="L349" s="7" t="str">
        <f>HYPERLINK("https://test.ictv.global/id/TN19901271","TN19901271@TEST")</f>
        <v>TN19901271@TEST</v>
      </c>
      <c r="M349" s="7" t="str">
        <f>HYPERLINK("https://test.ictv.global/id/ICTV19911545","ICTV19911545@TEST")</f>
        <v>ICTV19911545@TEST</v>
      </c>
      <c r="N349" s="7" t="str">
        <f>HYPERLINK("https://ictv.global/id/TN19901271","TN19901271@prod")</f>
        <v>TN19901271@prod</v>
      </c>
      <c r="O349" s="7" t="str">
        <f>HYPERLINK("https://ictv.global/id/ICTV19911545","ICTV19911545@prod")</f>
        <v>ICTV19911545@prod</v>
      </c>
    </row>
    <row r="350" spans="1:15" x14ac:dyDescent="0.2">
      <c r="A350">
        <v>11</v>
      </c>
      <c r="B350">
        <v>19901276</v>
      </c>
      <c r="C350">
        <v>19871240</v>
      </c>
      <c r="D350" t="s">
        <v>29</v>
      </c>
      <c r="E350" t="s">
        <v>1343</v>
      </c>
      <c r="G350" t="s">
        <v>1165</v>
      </c>
      <c r="L350" s="7" t="str">
        <f>HYPERLINK("https://test.ictv.global/id/TN19901276","TN19901276@TEST")</f>
        <v>TN19901276@TEST</v>
      </c>
      <c r="M350" s="7" t="str">
        <f>HYPERLINK("https://test.ictv.global/id/ICTV19871240","ICTV19871240@TEST")</f>
        <v>ICTV19871240@TEST</v>
      </c>
      <c r="N350" s="7" t="str">
        <f>HYPERLINK("https://ictv.global/id/TN19901276","TN19901276@prod")</f>
        <v>TN19901276@prod</v>
      </c>
      <c r="O350" s="7" t="str">
        <f>HYPERLINK("https://ictv.global/id/ICTV19871240","ICTV19871240@prod")</f>
        <v>ICTV19871240@prod</v>
      </c>
    </row>
    <row r="351" spans="1:15" x14ac:dyDescent="0.2">
      <c r="A351">
        <v>11</v>
      </c>
      <c r="B351">
        <v>19901294</v>
      </c>
      <c r="C351">
        <v>19821182</v>
      </c>
      <c r="D351" t="s">
        <v>29</v>
      </c>
      <c r="E351" t="s">
        <v>1344</v>
      </c>
      <c r="G351" t="s">
        <v>1165</v>
      </c>
      <c r="L351" s="7" t="str">
        <f>HYPERLINK("https://test.ictv.global/id/TN19901294","TN19901294@TEST")</f>
        <v>TN19901294@TEST</v>
      </c>
      <c r="M351" s="7" t="str">
        <f>HYPERLINK("https://test.ictv.global/id/ICTV19821182","ICTV19821182@TEST")</f>
        <v>ICTV19821182@TEST</v>
      </c>
      <c r="N351" s="7" t="str">
        <f>HYPERLINK("https://ictv.global/id/TN19901294","TN19901294@prod")</f>
        <v>TN19901294@prod</v>
      </c>
      <c r="O351" s="7" t="str">
        <f>HYPERLINK("https://ictv.global/id/ICTV19821182","ICTV19821182@prod")</f>
        <v>ICTV19821182@prod</v>
      </c>
    </row>
    <row r="352" spans="1:15" x14ac:dyDescent="0.2">
      <c r="A352">
        <v>11</v>
      </c>
      <c r="B352">
        <v>19901295</v>
      </c>
      <c r="C352">
        <v>19790976</v>
      </c>
      <c r="D352" t="s">
        <v>29</v>
      </c>
      <c r="E352" t="s">
        <v>1345</v>
      </c>
      <c r="G352" t="s">
        <v>1165</v>
      </c>
      <c r="L352" s="7" t="str">
        <f>HYPERLINK("https://test.ictv.global/id/TN19901295","TN19901295@TEST")</f>
        <v>TN19901295@TEST</v>
      </c>
      <c r="M352" s="7" t="str">
        <f>HYPERLINK("https://test.ictv.global/id/ICTV19790976","ICTV19790976@TEST")</f>
        <v>ICTV19790976@TEST</v>
      </c>
      <c r="N352" s="7" t="str">
        <f>HYPERLINK("https://ictv.global/id/TN19901295","TN19901295@prod")</f>
        <v>TN19901295@prod</v>
      </c>
      <c r="O352" s="7" t="str">
        <f>HYPERLINK("https://ictv.global/id/ICTV19790976","ICTV19790976@prod")</f>
        <v>ICTV19790976@prod</v>
      </c>
    </row>
    <row r="353" spans="1:15" x14ac:dyDescent="0.2">
      <c r="A353">
        <v>11</v>
      </c>
      <c r="B353">
        <v>19901363</v>
      </c>
      <c r="C353">
        <v>19911689</v>
      </c>
      <c r="D353" t="s">
        <v>29</v>
      </c>
      <c r="E353" t="s">
        <v>232</v>
      </c>
      <c r="G353" t="s">
        <v>33</v>
      </c>
      <c r="H353" t="s">
        <v>232</v>
      </c>
      <c r="I353" t="s">
        <v>29</v>
      </c>
      <c r="J353">
        <v>19911689</v>
      </c>
      <c r="K353">
        <v>19911689</v>
      </c>
      <c r="L353" s="7" t="str">
        <f>HYPERLINK("https://test.ictv.global/id/TN19901363","TN19901363@TEST")</f>
        <v>TN19901363@TEST</v>
      </c>
      <c r="M353" s="7" t="str">
        <f>HYPERLINK("https://test.ictv.global/id/ICTV19911689","ICTV19911689@TEST")</f>
        <v>ICTV19911689@TEST</v>
      </c>
      <c r="N353" s="7" t="str">
        <f>HYPERLINK("https://ictv.global/id/TN19901363","TN19901363@prod")</f>
        <v>TN19901363@prod</v>
      </c>
      <c r="O353" s="7" t="str">
        <f>HYPERLINK("https://ictv.global/id/ICTV19911689","ICTV19911689@prod")</f>
        <v>ICTV19911689@prod</v>
      </c>
    </row>
    <row r="354" spans="1:15" x14ac:dyDescent="0.2">
      <c r="A354">
        <v>11</v>
      </c>
      <c r="B354">
        <v>19901364</v>
      </c>
      <c r="C354">
        <v>19791019</v>
      </c>
      <c r="D354" t="s">
        <v>29</v>
      </c>
      <c r="E354" t="s">
        <v>233</v>
      </c>
      <c r="F354" t="s">
        <v>1346</v>
      </c>
      <c r="G354" t="s">
        <v>33</v>
      </c>
      <c r="H354" t="s">
        <v>234</v>
      </c>
      <c r="I354" t="s">
        <v>29</v>
      </c>
      <c r="J354">
        <v>19911691</v>
      </c>
      <c r="K354">
        <v>19911691</v>
      </c>
      <c r="L354" s="7" t="str">
        <f>HYPERLINK("https://test.ictv.global/id/TN19901364","TN19901364@TEST")</f>
        <v>TN19901364@TEST</v>
      </c>
      <c r="M354" s="7" t="str">
        <f>HYPERLINK("https://test.ictv.global/id/ICTV19791019","ICTV19791019@TEST")</f>
        <v>ICTV19791019@TEST</v>
      </c>
      <c r="N354" s="7" t="str">
        <f>HYPERLINK("https://ictv.global/id/TN19901364","TN19901364@prod")</f>
        <v>TN19901364@prod</v>
      </c>
      <c r="O354" s="7" t="str">
        <f>HYPERLINK("https://ictv.global/id/ICTV19791019","ICTV19791019@prod")</f>
        <v>ICTV19791019@prod</v>
      </c>
    </row>
    <row r="355" spans="1:15" x14ac:dyDescent="0.2">
      <c r="A355">
        <v>11</v>
      </c>
      <c r="B355">
        <v>19901365</v>
      </c>
      <c r="C355">
        <v>19911691</v>
      </c>
      <c r="D355" t="s">
        <v>29</v>
      </c>
      <c r="E355" t="s">
        <v>234</v>
      </c>
      <c r="F355" t="s">
        <v>1347</v>
      </c>
      <c r="G355" t="s">
        <v>33</v>
      </c>
      <c r="H355" t="s">
        <v>234</v>
      </c>
      <c r="I355" t="s">
        <v>29</v>
      </c>
      <c r="J355">
        <v>19911691</v>
      </c>
      <c r="K355">
        <v>19911691</v>
      </c>
      <c r="L355" s="7" t="str">
        <f>HYPERLINK("https://test.ictv.global/id/TN19901365","TN19901365@TEST")</f>
        <v>TN19901365@TEST</v>
      </c>
      <c r="M355" s="7" t="str">
        <f>HYPERLINK("https://test.ictv.global/id/ICTV19911691","ICTV19911691@TEST")</f>
        <v>ICTV19911691@TEST</v>
      </c>
      <c r="N355" s="7" t="str">
        <f>HYPERLINK("https://ictv.global/id/TN19901365","TN19901365@prod")</f>
        <v>TN19901365@prod</v>
      </c>
      <c r="O355" s="7" t="str">
        <f>HYPERLINK("https://ictv.global/id/ICTV19911691","ICTV19911691@prod")</f>
        <v>ICTV19911691@prod</v>
      </c>
    </row>
    <row r="356" spans="1:15" x14ac:dyDescent="0.2">
      <c r="A356">
        <v>11</v>
      </c>
      <c r="B356">
        <v>19901368</v>
      </c>
      <c r="C356">
        <v>19791021</v>
      </c>
      <c r="D356" t="s">
        <v>29</v>
      </c>
      <c r="E356" t="s">
        <v>235</v>
      </c>
      <c r="G356" t="s">
        <v>33</v>
      </c>
      <c r="H356" t="s">
        <v>236</v>
      </c>
      <c r="I356" t="s">
        <v>29</v>
      </c>
      <c r="J356">
        <v>19911690</v>
      </c>
      <c r="K356">
        <v>19911690</v>
      </c>
      <c r="L356" s="7" t="str">
        <f>HYPERLINK("https://test.ictv.global/id/TN19901368","TN19901368@TEST")</f>
        <v>TN19901368@TEST</v>
      </c>
      <c r="M356" s="7" t="str">
        <f>HYPERLINK("https://test.ictv.global/id/ICTV19791021","ICTV19791021@TEST")</f>
        <v>ICTV19791021@TEST</v>
      </c>
      <c r="N356" s="7" t="str">
        <f>HYPERLINK("https://ictv.global/id/TN19901368","TN19901368@prod")</f>
        <v>TN19901368@prod</v>
      </c>
      <c r="O356" s="7" t="str">
        <f>HYPERLINK("https://ictv.global/id/ICTV19791021","ICTV19791021@prod")</f>
        <v>ICTV19791021@prod</v>
      </c>
    </row>
    <row r="357" spans="1:15" x14ac:dyDescent="0.2">
      <c r="A357">
        <v>11</v>
      </c>
      <c r="B357">
        <v>19901369</v>
      </c>
      <c r="C357">
        <v>19791022</v>
      </c>
      <c r="D357" t="s">
        <v>29</v>
      </c>
      <c r="E357" t="s">
        <v>237</v>
      </c>
      <c r="G357" t="s">
        <v>33</v>
      </c>
      <c r="H357" t="s">
        <v>234</v>
      </c>
      <c r="I357" t="s">
        <v>29</v>
      </c>
      <c r="J357">
        <v>19911691</v>
      </c>
      <c r="K357">
        <v>19911691</v>
      </c>
      <c r="L357" s="7" t="str">
        <f>HYPERLINK("https://test.ictv.global/id/TN19901369","TN19901369@TEST")</f>
        <v>TN19901369@TEST</v>
      </c>
      <c r="M357" s="7" t="str">
        <f>HYPERLINK("https://test.ictv.global/id/ICTV19791022","ICTV19791022@TEST")</f>
        <v>ICTV19791022@TEST</v>
      </c>
      <c r="N357" s="7" t="str">
        <f>HYPERLINK("https://ictv.global/id/TN19901369","TN19901369@prod")</f>
        <v>TN19901369@prod</v>
      </c>
      <c r="O357" s="7" t="str">
        <f>HYPERLINK("https://ictv.global/id/ICTV19791022","ICTV19791022@prod")</f>
        <v>ICTV19791022@prod</v>
      </c>
    </row>
    <row r="358" spans="1:15" x14ac:dyDescent="0.2">
      <c r="A358">
        <v>11</v>
      </c>
      <c r="B358">
        <v>19901370</v>
      </c>
      <c r="C358">
        <v>19791023</v>
      </c>
      <c r="D358" t="s">
        <v>29</v>
      </c>
      <c r="E358" t="s">
        <v>238</v>
      </c>
      <c r="G358" t="s">
        <v>33</v>
      </c>
      <c r="H358" t="s">
        <v>236</v>
      </c>
      <c r="I358" t="s">
        <v>29</v>
      </c>
      <c r="J358">
        <v>19911690</v>
      </c>
      <c r="K358">
        <v>19911690</v>
      </c>
      <c r="L358" s="7" t="str">
        <f>HYPERLINK("https://test.ictv.global/id/TN19901370","TN19901370@TEST")</f>
        <v>TN19901370@TEST</v>
      </c>
      <c r="M358" s="7" t="str">
        <f>HYPERLINK("https://test.ictv.global/id/ICTV19791023","ICTV19791023@TEST")</f>
        <v>ICTV19791023@TEST</v>
      </c>
      <c r="N358" s="7" t="str">
        <f>HYPERLINK("https://ictv.global/id/TN19901370","TN19901370@prod")</f>
        <v>TN19901370@prod</v>
      </c>
      <c r="O358" s="7" t="str">
        <f>HYPERLINK("https://ictv.global/id/ICTV19791023","ICTV19791023@prod")</f>
        <v>ICTV19791023@prod</v>
      </c>
    </row>
    <row r="359" spans="1:15" x14ac:dyDescent="0.2">
      <c r="A359">
        <v>11</v>
      </c>
      <c r="B359">
        <v>19901371</v>
      </c>
      <c r="C359">
        <v>19991080</v>
      </c>
      <c r="D359" t="s">
        <v>29</v>
      </c>
      <c r="E359" t="s">
        <v>239</v>
      </c>
      <c r="G359" t="s">
        <v>33</v>
      </c>
      <c r="H359" t="s">
        <v>239</v>
      </c>
      <c r="I359" t="s">
        <v>29</v>
      </c>
      <c r="J359">
        <v>19991080</v>
      </c>
      <c r="K359">
        <v>19911695</v>
      </c>
      <c r="L359" s="7" t="str">
        <f>HYPERLINK("https://test.ictv.global/id/TN19901371","TN19901371@TEST")</f>
        <v>TN19901371@TEST</v>
      </c>
      <c r="M359" s="7" t="str">
        <f>HYPERLINK("https://test.ictv.global/id/ICTV19991080","ICTV19991080@TEST")</f>
        <v>ICTV19991080@TEST</v>
      </c>
      <c r="N359" s="7" t="str">
        <f>HYPERLINK("https://ictv.global/id/TN19901371","TN19901371@prod")</f>
        <v>TN19901371@prod</v>
      </c>
      <c r="O359" s="7" t="str">
        <f>HYPERLINK("https://ictv.global/id/ICTV19991080","ICTV19991080@prod")</f>
        <v>ICTV19991080@prod</v>
      </c>
    </row>
    <row r="360" spans="1:15" x14ac:dyDescent="0.2">
      <c r="A360">
        <v>11</v>
      </c>
      <c r="B360">
        <v>19901372</v>
      </c>
      <c r="C360">
        <v>19791024</v>
      </c>
      <c r="D360" t="s">
        <v>29</v>
      </c>
      <c r="E360" t="s">
        <v>240</v>
      </c>
      <c r="G360" t="s">
        <v>31</v>
      </c>
      <c r="H360" t="s">
        <v>232</v>
      </c>
      <c r="I360" t="s">
        <v>29</v>
      </c>
      <c r="J360">
        <v>19911689</v>
      </c>
      <c r="K360">
        <v>19911689</v>
      </c>
      <c r="L360" s="7" t="str">
        <f>HYPERLINK("https://test.ictv.global/id/TN19901372","TN19901372@TEST")</f>
        <v>TN19901372@TEST</v>
      </c>
      <c r="M360" s="7" t="str">
        <f>HYPERLINK("https://test.ictv.global/id/ICTV19791024","ICTV19791024@TEST")</f>
        <v>ICTV19791024@TEST</v>
      </c>
      <c r="N360" s="7" t="str">
        <f>HYPERLINK("https://ictv.global/id/TN19901372","TN19901372@prod")</f>
        <v>TN19901372@prod</v>
      </c>
      <c r="O360" s="7" t="str">
        <f>HYPERLINK("https://ictv.global/id/ICTV19791024","ICTV19791024@prod")</f>
        <v>ICTV19791024@prod</v>
      </c>
    </row>
    <row r="361" spans="1:15" x14ac:dyDescent="0.2">
      <c r="A361">
        <v>11</v>
      </c>
      <c r="B361">
        <v>19901373</v>
      </c>
      <c r="C361">
        <v>19821239</v>
      </c>
      <c r="D361" t="s">
        <v>29</v>
      </c>
      <c r="E361" t="s">
        <v>241</v>
      </c>
      <c r="G361" t="s">
        <v>33</v>
      </c>
      <c r="H361" t="s">
        <v>239</v>
      </c>
      <c r="I361" t="s">
        <v>29</v>
      </c>
      <c r="J361">
        <v>19991080</v>
      </c>
      <c r="K361">
        <v>19911695</v>
      </c>
      <c r="L361" s="7" t="str">
        <f>HYPERLINK("https://test.ictv.global/id/TN19901373","TN19901373@TEST")</f>
        <v>TN19901373@TEST</v>
      </c>
      <c r="M361" s="7" t="str">
        <f>HYPERLINK("https://test.ictv.global/id/ICTV19821239","ICTV19821239@TEST")</f>
        <v>ICTV19821239@TEST</v>
      </c>
      <c r="N361" s="7" t="str">
        <f>HYPERLINK("https://ictv.global/id/TN19901373","TN19901373@prod")</f>
        <v>TN19901373@prod</v>
      </c>
      <c r="O361" s="7" t="str">
        <f>HYPERLINK("https://ictv.global/id/ICTV19821239","ICTV19821239@prod")</f>
        <v>ICTV19821239@prod</v>
      </c>
    </row>
    <row r="362" spans="1:15" x14ac:dyDescent="0.2">
      <c r="A362">
        <v>11</v>
      </c>
      <c r="B362">
        <v>19901374</v>
      </c>
      <c r="C362">
        <v>19911696</v>
      </c>
      <c r="D362" t="s">
        <v>29</v>
      </c>
      <c r="E362" t="s">
        <v>242</v>
      </c>
      <c r="F362" t="s">
        <v>1348</v>
      </c>
      <c r="G362" t="s">
        <v>33</v>
      </c>
      <c r="H362" t="s">
        <v>242</v>
      </c>
      <c r="I362" t="s">
        <v>29</v>
      </c>
      <c r="J362">
        <v>19911696</v>
      </c>
      <c r="K362">
        <v>19911696</v>
      </c>
      <c r="L362" s="7" t="str">
        <f>HYPERLINK("https://test.ictv.global/id/TN19901374","TN19901374@TEST")</f>
        <v>TN19901374@TEST</v>
      </c>
      <c r="M362" s="7" t="str">
        <f>HYPERLINK("https://test.ictv.global/id/ICTV19911696","ICTV19911696@TEST")</f>
        <v>ICTV19911696@TEST</v>
      </c>
      <c r="N362" s="7" t="str">
        <f>HYPERLINK("https://ictv.global/id/TN19901374","TN19901374@prod")</f>
        <v>TN19901374@prod</v>
      </c>
      <c r="O362" s="7" t="str">
        <f>HYPERLINK("https://ictv.global/id/ICTV19911696","ICTV19911696@prod")</f>
        <v>ICTV19911696@prod</v>
      </c>
    </row>
    <row r="363" spans="1:15" x14ac:dyDescent="0.2">
      <c r="A363">
        <v>11</v>
      </c>
      <c r="B363">
        <v>19901375</v>
      </c>
      <c r="C363">
        <v>19821241</v>
      </c>
      <c r="D363" t="s">
        <v>29</v>
      </c>
      <c r="E363" t="s">
        <v>243</v>
      </c>
      <c r="G363" t="s">
        <v>33</v>
      </c>
      <c r="H363" t="s">
        <v>242</v>
      </c>
      <c r="I363" t="s">
        <v>29</v>
      </c>
      <c r="J363">
        <v>19911696</v>
      </c>
      <c r="K363">
        <v>19911696</v>
      </c>
      <c r="L363" s="7" t="str">
        <f>HYPERLINK("https://test.ictv.global/id/TN19901375","TN19901375@TEST")</f>
        <v>TN19901375@TEST</v>
      </c>
      <c r="M363" s="7" t="str">
        <f>HYPERLINK("https://test.ictv.global/id/ICTV19821241","ICTV19821241@TEST")</f>
        <v>ICTV19821241@TEST</v>
      </c>
      <c r="N363" s="7" t="str">
        <f>HYPERLINK("https://ictv.global/id/TN19901375","TN19901375@prod")</f>
        <v>TN19901375@prod</v>
      </c>
      <c r="O363" s="7" t="str">
        <f>HYPERLINK("https://ictv.global/id/ICTV19821241","ICTV19821241@prod")</f>
        <v>ICTV19821241@prod</v>
      </c>
    </row>
    <row r="364" spans="1:15" x14ac:dyDescent="0.2">
      <c r="A364">
        <v>11</v>
      </c>
      <c r="B364">
        <v>19901377</v>
      </c>
      <c r="C364">
        <v>19791027</v>
      </c>
      <c r="D364" t="s">
        <v>29</v>
      </c>
      <c r="E364" t="s">
        <v>244</v>
      </c>
      <c r="F364" t="s">
        <v>1349</v>
      </c>
      <c r="G364" t="s">
        <v>33</v>
      </c>
      <c r="H364" t="s">
        <v>234</v>
      </c>
      <c r="I364" t="s">
        <v>29</v>
      </c>
      <c r="J364">
        <v>19911691</v>
      </c>
      <c r="K364">
        <v>19911691</v>
      </c>
      <c r="L364" s="7" t="str">
        <f>HYPERLINK("https://test.ictv.global/id/TN19901377","TN19901377@TEST")</f>
        <v>TN19901377@TEST</v>
      </c>
      <c r="M364" s="7" t="str">
        <f>HYPERLINK("https://test.ictv.global/id/ICTV19791027","ICTV19791027@TEST")</f>
        <v>ICTV19791027@TEST</v>
      </c>
      <c r="N364" s="7" t="str">
        <f>HYPERLINK("https://ictv.global/id/TN19901377","TN19901377@prod")</f>
        <v>TN19901377@prod</v>
      </c>
      <c r="O364" s="7" t="str">
        <f>HYPERLINK("https://ictv.global/id/ICTV19791027","ICTV19791027@prod")</f>
        <v>ICTV19791027@prod</v>
      </c>
    </row>
    <row r="365" spans="1:15" x14ac:dyDescent="0.2">
      <c r="A365">
        <v>11</v>
      </c>
      <c r="B365">
        <v>19901410</v>
      </c>
      <c r="C365">
        <v>19821272</v>
      </c>
      <c r="D365" t="s">
        <v>29</v>
      </c>
      <c r="E365" t="s">
        <v>1350</v>
      </c>
      <c r="G365" t="s">
        <v>1165</v>
      </c>
      <c r="L365" s="7" t="str">
        <f>HYPERLINK("https://test.ictv.global/id/TN19901410","TN19901410@TEST")</f>
        <v>TN19901410@TEST</v>
      </c>
      <c r="M365" s="7" t="str">
        <f>HYPERLINK("https://test.ictv.global/id/ICTV19821272","ICTV19821272@TEST")</f>
        <v>ICTV19821272@TEST</v>
      </c>
      <c r="N365" s="7" t="str">
        <f>HYPERLINK("https://ictv.global/id/TN19901410","TN19901410@prod")</f>
        <v>TN19901410@prod</v>
      </c>
      <c r="O365" s="7" t="str">
        <f>HYPERLINK("https://ictv.global/id/ICTV19821272","ICTV19821272@prod")</f>
        <v>ICTV19821272@prod</v>
      </c>
    </row>
    <row r="366" spans="1:15" x14ac:dyDescent="0.2">
      <c r="A366">
        <v>11</v>
      </c>
      <c r="B366">
        <v>19901412</v>
      </c>
      <c r="C366">
        <v>19760745</v>
      </c>
      <c r="D366" t="s">
        <v>29</v>
      </c>
      <c r="E366" t="s">
        <v>1351</v>
      </c>
      <c r="F366" t="s">
        <v>1352</v>
      </c>
      <c r="G366" t="s">
        <v>1165</v>
      </c>
      <c r="L366" s="7" t="str">
        <f>HYPERLINK("https://test.ictv.global/id/TN19901412","TN19901412@TEST")</f>
        <v>TN19901412@TEST</v>
      </c>
      <c r="M366" s="7" t="str">
        <f>HYPERLINK("https://test.ictv.global/id/ICTV19760745","ICTV19760745@TEST")</f>
        <v>ICTV19760745@TEST</v>
      </c>
      <c r="N366" s="7" t="str">
        <f>HYPERLINK("https://ictv.global/id/TN19901412","TN19901412@prod")</f>
        <v>TN19901412@prod</v>
      </c>
      <c r="O366" s="7" t="str">
        <f>HYPERLINK("https://ictv.global/id/ICTV19760745","ICTV19760745@prod")</f>
        <v>ICTV19760745@prod</v>
      </c>
    </row>
    <row r="367" spans="1:15" x14ac:dyDescent="0.2">
      <c r="A367">
        <v>11</v>
      </c>
      <c r="B367">
        <v>19901431</v>
      </c>
      <c r="C367">
        <v>19821293</v>
      </c>
      <c r="D367" t="s">
        <v>29</v>
      </c>
      <c r="E367" t="s">
        <v>245</v>
      </c>
      <c r="G367" t="s">
        <v>33</v>
      </c>
      <c r="H367" t="s">
        <v>246</v>
      </c>
      <c r="I367" t="s">
        <v>29</v>
      </c>
      <c r="J367">
        <v>19911785</v>
      </c>
      <c r="K367">
        <v>19911785</v>
      </c>
      <c r="L367" s="7" t="str">
        <f>HYPERLINK("https://test.ictv.global/id/TN19901431","TN19901431@TEST")</f>
        <v>TN19901431@TEST</v>
      </c>
      <c r="M367" s="7" t="str">
        <f>HYPERLINK("https://test.ictv.global/id/ICTV19821293","ICTV19821293@TEST")</f>
        <v>ICTV19821293@TEST</v>
      </c>
      <c r="N367" s="7" t="str">
        <f>HYPERLINK("https://ictv.global/id/TN19901431","TN19901431@prod")</f>
        <v>TN19901431@prod</v>
      </c>
      <c r="O367" s="7" t="str">
        <f>HYPERLINK("https://ictv.global/id/ICTV19821293","ICTV19821293@prod")</f>
        <v>ICTV19821293@prod</v>
      </c>
    </row>
    <row r="368" spans="1:15" x14ac:dyDescent="0.2">
      <c r="A368">
        <v>11</v>
      </c>
      <c r="B368">
        <v>19901448</v>
      </c>
      <c r="C368">
        <v>19911785</v>
      </c>
      <c r="D368" t="s">
        <v>29</v>
      </c>
      <c r="E368" t="s">
        <v>246</v>
      </c>
      <c r="G368" t="s">
        <v>33</v>
      </c>
      <c r="H368" t="s">
        <v>246</v>
      </c>
      <c r="I368" t="s">
        <v>29</v>
      </c>
      <c r="J368">
        <v>19911785</v>
      </c>
      <c r="K368">
        <v>19911785</v>
      </c>
      <c r="L368" s="7" t="str">
        <f>HYPERLINK("https://test.ictv.global/id/TN19901448","TN19901448@TEST")</f>
        <v>TN19901448@TEST</v>
      </c>
      <c r="M368" s="7" t="str">
        <f>HYPERLINK("https://test.ictv.global/id/ICTV19911785","ICTV19911785@TEST")</f>
        <v>ICTV19911785@TEST</v>
      </c>
      <c r="N368" s="7" t="str">
        <f>HYPERLINK("https://ictv.global/id/TN19901448","TN19901448@prod")</f>
        <v>TN19901448@prod</v>
      </c>
      <c r="O368" s="7" t="str">
        <f>HYPERLINK("https://ictv.global/id/ICTV19911785","ICTV19911785@prod")</f>
        <v>ICTV19911785@prod</v>
      </c>
    </row>
    <row r="369" spans="1:15" x14ac:dyDescent="0.2">
      <c r="A369">
        <v>11</v>
      </c>
      <c r="B369">
        <v>19901454</v>
      </c>
      <c r="C369">
        <v>19911795</v>
      </c>
      <c r="D369" t="s">
        <v>29</v>
      </c>
      <c r="E369" t="s">
        <v>247</v>
      </c>
      <c r="F369" t="s">
        <v>1353</v>
      </c>
      <c r="G369" t="s">
        <v>33</v>
      </c>
      <c r="H369" t="s">
        <v>247</v>
      </c>
      <c r="I369" t="s">
        <v>29</v>
      </c>
      <c r="J369">
        <v>19911795</v>
      </c>
      <c r="K369">
        <v>19911795</v>
      </c>
      <c r="L369" s="7" t="str">
        <f>HYPERLINK("https://test.ictv.global/id/TN19901454","TN19901454@TEST")</f>
        <v>TN19901454@TEST</v>
      </c>
      <c r="M369" s="7" t="str">
        <f>HYPERLINK("https://test.ictv.global/id/ICTV19911795","ICTV19911795@TEST")</f>
        <v>ICTV19911795@TEST</v>
      </c>
      <c r="N369" s="7" t="str">
        <f>HYPERLINK("https://ictv.global/id/TN19901454","TN19901454@prod")</f>
        <v>TN19901454@prod</v>
      </c>
      <c r="O369" s="7" t="str">
        <f>HYPERLINK("https://ictv.global/id/ICTV19911795","ICTV19911795@prod")</f>
        <v>ICTV19911795@prod</v>
      </c>
    </row>
    <row r="370" spans="1:15" x14ac:dyDescent="0.2">
      <c r="A370">
        <v>11</v>
      </c>
      <c r="B370">
        <v>19901472</v>
      </c>
      <c r="C370">
        <v>19821334</v>
      </c>
      <c r="D370" t="s">
        <v>29</v>
      </c>
      <c r="E370" t="s">
        <v>248</v>
      </c>
      <c r="G370" t="s">
        <v>33</v>
      </c>
      <c r="H370" t="s">
        <v>247</v>
      </c>
      <c r="I370" t="s">
        <v>29</v>
      </c>
      <c r="J370">
        <v>19911795</v>
      </c>
      <c r="K370">
        <v>19911795</v>
      </c>
      <c r="L370" s="7" t="str">
        <f>HYPERLINK("https://test.ictv.global/id/TN19901472","TN19901472@TEST")</f>
        <v>TN19901472@TEST</v>
      </c>
      <c r="M370" s="7" t="str">
        <f>HYPERLINK("https://test.ictv.global/id/ICTV19821334","ICTV19821334@TEST")</f>
        <v>ICTV19821334@TEST</v>
      </c>
      <c r="N370" s="7" t="str">
        <f>HYPERLINK("https://ictv.global/id/TN19901472","TN19901472@prod")</f>
        <v>TN19901472@prod</v>
      </c>
      <c r="O370" s="7" t="str">
        <f>HYPERLINK("https://ictv.global/id/ICTV19821334","ICTV19821334@prod")</f>
        <v>ICTV19821334@prod</v>
      </c>
    </row>
    <row r="371" spans="1:15" x14ac:dyDescent="0.2">
      <c r="A371">
        <v>11</v>
      </c>
      <c r="B371">
        <v>19901479</v>
      </c>
      <c r="C371">
        <v>19911841</v>
      </c>
      <c r="D371" t="s">
        <v>29</v>
      </c>
      <c r="E371" t="s">
        <v>249</v>
      </c>
      <c r="F371" t="s">
        <v>1354</v>
      </c>
      <c r="G371" t="s">
        <v>33</v>
      </c>
      <c r="H371" t="s">
        <v>249</v>
      </c>
      <c r="I371" t="s">
        <v>29</v>
      </c>
      <c r="J371">
        <v>19911841</v>
      </c>
      <c r="K371">
        <v>19911841</v>
      </c>
      <c r="L371" s="7" t="str">
        <f>HYPERLINK("https://test.ictv.global/id/TN19901479","TN19901479@TEST")</f>
        <v>TN19901479@TEST</v>
      </c>
      <c r="M371" s="7" t="str">
        <f>HYPERLINK("https://test.ictv.global/id/ICTV19911841","ICTV19911841@TEST")</f>
        <v>ICTV19911841@TEST</v>
      </c>
      <c r="N371" s="7" t="str">
        <f>HYPERLINK("https://ictv.global/id/TN19901479","TN19901479@prod")</f>
        <v>TN19901479@prod</v>
      </c>
      <c r="O371" s="7" t="str">
        <f>HYPERLINK("https://ictv.global/id/ICTV19911841","ICTV19911841@prod")</f>
        <v>ICTV19911841@prod</v>
      </c>
    </row>
    <row r="372" spans="1:15" x14ac:dyDescent="0.2">
      <c r="A372">
        <v>11</v>
      </c>
      <c r="B372">
        <v>19901480</v>
      </c>
      <c r="C372">
        <v>19760835</v>
      </c>
      <c r="D372" t="s">
        <v>29</v>
      </c>
      <c r="E372" t="s">
        <v>250</v>
      </c>
      <c r="G372" t="s">
        <v>33</v>
      </c>
      <c r="H372" t="s">
        <v>249</v>
      </c>
      <c r="I372" t="s">
        <v>29</v>
      </c>
      <c r="J372">
        <v>19911841</v>
      </c>
      <c r="K372">
        <v>19911841</v>
      </c>
      <c r="L372" s="7" t="str">
        <f>HYPERLINK("https://test.ictv.global/id/TN19901480","TN19901480@TEST")</f>
        <v>TN19901480@TEST</v>
      </c>
      <c r="M372" s="7" t="str">
        <f>HYPERLINK("https://test.ictv.global/id/ICTV19760835","ICTV19760835@TEST")</f>
        <v>ICTV19760835@TEST</v>
      </c>
      <c r="N372" s="7" t="str">
        <f>HYPERLINK("https://ictv.global/id/TN19901480","TN19901480@prod")</f>
        <v>TN19901480@prod</v>
      </c>
      <c r="O372" s="7" t="str">
        <f>HYPERLINK("https://ictv.global/id/ICTV19760835","ICTV19760835@prod")</f>
        <v>ICTV19760835@prod</v>
      </c>
    </row>
    <row r="373" spans="1:15" x14ac:dyDescent="0.2">
      <c r="A373">
        <v>11</v>
      </c>
      <c r="B373">
        <v>19901502</v>
      </c>
      <c r="C373">
        <v>19710333</v>
      </c>
      <c r="D373" t="s">
        <v>29</v>
      </c>
      <c r="E373" t="s">
        <v>1355</v>
      </c>
      <c r="G373" t="s">
        <v>1165</v>
      </c>
      <c r="L373" s="7" t="str">
        <f>HYPERLINK("https://test.ictv.global/id/TN19901502","TN19901502@TEST")</f>
        <v>TN19901502@TEST</v>
      </c>
      <c r="M373" s="7" t="str">
        <f>HYPERLINK("https://test.ictv.global/id/ICTV19710333","ICTV19710333@TEST")</f>
        <v>ICTV19710333@TEST</v>
      </c>
      <c r="N373" s="7" t="str">
        <f>HYPERLINK("https://ictv.global/id/TN19901502","TN19901502@prod")</f>
        <v>TN19901502@prod</v>
      </c>
      <c r="O373" s="7" t="str">
        <f>HYPERLINK("https://ictv.global/id/ICTV19710333","ICTV19710333@prod")</f>
        <v>ICTV19710333@prod</v>
      </c>
    </row>
    <row r="374" spans="1:15" x14ac:dyDescent="0.2">
      <c r="A374">
        <v>12</v>
      </c>
      <c r="B374">
        <v>19910050</v>
      </c>
      <c r="C374">
        <v>19900050</v>
      </c>
      <c r="D374" t="s">
        <v>26</v>
      </c>
      <c r="E374" t="s">
        <v>1356</v>
      </c>
      <c r="G374" t="s">
        <v>1165</v>
      </c>
      <c r="L374" s="7" t="str">
        <f>HYPERLINK("https://test.ictv.global/id/TN19910050","TN19910050@TEST")</f>
        <v>TN19910050@TEST</v>
      </c>
      <c r="M374" s="7" t="str">
        <f>HYPERLINK("https://test.ictv.global/id/ICTV19900050","ICTV19900050@TEST")</f>
        <v>ICTV19900050@TEST</v>
      </c>
      <c r="N374" s="7" t="str">
        <f>HYPERLINK("https://ictv.global/id/TN19910050","TN19910050@prod")</f>
        <v>TN19910050@prod</v>
      </c>
      <c r="O374" s="7" t="str">
        <f>HYPERLINK("https://ictv.global/id/ICTV19900050","ICTV19900050@prod")</f>
        <v>ICTV19900050@prod</v>
      </c>
    </row>
    <row r="375" spans="1:15" x14ac:dyDescent="0.2">
      <c r="A375">
        <v>12</v>
      </c>
      <c r="B375">
        <v>19910051</v>
      </c>
      <c r="C375">
        <v>19900051</v>
      </c>
      <c r="D375" t="s">
        <v>26</v>
      </c>
      <c r="E375" t="s">
        <v>1357</v>
      </c>
      <c r="G375" t="s">
        <v>1165</v>
      </c>
      <c r="L375" s="7" t="str">
        <f>HYPERLINK("https://test.ictv.global/id/TN19910051","TN19910051@TEST")</f>
        <v>TN19910051@TEST</v>
      </c>
      <c r="M375" s="7" t="str">
        <f>HYPERLINK("https://test.ictv.global/id/ICTV19900051","ICTV19900051@TEST")</f>
        <v>ICTV19900051@TEST</v>
      </c>
      <c r="N375" s="7" t="str">
        <f>HYPERLINK("https://ictv.global/id/TN19910051","TN19910051@prod")</f>
        <v>TN19910051@prod</v>
      </c>
      <c r="O375" s="7" t="str">
        <f>HYPERLINK("https://ictv.global/id/ICTV19900051","ICTV19900051@prod")</f>
        <v>ICTV19900051@prod</v>
      </c>
    </row>
    <row r="376" spans="1:15" x14ac:dyDescent="0.2">
      <c r="A376">
        <v>12</v>
      </c>
      <c r="B376">
        <v>19910102</v>
      </c>
      <c r="C376">
        <v>19900101</v>
      </c>
      <c r="D376" t="s">
        <v>19</v>
      </c>
      <c r="E376" t="s">
        <v>194</v>
      </c>
      <c r="G376" t="s">
        <v>186</v>
      </c>
      <c r="H376" t="s">
        <v>251</v>
      </c>
      <c r="I376" t="s">
        <v>19</v>
      </c>
      <c r="J376">
        <v>19930121</v>
      </c>
      <c r="K376">
        <v>19930121</v>
      </c>
      <c r="L376" s="7" t="str">
        <f>HYPERLINK("https://test.ictv.global/id/TN19910102","TN19910102@TEST")</f>
        <v>TN19910102@TEST</v>
      </c>
      <c r="M376" s="7" t="str">
        <f>HYPERLINK("https://test.ictv.global/id/ICTV19900101","ICTV19900101@TEST")</f>
        <v>ICTV19900101@TEST</v>
      </c>
      <c r="N376" s="7" t="str">
        <f>HYPERLINK("https://ictv.global/id/TN19910102","TN19910102@prod")</f>
        <v>TN19910102@prod</v>
      </c>
      <c r="O376" s="7" t="str">
        <f>HYPERLINK("https://ictv.global/id/ICTV19900101","ICTV19900101@prod")</f>
        <v>ICTV19900101@prod</v>
      </c>
    </row>
    <row r="377" spans="1:15" x14ac:dyDescent="0.2">
      <c r="A377">
        <v>12</v>
      </c>
      <c r="B377">
        <v>19910103</v>
      </c>
      <c r="C377">
        <v>19900102</v>
      </c>
      <c r="D377" t="s">
        <v>19</v>
      </c>
      <c r="E377" t="s">
        <v>195</v>
      </c>
      <c r="G377" t="s">
        <v>186</v>
      </c>
      <c r="H377" t="s">
        <v>251</v>
      </c>
      <c r="I377" t="s">
        <v>19</v>
      </c>
      <c r="J377">
        <v>19930121</v>
      </c>
      <c r="K377">
        <v>19930121</v>
      </c>
      <c r="L377" s="7" t="str">
        <f>HYPERLINK("https://test.ictv.global/id/TN19910103","TN19910103@TEST")</f>
        <v>TN19910103@TEST</v>
      </c>
      <c r="M377" s="7" t="str">
        <f>HYPERLINK("https://test.ictv.global/id/ICTV19900102","ICTV19900102@TEST")</f>
        <v>ICTV19900102@TEST</v>
      </c>
      <c r="N377" s="7" t="str">
        <f>HYPERLINK("https://ictv.global/id/TN19910103","TN19910103@prod")</f>
        <v>TN19910103@prod</v>
      </c>
      <c r="O377" s="7" t="str">
        <f>HYPERLINK("https://ictv.global/id/ICTV19900102","ICTV19900102@prod")</f>
        <v>ICTV19900102@prod</v>
      </c>
    </row>
    <row r="378" spans="1:15" x14ac:dyDescent="0.2">
      <c r="A378">
        <v>12</v>
      </c>
      <c r="B378">
        <v>19910104</v>
      </c>
      <c r="C378">
        <v>19900103</v>
      </c>
      <c r="D378" t="s">
        <v>19</v>
      </c>
      <c r="E378" t="s">
        <v>196</v>
      </c>
      <c r="G378" t="s">
        <v>1165</v>
      </c>
      <c r="L378" s="7" t="str">
        <f>HYPERLINK("https://test.ictv.global/id/TN19910104","TN19910104@TEST")</f>
        <v>TN19910104@TEST</v>
      </c>
      <c r="M378" s="7" t="str">
        <f>HYPERLINK("https://test.ictv.global/id/ICTV19900103","ICTV19900103@TEST")</f>
        <v>ICTV19900103@TEST</v>
      </c>
      <c r="N378" s="7" t="str">
        <f>HYPERLINK("https://ictv.global/id/TN19910104","TN19910104@prod")</f>
        <v>TN19910104@prod</v>
      </c>
      <c r="O378" s="7" t="str">
        <f>HYPERLINK("https://ictv.global/id/ICTV19900103","ICTV19900103@prod")</f>
        <v>ICTV19900103@prod</v>
      </c>
    </row>
    <row r="379" spans="1:15" x14ac:dyDescent="0.2">
      <c r="A379">
        <v>12</v>
      </c>
      <c r="B379">
        <v>19910105</v>
      </c>
      <c r="C379">
        <v>19840083</v>
      </c>
      <c r="D379" t="s">
        <v>19</v>
      </c>
      <c r="E379" t="s">
        <v>252</v>
      </c>
      <c r="G379" t="s">
        <v>53</v>
      </c>
      <c r="H379" t="s">
        <v>253</v>
      </c>
      <c r="I379" t="s">
        <v>19</v>
      </c>
      <c r="J379">
        <v>19930123</v>
      </c>
      <c r="K379">
        <v>19930123</v>
      </c>
      <c r="L379" s="7" t="str">
        <f>HYPERLINK("https://test.ictv.global/id/TN19910105","TN19910105@TEST")</f>
        <v>TN19910105@TEST</v>
      </c>
      <c r="M379" s="7" t="str">
        <f>HYPERLINK("https://test.ictv.global/id/ICTV19840083","ICTV19840083@TEST")</f>
        <v>ICTV19840083@TEST</v>
      </c>
      <c r="N379" s="7" t="str">
        <f>HYPERLINK("https://ictv.global/id/TN19910105","TN19910105@prod")</f>
        <v>TN19910105@prod</v>
      </c>
      <c r="O379" s="7" t="str">
        <f>HYPERLINK("https://ictv.global/id/ICTV19840083","ICTV19840083@prod")</f>
        <v>ICTV19840083@prod</v>
      </c>
    </row>
    <row r="380" spans="1:15" x14ac:dyDescent="0.2">
      <c r="A380">
        <v>12</v>
      </c>
      <c r="B380">
        <v>19910105</v>
      </c>
      <c r="C380">
        <v>19840083</v>
      </c>
      <c r="D380" t="s">
        <v>19</v>
      </c>
      <c r="E380" t="s">
        <v>252</v>
      </c>
      <c r="G380" t="s">
        <v>53</v>
      </c>
      <c r="H380" t="s">
        <v>254</v>
      </c>
      <c r="I380" t="s">
        <v>19</v>
      </c>
      <c r="J380">
        <v>19930124</v>
      </c>
      <c r="K380">
        <v>19930124</v>
      </c>
      <c r="L380" s="7" t="str">
        <f>HYPERLINK("https://test.ictv.global/id/TN19910105","TN19910105@TEST")</f>
        <v>TN19910105@TEST</v>
      </c>
      <c r="M380" s="7" t="str">
        <f>HYPERLINK("https://test.ictv.global/id/ICTV19840083","ICTV19840083@TEST")</f>
        <v>ICTV19840083@TEST</v>
      </c>
      <c r="N380" s="7" t="str">
        <f>HYPERLINK("https://ictv.global/id/TN19910105","TN19910105@prod")</f>
        <v>TN19910105@prod</v>
      </c>
      <c r="O380" s="7" t="str">
        <f>HYPERLINK("https://ictv.global/id/ICTV19840083","ICTV19840083@prod")</f>
        <v>ICTV19840083@prod</v>
      </c>
    </row>
    <row r="381" spans="1:15" x14ac:dyDescent="0.2">
      <c r="A381">
        <v>12</v>
      </c>
      <c r="B381">
        <v>19910105</v>
      </c>
      <c r="C381">
        <v>19840083</v>
      </c>
      <c r="D381" t="s">
        <v>19</v>
      </c>
      <c r="E381" t="s">
        <v>252</v>
      </c>
      <c r="G381" t="s">
        <v>53</v>
      </c>
      <c r="H381" t="s">
        <v>255</v>
      </c>
      <c r="I381" t="s">
        <v>19</v>
      </c>
      <c r="J381">
        <v>19930125</v>
      </c>
      <c r="K381">
        <v>19930125</v>
      </c>
      <c r="L381" s="7" t="str">
        <f>HYPERLINK("https://test.ictv.global/id/TN19910105","TN19910105@TEST")</f>
        <v>TN19910105@TEST</v>
      </c>
      <c r="M381" s="7" t="str">
        <f>HYPERLINK("https://test.ictv.global/id/ICTV19840083","ICTV19840083@TEST")</f>
        <v>ICTV19840083@TEST</v>
      </c>
      <c r="N381" s="7" t="str">
        <f>HYPERLINK("https://ictv.global/id/TN19910105","TN19910105@prod")</f>
        <v>TN19910105@prod</v>
      </c>
      <c r="O381" s="7" t="str">
        <f>HYPERLINK("https://ictv.global/id/ICTV19840083","ICTV19840083@prod")</f>
        <v>ICTV19840083@prod</v>
      </c>
    </row>
    <row r="382" spans="1:15" x14ac:dyDescent="0.2">
      <c r="A382">
        <v>12</v>
      </c>
      <c r="B382">
        <v>19910430</v>
      </c>
      <c r="C382">
        <v>19900356</v>
      </c>
      <c r="D382" t="s">
        <v>29</v>
      </c>
      <c r="E382" t="s">
        <v>1358</v>
      </c>
      <c r="G382" t="s">
        <v>1165</v>
      </c>
      <c r="L382" s="7" t="str">
        <f>HYPERLINK("https://test.ictv.global/id/TN19910430","TN19910430@TEST")</f>
        <v>TN19910430@TEST</v>
      </c>
      <c r="M382" s="7" t="str">
        <f>HYPERLINK("https://test.ictv.global/id/ICTV19900356","ICTV19900356@TEST")</f>
        <v>ICTV19900356@TEST</v>
      </c>
      <c r="N382" s="7" t="str">
        <f>HYPERLINK("https://ictv.global/id/TN19910430","TN19910430@prod")</f>
        <v>TN19910430@prod</v>
      </c>
      <c r="O382" s="7" t="str">
        <f>HYPERLINK("https://ictv.global/id/ICTV19900356","ICTV19900356@prod")</f>
        <v>ICTV19900356@prod</v>
      </c>
    </row>
    <row r="383" spans="1:15" x14ac:dyDescent="0.2">
      <c r="A383">
        <v>12</v>
      </c>
      <c r="B383">
        <v>19910431</v>
      </c>
      <c r="C383">
        <v>19760137</v>
      </c>
      <c r="D383" t="s">
        <v>29</v>
      </c>
      <c r="E383" t="s">
        <v>1359</v>
      </c>
      <c r="G383" t="s">
        <v>1165</v>
      </c>
      <c r="L383" s="7" t="str">
        <f>HYPERLINK("https://test.ictv.global/id/TN19910431","TN19910431@TEST")</f>
        <v>TN19910431@TEST</v>
      </c>
      <c r="M383" s="7" t="str">
        <f>HYPERLINK("https://test.ictv.global/id/ICTV19760137","ICTV19760137@TEST")</f>
        <v>ICTV19760137@TEST</v>
      </c>
      <c r="N383" s="7" t="str">
        <f>HYPERLINK("https://ictv.global/id/TN19910431","TN19910431@prod")</f>
        <v>TN19910431@prod</v>
      </c>
      <c r="O383" s="7" t="str">
        <f>HYPERLINK("https://ictv.global/id/ICTV19760137","ICTV19760137@prod")</f>
        <v>ICTV19760137@prod</v>
      </c>
    </row>
    <row r="384" spans="1:15" x14ac:dyDescent="0.2">
      <c r="A384">
        <v>12</v>
      </c>
      <c r="B384">
        <v>19910435</v>
      </c>
      <c r="C384">
        <v>19910435</v>
      </c>
      <c r="D384" t="s">
        <v>29</v>
      </c>
      <c r="E384" t="s">
        <v>1360</v>
      </c>
      <c r="G384" t="s">
        <v>1165</v>
      </c>
      <c r="L384" s="7" t="str">
        <f>HYPERLINK("https://test.ictv.global/id/TN19910435","TN19910435@TEST")</f>
        <v>TN19910435@TEST</v>
      </c>
      <c r="M384" s="7" t="str">
        <f>HYPERLINK("https://test.ictv.global/id/ICTV19910435","ICTV19910435@TEST")</f>
        <v>ICTV19910435@TEST</v>
      </c>
      <c r="N384" s="7" t="str">
        <f>HYPERLINK("https://ictv.global/id/TN19910435","TN19910435@prod")</f>
        <v>TN19910435@prod</v>
      </c>
      <c r="O384" s="7" t="str">
        <f>HYPERLINK("https://ictv.global/id/ICTV19910435","ICTV19910435@prod")</f>
        <v>ICTV19910435@prod</v>
      </c>
    </row>
    <row r="385" spans="1:15" x14ac:dyDescent="0.2">
      <c r="A385">
        <v>12</v>
      </c>
      <c r="B385">
        <v>19910436</v>
      </c>
      <c r="C385">
        <v>19910436</v>
      </c>
      <c r="D385" t="s">
        <v>29</v>
      </c>
      <c r="E385" t="s">
        <v>1361</v>
      </c>
      <c r="G385" t="s">
        <v>1165</v>
      </c>
      <c r="L385" s="7" t="str">
        <f>HYPERLINK("https://test.ictv.global/id/TN19910436","TN19910436@TEST")</f>
        <v>TN19910436@TEST</v>
      </c>
      <c r="M385" s="7" t="str">
        <f>HYPERLINK("https://test.ictv.global/id/ICTV19910436","ICTV19910436@TEST")</f>
        <v>ICTV19910436@TEST</v>
      </c>
      <c r="N385" s="7" t="str">
        <f>HYPERLINK("https://ictv.global/id/TN19910436","TN19910436@prod")</f>
        <v>TN19910436@prod</v>
      </c>
      <c r="O385" s="7" t="str">
        <f>HYPERLINK("https://ictv.global/id/ICTV19910436","ICTV19910436@prod")</f>
        <v>ICTV19910436@prod</v>
      </c>
    </row>
    <row r="386" spans="1:15" x14ac:dyDescent="0.2">
      <c r="A386">
        <v>13</v>
      </c>
      <c r="B386">
        <v>19930271</v>
      </c>
      <c r="C386">
        <v>19870484</v>
      </c>
      <c r="D386" t="s">
        <v>29</v>
      </c>
      <c r="E386" t="s">
        <v>256</v>
      </c>
      <c r="G386" t="s">
        <v>53</v>
      </c>
      <c r="H386" t="s">
        <v>257</v>
      </c>
      <c r="I386" t="s">
        <v>29</v>
      </c>
      <c r="J386">
        <v>19950285</v>
      </c>
      <c r="K386">
        <v>19950285</v>
      </c>
      <c r="L386" s="7" t="str">
        <f>HYPERLINK("https://test.ictv.global/id/TN19930271","TN19930271@TEST")</f>
        <v>TN19930271@TEST</v>
      </c>
      <c r="M386" s="7" t="str">
        <f>HYPERLINK("https://test.ictv.global/id/ICTV19870484","ICTV19870484@TEST")</f>
        <v>ICTV19870484@TEST</v>
      </c>
      <c r="N386" s="7" t="str">
        <f>HYPERLINK("https://ictv.global/id/TN19930271","TN19930271@prod")</f>
        <v>TN19930271@prod</v>
      </c>
      <c r="O386" s="7" t="str">
        <f>HYPERLINK("https://ictv.global/id/ICTV19870484","ICTV19870484@prod")</f>
        <v>ICTV19870484@prod</v>
      </c>
    </row>
    <row r="387" spans="1:15" x14ac:dyDescent="0.2">
      <c r="A387">
        <v>13</v>
      </c>
      <c r="B387">
        <v>19930271</v>
      </c>
      <c r="C387">
        <v>19870484</v>
      </c>
      <c r="D387" t="s">
        <v>29</v>
      </c>
      <c r="E387" t="s">
        <v>256</v>
      </c>
      <c r="G387" t="s">
        <v>53</v>
      </c>
      <c r="H387" t="s">
        <v>258</v>
      </c>
      <c r="I387" t="s">
        <v>29</v>
      </c>
      <c r="J387">
        <v>19950286</v>
      </c>
      <c r="K387">
        <v>19950286</v>
      </c>
      <c r="L387" s="7" t="str">
        <f>HYPERLINK("https://test.ictv.global/id/TN19930271","TN19930271@TEST")</f>
        <v>TN19930271@TEST</v>
      </c>
      <c r="M387" s="7" t="str">
        <f>HYPERLINK("https://test.ictv.global/id/ICTV19870484","ICTV19870484@TEST")</f>
        <v>ICTV19870484@TEST</v>
      </c>
      <c r="N387" s="7" t="str">
        <f>HYPERLINK("https://ictv.global/id/TN19930271","TN19930271@prod")</f>
        <v>TN19930271@prod</v>
      </c>
      <c r="O387" s="7" t="str">
        <f>HYPERLINK("https://ictv.global/id/ICTV19870484","ICTV19870484@prod")</f>
        <v>ICTV19870484@prod</v>
      </c>
    </row>
    <row r="388" spans="1:15" x14ac:dyDescent="0.2">
      <c r="A388">
        <v>13</v>
      </c>
      <c r="B388">
        <v>19930271</v>
      </c>
      <c r="C388">
        <v>19870484</v>
      </c>
      <c r="D388" t="s">
        <v>29</v>
      </c>
      <c r="E388" t="s">
        <v>256</v>
      </c>
      <c r="G388" t="s">
        <v>53</v>
      </c>
      <c r="H388" t="s">
        <v>259</v>
      </c>
      <c r="I388" t="s">
        <v>29</v>
      </c>
      <c r="J388">
        <v>19950287</v>
      </c>
      <c r="K388">
        <v>19950287</v>
      </c>
      <c r="L388" s="7" t="str">
        <f>HYPERLINK("https://test.ictv.global/id/TN19930271","TN19930271@TEST")</f>
        <v>TN19930271@TEST</v>
      </c>
      <c r="M388" s="7" t="str">
        <f>HYPERLINK("https://test.ictv.global/id/ICTV19870484","ICTV19870484@TEST")</f>
        <v>ICTV19870484@TEST</v>
      </c>
      <c r="N388" s="7" t="str">
        <f>HYPERLINK("https://ictv.global/id/TN19930271","TN19930271@prod")</f>
        <v>TN19930271@prod</v>
      </c>
      <c r="O388" s="7" t="str">
        <f>HYPERLINK("https://ictv.global/id/ICTV19870484","ICTV19870484@prod")</f>
        <v>ICTV19870484@prod</v>
      </c>
    </row>
    <row r="389" spans="1:15" x14ac:dyDescent="0.2">
      <c r="A389">
        <v>13</v>
      </c>
      <c r="B389">
        <v>19930291</v>
      </c>
      <c r="C389">
        <v>19710232</v>
      </c>
      <c r="D389" t="s">
        <v>29</v>
      </c>
      <c r="E389" t="s">
        <v>260</v>
      </c>
      <c r="G389" t="s">
        <v>100</v>
      </c>
      <c r="H389" t="s">
        <v>261</v>
      </c>
      <c r="I389" t="s">
        <v>29</v>
      </c>
      <c r="J389">
        <v>19950310</v>
      </c>
      <c r="K389">
        <v>19950310</v>
      </c>
      <c r="L389" s="7" t="str">
        <f>HYPERLINK("https://test.ictv.global/id/TN19930291","TN19930291@TEST")</f>
        <v>TN19930291@TEST</v>
      </c>
      <c r="M389" s="7" t="str">
        <f>HYPERLINK("https://test.ictv.global/id/ICTV19710232","ICTV19710232@TEST")</f>
        <v>ICTV19710232@TEST</v>
      </c>
      <c r="N389" s="7" t="str">
        <f>HYPERLINK("https://ictv.global/id/TN19930291","TN19930291@prod")</f>
        <v>TN19930291@prod</v>
      </c>
      <c r="O389" s="7" t="str">
        <f>HYPERLINK("https://ictv.global/id/ICTV19710232","ICTV19710232@prod")</f>
        <v>ICTV19710232@prod</v>
      </c>
    </row>
    <row r="390" spans="1:15" x14ac:dyDescent="0.2">
      <c r="A390">
        <v>13</v>
      </c>
      <c r="B390">
        <v>19930291</v>
      </c>
      <c r="C390">
        <v>19710232</v>
      </c>
      <c r="D390" t="s">
        <v>29</v>
      </c>
      <c r="E390" t="s">
        <v>260</v>
      </c>
      <c r="G390" t="s">
        <v>100</v>
      </c>
      <c r="H390" t="s">
        <v>262</v>
      </c>
      <c r="I390" t="s">
        <v>29</v>
      </c>
      <c r="J390">
        <v>19950311</v>
      </c>
      <c r="K390">
        <v>19950311</v>
      </c>
      <c r="L390" s="7" t="str">
        <f>HYPERLINK("https://test.ictv.global/id/TN19930291","TN19930291@TEST")</f>
        <v>TN19930291@TEST</v>
      </c>
      <c r="M390" s="7" t="str">
        <f>HYPERLINK("https://test.ictv.global/id/ICTV19710232","ICTV19710232@TEST")</f>
        <v>ICTV19710232@TEST</v>
      </c>
      <c r="N390" s="7" t="str">
        <f>HYPERLINK("https://ictv.global/id/TN19930291","TN19930291@prod")</f>
        <v>TN19930291@prod</v>
      </c>
      <c r="O390" s="7" t="str">
        <f>HYPERLINK("https://ictv.global/id/ICTV19710232","ICTV19710232@prod")</f>
        <v>ICTV19710232@prod</v>
      </c>
    </row>
    <row r="391" spans="1:15" x14ac:dyDescent="0.2">
      <c r="A391">
        <v>13</v>
      </c>
      <c r="B391">
        <v>19930312</v>
      </c>
      <c r="C391">
        <v>19760547</v>
      </c>
      <c r="D391" t="s">
        <v>29</v>
      </c>
      <c r="E391" t="s">
        <v>1362</v>
      </c>
      <c r="G391" t="s">
        <v>1165</v>
      </c>
      <c r="L391" s="7" t="str">
        <f>HYPERLINK("https://test.ictv.global/id/TN19930312","TN19930312@TEST")</f>
        <v>TN19930312@TEST</v>
      </c>
      <c r="M391" s="7" t="str">
        <f>HYPERLINK("https://test.ictv.global/id/ICTV19760547","ICTV19760547@TEST")</f>
        <v>ICTV19760547@TEST</v>
      </c>
      <c r="N391" s="7" t="str">
        <f>HYPERLINK("https://ictv.global/id/TN19930312","TN19930312@prod")</f>
        <v>TN19930312@prod</v>
      </c>
      <c r="O391" s="7" t="str">
        <f>HYPERLINK("https://ictv.global/id/ICTV19760547","ICTV19760547@prod")</f>
        <v>ICTV19760547@prod</v>
      </c>
    </row>
    <row r="392" spans="1:15" x14ac:dyDescent="0.2">
      <c r="A392">
        <v>13</v>
      </c>
      <c r="B392">
        <v>19930315</v>
      </c>
      <c r="C392">
        <v>19760550</v>
      </c>
      <c r="D392" t="s">
        <v>29</v>
      </c>
      <c r="E392" t="s">
        <v>1363</v>
      </c>
      <c r="G392" t="s">
        <v>1165</v>
      </c>
      <c r="L392" s="7" t="str">
        <f>HYPERLINK("https://test.ictv.global/id/TN19930315","TN19930315@TEST")</f>
        <v>TN19930315@TEST</v>
      </c>
      <c r="M392" s="7" t="str">
        <f>HYPERLINK("https://test.ictv.global/id/ICTV19760550","ICTV19760550@TEST")</f>
        <v>ICTV19760550@TEST</v>
      </c>
      <c r="N392" s="7" t="str">
        <f>HYPERLINK("https://ictv.global/id/TN19930315","TN19930315@prod")</f>
        <v>TN19930315@prod</v>
      </c>
      <c r="O392" s="7" t="str">
        <f>HYPERLINK("https://ictv.global/id/ICTV19760550","ICTV19760550@prod")</f>
        <v>ICTV19760550@prod</v>
      </c>
    </row>
    <row r="393" spans="1:15" x14ac:dyDescent="0.2">
      <c r="A393">
        <v>13</v>
      </c>
      <c r="B393">
        <v>19930341</v>
      </c>
      <c r="C393">
        <v>19910305</v>
      </c>
      <c r="D393" t="s">
        <v>29</v>
      </c>
      <c r="E393" t="s">
        <v>1364</v>
      </c>
      <c r="G393" t="s">
        <v>1165</v>
      </c>
      <c r="L393" s="7" t="str">
        <f>HYPERLINK("https://test.ictv.global/id/TN19930341","TN19930341@TEST")</f>
        <v>TN19930341@TEST</v>
      </c>
      <c r="M393" s="7" t="str">
        <f>HYPERLINK("https://test.ictv.global/id/ICTV19910305","ICTV19910305@TEST")</f>
        <v>ICTV19910305@TEST</v>
      </c>
      <c r="N393" s="7" t="str">
        <f>HYPERLINK("https://ictv.global/id/TN19930341","TN19930341@prod")</f>
        <v>TN19930341@prod</v>
      </c>
      <c r="O393" s="7" t="str">
        <f>HYPERLINK("https://ictv.global/id/ICTV19910305","ICTV19910305@prod")</f>
        <v>ICTV19910305@prod</v>
      </c>
    </row>
    <row r="394" spans="1:15" x14ac:dyDescent="0.2">
      <c r="A394">
        <v>13</v>
      </c>
      <c r="B394">
        <v>19930481</v>
      </c>
      <c r="C394">
        <v>19950542</v>
      </c>
      <c r="D394" t="s">
        <v>29</v>
      </c>
      <c r="E394" t="s">
        <v>174</v>
      </c>
      <c r="F394" t="s">
        <v>1265</v>
      </c>
      <c r="G394" t="s">
        <v>33</v>
      </c>
      <c r="H394" t="s">
        <v>174</v>
      </c>
      <c r="I394" t="s">
        <v>29</v>
      </c>
      <c r="J394">
        <v>19950542</v>
      </c>
      <c r="K394">
        <v>19950542</v>
      </c>
      <c r="L394" s="7" t="str">
        <f>HYPERLINK("https://test.ictv.global/id/TN19930481","TN19930481@TEST")</f>
        <v>TN19930481@TEST</v>
      </c>
      <c r="M394" s="7" t="str">
        <f>HYPERLINK("https://test.ictv.global/id/ICTV19950542","ICTV19950542@TEST")</f>
        <v>ICTV19950542@TEST</v>
      </c>
      <c r="N394" s="7" t="str">
        <f>HYPERLINK("https://ictv.global/id/TN19930481","TN19930481@prod")</f>
        <v>TN19930481@prod</v>
      </c>
      <c r="O394" s="7" t="str">
        <f>HYPERLINK("https://ictv.global/id/ICTV19950542","ICTV19950542@prod")</f>
        <v>ICTV19950542@prod</v>
      </c>
    </row>
    <row r="395" spans="1:15" x14ac:dyDescent="0.2">
      <c r="A395">
        <v>13</v>
      </c>
      <c r="B395">
        <v>19930484</v>
      </c>
      <c r="C395">
        <v>19911673</v>
      </c>
      <c r="D395" t="s">
        <v>29</v>
      </c>
      <c r="E395" t="s">
        <v>263</v>
      </c>
      <c r="G395" t="s">
        <v>33</v>
      </c>
      <c r="H395" t="s">
        <v>178</v>
      </c>
      <c r="I395" t="s">
        <v>29</v>
      </c>
      <c r="J395">
        <v>19950553</v>
      </c>
      <c r="K395">
        <v>19950553</v>
      </c>
      <c r="L395" s="7" t="str">
        <f>HYPERLINK("https://test.ictv.global/id/TN19930484","TN19930484@TEST")</f>
        <v>TN19930484@TEST</v>
      </c>
      <c r="M395" s="7" t="str">
        <f>HYPERLINK("https://test.ictv.global/id/ICTV19911673","ICTV19911673@TEST")</f>
        <v>ICTV19911673@TEST</v>
      </c>
      <c r="N395" s="7" t="str">
        <f>HYPERLINK("https://ictv.global/id/TN19930484","TN19930484@prod")</f>
        <v>TN19930484@prod</v>
      </c>
      <c r="O395" s="7" t="str">
        <f>HYPERLINK("https://ictv.global/id/ICTV19911673","ICTV19911673@prod")</f>
        <v>ICTV19911673@prod</v>
      </c>
    </row>
    <row r="396" spans="1:15" x14ac:dyDescent="0.2">
      <c r="A396">
        <v>13</v>
      </c>
      <c r="B396">
        <v>19930487</v>
      </c>
      <c r="C396">
        <v>19911676</v>
      </c>
      <c r="D396" t="s">
        <v>29</v>
      </c>
      <c r="E396" t="s">
        <v>179</v>
      </c>
      <c r="G396" t="s">
        <v>33</v>
      </c>
      <c r="H396" t="s">
        <v>178</v>
      </c>
      <c r="I396" t="s">
        <v>29</v>
      </c>
      <c r="J396">
        <v>19950553</v>
      </c>
      <c r="K396">
        <v>19950553</v>
      </c>
      <c r="L396" s="7" t="str">
        <f>HYPERLINK("https://test.ictv.global/id/TN19930487","TN19930487@TEST")</f>
        <v>TN19930487@TEST</v>
      </c>
      <c r="M396" s="7" t="str">
        <f>HYPERLINK("https://test.ictv.global/id/ICTV19911676","ICTV19911676@TEST")</f>
        <v>ICTV19911676@TEST</v>
      </c>
      <c r="N396" s="7" t="str">
        <f>HYPERLINK("https://ictv.global/id/TN19930487","TN19930487@prod")</f>
        <v>TN19930487@prod</v>
      </c>
      <c r="O396" s="7" t="str">
        <f>HYPERLINK("https://ictv.global/id/ICTV19911676","ICTV19911676@prod")</f>
        <v>ICTV19911676@prod</v>
      </c>
    </row>
    <row r="397" spans="1:15" x14ac:dyDescent="0.2">
      <c r="A397">
        <v>13</v>
      </c>
      <c r="B397">
        <v>19930489</v>
      </c>
      <c r="C397">
        <v>19911678</v>
      </c>
      <c r="D397" t="s">
        <v>29</v>
      </c>
      <c r="E397" t="s">
        <v>180</v>
      </c>
      <c r="G397" t="s">
        <v>33</v>
      </c>
      <c r="H397" t="s">
        <v>174</v>
      </c>
      <c r="I397" t="s">
        <v>29</v>
      </c>
      <c r="J397">
        <v>19950542</v>
      </c>
      <c r="K397">
        <v>19950542</v>
      </c>
      <c r="L397" s="7" t="str">
        <f>HYPERLINK("https://test.ictv.global/id/TN19930489","TN19930489@TEST")</f>
        <v>TN19930489@TEST</v>
      </c>
      <c r="M397" s="7" t="str">
        <f>HYPERLINK("https://test.ictv.global/id/ICTV19911678","ICTV19911678@TEST")</f>
        <v>ICTV19911678@TEST</v>
      </c>
      <c r="N397" s="7" t="str">
        <f>HYPERLINK("https://ictv.global/id/TN19930489","TN19930489@prod")</f>
        <v>TN19930489@prod</v>
      </c>
      <c r="O397" s="7" t="str">
        <f>HYPERLINK("https://ictv.global/id/ICTV19911678","ICTV19911678@prod")</f>
        <v>ICTV19911678@prod</v>
      </c>
    </row>
    <row r="398" spans="1:15" x14ac:dyDescent="0.2">
      <c r="A398">
        <v>13</v>
      </c>
      <c r="B398">
        <v>19930490</v>
      </c>
      <c r="C398">
        <v>19911679</v>
      </c>
      <c r="D398" t="s">
        <v>29</v>
      </c>
      <c r="E398" t="s">
        <v>181</v>
      </c>
      <c r="G398" t="s">
        <v>33</v>
      </c>
      <c r="H398" t="s">
        <v>178</v>
      </c>
      <c r="I398" t="s">
        <v>29</v>
      </c>
      <c r="J398">
        <v>19950553</v>
      </c>
      <c r="K398">
        <v>19950553</v>
      </c>
      <c r="L398" s="7" t="str">
        <f>HYPERLINK("https://test.ictv.global/id/TN19930490","TN19930490@TEST")</f>
        <v>TN19930490@TEST</v>
      </c>
      <c r="M398" s="7" t="str">
        <f>HYPERLINK("https://test.ictv.global/id/ICTV19911679","ICTV19911679@TEST")</f>
        <v>ICTV19911679@TEST</v>
      </c>
      <c r="N398" s="7" t="str">
        <f>HYPERLINK("https://ictv.global/id/TN19930490","TN19930490@prod")</f>
        <v>TN19930490@prod</v>
      </c>
      <c r="O398" s="7" t="str">
        <f>HYPERLINK("https://ictv.global/id/ICTV19911679","ICTV19911679@prod")</f>
        <v>ICTV19911679@prod</v>
      </c>
    </row>
    <row r="399" spans="1:15" x14ac:dyDescent="0.2">
      <c r="A399">
        <v>13</v>
      </c>
      <c r="B399">
        <v>19930496</v>
      </c>
      <c r="C399">
        <v>19950553</v>
      </c>
      <c r="D399" t="s">
        <v>29</v>
      </c>
      <c r="E399" t="s">
        <v>178</v>
      </c>
      <c r="F399" t="s">
        <v>1266</v>
      </c>
      <c r="G399" t="s">
        <v>33</v>
      </c>
      <c r="H399" t="s">
        <v>178</v>
      </c>
      <c r="I399" t="s">
        <v>29</v>
      </c>
      <c r="J399">
        <v>19950553</v>
      </c>
      <c r="K399">
        <v>19950553</v>
      </c>
      <c r="L399" s="7" t="str">
        <f>HYPERLINK("https://test.ictv.global/id/TN19930496","TN19930496@TEST")</f>
        <v>TN19930496@TEST</v>
      </c>
      <c r="M399" s="7" t="str">
        <f>HYPERLINK("https://test.ictv.global/id/ICTV19950553","ICTV19950553@TEST")</f>
        <v>ICTV19950553@TEST</v>
      </c>
      <c r="N399" s="7" t="str">
        <f>HYPERLINK("https://ictv.global/id/TN19930496","TN19930496@prod")</f>
        <v>TN19930496@prod</v>
      </c>
      <c r="O399" s="7" t="str">
        <f>HYPERLINK("https://ictv.global/id/ICTV19950553","ICTV19950553@prod")</f>
        <v>ICTV19950553@prod</v>
      </c>
    </row>
    <row r="400" spans="1:15" x14ac:dyDescent="0.2">
      <c r="A400">
        <v>13</v>
      </c>
      <c r="B400">
        <v>19930573</v>
      </c>
      <c r="C400">
        <v>19760175</v>
      </c>
      <c r="D400" t="s">
        <v>29</v>
      </c>
      <c r="E400" t="s">
        <v>1365</v>
      </c>
      <c r="G400" t="s">
        <v>1165</v>
      </c>
      <c r="L400" s="7" t="str">
        <f>HYPERLINK("https://test.ictv.global/id/TN19930573","TN19930573@TEST")</f>
        <v>TN19930573@TEST</v>
      </c>
      <c r="M400" s="7" t="str">
        <f>HYPERLINK("https://test.ictv.global/id/ICTV19760175","ICTV19760175@TEST")</f>
        <v>ICTV19760175@TEST</v>
      </c>
      <c r="N400" s="7" t="str">
        <f>HYPERLINK("https://ictv.global/id/TN19930573","TN19930573@prod")</f>
        <v>TN19930573@prod</v>
      </c>
      <c r="O400" s="7" t="str">
        <f>HYPERLINK("https://ictv.global/id/ICTV19760175","ICTV19760175@prod")</f>
        <v>ICTV19760175@prod</v>
      </c>
    </row>
    <row r="401" spans="1:15" x14ac:dyDescent="0.2">
      <c r="A401">
        <v>13</v>
      </c>
      <c r="B401">
        <v>19930581</v>
      </c>
      <c r="C401">
        <v>19910518</v>
      </c>
      <c r="D401" t="s">
        <v>29</v>
      </c>
      <c r="E401" t="s">
        <v>1366</v>
      </c>
      <c r="G401" t="s">
        <v>1165</v>
      </c>
      <c r="L401" s="7" t="str">
        <f>HYPERLINK("https://test.ictv.global/id/TN19930581","TN19930581@TEST")</f>
        <v>TN19930581@TEST</v>
      </c>
      <c r="M401" s="7" t="str">
        <f>HYPERLINK("https://test.ictv.global/id/ICTV19910518","ICTV19910518@TEST")</f>
        <v>ICTV19910518@TEST</v>
      </c>
      <c r="N401" s="7" t="str">
        <f>HYPERLINK("https://ictv.global/id/TN19930581","TN19930581@prod")</f>
        <v>TN19930581@prod</v>
      </c>
      <c r="O401" s="7" t="str">
        <f>HYPERLINK("https://ictv.global/id/ICTV19910518","ICTV19910518@prod")</f>
        <v>ICTV19910518@prod</v>
      </c>
    </row>
    <row r="402" spans="1:15" x14ac:dyDescent="0.2">
      <c r="A402">
        <v>13</v>
      </c>
      <c r="B402">
        <v>19930599</v>
      </c>
      <c r="C402">
        <v>19910536</v>
      </c>
      <c r="D402" t="s">
        <v>29</v>
      </c>
      <c r="E402" t="s">
        <v>1367</v>
      </c>
      <c r="G402" t="s">
        <v>1165</v>
      </c>
      <c r="L402" s="7" t="str">
        <f>HYPERLINK("https://test.ictv.global/id/TN19930599","TN19930599@TEST")</f>
        <v>TN19930599@TEST</v>
      </c>
      <c r="M402" s="7" t="str">
        <f>HYPERLINK("https://test.ictv.global/id/ICTV19910536","ICTV19910536@TEST")</f>
        <v>ICTV19910536@TEST</v>
      </c>
      <c r="N402" s="7" t="str">
        <f>HYPERLINK("https://ictv.global/id/TN19930599","TN19930599@prod")</f>
        <v>TN19930599@prod</v>
      </c>
      <c r="O402" s="7" t="str">
        <f>HYPERLINK("https://ictv.global/id/ICTV19910536","ICTV19910536@prod")</f>
        <v>ICTV19910536@prod</v>
      </c>
    </row>
    <row r="403" spans="1:15" x14ac:dyDescent="0.2">
      <c r="A403">
        <v>13</v>
      </c>
      <c r="B403">
        <v>19930643</v>
      </c>
      <c r="C403">
        <v>19910580</v>
      </c>
      <c r="D403" t="s">
        <v>29</v>
      </c>
      <c r="E403" t="s">
        <v>1368</v>
      </c>
      <c r="G403" t="s">
        <v>1165</v>
      </c>
      <c r="L403" s="7" t="str">
        <f>HYPERLINK("https://test.ictv.global/id/TN19930643","TN19930643@TEST")</f>
        <v>TN19930643@TEST</v>
      </c>
      <c r="M403" s="7" t="str">
        <f>HYPERLINK("https://test.ictv.global/id/ICTV19910580","ICTV19910580@TEST")</f>
        <v>ICTV19910580@TEST</v>
      </c>
      <c r="N403" s="7" t="str">
        <f>HYPERLINK("https://ictv.global/id/TN19930643","TN19930643@prod")</f>
        <v>TN19930643@prod</v>
      </c>
      <c r="O403" s="7" t="str">
        <f>HYPERLINK("https://ictv.global/id/ICTV19910580","ICTV19910580@prod")</f>
        <v>ICTV19910580@prod</v>
      </c>
    </row>
    <row r="404" spans="1:15" x14ac:dyDescent="0.2">
      <c r="A404">
        <v>13</v>
      </c>
      <c r="B404">
        <v>19930667</v>
      </c>
      <c r="C404">
        <v>19910604</v>
      </c>
      <c r="D404" t="s">
        <v>29</v>
      </c>
      <c r="E404" t="s">
        <v>1369</v>
      </c>
      <c r="G404" t="s">
        <v>1165</v>
      </c>
      <c r="L404" s="7" t="str">
        <f>HYPERLINK("https://test.ictv.global/id/TN19930667","TN19930667@TEST")</f>
        <v>TN19930667@TEST</v>
      </c>
      <c r="M404" s="7" t="str">
        <f>HYPERLINK("https://test.ictv.global/id/ICTV19910604","ICTV19910604@TEST")</f>
        <v>ICTV19910604@TEST</v>
      </c>
      <c r="N404" s="7" t="str">
        <f>HYPERLINK("https://ictv.global/id/TN19930667","TN19930667@prod")</f>
        <v>TN19930667@prod</v>
      </c>
      <c r="O404" s="7" t="str">
        <f>HYPERLINK("https://ictv.global/id/ICTV19910604","ICTV19910604@prod")</f>
        <v>ICTV19910604@prod</v>
      </c>
    </row>
    <row r="405" spans="1:15" x14ac:dyDescent="0.2">
      <c r="A405">
        <v>13</v>
      </c>
      <c r="B405">
        <v>19930811</v>
      </c>
      <c r="C405">
        <v>19710156</v>
      </c>
      <c r="D405" t="s">
        <v>29</v>
      </c>
      <c r="E405" t="s">
        <v>264</v>
      </c>
      <c r="G405" t="s">
        <v>53</v>
      </c>
      <c r="H405" t="s">
        <v>265</v>
      </c>
      <c r="I405" t="s">
        <v>29</v>
      </c>
      <c r="J405">
        <v>19950874</v>
      </c>
      <c r="K405">
        <v>19950874</v>
      </c>
      <c r="L405" s="7" t="str">
        <f>HYPERLINK("https://test.ictv.global/id/TN19930811","TN19930811@TEST")</f>
        <v>TN19930811@TEST</v>
      </c>
      <c r="M405" s="7" t="str">
        <f>HYPERLINK("https://test.ictv.global/id/ICTV19710156","ICTV19710156@TEST")</f>
        <v>ICTV19710156@TEST</v>
      </c>
      <c r="N405" s="7" t="str">
        <f>HYPERLINK("https://ictv.global/id/TN19930811","TN19930811@prod")</f>
        <v>TN19930811@prod</v>
      </c>
      <c r="O405" s="7" t="str">
        <f>HYPERLINK("https://ictv.global/id/ICTV19710156","ICTV19710156@prod")</f>
        <v>ICTV19710156@prod</v>
      </c>
    </row>
    <row r="406" spans="1:15" x14ac:dyDescent="0.2">
      <c r="A406">
        <v>13</v>
      </c>
      <c r="B406">
        <v>19930811</v>
      </c>
      <c r="C406">
        <v>19710156</v>
      </c>
      <c r="D406" t="s">
        <v>29</v>
      </c>
      <c r="E406" t="s">
        <v>264</v>
      </c>
      <c r="G406" t="s">
        <v>53</v>
      </c>
      <c r="H406" t="s">
        <v>266</v>
      </c>
      <c r="I406" t="s">
        <v>29</v>
      </c>
      <c r="J406">
        <v>19950875</v>
      </c>
      <c r="K406">
        <v>19950875</v>
      </c>
      <c r="L406" s="7" t="str">
        <f>HYPERLINK("https://test.ictv.global/id/TN19930811","TN19930811@TEST")</f>
        <v>TN19930811@TEST</v>
      </c>
      <c r="M406" s="7" t="str">
        <f>HYPERLINK("https://test.ictv.global/id/ICTV19710156","ICTV19710156@TEST")</f>
        <v>ICTV19710156@TEST</v>
      </c>
      <c r="N406" s="7" t="str">
        <f>HYPERLINK("https://ictv.global/id/TN19930811","TN19930811@prod")</f>
        <v>TN19930811@prod</v>
      </c>
      <c r="O406" s="7" t="str">
        <f>HYPERLINK("https://ictv.global/id/ICTV19710156","ICTV19710156@prod")</f>
        <v>ICTV19710156@prod</v>
      </c>
    </row>
    <row r="407" spans="1:15" x14ac:dyDescent="0.2">
      <c r="A407">
        <v>13</v>
      </c>
      <c r="B407">
        <v>19930820</v>
      </c>
      <c r="C407">
        <v>19910711</v>
      </c>
      <c r="D407" t="s">
        <v>29</v>
      </c>
      <c r="E407" t="s">
        <v>1370</v>
      </c>
      <c r="G407" t="s">
        <v>1165</v>
      </c>
      <c r="L407" s="7" t="str">
        <f>HYPERLINK("https://test.ictv.global/id/TN19930820","TN19930820@TEST")</f>
        <v>TN19930820@TEST</v>
      </c>
      <c r="M407" s="7" t="str">
        <f>HYPERLINK("https://test.ictv.global/id/ICTV19910711","ICTV19910711@TEST")</f>
        <v>ICTV19910711@TEST</v>
      </c>
      <c r="N407" s="7" t="str">
        <f>HYPERLINK("https://ictv.global/id/TN19930820","TN19930820@prod")</f>
        <v>TN19930820@prod</v>
      </c>
      <c r="O407" s="7" t="str">
        <f>HYPERLINK("https://ictv.global/id/ICTV19910711","ICTV19910711@prod")</f>
        <v>ICTV19910711@prod</v>
      </c>
    </row>
    <row r="408" spans="1:15" x14ac:dyDescent="0.2">
      <c r="A408">
        <v>13</v>
      </c>
      <c r="B408">
        <v>19930825</v>
      </c>
      <c r="C408">
        <v>19710092</v>
      </c>
      <c r="D408" t="s">
        <v>29</v>
      </c>
      <c r="E408" t="s">
        <v>1371</v>
      </c>
      <c r="G408" t="s">
        <v>1165</v>
      </c>
      <c r="L408" s="7" t="str">
        <f>HYPERLINK("https://test.ictv.global/id/TN19930825","TN19930825@TEST")</f>
        <v>TN19930825@TEST</v>
      </c>
      <c r="M408" s="7" t="str">
        <f>HYPERLINK("https://test.ictv.global/id/ICTV19710092","ICTV19710092@TEST")</f>
        <v>ICTV19710092@TEST</v>
      </c>
      <c r="N408" s="7" t="str">
        <f>HYPERLINK("https://ictv.global/id/TN19930825","TN19930825@prod")</f>
        <v>TN19930825@prod</v>
      </c>
      <c r="O408" s="7" t="str">
        <f>HYPERLINK("https://ictv.global/id/ICTV19710092","ICTV19710092@prod")</f>
        <v>ICTV19710092@prod</v>
      </c>
    </row>
    <row r="409" spans="1:15" x14ac:dyDescent="0.2">
      <c r="A409">
        <v>13</v>
      </c>
      <c r="B409">
        <v>19930826</v>
      </c>
      <c r="C409">
        <v>19910717</v>
      </c>
      <c r="D409" t="s">
        <v>29</v>
      </c>
      <c r="E409" t="s">
        <v>1372</v>
      </c>
      <c r="G409" t="s">
        <v>1165</v>
      </c>
      <c r="L409" s="7" t="str">
        <f>HYPERLINK("https://test.ictv.global/id/TN19930826","TN19930826@TEST")</f>
        <v>TN19930826@TEST</v>
      </c>
      <c r="M409" s="7" t="str">
        <f>HYPERLINK("https://test.ictv.global/id/ICTV19910717","ICTV19910717@TEST")</f>
        <v>ICTV19910717@TEST</v>
      </c>
      <c r="N409" s="7" t="str">
        <f>HYPERLINK("https://ictv.global/id/TN19930826","TN19930826@prod")</f>
        <v>TN19930826@prod</v>
      </c>
      <c r="O409" s="7" t="str">
        <f>HYPERLINK("https://ictv.global/id/ICTV19910717","ICTV19910717@prod")</f>
        <v>ICTV19910717@prod</v>
      </c>
    </row>
    <row r="410" spans="1:15" x14ac:dyDescent="0.2">
      <c r="A410">
        <v>13</v>
      </c>
      <c r="B410">
        <v>19930836</v>
      </c>
      <c r="C410">
        <v>19910727</v>
      </c>
      <c r="D410" t="s">
        <v>29</v>
      </c>
      <c r="E410" t="s">
        <v>1373</v>
      </c>
      <c r="G410" t="s">
        <v>1165</v>
      </c>
      <c r="L410" s="7" t="str">
        <f>HYPERLINK("https://test.ictv.global/id/TN19930836","TN19930836@TEST")</f>
        <v>TN19930836@TEST</v>
      </c>
      <c r="M410" s="7" t="str">
        <f>HYPERLINK("https://test.ictv.global/id/ICTV19910727","ICTV19910727@TEST")</f>
        <v>ICTV19910727@TEST</v>
      </c>
      <c r="N410" s="7" t="str">
        <f>HYPERLINK("https://ictv.global/id/TN19930836","TN19930836@prod")</f>
        <v>TN19930836@prod</v>
      </c>
      <c r="O410" s="7" t="str">
        <f>HYPERLINK("https://ictv.global/id/ICTV19910727","ICTV19910727@prod")</f>
        <v>ICTV19910727@prod</v>
      </c>
    </row>
    <row r="411" spans="1:15" x14ac:dyDescent="0.2">
      <c r="A411">
        <v>13</v>
      </c>
      <c r="B411">
        <v>19930837</v>
      </c>
      <c r="C411">
        <v>19710101</v>
      </c>
      <c r="D411" t="s">
        <v>29</v>
      </c>
      <c r="E411" t="s">
        <v>1374</v>
      </c>
      <c r="G411" t="s">
        <v>1165</v>
      </c>
      <c r="L411" s="7" t="str">
        <f>HYPERLINK("https://test.ictv.global/id/TN19930837","TN19930837@TEST")</f>
        <v>TN19930837@TEST</v>
      </c>
      <c r="M411" s="7" t="str">
        <f>HYPERLINK("https://test.ictv.global/id/ICTV19710101","ICTV19710101@TEST")</f>
        <v>ICTV19710101@TEST</v>
      </c>
      <c r="N411" s="7" t="str">
        <f>HYPERLINK("https://ictv.global/id/TN19930837","TN19930837@prod")</f>
        <v>TN19930837@prod</v>
      </c>
      <c r="O411" s="7" t="str">
        <f>HYPERLINK("https://ictv.global/id/ICTV19710101","ICTV19710101@prod")</f>
        <v>ICTV19710101@prod</v>
      </c>
    </row>
    <row r="412" spans="1:15" x14ac:dyDescent="0.2">
      <c r="A412">
        <v>13</v>
      </c>
      <c r="B412">
        <v>19930840</v>
      </c>
      <c r="C412">
        <v>19760606</v>
      </c>
      <c r="D412" t="s">
        <v>29</v>
      </c>
      <c r="E412" t="s">
        <v>1375</v>
      </c>
      <c r="G412" t="s">
        <v>1165</v>
      </c>
      <c r="L412" s="7" t="str">
        <f>HYPERLINK("https://test.ictv.global/id/TN19930840","TN19930840@TEST")</f>
        <v>TN19930840@TEST</v>
      </c>
      <c r="M412" s="7" t="str">
        <f>HYPERLINK("https://test.ictv.global/id/ICTV19760606","ICTV19760606@TEST")</f>
        <v>ICTV19760606@TEST</v>
      </c>
      <c r="N412" s="7" t="str">
        <f>HYPERLINK("https://ictv.global/id/TN19930840","TN19930840@prod")</f>
        <v>TN19930840@prod</v>
      </c>
      <c r="O412" s="7" t="str">
        <f>HYPERLINK("https://ictv.global/id/ICTV19760606","ICTV19760606@prod")</f>
        <v>ICTV19760606@prod</v>
      </c>
    </row>
    <row r="413" spans="1:15" x14ac:dyDescent="0.2">
      <c r="A413">
        <v>13</v>
      </c>
      <c r="B413">
        <v>19930842</v>
      </c>
      <c r="C413">
        <v>19760608</v>
      </c>
      <c r="D413" t="s">
        <v>29</v>
      </c>
      <c r="E413" t="s">
        <v>1376</v>
      </c>
      <c r="G413" t="s">
        <v>1165</v>
      </c>
      <c r="L413" s="7" t="str">
        <f>HYPERLINK("https://test.ictv.global/id/TN19930842","TN19930842@TEST")</f>
        <v>TN19930842@TEST</v>
      </c>
      <c r="M413" s="7" t="str">
        <f>HYPERLINK("https://test.ictv.global/id/ICTV19760608","ICTV19760608@TEST")</f>
        <v>ICTV19760608@TEST</v>
      </c>
      <c r="N413" s="7" t="str">
        <f>HYPERLINK("https://ictv.global/id/TN19930842","TN19930842@prod")</f>
        <v>TN19930842@prod</v>
      </c>
      <c r="O413" s="7" t="str">
        <f>HYPERLINK("https://ictv.global/id/ICTV19760608","ICTV19760608@prod")</f>
        <v>ICTV19760608@prod</v>
      </c>
    </row>
    <row r="414" spans="1:15" x14ac:dyDescent="0.2">
      <c r="A414">
        <v>13</v>
      </c>
      <c r="B414">
        <v>19930852</v>
      </c>
      <c r="C414">
        <v>19710110</v>
      </c>
      <c r="D414" t="s">
        <v>29</v>
      </c>
      <c r="E414" t="s">
        <v>1377</v>
      </c>
      <c r="G414" t="s">
        <v>1165</v>
      </c>
      <c r="L414" s="7" t="str">
        <f>HYPERLINK("https://test.ictv.global/id/TN19930852","TN19930852@TEST")</f>
        <v>TN19930852@TEST</v>
      </c>
      <c r="M414" s="7" t="str">
        <f>HYPERLINK("https://test.ictv.global/id/ICTV19710110","ICTV19710110@TEST")</f>
        <v>ICTV19710110@TEST</v>
      </c>
      <c r="N414" s="7" t="str">
        <f>HYPERLINK("https://ictv.global/id/TN19930852","TN19930852@prod")</f>
        <v>TN19930852@prod</v>
      </c>
      <c r="O414" s="7" t="str">
        <f>HYPERLINK("https://ictv.global/id/ICTV19710110","ICTV19710110@prod")</f>
        <v>ICTV19710110@prod</v>
      </c>
    </row>
    <row r="415" spans="1:15" x14ac:dyDescent="0.2">
      <c r="A415">
        <v>13</v>
      </c>
      <c r="B415">
        <v>19930854</v>
      </c>
      <c r="C415">
        <v>19910745</v>
      </c>
      <c r="D415" t="s">
        <v>29</v>
      </c>
      <c r="E415" t="s">
        <v>1378</v>
      </c>
      <c r="G415" t="s">
        <v>1165</v>
      </c>
      <c r="L415" s="7" t="str">
        <f>HYPERLINK("https://test.ictv.global/id/TN19930854","TN19930854@TEST")</f>
        <v>TN19930854@TEST</v>
      </c>
      <c r="M415" s="7" t="str">
        <f>HYPERLINK("https://test.ictv.global/id/ICTV19910745","ICTV19910745@TEST")</f>
        <v>ICTV19910745@TEST</v>
      </c>
      <c r="N415" s="7" t="str">
        <f>HYPERLINK("https://ictv.global/id/TN19930854","TN19930854@prod")</f>
        <v>TN19930854@prod</v>
      </c>
      <c r="O415" s="7" t="str">
        <f>HYPERLINK("https://ictv.global/id/ICTV19910745","ICTV19910745@prod")</f>
        <v>ICTV19910745@prod</v>
      </c>
    </row>
    <row r="416" spans="1:15" x14ac:dyDescent="0.2">
      <c r="A416">
        <v>13</v>
      </c>
      <c r="B416">
        <v>19930861</v>
      </c>
      <c r="C416">
        <v>19790924</v>
      </c>
      <c r="D416" t="s">
        <v>29</v>
      </c>
      <c r="E416" t="s">
        <v>1379</v>
      </c>
      <c r="G416" t="s">
        <v>1165</v>
      </c>
      <c r="L416" s="7" t="str">
        <f>HYPERLINK("https://test.ictv.global/id/TN19930861","TN19930861@TEST")</f>
        <v>TN19930861@TEST</v>
      </c>
      <c r="M416" s="7" t="str">
        <f>HYPERLINK("https://test.ictv.global/id/ICTV19790924","ICTV19790924@TEST")</f>
        <v>ICTV19790924@TEST</v>
      </c>
      <c r="N416" s="7" t="str">
        <f>HYPERLINK("https://ictv.global/id/TN19930861","TN19930861@prod")</f>
        <v>TN19930861@prod</v>
      </c>
      <c r="O416" s="7" t="str">
        <f>HYPERLINK("https://ictv.global/id/ICTV19790924","ICTV19790924@prod")</f>
        <v>ICTV19790924@prod</v>
      </c>
    </row>
    <row r="417" spans="1:15" x14ac:dyDescent="0.2">
      <c r="A417">
        <v>13</v>
      </c>
      <c r="B417">
        <v>19930867</v>
      </c>
      <c r="C417">
        <v>19760629</v>
      </c>
      <c r="D417" t="s">
        <v>29</v>
      </c>
      <c r="E417" t="s">
        <v>1380</v>
      </c>
      <c r="G417" t="s">
        <v>1165</v>
      </c>
      <c r="L417" s="7" t="str">
        <f>HYPERLINK("https://test.ictv.global/id/TN19930867","TN19930867@TEST")</f>
        <v>TN19930867@TEST</v>
      </c>
      <c r="M417" s="7" t="str">
        <f>HYPERLINK("https://test.ictv.global/id/ICTV19760629","ICTV19760629@TEST")</f>
        <v>ICTV19760629@TEST</v>
      </c>
      <c r="N417" s="7" t="str">
        <f>HYPERLINK("https://ictv.global/id/TN19930867","TN19930867@prod")</f>
        <v>TN19930867@prod</v>
      </c>
      <c r="O417" s="7" t="str">
        <f>HYPERLINK("https://ictv.global/id/ICTV19760629","ICTV19760629@prod")</f>
        <v>ICTV19760629@prod</v>
      </c>
    </row>
    <row r="418" spans="1:15" x14ac:dyDescent="0.2">
      <c r="A418">
        <v>13</v>
      </c>
      <c r="B418">
        <v>19930868</v>
      </c>
      <c r="C418">
        <v>19760630</v>
      </c>
      <c r="D418" t="s">
        <v>29</v>
      </c>
      <c r="E418" t="s">
        <v>1381</v>
      </c>
      <c r="G418" t="s">
        <v>1165</v>
      </c>
      <c r="L418" s="7" t="str">
        <f>HYPERLINK("https://test.ictv.global/id/TN19930868","TN19930868@TEST")</f>
        <v>TN19930868@TEST</v>
      </c>
      <c r="M418" s="7" t="str">
        <f>HYPERLINK("https://test.ictv.global/id/ICTV19760630","ICTV19760630@TEST")</f>
        <v>ICTV19760630@TEST</v>
      </c>
      <c r="N418" s="7" t="str">
        <f>HYPERLINK("https://ictv.global/id/TN19930868","TN19930868@prod")</f>
        <v>TN19930868@prod</v>
      </c>
      <c r="O418" s="7" t="str">
        <f>HYPERLINK("https://ictv.global/id/ICTV19760630","ICTV19760630@prod")</f>
        <v>ICTV19760630@prod</v>
      </c>
    </row>
    <row r="419" spans="1:15" x14ac:dyDescent="0.2">
      <c r="A419">
        <v>13</v>
      </c>
      <c r="B419">
        <v>19930869</v>
      </c>
      <c r="C419">
        <v>19710116</v>
      </c>
      <c r="D419" t="s">
        <v>29</v>
      </c>
      <c r="E419" t="s">
        <v>1382</v>
      </c>
      <c r="G419" t="s">
        <v>1165</v>
      </c>
      <c r="L419" s="7" t="str">
        <f>HYPERLINK("https://test.ictv.global/id/TN19930869","TN19930869@TEST")</f>
        <v>TN19930869@TEST</v>
      </c>
      <c r="M419" s="7" t="str">
        <f>HYPERLINK("https://test.ictv.global/id/ICTV19710116","ICTV19710116@TEST")</f>
        <v>ICTV19710116@TEST</v>
      </c>
      <c r="N419" s="7" t="str">
        <f>HYPERLINK("https://ictv.global/id/TN19930869","TN19930869@prod")</f>
        <v>TN19930869@prod</v>
      </c>
      <c r="O419" s="7" t="str">
        <f>HYPERLINK("https://ictv.global/id/ICTV19710116","ICTV19710116@prod")</f>
        <v>ICTV19710116@prod</v>
      </c>
    </row>
    <row r="420" spans="1:15" x14ac:dyDescent="0.2">
      <c r="A420">
        <v>13</v>
      </c>
      <c r="B420">
        <v>19930872</v>
      </c>
      <c r="C420">
        <v>19910763</v>
      </c>
      <c r="D420" t="s">
        <v>29</v>
      </c>
      <c r="E420" t="s">
        <v>1383</v>
      </c>
      <c r="G420" t="s">
        <v>1165</v>
      </c>
      <c r="L420" s="7" t="str">
        <f>HYPERLINK("https://test.ictv.global/id/TN19930872","TN19930872@TEST")</f>
        <v>TN19930872@TEST</v>
      </c>
      <c r="M420" s="7" t="str">
        <f>HYPERLINK("https://test.ictv.global/id/ICTV19910763","ICTV19910763@TEST")</f>
        <v>ICTV19910763@TEST</v>
      </c>
      <c r="N420" s="7" t="str">
        <f>HYPERLINK("https://ictv.global/id/TN19930872","TN19930872@prod")</f>
        <v>TN19930872@prod</v>
      </c>
      <c r="O420" s="7" t="str">
        <f>HYPERLINK("https://ictv.global/id/ICTV19910763","ICTV19910763@prod")</f>
        <v>ICTV19910763@prod</v>
      </c>
    </row>
    <row r="421" spans="1:15" x14ac:dyDescent="0.2">
      <c r="A421">
        <v>13</v>
      </c>
      <c r="B421">
        <v>19930878</v>
      </c>
      <c r="C421">
        <v>19710123</v>
      </c>
      <c r="D421" t="s">
        <v>29</v>
      </c>
      <c r="E421" t="s">
        <v>1384</v>
      </c>
      <c r="G421" t="s">
        <v>1165</v>
      </c>
      <c r="L421" s="7" t="str">
        <f>HYPERLINK("https://test.ictv.global/id/TN19930878","TN19930878@TEST")</f>
        <v>TN19930878@TEST</v>
      </c>
      <c r="M421" s="7" t="str">
        <f>HYPERLINK("https://test.ictv.global/id/ICTV19710123","ICTV19710123@TEST")</f>
        <v>ICTV19710123@TEST</v>
      </c>
      <c r="N421" s="7" t="str">
        <f>HYPERLINK("https://ictv.global/id/TN19930878","TN19930878@prod")</f>
        <v>TN19930878@prod</v>
      </c>
      <c r="O421" s="7" t="str">
        <f>HYPERLINK("https://ictv.global/id/ICTV19710123","ICTV19710123@prod")</f>
        <v>ICTV19710123@prod</v>
      </c>
    </row>
    <row r="422" spans="1:15" x14ac:dyDescent="0.2">
      <c r="A422">
        <v>13</v>
      </c>
      <c r="B422">
        <v>19930882</v>
      </c>
      <c r="C422">
        <v>19710126</v>
      </c>
      <c r="D422" t="s">
        <v>29</v>
      </c>
      <c r="E422" t="s">
        <v>1385</v>
      </c>
      <c r="G422" t="s">
        <v>1165</v>
      </c>
      <c r="L422" s="7" t="str">
        <f>HYPERLINK("https://test.ictv.global/id/TN19930882","TN19930882@TEST")</f>
        <v>TN19930882@TEST</v>
      </c>
      <c r="M422" s="7" t="str">
        <f>HYPERLINK("https://test.ictv.global/id/ICTV19710126","ICTV19710126@TEST")</f>
        <v>ICTV19710126@TEST</v>
      </c>
      <c r="N422" s="7" t="str">
        <f>HYPERLINK("https://ictv.global/id/TN19930882","TN19930882@prod")</f>
        <v>TN19930882@prod</v>
      </c>
      <c r="O422" s="7" t="str">
        <f>HYPERLINK("https://ictv.global/id/ICTV19710126","ICTV19710126@prod")</f>
        <v>ICTV19710126@prod</v>
      </c>
    </row>
    <row r="423" spans="1:15" x14ac:dyDescent="0.2">
      <c r="A423">
        <v>13</v>
      </c>
      <c r="B423">
        <v>19930893</v>
      </c>
      <c r="C423">
        <v>19911634</v>
      </c>
      <c r="D423" t="s">
        <v>29</v>
      </c>
      <c r="E423" t="s">
        <v>1386</v>
      </c>
      <c r="G423" t="s">
        <v>1165</v>
      </c>
      <c r="L423" s="7" t="str">
        <f>HYPERLINK("https://test.ictv.global/id/TN19930893","TN19930893@TEST")</f>
        <v>TN19930893@TEST</v>
      </c>
      <c r="M423" s="7" t="str">
        <f>HYPERLINK("https://test.ictv.global/id/ICTV19911634","ICTV19911634@TEST")</f>
        <v>ICTV19911634@TEST</v>
      </c>
      <c r="N423" s="7" t="str">
        <f>HYPERLINK("https://ictv.global/id/TN19930893","TN19930893@prod")</f>
        <v>TN19930893@prod</v>
      </c>
      <c r="O423" s="7" t="str">
        <f>HYPERLINK("https://ictv.global/id/ICTV19911634","ICTV19911634@prod")</f>
        <v>ICTV19911634@prod</v>
      </c>
    </row>
    <row r="424" spans="1:15" x14ac:dyDescent="0.2">
      <c r="A424">
        <v>13</v>
      </c>
      <c r="B424">
        <v>19930917</v>
      </c>
      <c r="C424">
        <v>19911658</v>
      </c>
      <c r="D424" t="s">
        <v>29</v>
      </c>
      <c r="E424" t="s">
        <v>267</v>
      </c>
      <c r="G424" t="s">
        <v>53</v>
      </c>
      <c r="H424" t="s">
        <v>268</v>
      </c>
      <c r="I424" t="s">
        <v>29</v>
      </c>
      <c r="J424">
        <v>19950998</v>
      </c>
      <c r="K424">
        <v>19950998</v>
      </c>
      <c r="L424" s="7" t="str">
        <f>HYPERLINK("https://test.ictv.global/id/TN19930917","TN19930917@TEST")</f>
        <v>TN19930917@TEST</v>
      </c>
      <c r="M424" s="7" t="str">
        <f>HYPERLINK("https://test.ictv.global/id/ICTV19911658","ICTV19911658@TEST")</f>
        <v>ICTV19911658@TEST</v>
      </c>
      <c r="N424" s="7" t="str">
        <f>HYPERLINK("https://ictv.global/id/TN19930917","TN19930917@prod")</f>
        <v>TN19930917@prod</v>
      </c>
      <c r="O424" s="7" t="str">
        <f>HYPERLINK("https://ictv.global/id/ICTV19911658","ICTV19911658@prod")</f>
        <v>ICTV19911658@prod</v>
      </c>
    </row>
    <row r="425" spans="1:15" x14ac:dyDescent="0.2">
      <c r="A425">
        <v>13</v>
      </c>
      <c r="B425">
        <v>19930917</v>
      </c>
      <c r="C425">
        <v>19911658</v>
      </c>
      <c r="D425" t="s">
        <v>29</v>
      </c>
      <c r="E425" t="s">
        <v>267</v>
      </c>
      <c r="G425" t="s">
        <v>53</v>
      </c>
      <c r="H425" t="s">
        <v>269</v>
      </c>
      <c r="I425" t="s">
        <v>29</v>
      </c>
      <c r="J425">
        <v>19950999</v>
      </c>
      <c r="K425">
        <v>19950999</v>
      </c>
      <c r="L425" s="7" t="str">
        <f>HYPERLINK("https://test.ictv.global/id/TN19930917","TN19930917@TEST")</f>
        <v>TN19930917@TEST</v>
      </c>
      <c r="M425" s="7" t="str">
        <f>HYPERLINK("https://test.ictv.global/id/ICTV19911658","ICTV19911658@TEST")</f>
        <v>ICTV19911658@TEST</v>
      </c>
      <c r="N425" s="7" t="str">
        <f>HYPERLINK("https://ictv.global/id/TN19930917","TN19930917@prod")</f>
        <v>TN19930917@prod</v>
      </c>
      <c r="O425" s="7" t="str">
        <f>HYPERLINK("https://ictv.global/id/ICTV19911658","ICTV19911658@prod")</f>
        <v>ICTV19911658@prod</v>
      </c>
    </row>
    <row r="426" spans="1:15" x14ac:dyDescent="0.2">
      <c r="A426">
        <v>13</v>
      </c>
      <c r="B426">
        <v>19931044</v>
      </c>
      <c r="C426">
        <v>19760791</v>
      </c>
      <c r="D426" t="s">
        <v>29</v>
      </c>
      <c r="E426" t="s">
        <v>1387</v>
      </c>
      <c r="G426" t="s">
        <v>1165</v>
      </c>
      <c r="L426" s="7" t="str">
        <f>HYPERLINK("https://test.ictv.global/id/TN19931044","TN19931044@TEST")</f>
        <v>TN19931044@TEST</v>
      </c>
      <c r="M426" s="7" t="str">
        <f>HYPERLINK("https://test.ictv.global/id/ICTV19760791","ICTV19760791@TEST")</f>
        <v>ICTV19760791@TEST</v>
      </c>
      <c r="N426" s="7" t="str">
        <f>HYPERLINK("https://ictv.global/id/TN19931044","TN19931044@prod")</f>
        <v>TN19931044@prod</v>
      </c>
      <c r="O426" s="7" t="str">
        <f>HYPERLINK("https://ictv.global/id/ICTV19760791","ICTV19760791@prod")</f>
        <v>ICTV19760791@prod</v>
      </c>
    </row>
    <row r="427" spans="1:15" x14ac:dyDescent="0.2">
      <c r="A427">
        <v>13</v>
      </c>
      <c r="B427">
        <v>19931046</v>
      </c>
      <c r="C427">
        <v>19910899</v>
      </c>
      <c r="D427" t="s">
        <v>29</v>
      </c>
      <c r="E427" t="s">
        <v>1388</v>
      </c>
      <c r="G427" t="s">
        <v>1165</v>
      </c>
      <c r="L427" s="7" t="str">
        <f>HYPERLINK("https://test.ictv.global/id/TN19931046","TN19931046@TEST")</f>
        <v>TN19931046@TEST</v>
      </c>
      <c r="M427" s="7" t="str">
        <f>HYPERLINK("https://test.ictv.global/id/ICTV19910899","ICTV19910899@TEST")</f>
        <v>ICTV19910899@TEST</v>
      </c>
      <c r="N427" s="7" t="str">
        <f>HYPERLINK("https://ictv.global/id/TN19931046","TN19931046@prod")</f>
        <v>TN19931046@prod</v>
      </c>
      <c r="O427" s="7" t="str">
        <f>HYPERLINK("https://ictv.global/id/ICTV19910899","ICTV19910899@prod")</f>
        <v>ICTV19910899@prod</v>
      </c>
    </row>
    <row r="428" spans="1:15" x14ac:dyDescent="0.2">
      <c r="A428">
        <v>13</v>
      </c>
      <c r="B428">
        <v>19931149</v>
      </c>
      <c r="C428">
        <v>19710051</v>
      </c>
      <c r="D428" t="s">
        <v>29</v>
      </c>
      <c r="E428" t="s">
        <v>270</v>
      </c>
      <c r="G428" t="s">
        <v>53</v>
      </c>
      <c r="H428" t="s">
        <v>271</v>
      </c>
      <c r="I428" t="s">
        <v>29</v>
      </c>
      <c r="J428">
        <v>19951381</v>
      </c>
      <c r="K428">
        <v>19951381</v>
      </c>
      <c r="L428" s="7" t="str">
        <f>HYPERLINK("https://test.ictv.global/id/TN19931149","TN19931149@TEST")</f>
        <v>TN19931149@TEST</v>
      </c>
      <c r="M428" s="7" t="str">
        <f>HYPERLINK("https://test.ictv.global/id/ICTV19710051","ICTV19710051@TEST")</f>
        <v>ICTV19710051@TEST</v>
      </c>
      <c r="N428" s="7" t="str">
        <f>HYPERLINK("https://ictv.global/id/TN19931149","TN19931149@prod")</f>
        <v>TN19931149@prod</v>
      </c>
      <c r="O428" s="7" t="str">
        <f>HYPERLINK("https://ictv.global/id/ICTV19710051","ICTV19710051@prod")</f>
        <v>ICTV19710051@prod</v>
      </c>
    </row>
    <row r="429" spans="1:15" x14ac:dyDescent="0.2">
      <c r="A429">
        <v>13</v>
      </c>
      <c r="B429">
        <v>19931149</v>
      </c>
      <c r="C429">
        <v>19710051</v>
      </c>
      <c r="D429" t="s">
        <v>29</v>
      </c>
      <c r="E429" t="s">
        <v>270</v>
      </c>
      <c r="G429" t="s">
        <v>53</v>
      </c>
      <c r="H429" t="s">
        <v>272</v>
      </c>
      <c r="I429" t="s">
        <v>29</v>
      </c>
      <c r="J429">
        <v>19951382</v>
      </c>
      <c r="K429">
        <v>19951382</v>
      </c>
      <c r="L429" s="7" t="str">
        <f>HYPERLINK("https://test.ictv.global/id/TN19931149","TN19931149@TEST")</f>
        <v>TN19931149@TEST</v>
      </c>
      <c r="M429" s="7" t="str">
        <f>HYPERLINK("https://test.ictv.global/id/ICTV19710051","ICTV19710051@TEST")</f>
        <v>ICTV19710051@TEST</v>
      </c>
      <c r="N429" s="7" t="str">
        <f>HYPERLINK("https://ictv.global/id/TN19931149","TN19931149@prod")</f>
        <v>TN19931149@prod</v>
      </c>
      <c r="O429" s="7" t="str">
        <f>HYPERLINK("https://ictv.global/id/ICTV19710051","ICTV19710051@prod")</f>
        <v>ICTV19710051@prod</v>
      </c>
    </row>
    <row r="430" spans="1:15" x14ac:dyDescent="0.2">
      <c r="A430">
        <v>13</v>
      </c>
      <c r="B430">
        <v>19931149</v>
      </c>
      <c r="C430">
        <v>19710051</v>
      </c>
      <c r="D430" t="s">
        <v>29</v>
      </c>
      <c r="E430" t="s">
        <v>270</v>
      </c>
      <c r="G430" t="s">
        <v>53</v>
      </c>
      <c r="H430" t="s">
        <v>273</v>
      </c>
      <c r="I430" t="s">
        <v>29</v>
      </c>
      <c r="J430">
        <v>19951383</v>
      </c>
      <c r="K430">
        <v>19951383</v>
      </c>
      <c r="L430" s="7" t="str">
        <f>HYPERLINK("https://test.ictv.global/id/TN19931149","TN19931149@TEST")</f>
        <v>TN19931149@TEST</v>
      </c>
      <c r="M430" s="7" t="str">
        <f>HYPERLINK("https://test.ictv.global/id/ICTV19710051","ICTV19710051@TEST")</f>
        <v>ICTV19710051@TEST</v>
      </c>
      <c r="N430" s="7" t="str">
        <f>HYPERLINK("https://ictv.global/id/TN19931149","TN19931149@prod")</f>
        <v>TN19931149@prod</v>
      </c>
      <c r="O430" s="7" t="str">
        <f>HYPERLINK("https://ictv.global/id/ICTV19710051","ICTV19710051@prod")</f>
        <v>ICTV19710051@prod</v>
      </c>
    </row>
    <row r="431" spans="1:15" x14ac:dyDescent="0.2">
      <c r="A431">
        <v>13</v>
      </c>
      <c r="B431">
        <v>19931153</v>
      </c>
      <c r="C431">
        <v>19760271</v>
      </c>
      <c r="D431" t="s">
        <v>29</v>
      </c>
      <c r="E431" t="s">
        <v>1389</v>
      </c>
      <c r="G431" t="s">
        <v>1165</v>
      </c>
      <c r="L431" s="7" t="str">
        <f>HYPERLINK("https://test.ictv.global/id/TN19931153","TN19931153@TEST")</f>
        <v>TN19931153@TEST</v>
      </c>
      <c r="M431" s="7" t="str">
        <f>HYPERLINK("https://test.ictv.global/id/ICTV19760271","ICTV19760271@TEST")</f>
        <v>ICTV19760271@TEST</v>
      </c>
      <c r="N431" s="7" t="str">
        <f>HYPERLINK("https://ictv.global/id/TN19931153","TN19931153@prod")</f>
        <v>TN19931153@prod</v>
      </c>
      <c r="O431" s="7" t="str">
        <f>HYPERLINK("https://ictv.global/id/ICTV19760271","ICTV19760271@prod")</f>
        <v>ICTV19760271@prod</v>
      </c>
    </row>
    <row r="432" spans="1:15" x14ac:dyDescent="0.2">
      <c r="A432">
        <v>13</v>
      </c>
      <c r="B432">
        <v>19931154</v>
      </c>
      <c r="C432">
        <v>19710054</v>
      </c>
      <c r="D432" t="s">
        <v>29</v>
      </c>
      <c r="E432" t="s">
        <v>274</v>
      </c>
      <c r="G432" t="s">
        <v>53</v>
      </c>
      <c r="H432" t="s">
        <v>275</v>
      </c>
      <c r="I432" t="s">
        <v>29</v>
      </c>
      <c r="J432">
        <v>19951391</v>
      </c>
      <c r="K432">
        <v>19951391</v>
      </c>
      <c r="L432" s="7" t="str">
        <f>HYPERLINK("https://test.ictv.global/id/TN19931154","TN19931154@TEST")</f>
        <v>TN19931154@TEST</v>
      </c>
      <c r="M432" s="7" t="str">
        <f>HYPERLINK("https://test.ictv.global/id/ICTV19710054","ICTV19710054@TEST")</f>
        <v>ICTV19710054@TEST</v>
      </c>
      <c r="N432" s="7" t="str">
        <f>HYPERLINK("https://ictv.global/id/TN19931154","TN19931154@prod")</f>
        <v>TN19931154@prod</v>
      </c>
      <c r="O432" s="7" t="str">
        <f>HYPERLINK("https://ictv.global/id/ICTV19710054","ICTV19710054@prod")</f>
        <v>ICTV19710054@prod</v>
      </c>
    </row>
    <row r="433" spans="1:15" x14ac:dyDescent="0.2">
      <c r="A433">
        <v>13</v>
      </c>
      <c r="B433">
        <v>19931154</v>
      </c>
      <c r="C433">
        <v>19710054</v>
      </c>
      <c r="D433" t="s">
        <v>29</v>
      </c>
      <c r="E433" t="s">
        <v>274</v>
      </c>
      <c r="G433" t="s">
        <v>53</v>
      </c>
      <c r="H433" t="s">
        <v>276</v>
      </c>
      <c r="I433" t="s">
        <v>29</v>
      </c>
      <c r="J433">
        <v>19951392</v>
      </c>
      <c r="K433">
        <v>19951392</v>
      </c>
      <c r="L433" s="7" t="str">
        <f>HYPERLINK("https://test.ictv.global/id/TN19931154","TN19931154@TEST")</f>
        <v>TN19931154@TEST</v>
      </c>
      <c r="M433" s="7" t="str">
        <f>HYPERLINK("https://test.ictv.global/id/ICTV19710054","ICTV19710054@TEST")</f>
        <v>ICTV19710054@TEST</v>
      </c>
      <c r="N433" s="7" t="str">
        <f>HYPERLINK("https://ictv.global/id/TN19931154","TN19931154@prod")</f>
        <v>TN19931154@prod</v>
      </c>
      <c r="O433" s="7" t="str">
        <f>HYPERLINK("https://ictv.global/id/ICTV19710054","ICTV19710054@prod")</f>
        <v>ICTV19710054@prod</v>
      </c>
    </row>
    <row r="434" spans="1:15" x14ac:dyDescent="0.2">
      <c r="A434">
        <v>13</v>
      </c>
      <c r="B434">
        <v>19931154</v>
      </c>
      <c r="C434">
        <v>19710054</v>
      </c>
      <c r="D434" t="s">
        <v>29</v>
      </c>
      <c r="E434" t="s">
        <v>274</v>
      </c>
      <c r="G434" t="s">
        <v>53</v>
      </c>
      <c r="H434" t="s">
        <v>277</v>
      </c>
      <c r="I434" t="s">
        <v>29</v>
      </c>
      <c r="J434">
        <v>19951393</v>
      </c>
      <c r="K434">
        <v>19951393</v>
      </c>
      <c r="L434" s="7" t="str">
        <f>HYPERLINK("https://test.ictv.global/id/TN19931154","TN19931154@TEST")</f>
        <v>TN19931154@TEST</v>
      </c>
      <c r="M434" s="7" t="str">
        <f>HYPERLINK("https://test.ictv.global/id/ICTV19710054","ICTV19710054@TEST")</f>
        <v>ICTV19710054@TEST</v>
      </c>
      <c r="N434" s="7" t="str">
        <f>HYPERLINK("https://ictv.global/id/TN19931154","TN19931154@prod")</f>
        <v>TN19931154@prod</v>
      </c>
      <c r="O434" s="7" t="str">
        <f>HYPERLINK("https://ictv.global/id/ICTV19710054","ICTV19710054@prod")</f>
        <v>ICTV19710054@prod</v>
      </c>
    </row>
    <row r="435" spans="1:15" x14ac:dyDescent="0.2">
      <c r="A435">
        <v>13</v>
      </c>
      <c r="B435">
        <v>19931154</v>
      </c>
      <c r="C435">
        <v>19710054</v>
      </c>
      <c r="D435" t="s">
        <v>29</v>
      </c>
      <c r="E435" t="s">
        <v>274</v>
      </c>
      <c r="G435" t="s">
        <v>53</v>
      </c>
      <c r="H435" t="s">
        <v>278</v>
      </c>
      <c r="I435" t="s">
        <v>29</v>
      </c>
      <c r="J435">
        <v>19951394</v>
      </c>
      <c r="K435">
        <v>19951394</v>
      </c>
      <c r="L435" s="7" t="str">
        <f>HYPERLINK("https://test.ictv.global/id/TN19931154","TN19931154@TEST")</f>
        <v>TN19931154@TEST</v>
      </c>
      <c r="M435" s="7" t="str">
        <f>HYPERLINK("https://test.ictv.global/id/ICTV19710054","ICTV19710054@TEST")</f>
        <v>ICTV19710054@TEST</v>
      </c>
      <c r="N435" s="7" t="str">
        <f>HYPERLINK("https://ictv.global/id/TN19931154","TN19931154@prod")</f>
        <v>TN19931154@prod</v>
      </c>
      <c r="O435" s="7" t="str">
        <f>HYPERLINK("https://ictv.global/id/ICTV19710054","ICTV19710054@prod")</f>
        <v>ICTV19710054@prod</v>
      </c>
    </row>
    <row r="436" spans="1:15" x14ac:dyDescent="0.2">
      <c r="A436">
        <v>13</v>
      </c>
      <c r="B436">
        <v>19931154</v>
      </c>
      <c r="C436">
        <v>19710054</v>
      </c>
      <c r="D436" t="s">
        <v>29</v>
      </c>
      <c r="E436" t="s">
        <v>274</v>
      </c>
      <c r="G436" t="s">
        <v>53</v>
      </c>
      <c r="H436" t="s">
        <v>279</v>
      </c>
      <c r="I436" t="s">
        <v>29</v>
      </c>
      <c r="J436">
        <v>19951395</v>
      </c>
      <c r="K436">
        <v>19951395</v>
      </c>
      <c r="L436" s="7" t="str">
        <f>HYPERLINK("https://test.ictv.global/id/TN19931154","TN19931154@TEST")</f>
        <v>TN19931154@TEST</v>
      </c>
      <c r="M436" s="7" t="str">
        <f>HYPERLINK("https://test.ictv.global/id/ICTV19710054","ICTV19710054@TEST")</f>
        <v>ICTV19710054@TEST</v>
      </c>
      <c r="N436" s="7" t="str">
        <f>HYPERLINK("https://ictv.global/id/TN19931154","TN19931154@prod")</f>
        <v>TN19931154@prod</v>
      </c>
      <c r="O436" s="7" t="str">
        <f>HYPERLINK("https://ictv.global/id/ICTV19710054","ICTV19710054@prod")</f>
        <v>ICTV19710054@prod</v>
      </c>
    </row>
    <row r="437" spans="1:15" x14ac:dyDescent="0.2">
      <c r="A437">
        <v>13</v>
      </c>
      <c r="B437">
        <v>19931154</v>
      </c>
      <c r="C437">
        <v>19710054</v>
      </c>
      <c r="D437" t="s">
        <v>29</v>
      </c>
      <c r="E437" t="s">
        <v>274</v>
      </c>
      <c r="G437" t="s">
        <v>53</v>
      </c>
      <c r="H437" t="s">
        <v>280</v>
      </c>
      <c r="I437" t="s">
        <v>29</v>
      </c>
      <c r="J437">
        <v>19951396</v>
      </c>
      <c r="K437">
        <v>19951396</v>
      </c>
      <c r="L437" s="7" t="str">
        <f>HYPERLINK("https://test.ictv.global/id/TN19931154","TN19931154@TEST")</f>
        <v>TN19931154@TEST</v>
      </c>
      <c r="M437" s="7" t="str">
        <f>HYPERLINK("https://test.ictv.global/id/ICTV19710054","ICTV19710054@TEST")</f>
        <v>ICTV19710054@TEST</v>
      </c>
      <c r="N437" s="7" t="str">
        <f>HYPERLINK("https://ictv.global/id/TN19931154","TN19931154@prod")</f>
        <v>TN19931154@prod</v>
      </c>
      <c r="O437" s="7" t="str">
        <f>HYPERLINK("https://ictv.global/id/ICTV19710054","ICTV19710054@prod")</f>
        <v>ICTV19710054@prod</v>
      </c>
    </row>
    <row r="438" spans="1:15" x14ac:dyDescent="0.2">
      <c r="A438">
        <v>13</v>
      </c>
      <c r="B438">
        <v>19931154</v>
      </c>
      <c r="C438">
        <v>19710054</v>
      </c>
      <c r="D438" t="s">
        <v>29</v>
      </c>
      <c r="E438" t="s">
        <v>274</v>
      </c>
      <c r="G438" t="s">
        <v>53</v>
      </c>
      <c r="H438" t="s">
        <v>281</v>
      </c>
      <c r="I438" t="s">
        <v>29</v>
      </c>
      <c r="J438">
        <v>19951397</v>
      </c>
      <c r="K438">
        <v>19951397</v>
      </c>
      <c r="L438" s="7" t="str">
        <f>HYPERLINK("https://test.ictv.global/id/TN19931154","TN19931154@TEST")</f>
        <v>TN19931154@TEST</v>
      </c>
      <c r="M438" s="7" t="str">
        <f>HYPERLINK("https://test.ictv.global/id/ICTV19710054","ICTV19710054@TEST")</f>
        <v>ICTV19710054@TEST</v>
      </c>
      <c r="N438" s="7" t="str">
        <f>HYPERLINK("https://ictv.global/id/TN19931154","TN19931154@prod")</f>
        <v>TN19931154@prod</v>
      </c>
      <c r="O438" s="7" t="str">
        <f>HYPERLINK("https://ictv.global/id/ICTV19710054","ICTV19710054@prod")</f>
        <v>ICTV19710054@prod</v>
      </c>
    </row>
    <row r="439" spans="1:15" x14ac:dyDescent="0.2">
      <c r="A439">
        <v>13</v>
      </c>
      <c r="B439">
        <v>19931154</v>
      </c>
      <c r="C439">
        <v>19710054</v>
      </c>
      <c r="D439" t="s">
        <v>29</v>
      </c>
      <c r="E439" t="s">
        <v>274</v>
      </c>
      <c r="G439" t="s">
        <v>53</v>
      </c>
      <c r="H439" t="s">
        <v>282</v>
      </c>
      <c r="I439" t="s">
        <v>29</v>
      </c>
      <c r="J439">
        <v>19951398</v>
      </c>
      <c r="K439">
        <v>19951398</v>
      </c>
      <c r="L439" s="7" t="str">
        <f>HYPERLINK("https://test.ictv.global/id/TN19931154","TN19931154@TEST")</f>
        <v>TN19931154@TEST</v>
      </c>
      <c r="M439" s="7" t="str">
        <f>HYPERLINK("https://test.ictv.global/id/ICTV19710054","ICTV19710054@TEST")</f>
        <v>ICTV19710054@TEST</v>
      </c>
      <c r="N439" s="7" t="str">
        <f>HYPERLINK("https://ictv.global/id/TN19931154","TN19931154@prod")</f>
        <v>TN19931154@prod</v>
      </c>
      <c r="O439" s="7" t="str">
        <f>HYPERLINK("https://ictv.global/id/ICTV19710054","ICTV19710054@prod")</f>
        <v>ICTV19710054@prod</v>
      </c>
    </row>
    <row r="440" spans="1:15" x14ac:dyDescent="0.2">
      <c r="A440">
        <v>13</v>
      </c>
      <c r="B440">
        <v>19931154</v>
      </c>
      <c r="C440">
        <v>19710054</v>
      </c>
      <c r="D440" t="s">
        <v>29</v>
      </c>
      <c r="E440" t="s">
        <v>274</v>
      </c>
      <c r="G440" t="s">
        <v>53</v>
      </c>
      <c r="H440" t="s">
        <v>283</v>
      </c>
      <c r="I440" t="s">
        <v>29</v>
      </c>
      <c r="J440">
        <v>19951399</v>
      </c>
      <c r="K440">
        <v>19951399</v>
      </c>
      <c r="L440" s="7" t="str">
        <f>HYPERLINK("https://test.ictv.global/id/TN19931154","TN19931154@TEST")</f>
        <v>TN19931154@TEST</v>
      </c>
      <c r="M440" s="7" t="str">
        <f>HYPERLINK("https://test.ictv.global/id/ICTV19710054","ICTV19710054@TEST")</f>
        <v>ICTV19710054@TEST</v>
      </c>
      <c r="N440" s="7" t="str">
        <f>HYPERLINK("https://ictv.global/id/TN19931154","TN19931154@prod")</f>
        <v>TN19931154@prod</v>
      </c>
      <c r="O440" s="7" t="str">
        <f>HYPERLINK("https://ictv.global/id/ICTV19710054","ICTV19710054@prod")</f>
        <v>ICTV19710054@prod</v>
      </c>
    </row>
    <row r="441" spans="1:15" x14ac:dyDescent="0.2">
      <c r="A441">
        <v>13</v>
      </c>
      <c r="B441">
        <v>19931157</v>
      </c>
      <c r="C441">
        <v>19760272</v>
      </c>
      <c r="D441" t="s">
        <v>29</v>
      </c>
      <c r="E441" t="s">
        <v>1390</v>
      </c>
      <c r="G441" t="s">
        <v>1165</v>
      </c>
      <c r="L441" s="7" t="str">
        <f>HYPERLINK("https://test.ictv.global/id/TN19931157","TN19931157@TEST")</f>
        <v>TN19931157@TEST</v>
      </c>
      <c r="M441" s="7" t="str">
        <f>HYPERLINK("https://test.ictv.global/id/ICTV19760272","ICTV19760272@TEST")</f>
        <v>ICTV19760272@TEST</v>
      </c>
      <c r="N441" s="7" t="str">
        <f>HYPERLINK("https://ictv.global/id/TN19931157","TN19931157@prod")</f>
        <v>TN19931157@prod</v>
      </c>
      <c r="O441" s="7" t="str">
        <f>HYPERLINK("https://ictv.global/id/ICTV19760272","ICTV19760272@prod")</f>
        <v>ICTV19760272@prod</v>
      </c>
    </row>
    <row r="442" spans="1:15" x14ac:dyDescent="0.2">
      <c r="A442">
        <v>13</v>
      </c>
      <c r="B442">
        <v>19931273</v>
      </c>
      <c r="C442">
        <v>19911097</v>
      </c>
      <c r="D442" t="s">
        <v>29</v>
      </c>
      <c r="E442" t="s">
        <v>284</v>
      </c>
      <c r="G442" t="s">
        <v>31</v>
      </c>
      <c r="H442" t="s">
        <v>285</v>
      </c>
      <c r="I442" t="s">
        <v>29</v>
      </c>
      <c r="J442">
        <v>19951533</v>
      </c>
      <c r="K442">
        <v>19951533</v>
      </c>
      <c r="L442" s="7" t="str">
        <f>HYPERLINK("https://test.ictv.global/id/TN19931273","TN19931273@TEST")</f>
        <v>TN19931273@TEST</v>
      </c>
      <c r="M442" s="7" t="str">
        <f>HYPERLINK("https://test.ictv.global/id/ICTV19911097","ICTV19911097@TEST")</f>
        <v>ICTV19911097@TEST</v>
      </c>
      <c r="N442" s="7" t="str">
        <f>HYPERLINK("https://ictv.global/id/TN19931273","TN19931273@prod")</f>
        <v>TN19931273@prod</v>
      </c>
      <c r="O442" s="7" t="str">
        <f>HYPERLINK("https://ictv.global/id/ICTV19911097","ICTV19911097@prod")</f>
        <v>ICTV19911097@prod</v>
      </c>
    </row>
    <row r="443" spans="1:15" x14ac:dyDescent="0.2">
      <c r="A443">
        <v>13</v>
      </c>
      <c r="B443">
        <v>19931274</v>
      </c>
      <c r="C443">
        <v>19951533</v>
      </c>
      <c r="D443" t="s">
        <v>29</v>
      </c>
      <c r="E443" t="s">
        <v>285</v>
      </c>
      <c r="G443" t="s">
        <v>33</v>
      </c>
      <c r="H443" t="s">
        <v>285</v>
      </c>
      <c r="I443" t="s">
        <v>29</v>
      </c>
      <c r="J443">
        <v>19951533</v>
      </c>
      <c r="K443">
        <v>19951533</v>
      </c>
      <c r="L443" s="7" t="str">
        <f>HYPERLINK("https://test.ictv.global/id/TN19931274","TN19931274@TEST")</f>
        <v>TN19931274@TEST</v>
      </c>
      <c r="M443" s="7" t="str">
        <f>HYPERLINK("https://test.ictv.global/id/ICTV19951533","ICTV19951533@TEST")</f>
        <v>ICTV19951533@TEST</v>
      </c>
      <c r="N443" s="7" t="str">
        <f>HYPERLINK("https://ictv.global/id/TN19931274","TN19931274@prod")</f>
        <v>TN19931274@prod</v>
      </c>
      <c r="O443" s="7" t="str">
        <f>HYPERLINK("https://ictv.global/id/ICTV19951533","ICTV19951533@prod")</f>
        <v>ICTV19951533@prod</v>
      </c>
    </row>
    <row r="444" spans="1:15" x14ac:dyDescent="0.2">
      <c r="A444">
        <v>13</v>
      </c>
      <c r="B444">
        <v>19931275</v>
      </c>
      <c r="C444">
        <v>19820661</v>
      </c>
      <c r="D444" t="s">
        <v>29</v>
      </c>
      <c r="E444" t="s">
        <v>286</v>
      </c>
      <c r="G444" t="s">
        <v>31</v>
      </c>
      <c r="H444" t="s">
        <v>285</v>
      </c>
      <c r="I444" t="s">
        <v>29</v>
      </c>
      <c r="J444">
        <v>19951533</v>
      </c>
      <c r="K444">
        <v>19951533</v>
      </c>
      <c r="L444" s="7" t="str">
        <f>HYPERLINK("https://test.ictv.global/id/TN19931275","TN19931275@TEST")</f>
        <v>TN19931275@TEST</v>
      </c>
      <c r="M444" s="7" t="str">
        <f>HYPERLINK("https://test.ictv.global/id/ICTV19820661","ICTV19820661@TEST")</f>
        <v>ICTV19820661@TEST</v>
      </c>
      <c r="N444" s="7" t="str">
        <f>HYPERLINK("https://ictv.global/id/TN19931275","TN19931275@prod")</f>
        <v>TN19931275@prod</v>
      </c>
      <c r="O444" s="7" t="str">
        <f>HYPERLINK("https://ictv.global/id/ICTV19820661","ICTV19820661@prod")</f>
        <v>ICTV19820661@prod</v>
      </c>
    </row>
    <row r="445" spans="1:15" x14ac:dyDescent="0.2">
      <c r="A445">
        <v>13</v>
      </c>
      <c r="B445">
        <v>19931276</v>
      </c>
      <c r="C445">
        <v>19911100</v>
      </c>
      <c r="D445" t="s">
        <v>29</v>
      </c>
      <c r="E445" t="s">
        <v>287</v>
      </c>
      <c r="G445" t="s">
        <v>31</v>
      </c>
      <c r="H445" t="s">
        <v>285</v>
      </c>
      <c r="I445" t="s">
        <v>29</v>
      </c>
      <c r="J445">
        <v>19951533</v>
      </c>
      <c r="K445">
        <v>19951533</v>
      </c>
      <c r="L445" s="7" t="str">
        <f>HYPERLINK("https://test.ictv.global/id/TN19931276","TN19931276@TEST")</f>
        <v>TN19931276@TEST</v>
      </c>
      <c r="M445" s="7" t="str">
        <f>HYPERLINK("https://test.ictv.global/id/ICTV19911100","ICTV19911100@TEST")</f>
        <v>ICTV19911100@TEST</v>
      </c>
      <c r="N445" s="7" t="str">
        <f>HYPERLINK("https://ictv.global/id/TN19931276","TN19931276@prod")</f>
        <v>TN19931276@prod</v>
      </c>
      <c r="O445" s="7" t="str">
        <f>HYPERLINK("https://ictv.global/id/ICTV19911100","ICTV19911100@prod")</f>
        <v>ICTV19911100@prod</v>
      </c>
    </row>
    <row r="446" spans="1:15" x14ac:dyDescent="0.2">
      <c r="A446">
        <v>13</v>
      </c>
      <c r="B446">
        <v>19931277</v>
      </c>
      <c r="C446">
        <v>19951534</v>
      </c>
      <c r="D446" t="s">
        <v>29</v>
      </c>
      <c r="E446" t="s">
        <v>288</v>
      </c>
      <c r="G446" t="s">
        <v>33</v>
      </c>
      <c r="H446" t="s">
        <v>289</v>
      </c>
      <c r="I446" t="s">
        <v>29</v>
      </c>
      <c r="J446">
        <v>19951534</v>
      </c>
      <c r="K446">
        <v>19951534</v>
      </c>
      <c r="L446" s="7" t="str">
        <f>HYPERLINK("https://test.ictv.global/id/TN19931277","TN19931277@TEST")</f>
        <v>TN19931277@TEST</v>
      </c>
      <c r="M446" s="7" t="str">
        <f>HYPERLINK("https://test.ictv.global/id/ICTV19951534","ICTV19951534@TEST")</f>
        <v>ICTV19951534@TEST</v>
      </c>
      <c r="N446" s="7" t="str">
        <f>HYPERLINK("https://ictv.global/id/TN19931277","TN19931277@prod")</f>
        <v>TN19931277@prod</v>
      </c>
      <c r="O446" s="7" t="str">
        <f>HYPERLINK("https://ictv.global/id/ICTV19951534","ICTV19951534@prod")</f>
        <v>ICTV19951534@prod</v>
      </c>
    </row>
    <row r="447" spans="1:15" x14ac:dyDescent="0.2">
      <c r="A447">
        <v>13</v>
      </c>
      <c r="B447">
        <v>19931334</v>
      </c>
      <c r="C447">
        <v>19790544</v>
      </c>
      <c r="D447" t="s">
        <v>29</v>
      </c>
      <c r="E447" t="s">
        <v>1391</v>
      </c>
      <c r="G447" t="s">
        <v>1165</v>
      </c>
      <c r="L447" s="7" t="str">
        <f>HYPERLINK("https://test.ictv.global/id/TN19931334","TN19931334@TEST")</f>
        <v>TN19931334@TEST</v>
      </c>
      <c r="M447" s="7" t="str">
        <f>HYPERLINK("https://test.ictv.global/id/ICTV19790544","ICTV19790544@TEST")</f>
        <v>ICTV19790544@TEST</v>
      </c>
      <c r="N447" s="7" t="str">
        <f>HYPERLINK("https://ictv.global/id/TN19931334","TN19931334@prod")</f>
        <v>TN19931334@prod</v>
      </c>
      <c r="O447" s="7" t="str">
        <f>HYPERLINK("https://ictv.global/id/ICTV19790544","ICTV19790544@prod")</f>
        <v>ICTV19790544@prod</v>
      </c>
    </row>
    <row r="448" spans="1:15" x14ac:dyDescent="0.2">
      <c r="A448">
        <v>13</v>
      </c>
      <c r="B448">
        <v>19931339</v>
      </c>
      <c r="C448">
        <v>19790549</v>
      </c>
      <c r="D448" t="s">
        <v>29</v>
      </c>
      <c r="E448" t="s">
        <v>1392</v>
      </c>
      <c r="G448" t="s">
        <v>1165</v>
      </c>
      <c r="L448" s="7" t="str">
        <f>HYPERLINK("https://test.ictv.global/id/TN19931339","TN19931339@TEST")</f>
        <v>TN19931339@TEST</v>
      </c>
      <c r="M448" s="7" t="str">
        <f>HYPERLINK("https://test.ictv.global/id/ICTV19790549","ICTV19790549@TEST")</f>
        <v>ICTV19790549@TEST</v>
      </c>
      <c r="N448" s="7" t="str">
        <f>HYPERLINK("https://ictv.global/id/TN19931339","TN19931339@prod")</f>
        <v>TN19931339@prod</v>
      </c>
      <c r="O448" s="7" t="str">
        <f>HYPERLINK("https://ictv.global/id/ICTV19790549","ICTV19790549@prod")</f>
        <v>ICTV19790549@prod</v>
      </c>
    </row>
    <row r="449" spans="1:15" x14ac:dyDescent="0.2">
      <c r="A449">
        <v>13</v>
      </c>
      <c r="B449">
        <v>19931349</v>
      </c>
      <c r="C449">
        <v>19790558</v>
      </c>
      <c r="D449" t="s">
        <v>29</v>
      </c>
      <c r="E449" t="s">
        <v>290</v>
      </c>
      <c r="G449" t="s">
        <v>186</v>
      </c>
      <c r="H449" t="s">
        <v>289</v>
      </c>
      <c r="I449" t="s">
        <v>29</v>
      </c>
      <c r="J449">
        <v>19951534</v>
      </c>
      <c r="K449">
        <v>19951534</v>
      </c>
      <c r="L449" s="7" t="str">
        <f>HYPERLINK("https://test.ictv.global/id/TN19931349","TN19931349@TEST")</f>
        <v>TN19931349@TEST</v>
      </c>
      <c r="M449" s="7" t="str">
        <f>HYPERLINK("https://test.ictv.global/id/ICTV19790558","ICTV19790558@TEST")</f>
        <v>ICTV19790558@TEST</v>
      </c>
      <c r="N449" s="7" t="str">
        <f>HYPERLINK("https://ictv.global/id/TN19931349","TN19931349@prod")</f>
        <v>TN19931349@prod</v>
      </c>
      <c r="O449" s="7" t="str">
        <f>HYPERLINK("https://ictv.global/id/ICTV19790558","ICTV19790558@prod")</f>
        <v>ICTV19790558@prod</v>
      </c>
    </row>
    <row r="450" spans="1:15" x14ac:dyDescent="0.2">
      <c r="A450">
        <v>13</v>
      </c>
      <c r="B450">
        <v>19931488</v>
      </c>
      <c r="C450">
        <v>19790703</v>
      </c>
      <c r="D450" t="s">
        <v>29</v>
      </c>
      <c r="E450" t="s">
        <v>1393</v>
      </c>
      <c r="G450" t="s">
        <v>1165</v>
      </c>
      <c r="L450" s="7" t="str">
        <f>HYPERLINK("https://test.ictv.global/id/TN19931488","TN19931488@TEST")</f>
        <v>TN19931488@TEST</v>
      </c>
      <c r="M450" s="7" t="str">
        <f>HYPERLINK("https://test.ictv.global/id/ICTV19790703","ICTV19790703@TEST")</f>
        <v>ICTV19790703@TEST</v>
      </c>
      <c r="N450" s="7" t="str">
        <f>HYPERLINK("https://ictv.global/id/TN19931488","TN19931488@prod")</f>
        <v>TN19931488@prod</v>
      </c>
      <c r="O450" s="7" t="str">
        <f>HYPERLINK("https://ictv.global/id/ICTV19790703","ICTV19790703@prod")</f>
        <v>ICTV19790703@prod</v>
      </c>
    </row>
    <row r="451" spans="1:15" x14ac:dyDescent="0.2">
      <c r="A451">
        <v>13</v>
      </c>
      <c r="B451">
        <v>19931509</v>
      </c>
      <c r="C451">
        <v>19991368</v>
      </c>
      <c r="D451" t="s">
        <v>29</v>
      </c>
      <c r="E451" t="s">
        <v>291</v>
      </c>
      <c r="F451" t="s">
        <v>1394</v>
      </c>
      <c r="G451" t="s">
        <v>33</v>
      </c>
      <c r="H451" t="s">
        <v>291</v>
      </c>
      <c r="I451" t="s">
        <v>29</v>
      </c>
      <c r="J451">
        <v>19991368</v>
      </c>
      <c r="K451">
        <v>19951864</v>
      </c>
      <c r="L451" s="7" t="str">
        <f>HYPERLINK("https://test.ictv.global/id/TN19931509","TN19931509@TEST")</f>
        <v>TN19931509@TEST</v>
      </c>
      <c r="M451" s="7" t="str">
        <f>HYPERLINK("https://test.ictv.global/id/ICTV19991368","ICTV19991368@TEST")</f>
        <v>ICTV19991368@TEST</v>
      </c>
      <c r="N451" s="7" t="str">
        <f>HYPERLINK("https://ictv.global/id/TN19931509","TN19931509@prod")</f>
        <v>TN19931509@prod</v>
      </c>
      <c r="O451" s="7" t="str">
        <f>HYPERLINK("https://ictv.global/id/ICTV19991368","ICTV19991368@prod")</f>
        <v>ICTV19991368@prod</v>
      </c>
    </row>
    <row r="452" spans="1:15" x14ac:dyDescent="0.2">
      <c r="A452">
        <v>13</v>
      </c>
      <c r="B452">
        <v>19931513</v>
      </c>
      <c r="C452">
        <v>19821296</v>
      </c>
      <c r="D452" t="s">
        <v>29</v>
      </c>
      <c r="E452" t="s">
        <v>292</v>
      </c>
      <c r="G452" t="s">
        <v>33</v>
      </c>
      <c r="H452" t="s">
        <v>291</v>
      </c>
      <c r="I452" t="s">
        <v>29</v>
      </c>
      <c r="J452">
        <v>19991368</v>
      </c>
      <c r="K452">
        <v>19951864</v>
      </c>
      <c r="L452" s="7" t="str">
        <f>HYPERLINK("https://test.ictv.global/id/TN19931513","TN19931513@TEST")</f>
        <v>TN19931513@TEST</v>
      </c>
      <c r="M452" s="7" t="str">
        <f>HYPERLINK("https://test.ictv.global/id/ICTV19821296","ICTV19821296@TEST")</f>
        <v>ICTV19821296@TEST</v>
      </c>
      <c r="N452" s="7" t="str">
        <f>HYPERLINK("https://ictv.global/id/TN19931513","TN19931513@prod")</f>
        <v>TN19931513@prod</v>
      </c>
      <c r="O452" s="7" t="str">
        <f>HYPERLINK("https://ictv.global/id/ICTV19821296","ICTV19821296@prod")</f>
        <v>ICTV19821296@prod</v>
      </c>
    </row>
    <row r="453" spans="1:15" x14ac:dyDescent="0.2">
      <c r="A453">
        <v>13</v>
      </c>
      <c r="B453">
        <v>19931518</v>
      </c>
      <c r="C453">
        <v>19951873</v>
      </c>
      <c r="D453" t="s">
        <v>29</v>
      </c>
      <c r="E453" t="s">
        <v>183</v>
      </c>
      <c r="F453" t="s">
        <v>1268</v>
      </c>
      <c r="G453" t="s">
        <v>33</v>
      </c>
      <c r="H453" t="s">
        <v>183</v>
      </c>
      <c r="I453" t="s">
        <v>29</v>
      </c>
      <c r="J453">
        <v>19951873</v>
      </c>
      <c r="K453">
        <v>19951873</v>
      </c>
      <c r="L453" s="7" t="str">
        <f>HYPERLINK("https://test.ictv.global/id/TN19931518","TN19931518@TEST")</f>
        <v>TN19931518@TEST</v>
      </c>
      <c r="M453" s="7" t="str">
        <f>HYPERLINK("https://test.ictv.global/id/ICTV19951873","ICTV19951873@TEST")</f>
        <v>ICTV19951873@TEST</v>
      </c>
      <c r="N453" s="7" t="str">
        <f>HYPERLINK("https://ictv.global/id/TN19931518","TN19931518@prod")</f>
        <v>TN19931518@prod</v>
      </c>
      <c r="O453" s="7" t="str">
        <f>HYPERLINK("https://ictv.global/id/ICTV19951873","ICTV19951873@prod")</f>
        <v>ICTV19951873@prod</v>
      </c>
    </row>
    <row r="454" spans="1:15" x14ac:dyDescent="0.2">
      <c r="A454">
        <v>13</v>
      </c>
      <c r="B454">
        <v>19931527</v>
      </c>
      <c r="C454">
        <v>19911776</v>
      </c>
      <c r="D454" t="s">
        <v>29</v>
      </c>
      <c r="E454" t="s">
        <v>1395</v>
      </c>
      <c r="G454" t="s">
        <v>1165</v>
      </c>
      <c r="L454" s="7" t="str">
        <f>HYPERLINK("https://test.ictv.global/id/TN19931527","TN19931527@TEST")</f>
        <v>TN19931527@TEST</v>
      </c>
      <c r="M454" s="7" t="str">
        <f>HYPERLINK("https://test.ictv.global/id/ICTV19911776","ICTV19911776@TEST")</f>
        <v>ICTV19911776@TEST</v>
      </c>
      <c r="N454" s="7" t="str">
        <f>HYPERLINK("https://ictv.global/id/TN19931527","TN19931527@prod")</f>
        <v>TN19931527@prod</v>
      </c>
      <c r="O454" s="7" t="str">
        <f>HYPERLINK("https://ictv.global/id/ICTV19911776","ICTV19911776@prod")</f>
        <v>ICTV19911776@prod</v>
      </c>
    </row>
    <row r="455" spans="1:15" x14ac:dyDescent="0.2">
      <c r="A455">
        <v>13</v>
      </c>
      <c r="B455">
        <v>19931551</v>
      </c>
      <c r="C455">
        <v>19911800</v>
      </c>
      <c r="D455" t="s">
        <v>29</v>
      </c>
      <c r="E455" t="s">
        <v>293</v>
      </c>
      <c r="G455" t="s">
        <v>33</v>
      </c>
      <c r="H455" t="s">
        <v>291</v>
      </c>
      <c r="I455" t="s">
        <v>29</v>
      </c>
      <c r="J455">
        <v>19991368</v>
      </c>
      <c r="K455">
        <v>19951864</v>
      </c>
      <c r="L455" s="7" t="str">
        <f>HYPERLINK("https://test.ictv.global/id/TN19931551","TN19931551@TEST")</f>
        <v>TN19931551@TEST</v>
      </c>
      <c r="M455" s="7" t="str">
        <f>HYPERLINK("https://test.ictv.global/id/ICTV19911800","ICTV19911800@TEST")</f>
        <v>ICTV19911800@TEST</v>
      </c>
      <c r="N455" s="7" t="str">
        <f>HYPERLINK("https://ictv.global/id/TN19931551","TN19931551@prod")</f>
        <v>TN19931551@prod</v>
      </c>
      <c r="O455" s="7" t="str">
        <f>HYPERLINK("https://ictv.global/id/ICTV19911800","ICTV19911800@prod")</f>
        <v>ICTV19911800@prod</v>
      </c>
    </row>
    <row r="456" spans="1:15" x14ac:dyDescent="0.2">
      <c r="A456">
        <v>13</v>
      </c>
      <c r="B456">
        <v>19931562</v>
      </c>
      <c r="C456">
        <v>19911811</v>
      </c>
      <c r="D456" t="s">
        <v>29</v>
      </c>
      <c r="E456" t="s">
        <v>294</v>
      </c>
      <c r="G456" t="s">
        <v>33</v>
      </c>
      <c r="H456" t="s">
        <v>183</v>
      </c>
      <c r="I456" t="s">
        <v>29</v>
      </c>
      <c r="J456">
        <v>19951873</v>
      </c>
      <c r="K456">
        <v>19951873</v>
      </c>
      <c r="L456" s="7" t="str">
        <f>HYPERLINK("https://test.ictv.global/id/TN19931562","TN19931562@TEST")</f>
        <v>TN19931562@TEST</v>
      </c>
      <c r="M456" s="7" t="str">
        <f>HYPERLINK("https://test.ictv.global/id/ICTV19911811","ICTV19911811@TEST")</f>
        <v>ICTV19911811@TEST</v>
      </c>
      <c r="N456" s="7" t="str">
        <f>HYPERLINK("https://ictv.global/id/TN19931562","TN19931562@prod")</f>
        <v>TN19931562@prod</v>
      </c>
      <c r="O456" s="7" t="str">
        <f>HYPERLINK("https://ictv.global/id/ICTV19911811","ICTV19911811@prod")</f>
        <v>ICTV19911811@prod</v>
      </c>
    </row>
    <row r="457" spans="1:15" x14ac:dyDescent="0.2">
      <c r="A457">
        <v>13</v>
      </c>
      <c r="B457">
        <v>19931639</v>
      </c>
      <c r="C457">
        <v>19901113</v>
      </c>
      <c r="D457" t="s">
        <v>29</v>
      </c>
      <c r="E457" t="s">
        <v>295</v>
      </c>
      <c r="G457" t="s">
        <v>33</v>
      </c>
      <c r="H457" t="s">
        <v>296</v>
      </c>
      <c r="I457" t="s">
        <v>29</v>
      </c>
      <c r="J457">
        <v>19951998</v>
      </c>
      <c r="K457">
        <v>19951998</v>
      </c>
      <c r="L457" s="7" t="str">
        <f>HYPERLINK("https://test.ictv.global/id/TN19931639","TN19931639@TEST")</f>
        <v>TN19931639@TEST</v>
      </c>
      <c r="M457" s="7" t="str">
        <f>HYPERLINK("https://test.ictv.global/id/ICTV19901113","ICTV19901113@TEST")</f>
        <v>ICTV19901113@TEST</v>
      </c>
      <c r="N457" s="7" t="str">
        <f>HYPERLINK("https://ictv.global/id/TN19931639","TN19931639@prod")</f>
        <v>TN19931639@prod</v>
      </c>
      <c r="O457" s="7" t="str">
        <f>HYPERLINK("https://ictv.global/id/ICTV19901113","ICTV19901113@prod")</f>
        <v>ICTV19901113@prod</v>
      </c>
    </row>
    <row r="458" spans="1:15" x14ac:dyDescent="0.2">
      <c r="A458">
        <v>13</v>
      </c>
      <c r="B458">
        <v>19931641</v>
      </c>
      <c r="C458">
        <v>19951998</v>
      </c>
      <c r="D458" t="s">
        <v>29</v>
      </c>
      <c r="E458" t="s">
        <v>297</v>
      </c>
      <c r="G458" t="s">
        <v>33</v>
      </c>
      <c r="H458" t="s">
        <v>296</v>
      </c>
      <c r="I458" t="s">
        <v>29</v>
      </c>
      <c r="J458">
        <v>19951998</v>
      </c>
      <c r="K458">
        <v>19951998</v>
      </c>
      <c r="L458" s="7" t="str">
        <f>HYPERLINK("https://test.ictv.global/id/TN19931641","TN19931641@TEST")</f>
        <v>TN19931641@TEST</v>
      </c>
      <c r="M458" s="7" t="str">
        <f>HYPERLINK("https://test.ictv.global/id/ICTV19951998","ICTV19951998@TEST")</f>
        <v>ICTV19951998@TEST</v>
      </c>
      <c r="N458" s="7" t="str">
        <f>HYPERLINK("https://ictv.global/id/TN19931641","TN19931641@prod")</f>
        <v>TN19931641@prod</v>
      </c>
      <c r="O458" s="7" t="str">
        <f>HYPERLINK("https://ictv.global/id/ICTV19951998","ICTV19951998@prod")</f>
        <v>ICTV19951998@prod</v>
      </c>
    </row>
    <row r="459" spans="1:15" x14ac:dyDescent="0.2">
      <c r="A459">
        <v>13</v>
      </c>
      <c r="B459">
        <v>19931692</v>
      </c>
      <c r="C459">
        <v>19760531</v>
      </c>
      <c r="D459" t="s">
        <v>29</v>
      </c>
      <c r="E459" t="s">
        <v>298</v>
      </c>
      <c r="G459" t="s">
        <v>53</v>
      </c>
      <c r="H459" t="s">
        <v>299</v>
      </c>
      <c r="I459" t="s">
        <v>29</v>
      </c>
      <c r="J459">
        <v>19952066</v>
      </c>
      <c r="K459">
        <v>19952066</v>
      </c>
      <c r="L459" s="7" t="str">
        <f>HYPERLINK("https://test.ictv.global/id/TN19931692","TN19931692@TEST")</f>
        <v>TN19931692@TEST</v>
      </c>
      <c r="M459" s="7" t="str">
        <f>HYPERLINK("https://test.ictv.global/id/ICTV19760531","ICTV19760531@TEST")</f>
        <v>ICTV19760531@TEST</v>
      </c>
      <c r="N459" s="7" t="str">
        <f>HYPERLINK("https://ictv.global/id/TN19931692","TN19931692@prod")</f>
        <v>TN19931692@prod</v>
      </c>
      <c r="O459" s="7" t="str">
        <f>HYPERLINK("https://ictv.global/id/ICTV19760531","ICTV19760531@prod")</f>
        <v>ICTV19760531@prod</v>
      </c>
    </row>
    <row r="460" spans="1:15" x14ac:dyDescent="0.2">
      <c r="A460">
        <v>13</v>
      </c>
      <c r="B460">
        <v>19931692</v>
      </c>
      <c r="C460">
        <v>19760531</v>
      </c>
      <c r="D460" t="s">
        <v>29</v>
      </c>
      <c r="E460" t="s">
        <v>298</v>
      </c>
      <c r="G460" t="s">
        <v>53</v>
      </c>
      <c r="H460" t="s">
        <v>300</v>
      </c>
      <c r="I460" t="s">
        <v>29</v>
      </c>
      <c r="J460">
        <v>19952068</v>
      </c>
      <c r="K460">
        <v>19952068</v>
      </c>
      <c r="L460" s="7" t="str">
        <f>HYPERLINK("https://test.ictv.global/id/TN19931692","TN19931692@TEST")</f>
        <v>TN19931692@TEST</v>
      </c>
      <c r="M460" s="7" t="str">
        <f>HYPERLINK("https://test.ictv.global/id/ICTV19760531","ICTV19760531@TEST")</f>
        <v>ICTV19760531@TEST</v>
      </c>
      <c r="N460" s="7" t="str">
        <f>HYPERLINK("https://ictv.global/id/TN19931692","TN19931692@prod")</f>
        <v>TN19931692@prod</v>
      </c>
      <c r="O460" s="7" t="str">
        <f>HYPERLINK("https://ictv.global/id/ICTV19760531","ICTV19760531@prod")</f>
        <v>ICTV19760531@prod</v>
      </c>
    </row>
    <row r="461" spans="1:15" x14ac:dyDescent="0.2">
      <c r="A461">
        <v>13</v>
      </c>
      <c r="B461">
        <v>19931692</v>
      </c>
      <c r="C461">
        <v>19760531</v>
      </c>
      <c r="D461" t="s">
        <v>29</v>
      </c>
      <c r="E461" t="s">
        <v>298</v>
      </c>
      <c r="G461" t="s">
        <v>53</v>
      </c>
      <c r="H461" t="s">
        <v>301</v>
      </c>
      <c r="I461" t="s">
        <v>29</v>
      </c>
      <c r="J461">
        <v>19952069</v>
      </c>
      <c r="K461">
        <v>19952069</v>
      </c>
      <c r="L461" s="7" t="str">
        <f>HYPERLINK("https://test.ictv.global/id/TN19931692","TN19931692@TEST")</f>
        <v>TN19931692@TEST</v>
      </c>
      <c r="M461" s="7" t="str">
        <f>HYPERLINK("https://test.ictv.global/id/ICTV19760531","ICTV19760531@TEST")</f>
        <v>ICTV19760531@TEST</v>
      </c>
      <c r="N461" s="7" t="str">
        <f>HYPERLINK("https://ictv.global/id/TN19931692","TN19931692@prod")</f>
        <v>TN19931692@prod</v>
      </c>
      <c r="O461" s="7" t="str">
        <f>HYPERLINK("https://ictv.global/id/ICTV19760531","ICTV19760531@prod")</f>
        <v>ICTV19760531@prod</v>
      </c>
    </row>
    <row r="462" spans="1:15" x14ac:dyDescent="0.2">
      <c r="A462">
        <v>13</v>
      </c>
      <c r="B462">
        <v>19931726</v>
      </c>
      <c r="C462">
        <v>19911462</v>
      </c>
      <c r="D462" t="s">
        <v>29</v>
      </c>
      <c r="E462" t="s">
        <v>1396</v>
      </c>
      <c r="G462" t="s">
        <v>1165</v>
      </c>
      <c r="L462" s="7" t="str">
        <f>HYPERLINK("https://test.ictv.global/id/TN19931726","TN19931726@TEST")</f>
        <v>TN19931726@TEST</v>
      </c>
      <c r="M462" s="7" t="str">
        <f>HYPERLINK("https://test.ictv.global/id/ICTV19911462","ICTV19911462@TEST")</f>
        <v>ICTV19911462@TEST</v>
      </c>
      <c r="N462" s="7" t="str">
        <f>HYPERLINK("https://ictv.global/id/TN19931726","TN19931726@prod")</f>
        <v>TN19931726@prod</v>
      </c>
      <c r="O462" s="7" t="str">
        <f>HYPERLINK("https://ictv.global/id/ICTV19911462","ICTV19911462@prod")</f>
        <v>ICTV19911462@prod</v>
      </c>
    </row>
    <row r="463" spans="1:15" x14ac:dyDescent="0.2">
      <c r="A463">
        <v>13</v>
      </c>
      <c r="B463">
        <v>19931727</v>
      </c>
      <c r="C463">
        <v>19911463</v>
      </c>
      <c r="D463" t="s">
        <v>29</v>
      </c>
      <c r="E463" t="s">
        <v>1397</v>
      </c>
      <c r="G463" t="s">
        <v>1165</v>
      </c>
      <c r="L463" s="7" t="str">
        <f>HYPERLINK("https://test.ictv.global/id/TN19931727","TN19931727@TEST")</f>
        <v>TN19931727@TEST</v>
      </c>
      <c r="M463" s="7" t="str">
        <f>HYPERLINK("https://test.ictv.global/id/ICTV19911463","ICTV19911463@TEST")</f>
        <v>ICTV19911463@TEST</v>
      </c>
      <c r="N463" s="7" t="str">
        <f>HYPERLINK("https://ictv.global/id/TN19931727","TN19931727@prod")</f>
        <v>TN19931727@prod</v>
      </c>
      <c r="O463" s="7" t="str">
        <f>HYPERLINK("https://ictv.global/id/ICTV19911463","ICTV19911463@prod")</f>
        <v>ICTV19911463@prod</v>
      </c>
    </row>
    <row r="464" spans="1:15" x14ac:dyDescent="0.2">
      <c r="A464">
        <v>13</v>
      </c>
      <c r="B464">
        <v>19931730</v>
      </c>
      <c r="C464">
        <v>19760704</v>
      </c>
      <c r="D464" t="s">
        <v>29</v>
      </c>
      <c r="E464" t="s">
        <v>1398</v>
      </c>
      <c r="G464" t="s">
        <v>1165</v>
      </c>
      <c r="L464" s="7" t="str">
        <f>HYPERLINK("https://test.ictv.global/id/TN19931730","TN19931730@TEST")</f>
        <v>TN19931730@TEST</v>
      </c>
      <c r="M464" s="7" t="str">
        <f>HYPERLINK("https://test.ictv.global/id/ICTV19760704","ICTV19760704@TEST")</f>
        <v>ICTV19760704@TEST</v>
      </c>
      <c r="N464" s="7" t="str">
        <f>HYPERLINK("https://ictv.global/id/TN19931730","TN19931730@prod")</f>
        <v>TN19931730@prod</v>
      </c>
      <c r="O464" s="7" t="str">
        <f>HYPERLINK("https://ictv.global/id/ICTV19760704","ICTV19760704@prod")</f>
        <v>ICTV19760704@prod</v>
      </c>
    </row>
    <row r="465" spans="1:15" x14ac:dyDescent="0.2">
      <c r="A465">
        <v>13</v>
      </c>
      <c r="B465">
        <v>19931732</v>
      </c>
      <c r="C465">
        <v>19790857</v>
      </c>
      <c r="D465" t="s">
        <v>29</v>
      </c>
      <c r="E465" t="s">
        <v>1399</v>
      </c>
      <c r="G465" t="s">
        <v>1165</v>
      </c>
      <c r="L465" s="7" t="str">
        <f>HYPERLINK("https://test.ictv.global/id/TN19931732","TN19931732@TEST")</f>
        <v>TN19931732@TEST</v>
      </c>
      <c r="M465" s="7" t="str">
        <f>HYPERLINK("https://test.ictv.global/id/ICTV19790857","ICTV19790857@TEST")</f>
        <v>ICTV19790857@TEST</v>
      </c>
      <c r="N465" s="7" t="str">
        <f>HYPERLINK("https://ictv.global/id/TN19931732","TN19931732@prod")</f>
        <v>TN19931732@prod</v>
      </c>
      <c r="O465" s="7" t="str">
        <f>HYPERLINK("https://ictv.global/id/ICTV19790857","ICTV19790857@prod")</f>
        <v>ICTV19790857@prod</v>
      </c>
    </row>
    <row r="466" spans="1:15" x14ac:dyDescent="0.2">
      <c r="A466">
        <v>13</v>
      </c>
      <c r="B466">
        <v>19931733</v>
      </c>
      <c r="C466">
        <v>19821050</v>
      </c>
      <c r="D466" t="s">
        <v>29</v>
      </c>
      <c r="E466" t="s">
        <v>1400</v>
      </c>
      <c r="G466" t="s">
        <v>1165</v>
      </c>
      <c r="L466" s="7" t="str">
        <f>HYPERLINK("https://test.ictv.global/id/TN19931733","TN19931733@TEST")</f>
        <v>TN19931733@TEST</v>
      </c>
      <c r="M466" s="7" t="str">
        <f>HYPERLINK("https://test.ictv.global/id/ICTV19821050","ICTV19821050@TEST")</f>
        <v>ICTV19821050@TEST</v>
      </c>
      <c r="N466" s="7" t="str">
        <f>HYPERLINK("https://ictv.global/id/TN19931733","TN19931733@prod")</f>
        <v>TN19931733@prod</v>
      </c>
      <c r="O466" s="7" t="str">
        <f>HYPERLINK("https://ictv.global/id/ICTV19821050","ICTV19821050@prod")</f>
        <v>ICTV19821050@prod</v>
      </c>
    </row>
    <row r="467" spans="1:15" x14ac:dyDescent="0.2">
      <c r="A467">
        <v>13</v>
      </c>
      <c r="B467">
        <v>19931735</v>
      </c>
      <c r="C467">
        <v>19790859</v>
      </c>
      <c r="D467" t="s">
        <v>29</v>
      </c>
      <c r="E467" t="s">
        <v>1401</v>
      </c>
      <c r="G467" t="s">
        <v>1165</v>
      </c>
      <c r="L467" s="7" t="str">
        <f>HYPERLINK("https://test.ictv.global/id/TN19931735","TN19931735@TEST")</f>
        <v>TN19931735@TEST</v>
      </c>
      <c r="M467" s="7" t="str">
        <f>HYPERLINK("https://test.ictv.global/id/ICTV19790859","ICTV19790859@TEST")</f>
        <v>ICTV19790859@TEST</v>
      </c>
      <c r="N467" s="7" t="str">
        <f>HYPERLINK("https://ictv.global/id/TN19931735","TN19931735@prod")</f>
        <v>TN19931735@prod</v>
      </c>
      <c r="O467" s="7" t="str">
        <f>HYPERLINK("https://ictv.global/id/ICTV19790859","ICTV19790859@prod")</f>
        <v>ICTV19790859@prod</v>
      </c>
    </row>
    <row r="468" spans="1:15" x14ac:dyDescent="0.2">
      <c r="A468">
        <v>13</v>
      </c>
      <c r="B468">
        <v>19931736</v>
      </c>
      <c r="C468">
        <v>19790860</v>
      </c>
      <c r="D468" t="s">
        <v>29</v>
      </c>
      <c r="E468" t="s">
        <v>1402</v>
      </c>
      <c r="G468" t="s">
        <v>1165</v>
      </c>
      <c r="L468" s="7" t="str">
        <f>HYPERLINK("https://test.ictv.global/id/TN19931736","TN19931736@TEST")</f>
        <v>TN19931736@TEST</v>
      </c>
      <c r="M468" s="7" t="str">
        <f>HYPERLINK("https://test.ictv.global/id/ICTV19790860","ICTV19790860@TEST")</f>
        <v>ICTV19790860@TEST</v>
      </c>
      <c r="N468" s="7" t="str">
        <f>HYPERLINK("https://ictv.global/id/TN19931736","TN19931736@prod")</f>
        <v>TN19931736@prod</v>
      </c>
      <c r="O468" s="7" t="str">
        <f>HYPERLINK("https://ictv.global/id/ICTV19790860","ICTV19790860@prod")</f>
        <v>ICTV19790860@prod</v>
      </c>
    </row>
    <row r="469" spans="1:15" x14ac:dyDescent="0.2">
      <c r="A469">
        <v>13</v>
      </c>
      <c r="B469">
        <v>19931737</v>
      </c>
      <c r="C469">
        <v>19790861</v>
      </c>
      <c r="D469" t="s">
        <v>29</v>
      </c>
      <c r="E469" t="s">
        <v>1403</v>
      </c>
      <c r="G469" t="s">
        <v>1165</v>
      </c>
      <c r="L469" s="7" t="str">
        <f>HYPERLINK("https://test.ictv.global/id/TN19931737","TN19931737@TEST")</f>
        <v>TN19931737@TEST</v>
      </c>
      <c r="M469" s="7" t="str">
        <f>HYPERLINK("https://test.ictv.global/id/ICTV19790861","ICTV19790861@TEST")</f>
        <v>ICTV19790861@TEST</v>
      </c>
      <c r="N469" s="7" t="str">
        <f>HYPERLINK("https://ictv.global/id/TN19931737","TN19931737@prod")</f>
        <v>TN19931737@prod</v>
      </c>
      <c r="O469" s="7" t="str">
        <f>HYPERLINK("https://ictv.global/id/ICTV19790861","ICTV19790861@prod")</f>
        <v>ICTV19790861@prod</v>
      </c>
    </row>
    <row r="470" spans="1:15" x14ac:dyDescent="0.2">
      <c r="A470">
        <v>13</v>
      </c>
      <c r="B470">
        <v>19931738</v>
      </c>
      <c r="C470">
        <v>19821055</v>
      </c>
      <c r="D470" t="s">
        <v>29</v>
      </c>
      <c r="E470" t="s">
        <v>1404</v>
      </c>
      <c r="G470" t="s">
        <v>1165</v>
      </c>
      <c r="L470" s="7" t="str">
        <f>HYPERLINK("https://test.ictv.global/id/TN19931738","TN19931738@TEST")</f>
        <v>TN19931738@TEST</v>
      </c>
      <c r="M470" s="7" t="str">
        <f>HYPERLINK("https://test.ictv.global/id/ICTV19821055","ICTV19821055@TEST")</f>
        <v>ICTV19821055@TEST</v>
      </c>
      <c r="N470" s="7" t="str">
        <f>HYPERLINK("https://ictv.global/id/TN19931738","TN19931738@prod")</f>
        <v>TN19931738@prod</v>
      </c>
      <c r="O470" s="7" t="str">
        <f>HYPERLINK("https://ictv.global/id/ICTV19821055","ICTV19821055@prod")</f>
        <v>ICTV19821055@prod</v>
      </c>
    </row>
    <row r="471" spans="1:15" x14ac:dyDescent="0.2">
      <c r="A471">
        <v>13</v>
      </c>
      <c r="B471">
        <v>19931807</v>
      </c>
      <c r="C471">
        <v>19760655</v>
      </c>
      <c r="D471" t="s">
        <v>29</v>
      </c>
      <c r="E471" t="s">
        <v>1405</v>
      </c>
      <c r="F471" t="s">
        <v>1406</v>
      </c>
      <c r="G471" t="s">
        <v>1165</v>
      </c>
      <c r="L471" s="7" t="str">
        <f>HYPERLINK("https://test.ictv.global/id/TN19931807","TN19931807@TEST")</f>
        <v>TN19931807@TEST</v>
      </c>
      <c r="M471" s="7" t="str">
        <f>HYPERLINK("https://test.ictv.global/id/ICTV19760655","ICTV19760655@TEST")</f>
        <v>ICTV19760655@TEST</v>
      </c>
      <c r="N471" s="7" t="str">
        <f>HYPERLINK("https://ictv.global/id/TN19931807","TN19931807@prod")</f>
        <v>TN19931807@prod</v>
      </c>
      <c r="O471" s="7" t="str">
        <f>HYPERLINK("https://ictv.global/id/ICTV19760655","ICTV19760655@prod")</f>
        <v>ICTV19760655@prod</v>
      </c>
    </row>
    <row r="472" spans="1:15" x14ac:dyDescent="0.2">
      <c r="A472">
        <v>13</v>
      </c>
      <c r="B472">
        <v>19931820</v>
      </c>
      <c r="C472">
        <v>19790961</v>
      </c>
      <c r="D472" t="s">
        <v>29</v>
      </c>
      <c r="E472" t="s">
        <v>1407</v>
      </c>
      <c r="G472" t="s">
        <v>1165</v>
      </c>
      <c r="L472" s="7" t="str">
        <f>HYPERLINK("https://test.ictv.global/id/TN19931820","TN19931820@TEST")</f>
        <v>TN19931820@TEST</v>
      </c>
      <c r="M472" s="7" t="str">
        <f>HYPERLINK("https://test.ictv.global/id/ICTV19790961","ICTV19790961@TEST")</f>
        <v>ICTV19790961@TEST</v>
      </c>
      <c r="N472" s="7" t="str">
        <f>HYPERLINK("https://ictv.global/id/TN19931820","TN19931820@prod")</f>
        <v>TN19931820@prod</v>
      </c>
      <c r="O472" s="7" t="str">
        <f>HYPERLINK("https://ictv.global/id/ICTV19790961","ICTV19790961@prod")</f>
        <v>ICTV19790961@prod</v>
      </c>
    </row>
    <row r="473" spans="1:15" x14ac:dyDescent="0.2">
      <c r="A473">
        <v>13</v>
      </c>
      <c r="B473">
        <v>19931847</v>
      </c>
      <c r="C473">
        <v>19760669</v>
      </c>
      <c r="D473" t="s">
        <v>29</v>
      </c>
      <c r="E473" t="s">
        <v>1408</v>
      </c>
      <c r="G473" t="s">
        <v>1165</v>
      </c>
      <c r="L473" s="7" t="str">
        <f>HYPERLINK("https://test.ictv.global/id/TN19931847","TN19931847@TEST")</f>
        <v>TN19931847@TEST</v>
      </c>
      <c r="M473" s="7" t="str">
        <f>HYPERLINK("https://test.ictv.global/id/ICTV19760669","ICTV19760669@TEST")</f>
        <v>ICTV19760669@TEST</v>
      </c>
      <c r="N473" s="7" t="str">
        <f>HYPERLINK("https://ictv.global/id/TN19931847","TN19931847@prod")</f>
        <v>TN19931847@prod</v>
      </c>
      <c r="O473" s="7" t="str">
        <f>HYPERLINK("https://ictv.global/id/ICTV19760669","ICTV19760669@prod")</f>
        <v>ICTV19760669@prod</v>
      </c>
    </row>
    <row r="474" spans="1:15" x14ac:dyDescent="0.2">
      <c r="A474">
        <v>13</v>
      </c>
      <c r="B474">
        <v>19931848</v>
      </c>
      <c r="C474">
        <v>19911575</v>
      </c>
      <c r="D474" t="s">
        <v>29</v>
      </c>
      <c r="E474" t="s">
        <v>1409</v>
      </c>
      <c r="F474" t="s">
        <v>1410</v>
      </c>
      <c r="G474" t="s">
        <v>1165</v>
      </c>
      <c r="L474" s="7" t="str">
        <f>HYPERLINK("https://test.ictv.global/id/TN19931848","TN19931848@TEST")</f>
        <v>TN19931848@TEST</v>
      </c>
      <c r="M474" s="7" t="str">
        <f>HYPERLINK("https://test.ictv.global/id/ICTV19911575","ICTV19911575@TEST")</f>
        <v>ICTV19911575@TEST</v>
      </c>
      <c r="N474" s="7" t="str">
        <f>HYPERLINK("https://ictv.global/id/TN19931848","TN19931848@prod")</f>
        <v>TN19931848@prod</v>
      </c>
      <c r="O474" s="7" t="str">
        <f>HYPERLINK("https://ictv.global/id/ICTV19911575","ICTV19911575@prod")</f>
        <v>ICTV19911575@prod</v>
      </c>
    </row>
    <row r="475" spans="1:15" x14ac:dyDescent="0.2">
      <c r="A475">
        <v>13</v>
      </c>
      <c r="B475">
        <v>19931866</v>
      </c>
      <c r="C475">
        <v>19911689</v>
      </c>
      <c r="D475" t="s">
        <v>29</v>
      </c>
      <c r="E475" t="s">
        <v>232</v>
      </c>
      <c r="G475" t="s">
        <v>57</v>
      </c>
      <c r="H475" t="s">
        <v>302</v>
      </c>
      <c r="I475" t="s">
        <v>29</v>
      </c>
      <c r="J475">
        <v>19952388</v>
      </c>
      <c r="K475">
        <v>19952388</v>
      </c>
      <c r="L475" s="7" t="str">
        <f>HYPERLINK("https://test.ictv.global/id/TN19931866","TN19931866@TEST")</f>
        <v>TN19931866@TEST</v>
      </c>
      <c r="M475" s="7" t="str">
        <f>HYPERLINK("https://test.ictv.global/id/ICTV19911689","ICTV19911689@TEST")</f>
        <v>ICTV19911689@TEST</v>
      </c>
      <c r="N475" s="7" t="str">
        <f>HYPERLINK("https://ictv.global/id/TN19931866","TN19931866@prod")</f>
        <v>TN19931866@prod</v>
      </c>
      <c r="O475" s="7" t="str">
        <f>HYPERLINK("https://ictv.global/id/ICTV19911689","ICTV19911689@prod")</f>
        <v>ICTV19911689@prod</v>
      </c>
    </row>
    <row r="476" spans="1:15" x14ac:dyDescent="0.2">
      <c r="A476">
        <v>13</v>
      </c>
      <c r="B476">
        <v>19931866</v>
      </c>
      <c r="C476">
        <v>19911689</v>
      </c>
      <c r="D476" t="s">
        <v>29</v>
      </c>
      <c r="E476" t="s">
        <v>232</v>
      </c>
      <c r="G476" t="s">
        <v>53</v>
      </c>
      <c r="H476" t="s">
        <v>303</v>
      </c>
      <c r="I476" t="s">
        <v>29</v>
      </c>
      <c r="J476">
        <v>19952389</v>
      </c>
      <c r="K476">
        <v>19952389</v>
      </c>
      <c r="L476" s="7" t="str">
        <f>HYPERLINK("https://test.ictv.global/id/TN19931866","TN19931866@TEST")</f>
        <v>TN19931866@TEST</v>
      </c>
      <c r="M476" s="7" t="str">
        <f>HYPERLINK("https://test.ictv.global/id/ICTV19911689","ICTV19911689@TEST")</f>
        <v>ICTV19911689@TEST</v>
      </c>
      <c r="N476" s="7" t="str">
        <f>HYPERLINK("https://ictv.global/id/TN19931866","TN19931866@prod")</f>
        <v>TN19931866@prod</v>
      </c>
      <c r="O476" s="7" t="str">
        <f>HYPERLINK("https://ictv.global/id/ICTV19911689","ICTV19911689@prod")</f>
        <v>ICTV19911689@prod</v>
      </c>
    </row>
    <row r="477" spans="1:15" x14ac:dyDescent="0.2">
      <c r="A477">
        <v>13</v>
      </c>
      <c r="B477">
        <v>19931866</v>
      </c>
      <c r="C477">
        <v>19911689</v>
      </c>
      <c r="D477" t="s">
        <v>29</v>
      </c>
      <c r="E477" t="s">
        <v>232</v>
      </c>
      <c r="G477" t="s">
        <v>57</v>
      </c>
      <c r="H477" t="s">
        <v>304</v>
      </c>
      <c r="I477" t="s">
        <v>29</v>
      </c>
      <c r="J477">
        <v>19952390</v>
      </c>
      <c r="K477">
        <v>19952390</v>
      </c>
      <c r="L477" s="7" t="str">
        <f>HYPERLINK("https://test.ictv.global/id/TN19931866","TN19931866@TEST")</f>
        <v>TN19931866@TEST</v>
      </c>
      <c r="M477" s="7" t="str">
        <f>HYPERLINK("https://test.ictv.global/id/ICTV19911689","ICTV19911689@TEST")</f>
        <v>ICTV19911689@TEST</v>
      </c>
      <c r="N477" s="7" t="str">
        <f>HYPERLINK("https://ictv.global/id/TN19931866","TN19931866@prod")</f>
        <v>TN19931866@prod</v>
      </c>
      <c r="O477" s="7" t="str">
        <f>HYPERLINK("https://ictv.global/id/ICTV19911689","ICTV19911689@prod")</f>
        <v>ICTV19911689@prod</v>
      </c>
    </row>
    <row r="478" spans="1:15" x14ac:dyDescent="0.2">
      <c r="A478">
        <v>13</v>
      </c>
      <c r="B478">
        <v>19931866</v>
      </c>
      <c r="C478">
        <v>19911689</v>
      </c>
      <c r="D478" t="s">
        <v>29</v>
      </c>
      <c r="E478" t="s">
        <v>232</v>
      </c>
      <c r="G478" t="s">
        <v>57</v>
      </c>
      <c r="H478" t="s">
        <v>305</v>
      </c>
      <c r="I478" t="s">
        <v>29</v>
      </c>
      <c r="J478">
        <v>19952391</v>
      </c>
      <c r="K478">
        <v>19952391</v>
      </c>
      <c r="L478" s="7" t="str">
        <f>HYPERLINK("https://test.ictv.global/id/TN19931866","TN19931866@TEST")</f>
        <v>TN19931866@TEST</v>
      </c>
      <c r="M478" s="7" t="str">
        <f>HYPERLINK("https://test.ictv.global/id/ICTV19911689","ICTV19911689@TEST")</f>
        <v>ICTV19911689@TEST</v>
      </c>
      <c r="N478" s="7" t="str">
        <f>HYPERLINK("https://ictv.global/id/TN19931866","TN19931866@prod")</f>
        <v>TN19931866@prod</v>
      </c>
      <c r="O478" s="7" t="str">
        <f>HYPERLINK("https://ictv.global/id/ICTV19911689","ICTV19911689@prod")</f>
        <v>ICTV19911689@prod</v>
      </c>
    </row>
    <row r="479" spans="1:15" x14ac:dyDescent="0.2">
      <c r="A479">
        <v>13</v>
      </c>
      <c r="B479">
        <v>19931866</v>
      </c>
      <c r="C479">
        <v>19911689</v>
      </c>
      <c r="D479" t="s">
        <v>29</v>
      </c>
      <c r="E479" t="s">
        <v>232</v>
      </c>
      <c r="G479" t="s">
        <v>57</v>
      </c>
      <c r="H479" t="s">
        <v>306</v>
      </c>
      <c r="I479" t="s">
        <v>29</v>
      </c>
      <c r="J479">
        <v>19981710</v>
      </c>
      <c r="K479">
        <v>19952392</v>
      </c>
      <c r="L479" s="7" t="str">
        <f>HYPERLINK("https://test.ictv.global/id/TN19931866","TN19931866@TEST")</f>
        <v>TN19931866@TEST</v>
      </c>
      <c r="M479" s="7" t="str">
        <f>HYPERLINK("https://test.ictv.global/id/ICTV19911689","ICTV19911689@TEST")</f>
        <v>ICTV19911689@TEST</v>
      </c>
      <c r="N479" s="7" t="str">
        <f>HYPERLINK("https://ictv.global/id/TN19931866","TN19931866@prod")</f>
        <v>TN19931866@prod</v>
      </c>
      <c r="O479" s="7" t="str">
        <f>HYPERLINK("https://ictv.global/id/ICTV19911689","ICTV19911689@prod")</f>
        <v>ICTV19911689@prod</v>
      </c>
    </row>
    <row r="480" spans="1:15" x14ac:dyDescent="0.2">
      <c r="A480">
        <v>13</v>
      </c>
      <c r="B480">
        <v>19931866</v>
      </c>
      <c r="C480">
        <v>19911689</v>
      </c>
      <c r="D480" t="s">
        <v>29</v>
      </c>
      <c r="E480" t="s">
        <v>232</v>
      </c>
      <c r="G480" t="s">
        <v>57</v>
      </c>
      <c r="H480" t="s">
        <v>307</v>
      </c>
      <c r="I480" t="s">
        <v>29</v>
      </c>
      <c r="J480">
        <v>19952393</v>
      </c>
      <c r="K480">
        <v>19952393</v>
      </c>
      <c r="L480" s="7" t="str">
        <f>HYPERLINK("https://test.ictv.global/id/TN19931866","TN19931866@TEST")</f>
        <v>TN19931866@TEST</v>
      </c>
      <c r="M480" s="7" t="str">
        <f>HYPERLINK("https://test.ictv.global/id/ICTV19911689","ICTV19911689@TEST")</f>
        <v>ICTV19911689@TEST</v>
      </c>
      <c r="N480" s="7" t="str">
        <f>HYPERLINK("https://ictv.global/id/TN19931866","TN19931866@prod")</f>
        <v>TN19931866@prod</v>
      </c>
      <c r="O480" s="7" t="str">
        <f>HYPERLINK("https://ictv.global/id/ICTV19911689","ICTV19911689@prod")</f>
        <v>ICTV19911689@prod</v>
      </c>
    </row>
    <row r="481" spans="1:15" x14ac:dyDescent="0.2">
      <c r="A481">
        <v>13</v>
      </c>
      <c r="B481">
        <v>19931940</v>
      </c>
      <c r="C481">
        <v>19710338</v>
      </c>
      <c r="D481" t="s">
        <v>29</v>
      </c>
      <c r="E481" t="s">
        <v>308</v>
      </c>
      <c r="G481" t="s">
        <v>33</v>
      </c>
      <c r="H481" t="s">
        <v>309</v>
      </c>
      <c r="I481" t="s">
        <v>29</v>
      </c>
      <c r="J481">
        <v>19952476</v>
      </c>
      <c r="K481">
        <v>19952476</v>
      </c>
      <c r="L481" s="7" t="str">
        <f>HYPERLINK("https://test.ictv.global/id/TN19931940","TN19931940@TEST")</f>
        <v>TN19931940@TEST</v>
      </c>
      <c r="M481" s="7" t="str">
        <f>HYPERLINK("https://test.ictv.global/id/ICTV19710338","ICTV19710338@TEST")</f>
        <v>ICTV19710338@TEST</v>
      </c>
      <c r="N481" s="7" t="str">
        <f>HYPERLINK("https://ictv.global/id/TN19931940","TN19931940@prod")</f>
        <v>TN19931940@prod</v>
      </c>
      <c r="O481" s="7" t="str">
        <f>HYPERLINK("https://ictv.global/id/ICTV19710338","ICTV19710338@prod")</f>
        <v>ICTV19710338@prod</v>
      </c>
    </row>
    <row r="482" spans="1:15" x14ac:dyDescent="0.2">
      <c r="A482">
        <v>13</v>
      </c>
      <c r="B482">
        <v>19931945</v>
      </c>
      <c r="C482">
        <v>19952476</v>
      </c>
      <c r="D482" t="s">
        <v>29</v>
      </c>
      <c r="E482" t="s">
        <v>309</v>
      </c>
      <c r="G482" t="s">
        <v>33</v>
      </c>
      <c r="H482" t="s">
        <v>309</v>
      </c>
      <c r="I482" t="s">
        <v>29</v>
      </c>
      <c r="J482">
        <v>19952476</v>
      </c>
      <c r="K482">
        <v>19952476</v>
      </c>
      <c r="L482" s="7" t="str">
        <f>HYPERLINK("https://test.ictv.global/id/TN19931945","TN19931945@TEST")</f>
        <v>TN19931945@TEST</v>
      </c>
      <c r="M482" s="7" t="str">
        <f>HYPERLINK("https://test.ictv.global/id/ICTV19952476","ICTV19952476@TEST")</f>
        <v>ICTV19952476@TEST</v>
      </c>
      <c r="N482" s="7" t="str">
        <f>HYPERLINK("https://ictv.global/id/TN19931945","TN19931945@prod")</f>
        <v>TN19931945@prod</v>
      </c>
      <c r="O482" s="7" t="str">
        <f>HYPERLINK("https://ictv.global/id/ICTV19952476","ICTV19952476@prod")</f>
        <v>ICTV19952476@prod</v>
      </c>
    </row>
    <row r="483" spans="1:15" x14ac:dyDescent="0.2">
      <c r="A483">
        <v>13</v>
      </c>
      <c r="B483">
        <v>19931953</v>
      </c>
      <c r="C483">
        <v>19911891</v>
      </c>
      <c r="D483" t="s">
        <v>29</v>
      </c>
      <c r="E483" t="s">
        <v>1411</v>
      </c>
      <c r="G483" t="s">
        <v>1165</v>
      </c>
      <c r="L483" s="7" t="str">
        <f>HYPERLINK("https://test.ictv.global/id/TN19931953","TN19931953@TEST")</f>
        <v>TN19931953@TEST</v>
      </c>
      <c r="M483" s="7" t="str">
        <f>HYPERLINK("https://test.ictv.global/id/ICTV19911891","ICTV19911891@TEST")</f>
        <v>ICTV19911891@TEST</v>
      </c>
      <c r="N483" s="7" t="str">
        <f>HYPERLINK("https://ictv.global/id/TN19931953","TN19931953@prod")</f>
        <v>TN19931953@prod</v>
      </c>
      <c r="O483" s="7" t="str">
        <f>HYPERLINK("https://ictv.global/id/ICTV19911891","ICTV19911891@prod")</f>
        <v>ICTV19911891@prod</v>
      </c>
    </row>
    <row r="484" spans="1:15" x14ac:dyDescent="0.2">
      <c r="A484">
        <v>13</v>
      </c>
      <c r="B484">
        <v>19931959</v>
      </c>
      <c r="C484">
        <v>19911897</v>
      </c>
      <c r="D484" t="s">
        <v>29</v>
      </c>
      <c r="E484" t="s">
        <v>1412</v>
      </c>
      <c r="F484" t="s">
        <v>1413</v>
      </c>
      <c r="G484" t="s">
        <v>1165</v>
      </c>
      <c r="L484" s="7" t="str">
        <f>HYPERLINK("https://test.ictv.global/id/TN19931959","TN19931959@TEST")</f>
        <v>TN19931959@TEST</v>
      </c>
      <c r="M484" s="7" t="str">
        <f>HYPERLINK("https://test.ictv.global/id/ICTV19911897","ICTV19911897@TEST")</f>
        <v>ICTV19911897@TEST</v>
      </c>
      <c r="N484" s="7" t="str">
        <f>HYPERLINK("https://ictv.global/id/TN19931959","TN19931959@prod")</f>
        <v>TN19931959@prod</v>
      </c>
      <c r="O484" s="7" t="str">
        <f>HYPERLINK("https://ictv.global/id/ICTV19911897","ICTV19911897@prod")</f>
        <v>ICTV19911897@prod</v>
      </c>
    </row>
    <row r="485" spans="1:15" x14ac:dyDescent="0.2">
      <c r="A485">
        <v>13</v>
      </c>
      <c r="B485">
        <v>19931960</v>
      </c>
      <c r="C485">
        <v>19911898</v>
      </c>
      <c r="D485" t="s">
        <v>29</v>
      </c>
      <c r="E485" t="s">
        <v>1414</v>
      </c>
      <c r="F485" t="s">
        <v>1415</v>
      </c>
      <c r="G485" t="s">
        <v>1165</v>
      </c>
      <c r="L485" s="7" t="str">
        <f>HYPERLINK("https://test.ictv.global/id/TN19931960","TN19931960@TEST")</f>
        <v>TN19931960@TEST</v>
      </c>
      <c r="M485" s="7" t="str">
        <f>HYPERLINK("https://test.ictv.global/id/ICTV19911898","ICTV19911898@TEST")</f>
        <v>ICTV19911898@TEST</v>
      </c>
      <c r="N485" s="7" t="str">
        <f>HYPERLINK("https://ictv.global/id/TN19931960","TN19931960@prod")</f>
        <v>TN19931960@prod</v>
      </c>
      <c r="O485" s="7" t="str">
        <f>HYPERLINK("https://ictv.global/id/ICTV19911898","ICTV19911898@prod")</f>
        <v>ICTV19911898@prod</v>
      </c>
    </row>
    <row r="486" spans="1:15" x14ac:dyDescent="0.2">
      <c r="A486">
        <v>13</v>
      </c>
      <c r="B486">
        <v>19931969</v>
      </c>
      <c r="C486">
        <v>19911907</v>
      </c>
      <c r="D486" t="s">
        <v>29</v>
      </c>
      <c r="E486" t="s">
        <v>1416</v>
      </c>
      <c r="G486" t="s">
        <v>1165</v>
      </c>
      <c r="L486" s="7" t="str">
        <f>HYPERLINK("https://test.ictv.global/id/TN19931969","TN19931969@TEST")</f>
        <v>TN19931969@TEST</v>
      </c>
      <c r="M486" s="7" t="str">
        <f>HYPERLINK("https://test.ictv.global/id/ICTV19911907","ICTV19911907@TEST")</f>
        <v>ICTV19911907@TEST</v>
      </c>
      <c r="N486" s="7" t="str">
        <f>HYPERLINK("https://ictv.global/id/TN19931969","TN19931969@prod")</f>
        <v>TN19931969@prod</v>
      </c>
      <c r="O486" s="7" t="str">
        <f>HYPERLINK("https://ictv.global/id/ICTV19911907","ICTV19911907@prod")</f>
        <v>ICTV19911907@prod</v>
      </c>
    </row>
    <row r="487" spans="1:15" x14ac:dyDescent="0.2">
      <c r="A487">
        <v>14</v>
      </c>
      <c r="B487">
        <v>19950172</v>
      </c>
      <c r="C487">
        <v>19950172</v>
      </c>
      <c r="D487" t="s">
        <v>19</v>
      </c>
      <c r="E487" t="s">
        <v>1417</v>
      </c>
      <c r="G487" t="s">
        <v>1165</v>
      </c>
      <c r="L487" s="7" t="str">
        <f>HYPERLINK("https://test.ictv.global/id/TN19950172","TN19950172@TEST")</f>
        <v>TN19950172@TEST</v>
      </c>
      <c r="M487" s="7" t="str">
        <f>HYPERLINK("https://test.ictv.global/id/ICTV19950172","ICTV19950172@TEST")</f>
        <v>ICTV19950172@TEST</v>
      </c>
      <c r="N487" s="7" t="str">
        <f>HYPERLINK("https://ictv.global/id/TN19950172","TN19950172@prod")</f>
        <v>TN19950172@prod</v>
      </c>
      <c r="O487" s="7" t="str">
        <f>HYPERLINK("https://ictv.global/id/ICTV19950172","ICTV19950172@prod")</f>
        <v>ICTV19950172@prod</v>
      </c>
    </row>
    <row r="488" spans="1:15" x14ac:dyDescent="0.2">
      <c r="A488">
        <v>14</v>
      </c>
      <c r="B488">
        <v>19950187</v>
      </c>
      <c r="C488">
        <v>19710033</v>
      </c>
      <c r="D488" t="s">
        <v>19</v>
      </c>
      <c r="E488" t="s">
        <v>310</v>
      </c>
      <c r="G488" t="s">
        <v>53</v>
      </c>
      <c r="H488" t="s">
        <v>311</v>
      </c>
      <c r="I488" t="s">
        <v>19</v>
      </c>
      <c r="J488">
        <v>19960203</v>
      </c>
      <c r="K488">
        <v>19960203</v>
      </c>
      <c r="L488" s="7" t="str">
        <f>HYPERLINK("https://test.ictv.global/id/TN19950187","TN19950187@TEST")</f>
        <v>TN19950187@TEST</v>
      </c>
      <c r="M488" s="7" t="str">
        <f>HYPERLINK("https://test.ictv.global/id/ICTV19710033","ICTV19710033@TEST")</f>
        <v>ICTV19710033@TEST</v>
      </c>
      <c r="N488" s="7" t="str">
        <f>HYPERLINK("https://ictv.global/id/TN19950187","TN19950187@prod")</f>
        <v>TN19950187@prod</v>
      </c>
      <c r="O488" s="7" t="str">
        <f>HYPERLINK("https://ictv.global/id/ICTV19710033","ICTV19710033@prod")</f>
        <v>ICTV19710033@prod</v>
      </c>
    </row>
    <row r="489" spans="1:15" x14ac:dyDescent="0.2">
      <c r="A489">
        <v>14</v>
      </c>
      <c r="B489">
        <v>19950187</v>
      </c>
      <c r="C489">
        <v>19710033</v>
      </c>
      <c r="D489" t="s">
        <v>19</v>
      </c>
      <c r="E489" t="s">
        <v>310</v>
      </c>
      <c r="G489" t="s">
        <v>53</v>
      </c>
      <c r="H489" t="s">
        <v>312</v>
      </c>
      <c r="I489" t="s">
        <v>19</v>
      </c>
      <c r="J489">
        <v>19960204</v>
      </c>
      <c r="K489">
        <v>19960204</v>
      </c>
      <c r="L489" s="7" t="str">
        <f>HYPERLINK("https://test.ictv.global/id/TN19950187","TN19950187@TEST")</f>
        <v>TN19950187@TEST</v>
      </c>
      <c r="M489" s="7" t="str">
        <f>HYPERLINK("https://test.ictv.global/id/ICTV19710033","ICTV19710033@TEST")</f>
        <v>ICTV19710033@TEST</v>
      </c>
      <c r="N489" s="7" t="str">
        <f>HYPERLINK("https://ictv.global/id/TN19950187","TN19950187@prod")</f>
        <v>TN19950187@prod</v>
      </c>
      <c r="O489" s="7" t="str">
        <f>HYPERLINK("https://ictv.global/id/ICTV19710033","ICTV19710033@prod")</f>
        <v>ICTV19710033@prod</v>
      </c>
    </row>
    <row r="490" spans="1:15" x14ac:dyDescent="0.2">
      <c r="A490">
        <v>14</v>
      </c>
      <c r="B490">
        <v>19951129</v>
      </c>
      <c r="C490">
        <v>19951129</v>
      </c>
      <c r="D490" t="s">
        <v>29</v>
      </c>
      <c r="E490" t="s">
        <v>1418</v>
      </c>
      <c r="G490" t="s">
        <v>1165</v>
      </c>
      <c r="L490" s="7" t="str">
        <f>HYPERLINK("https://test.ictv.global/id/TN19951129","TN19951129@TEST")</f>
        <v>TN19951129@TEST</v>
      </c>
      <c r="M490" s="7" t="str">
        <f>HYPERLINK("https://test.ictv.global/id/ICTV19951129","ICTV19951129@TEST")</f>
        <v>ICTV19951129@TEST</v>
      </c>
      <c r="N490" s="7" t="str">
        <f>HYPERLINK("https://ictv.global/id/TN19951129","TN19951129@prod")</f>
        <v>TN19951129@prod</v>
      </c>
      <c r="O490" s="7" t="str">
        <f>HYPERLINK("https://ictv.global/id/ICTV19951129","ICTV19951129@prod")</f>
        <v>ICTV19951129@prod</v>
      </c>
    </row>
    <row r="491" spans="1:15" x14ac:dyDescent="0.2">
      <c r="A491">
        <v>15</v>
      </c>
      <c r="B491">
        <v>19960308</v>
      </c>
      <c r="C491">
        <v>19910234</v>
      </c>
      <c r="D491" t="s">
        <v>19</v>
      </c>
      <c r="E491" t="s">
        <v>313</v>
      </c>
      <c r="G491" t="s">
        <v>314</v>
      </c>
      <c r="H491" t="s">
        <v>313</v>
      </c>
      <c r="I491" t="s">
        <v>23</v>
      </c>
      <c r="J491">
        <v>19910234</v>
      </c>
      <c r="K491">
        <v>19970060</v>
      </c>
      <c r="L491" s="7" t="str">
        <f>HYPERLINK("https://test.ictv.global/id/TN19960308","TN19960308@TEST")</f>
        <v>TN19960308@TEST</v>
      </c>
      <c r="M491" s="7" t="str">
        <f>HYPERLINK("https://test.ictv.global/id/ICTV19910234","ICTV19910234@TEST")</f>
        <v>ICTV19910234@TEST</v>
      </c>
      <c r="N491" s="7" t="str">
        <f>HYPERLINK("https://ictv.global/id/TN19960308","TN19960308@prod")</f>
        <v>TN19960308@prod</v>
      </c>
      <c r="O491" s="7" t="str">
        <f>HYPERLINK("https://ictv.global/id/ICTV19910234","ICTV19910234@prod")</f>
        <v>ICTV19910234@prod</v>
      </c>
    </row>
    <row r="492" spans="1:15" x14ac:dyDescent="0.2">
      <c r="A492">
        <v>16</v>
      </c>
      <c r="B492">
        <v>19970060</v>
      </c>
      <c r="C492">
        <v>19910234</v>
      </c>
      <c r="D492" t="s">
        <v>23</v>
      </c>
      <c r="E492" t="s">
        <v>313</v>
      </c>
      <c r="G492" t="s">
        <v>53</v>
      </c>
      <c r="H492" t="s">
        <v>315</v>
      </c>
      <c r="I492" t="s">
        <v>23</v>
      </c>
      <c r="J492">
        <v>19980019</v>
      </c>
      <c r="K492">
        <v>19980019</v>
      </c>
      <c r="L492" s="7" t="str">
        <f>HYPERLINK("https://test.ictv.global/id/TN19970060","TN19970060@TEST")</f>
        <v>TN19970060@TEST</v>
      </c>
      <c r="M492" s="7" t="str">
        <f>HYPERLINK("https://test.ictv.global/id/ICTV19910234","ICTV19910234@TEST")</f>
        <v>ICTV19910234@TEST</v>
      </c>
      <c r="N492" s="7" t="str">
        <f>HYPERLINK("https://ictv.global/id/TN19970060","TN19970060@prod")</f>
        <v>TN19970060@prod</v>
      </c>
      <c r="O492" s="7" t="str">
        <f>HYPERLINK("https://ictv.global/id/ICTV19910234","ICTV19910234@prod")</f>
        <v>ICTV19910234@prod</v>
      </c>
    </row>
    <row r="493" spans="1:15" x14ac:dyDescent="0.2">
      <c r="A493">
        <v>16</v>
      </c>
      <c r="B493">
        <v>19970060</v>
      </c>
      <c r="C493">
        <v>19910234</v>
      </c>
      <c r="D493" t="s">
        <v>23</v>
      </c>
      <c r="E493" t="s">
        <v>313</v>
      </c>
      <c r="G493" t="s">
        <v>53</v>
      </c>
      <c r="H493" t="s">
        <v>316</v>
      </c>
      <c r="I493" t="s">
        <v>23</v>
      </c>
      <c r="J493">
        <v>19980055</v>
      </c>
      <c r="K493">
        <v>19980055</v>
      </c>
      <c r="L493" s="7" t="str">
        <f>HYPERLINK("https://test.ictv.global/id/TN19970060","TN19970060@TEST")</f>
        <v>TN19970060@TEST</v>
      </c>
      <c r="M493" s="7" t="str">
        <f>HYPERLINK("https://test.ictv.global/id/ICTV19910234","ICTV19910234@TEST")</f>
        <v>ICTV19910234@TEST</v>
      </c>
      <c r="N493" s="7" t="str">
        <f>HYPERLINK("https://ictv.global/id/TN19970060","TN19970060@prod")</f>
        <v>TN19970060@prod</v>
      </c>
      <c r="O493" s="7" t="str">
        <f>HYPERLINK("https://ictv.global/id/ICTV19910234","ICTV19910234@prod")</f>
        <v>ICTV19910234@prod</v>
      </c>
    </row>
    <row r="494" spans="1:15" x14ac:dyDescent="0.2">
      <c r="A494">
        <v>16</v>
      </c>
      <c r="B494">
        <v>19970124</v>
      </c>
      <c r="C494">
        <v>19870097</v>
      </c>
      <c r="D494" t="s">
        <v>19</v>
      </c>
      <c r="E494" t="s">
        <v>1419</v>
      </c>
      <c r="G494" t="s">
        <v>1165</v>
      </c>
      <c r="L494" s="7" t="str">
        <f>HYPERLINK("https://test.ictv.global/id/TN19970124","TN19970124@TEST")</f>
        <v>TN19970124@TEST</v>
      </c>
      <c r="M494" s="7" t="str">
        <f>HYPERLINK("https://test.ictv.global/id/ICTV19870097","ICTV19870097@TEST")</f>
        <v>ICTV19870097@TEST</v>
      </c>
      <c r="N494" s="7" t="str">
        <f>HYPERLINK("https://ictv.global/id/TN19970124","TN19970124@prod")</f>
        <v>TN19970124@prod</v>
      </c>
      <c r="O494" s="7" t="str">
        <f>HYPERLINK("https://ictv.global/id/ICTV19870097","ICTV19870097@prod")</f>
        <v>ICTV19870097@prod</v>
      </c>
    </row>
    <row r="495" spans="1:15" x14ac:dyDescent="0.2">
      <c r="A495">
        <v>16</v>
      </c>
      <c r="B495">
        <v>19970159</v>
      </c>
      <c r="C495">
        <v>19710010</v>
      </c>
      <c r="D495" t="s">
        <v>19</v>
      </c>
      <c r="E495" t="s">
        <v>1420</v>
      </c>
      <c r="G495" t="s">
        <v>1165</v>
      </c>
      <c r="L495" s="7" t="str">
        <f>HYPERLINK("https://test.ictv.global/id/TN19970159","TN19970159@TEST")</f>
        <v>TN19970159@TEST</v>
      </c>
      <c r="M495" s="7" t="str">
        <f>HYPERLINK("https://test.ictv.global/id/ICTV19710010","ICTV19710010@TEST")</f>
        <v>ICTV19710010@TEST</v>
      </c>
      <c r="N495" s="7" t="str">
        <f>HYPERLINK("https://ictv.global/id/TN19970159","TN19970159@prod")</f>
        <v>TN19970159@prod</v>
      </c>
      <c r="O495" s="7" t="str">
        <f>HYPERLINK("https://ictv.global/id/ICTV19710010","ICTV19710010@prod")</f>
        <v>ICTV19710010@prod</v>
      </c>
    </row>
    <row r="496" spans="1:15" x14ac:dyDescent="0.2">
      <c r="A496">
        <v>16</v>
      </c>
      <c r="B496">
        <v>19970273</v>
      </c>
      <c r="C496">
        <v>19750068</v>
      </c>
      <c r="D496" t="s">
        <v>19</v>
      </c>
      <c r="E496" t="s">
        <v>317</v>
      </c>
      <c r="G496" t="s">
        <v>33</v>
      </c>
      <c r="H496" t="s">
        <v>318</v>
      </c>
      <c r="I496" t="s">
        <v>19</v>
      </c>
      <c r="J496">
        <v>19980331</v>
      </c>
      <c r="K496">
        <v>19980331</v>
      </c>
      <c r="L496" s="7" t="str">
        <f>HYPERLINK("https://test.ictv.global/id/TN19970273","TN19970273@TEST")</f>
        <v>TN19970273@TEST</v>
      </c>
      <c r="M496" s="7" t="str">
        <f>HYPERLINK("https://test.ictv.global/id/ICTV19750068","ICTV19750068@TEST")</f>
        <v>ICTV19750068@TEST</v>
      </c>
      <c r="N496" s="7" t="str">
        <f>HYPERLINK("https://ictv.global/id/TN19970273","TN19970273@prod")</f>
        <v>TN19970273@prod</v>
      </c>
      <c r="O496" s="7" t="str">
        <f>HYPERLINK("https://ictv.global/id/ICTV19750068","ICTV19750068@prod")</f>
        <v>ICTV19750068@prod</v>
      </c>
    </row>
    <row r="497" spans="1:15" x14ac:dyDescent="0.2">
      <c r="A497">
        <v>16</v>
      </c>
      <c r="B497">
        <v>19970276</v>
      </c>
      <c r="C497">
        <v>19950243</v>
      </c>
      <c r="D497" t="s">
        <v>19</v>
      </c>
      <c r="E497" t="s">
        <v>319</v>
      </c>
      <c r="G497" t="s">
        <v>33</v>
      </c>
      <c r="H497" t="s">
        <v>318</v>
      </c>
      <c r="I497" t="s">
        <v>19</v>
      </c>
      <c r="J497">
        <v>19980331</v>
      </c>
      <c r="K497">
        <v>19980331</v>
      </c>
      <c r="L497" s="7" t="str">
        <f>HYPERLINK("https://test.ictv.global/id/TN19970276","TN19970276@TEST")</f>
        <v>TN19970276@TEST</v>
      </c>
      <c r="M497" s="7" t="str">
        <f>HYPERLINK("https://test.ictv.global/id/ICTV19950243","ICTV19950243@TEST")</f>
        <v>ICTV19950243@TEST</v>
      </c>
      <c r="N497" s="7" t="str">
        <f>HYPERLINK("https://ictv.global/id/TN19970276","TN19970276@prod")</f>
        <v>TN19970276@prod</v>
      </c>
      <c r="O497" s="7" t="str">
        <f>HYPERLINK("https://ictv.global/id/ICTV19950243","ICTV19950243@prod")</f>
        <v>ICTV19950243@prod</v>
      </c>
    </row>
    <row r="498" spans="1:15" x14ac:dyDescent="0.2">
      <c r="A498">
        <v>16</v>
      </c>
      <c r="B498">
        <v>19971037</v>
      </c>
      <c r="C498">
        <v>19790993</v>
      </c>
      <c r="D498" t="s">
        <v>29</v>
      </c>
      <c r="E498" t="s">
        <v>320</v>
      </c>
      <c r="G498" t="s">
        <v>57</v>
      </c>
      <c r="H498" t="s">
        <v>321</v>
      </c>
      <c r="I498" t="s">
        <v>29</v>
      </c>
      <c r="J498">
        <v>19981380</v>
      </c>
      <c r="K498">
        <v>19981380</v>
      </c>
      <c r="L498" s="7" t="str">
        <f>HYPERLINK("https://test.ictv.global/id/TN19971037","TN19971037@TEST")</f>
        <v>TN19971037@TEST</v>
      </c>
      <c r="M498" s="7" t="str">
        <f>HYPERLINK("https://test.ictv.global/id/ICTV19790993","ICTV19790993@TEST")</f>
        <v>ICTV19790993@TEST</v>
      </c>
      <c r="N498" s="7" t="str">
        <f>HYPERLINK("https://ictv.global/id/TN19971037","TN19971037@prod")</f>
        <v>TN19971037@prod</v>
      </c>
      <c r="O498" s="7" t="str">
        <f>HYPERLINK("https://ictv.global/id/ICTV19790993","ICTV19790993@prod")</f>
        <v>ICTV19790993@prod</v>
      </c>
    </row>
    <row r="499" spans="1:15" x14ac:dyDescent="0.2">
      <c r="A499">
        <v>16</v>
      </c>
      <c r="B499">
        <v>19971037</v>
      </c>
      <c r="C499">
        <v>19790993</v>
      </c>
      <c r="D499" t="s">
        <v>29</v>
      </c>
      <c r="E499" t="s">
        <v>320</v>
      </c>
      <c r="G499" t="s">
        <v>53</v>
      </c>
      <c r="H499" t="s">
        <v>322</v>
      </c>
      <c r="I499" t="s">
        <v>29</v>
      </c>
      <c r="J499">
        <v>19981381</v>
      </c>
      <c r="K499">
        <v>19981381</v>
      </c>
      <c r="L499" s="7" t="str">
        <f>HYPERLINK("https://test.ictv.global/id/TN19971037","TN19971037@TEST")</f>
        <v>TN19971037@TEST</v>
      </c>
      <c r="M499" s="7" t="str">
        <f>HYPERLINK("https://test.ictv.global/id/ICTV19790993","ICTV19790993@TEST")</f>
        <v>ICTV19790993@TEST</v>
      </c>
      <c r="N499" s="7" t="str">
        <f>HYPERLINK("https://ictv.global/id/TN19971037","TN19971037@prod")</f>
        <v>TN19971037@prod</v>
      </c>
      <c r="O499" s="7" t="str">
        <f>HYPERLINK("https://ictv.global/id/ICTV19790993","ICTV19790993@prod")</f>
        <v>ICTV19790993@prod</v>
      </c>
    </row>
    <row r="500" spans="1:15" x14ac:dyDescent="0.2">
      <c r="A500">
        <v>16</v>
      </c>
      <c r="B500">
        <v>19971039</v>
      </c>
      <c r="C500">
        <v>19981383</v>
      </c>
      <c r="D500" t="s">
        <v>29</v>
      </c>
      <c r="E500" t="s">
        <v>323</v>
      </c>
      <c r="G500" t="s">
        <v>33</v>
      </c>
      <c r="H500" t="s">
        <v>323</v>
      </c>
      <c r="I500" t="s">
        <v>29</v>
      </c>
      <c r="J500">
        <v>19981383</v>
      </c>
      <c r="K500">
        <v>19981383</v>
      </c>
      <c r="L500" s="7" t="str">
        <f>HYPERLINK("https://test.ictv.global/id/TN19971039","TN19971039@TEST")</f>
        <v>TN19971039@TEST</v>
      </c>
      <c r="M500" s="7" t="str">
        <f>HYPERLINK("https://test.ictv.global/id/ICTV19981383","ICTV19981383@TEST")</f>
        <v>ICTV19981383@TEST</v>
      </c>
      <c r="N500" s="7" t="str">
        <f>HYPERLINK("https://ictv.global/id/TN19971039","TN19971039@prod")</f>
        <v>TN19971039@prod</v>
      </c>
      <c r="O500" s="7" t="str">
        <f>HYPERLINK("https://ictv.global/id/ICTV19981383","ICTV19981383@prod")</f>
        <v>ICTV19981383@prod</v>
      </c>
    </row>
    <row r="501" spans="1:15" x14ac:dyDescent="0.2">
      <c r="A501">
        <v>16</v>
      </c>
      <c r="B501">
        <v>19971041</v>
      </c>
      <c r="C501">
        <v>19950971</v>
      </c>
      <c r="D501" t="s">
        <v>29</v>
      </c>
      <c r="E501" t="s">
        <v>324</v>
      </c>
      <c r="G501" t="s">
        <v>53</v>
      </c>
      <c r="H501" t="s">
        <v>325</v>
      </c>
      <c r="I501" t="s">
        <v>29</v>
      </c>
      <c r="J501">
        <v>19981385</v>
      </c>
      <c r="K501">
        <v>19981385</v>
      </c>
      <c r="L501" s="7" t="str">
        <f>HYPERLINK("https://test.ictv.global/id/TN19971041","TN19971041@TEST")</f>
        <v>TN19971041@TEST</v>
      </c>
      <c r="M501" s="7" t="str">
        <f>HYPERLINK("https://test.ictv.global/id/ICTV19950971","ICTV19950971@TEST")</f>
        <v>ICTV19950971@TEST</v>
      </c>
      <c r="N501" s="7" t="str">
        <f>HYPERLINK("https://ictv.global/id/TN19971041","TN19971041@prod")</f>
        <v>TN19971041@prod</v>
      </c>
      <c r="O501" s="7" t="str">
        <f>HYPERLINK("https://ictv.global/id/ICTV19950971","ICTV19950971@prod")</f>
        <v>ICTV19950971@prod</v>
      </c>
    </row>
    <row r="502" spans="1:15" x14ac:dyDescent="0.2">
      <c r="A502">
        <v>16</v>
      </c>
      <c r="B502">
        <v>19971041</v>
      </c>
      <c r="C502">
        <v>19950971</v>
      </c>
      <c r="D502" t="s">
        <v>29</v>
      </c>
      <c r="E502" t="s">
        <v>324</v>
      </c>
      <c r="G502" t="s">
        <v>53</v>
      </c>
      <c r="H502" t="s">
        <v>326</v>
      </c>
      <c r="I502" t="s">
        <v>29</v>
      </c>
      <c r="J502">
        <v>19981386</v>
      </c>
      <c r="K502">
        <v>19981386</v>
      </c>
      <c r="L502" s="7" t="str">
        <f>HYPERLINK("https://test.ictv.global/id/TN19971041","TN19971041@TEST")</f>
        <v>TN19971041@TEST</v>
      </c>
      <c r="M502" s="7" t="str">
        <f>HYPERLINK("https://test.ictv.global/id/ICTV19950971","ICTV19950971@TEST")</f>
        <v>ICTV19950971@TEST</v>
      </c>
      <c r="N502" s="7" t="str">
        <f>HYPERLINK("https://ictv.global/id/TN19971041","TN19971041@prod")</f>
        <v>TN19971041@prod</v>
      </c>
      <c r="O502" s="7" t="str">
        <f>HYPERLINK("https://ictv.global/id/ICTV19950971","ICTV19950971@prod")</f>
        <v>ICTV19950971@prod</v>
      </c>
    </row>
    <row r="503" spans="1:15" x14ac:dyDescent="0.2">
      <c r="A503">
        <v>16</v>
      </c>
      <c r="B503">
        <v>19971061</v>
      </c>
      <c r="C503">
        <v>19981414</v>
      </c>
      <c r="D503" t="s">
        <v>29</v>
      </c>
      <c r="E503" t="s">
        <v>327</v>
      </c>
      <c r="G503" t="s">
        <v>33</v>
      </c>
      <c r="H503" t="s">
        <v>327</v>
      </c>
      <c r="I503" t="s">
        <v>29</v>
      </c>
      <c r="J503">
        <v>19981414</v>
      </c>
      <c r="K503">
        <v>19981414</v>
      </c>
      <c r="L503" s="7" t="str">
        <f>HYPERLINK("https://test.ictv.global/id/TN19971061","TN19971061@TEST")</f>
        <v>TN19971061@TEST</v>
      </c>
      <c r="M503" s="7" t="str">
        <f>HYPERLINK("https://test.ictv.global/id/ICTV19981414","ICTV19981414@TEST")</f>
        <v>ICTV19981414@TEST</v>
      </c>
      <c r="N503" s="7" t="str">
        <f>HYPERLINK("https://ictv.global/id/TN19971061","TN19971061@prod")</f>
        <v>TN19971061@prod</v>
      </c>
      <c r="O503" s="7" t="str">
        <f>HYPERLINK("https://ictv.global/id/ICTV19981414","ICTV19981414@prod")</f>
        <v>ICTV19981414@prod</v>
      </c>
    </row>
    <row r="504" spans="1:15" x14ac:dyDescent="0.2">
      <c r="A504">
        <v>16</v>
      </c>
      <c r="B504">
        <v>19971064</v>
      </c>
      <c r="C504">
        <v>19950994</v>
      </c>
      <c r="D504" t="s">
        <v>29</v>
      </c>
      <c r="E504" t="s">
        <v>328</v>
      </c>
      <c r="G504" t="s">
        <v>33</v>
      </c>
      <c r="H504" t="s">
        <v>327</v>
      </c>
      <c r="I504" t="s">
        <v>29</v>
      </c>
      <c r="J504">
        <v>19981414</v>
      </c>
      <c r="K504">
        <v>19981414</v>
      </c>
      <c r="L504" s="7" t="str">
        <f>HYPERLINK("https://test.ictv.global/id/TN19971064","TN19971064@TEST")</f>
        <v>TN19971064@TEST</v>
      </c>
      <c r="M504" s="7" t="str">
        <f>HYPERLINK("https://test.ictv.global/id/ICTV19950994","ICTV19950994@TEST")</f>
        <v>ICTV19950994@TEST</v>
      </c>
      <c r="N504" s="7" t="str">
        <f>HYPERLINK("https://ictv.global/id/TN19971064","TN19971064@prod")</f>
        <v>TN19971064@prod</v>
      </c>
      <c r="O504" s="7" t="str">
        <f>HYPERLINK("https://ictv.global/id/ICTV19950994","ICTV19950994@prod")</f>
        <v>ICTV19950994@prod</v>
      </c>
    </row>
    <row r="505" spans="1:15" x14ac:dyDescent="0.2">
      <c r="A505">
        <v>16</v>
      </c>
      <c r="B505">
        <v>19971067</v>
      </c>
      <c r="C505">
        <v>19950997</v>
      </c>
      <c r="D505" t="s">
        <v>29</v>
      </c>
      <c r="E505" t="s">
        <v>329</v>
      </c>
      <c r="G505" t="s">
        <v>33</v>
      </c>
      <c r="H505" t="s">
        <v>323</v>
      </c>
      <c r="I505" t="s">
        <v>29</v>
      </c>
      <c r="J505">
        <v>19981383</v>
      </c>
      <c r="K505">
        <v>19981383</v>
      </c>
      <c r="L505" s="7" t="str">
        <f>HYPERLINK("https://test.ictv.global/id/TN19971067","TN19971067@TEST")</f>
        <v>TN19971067@TEST</v>
      </c>
      <c r="M505" s="7" t="str">
        <f>HYPERLINK("https://test.ictv.global/id/ICTV19950997","ICTV19950997@TEST")</f>
        <v>ICTV19950997@TEST</v>
      </c>
      <c r="N505" s="7" t="str">
        <f>HYPERLINK("https://ictv.global/id/TN19971067","TN19971067@prod")</f>
        <v>TN19971067@prod</v>
      </c>
      <c r="O505" s="7" t="str">
        <f>HYPERLINK("https://ictv.global/id/ICTV19950997","ICTV19950997@prod")</f>
        <v>ICTV19950997@prod</v>
      </c>
    </row>
    <row r="506" spans="1:15" x14ac:dyDescent="0.2">
      <c r="A506">
        <v>16</v>
      </c>
      <c r="B506">
        <v>19971069</v>
      </c>
      <c r="C506">
        <v>19950999</v>
      </c>
      <c r="D506" t="s">
        <v>29</v>
      </c>
      <c r="E506" t="s">
        <v>269</v>
      </c>
      <c r="G506" t="s">
        <v>53</v>
      </c>
      <c r="H506" t="s">
        <v>330</v>
      </c>
      <c r="I506" t="s">
        <v>29</v>
      </c>
      <c r="J506">
        <v>19981426</v>
      </c>
      <c r="K506">
        <v>19981426</v>
      </c>
      <c r="L506" s="7" t="str">
        <f>HYPERLINK("https://test.ictv.global/id/TN19971069","TN19971069@TEST")</f>
        <v>TN19971069@TEST</v>
      </c>
      <c r="M506" s="7" t="str">
        <f>HYPERLINK("https://test.ictv.global/id/ICTV19950999","ICTV19950999@TEST")</f>
        <v>ICTV19950999@TEST</v>
      </c>
      <c r="N506" s="7" t="str">
        <f>HYPERLINK("https://ictv.global/id/TN19971069","TN19971069@prod")</f>
        <v>TN19971069@prod</v>
      </c>
      <c r="O506" s="7" t="str">
        <f>HYPERLINK("https://ictv.global/id/ICTV19950999","ICTV19950999@prod")</f>
        <v>ICTV19950999@prod</v>
      </c>
    </row>
    <row r="507" spans="1:15" x14ac:dyDescent="0.2">
      <c r="A507">
        <v>16</v>
      </c>
      <c r="B507">
        <v>19971069</v>
      </c>
      <c r="C507">
        <v>19950999</v>
      </c>
      <c r="D507" t="s">
        <v>29</v>
      </c>
      <c r="E507" t="s">
        <v>269</v>
      </c>
      <c r="G507" t="s">
        <v>53</v>
      </c>
      <c r="H507" t="s">
        <v>331</v>
      </c>
      <c r="I507" t="s">
        <v>29</v>
      </c>
      <c r="J507">
        <v>20083976</v>
      </c>
      <c r="K507">
        <v>19981427</v>
      </c>
      <c r="L507" s="7" t="str">
        <f>HYPERLINK("https://test.ictv.global/id/TN19971069","TN19971069@TEST")</f>
        <v>TN19971069@TEST</v>
      </c>
      <c r="M507" s="7" t="str">
        <f>HYPERLINK("https://test.ictv.global/id/ICTV19950999","ICTV19950999@TEST")</f>
        <v>ICTV19950999@TEST</v>
      </c>
      <c r="N507" s="7" t="str">
        <f>HYPERLINK("https://ictv.global/id/TN19971069","TN19971069@prod")</f>
        <v>TN19971069@prod</v>
      </c>
      <c r="O507" s="7" t="str">
        <f>HYPERLINK("https://ictv.global/id/ICTV19950999","ICTV19950999@prod")</f>
        <v>ICTV19950999@prod</v>
      </c>
    </row>
    <row r="508" spans="1:15" x14ac:dyDescent="0.2">
      <c r="A508">
        <v>16</v>
      </c>
      <c r="B508">
        <v>19972133</v>
      </c>
      <c r="C508">
        <v>19740124</v>
      </c>
      <c r="D508" t="s">
        <v>29</v>
      </c>
      <c r="E508" t="s">
        <v>1421</v>
      </c>
      <c r="G508" t="s">
        <v>1165</v>
      </c>
      <c r="L508" s="7" t="str">
        <f>HYPERLINK("https://test.ictv.global/id/TN19972133","TN19972133@TEST")</f>
        <v>TN19972133@TEST</v>
      </c>
      <c r="M508" s="7" t="str">
        <f>HYPERLINK("https://test.ictv.global/id/ICTV19740124","ICTV19740124@TEST")</f>
        <v>ICTV19740124@TEST</v>
      </c>
      <c r="N508" s="7" t="str">
        <f>HYPERLINK("https://ictv.global/id/TN19972133","TN19972133@prod")</f>
        <v>TN19972133@prod</v>
      </c>
      <c r="O508" s="7" t="str">
        <f>HYPERLINK("https://ictv.global/id/ICTV19740124","ICTV19740124@prod")</f>
        <v>ICTV19740124@prod</v>
      </c>
    </row>
    <row r="509" spans="1:15" x14ac:dyDescent="0.2">
      <c r="A509">
        <v>16</v>
      </c>
      <c r="B509">
        <v>19972142</v>
      </c>
      <c r="C509">
        <v>19710296</v>
      </c>
      <c r="D509" t="s">
        <v>29</v>
      </c>
      <c r="E509" t="s">
        <v>332</v>
      </c>
      <c r="G509" t="s">
        <v>33</v>
      </c>
      <c r="H509" t="s">
        <v>333</v>
      </c>
      <c r="I509" t="s">
        <v>29</v>
      </c>
      <c r="J509">
        <v>19982433</v>
      </c>
      <c r="K509">
        <v>19982433</v>
      </c>
      <c r="L509" s="7" t="str">
        <f>HYPERLINK("https://test.ictv.global/id/TN19972142","TN19972142@TEST")</f>
        <v>TN19972142@TEST</v>
      </c>
      <c r="M509" s="7" t="str">
        <f>HYPERLINK("https://test.ictv.global/id/ICTV19710296","ICTV19710296@TEST")</f>
        <v>ICTV19710296@TEST</v>
      </c>
      <c r="N509" s="7" t="str">
        <f>HYPERLINK("https://ictv.global/id/TN19972142","TN19972142@prod")</f>
        <v>TN19972142@prod</v>
      </c>
      <c r="O509" s="7" t="str">
        <f>HYPERLINK("https://ictv.global/id/ICTV19710296","ICTV19710296@prod")</f>
        <v>ICTV19710296@prod</v>
      </c>
    </row>
    <row r="510" spans="1:15" x14ac:dyDescent="0.2">
      <c r="A510">
        <v>16</v>
      </c>
      <c r="B510">
        <v>19972143</v>
      </c>
      <c r="C510">
        <v>19710297</v>
      </c>
      <c r="D510" t="s">
        <v>29</v>
      </c>
      <c r="E510" t="s">
        <v>334</v>
      </c>
      <c r="G510" t="s">
        <v>33</v>
      </c>
      <c r="H510" t="s">
        <v>333</v>
      </c>
      <c r="I510" t="s">
        <v>29</v>
      </c>
      <c r="J510">
        <v>19982433</v>
      </c>
      <c r="K510">
        <v>19982433</v>
      </c>
      <c r="L510" s="7" t="str">
        <f>HYPERLINK("https://test.ictv.global/id/TN19972143","TN19972143@TEST")</f>
        <v>TN19972143@TEST</v>
      </c>
      <c r="M510" s="7" t="str">
        <f>HYPERLINK("https://test.ictv.global/id/ICTV19710297","ICTV19710297@TEST")</f>
        <v>ICTV19710297@TEST</v>
      </c>
      <c r="N510" s="7" t="str">
        <f>HYPERLINK("https://ictv.global/id/TN19972143","TN19972143@prod")</f>
        <v>TN19972143@prod</v>
      </c>
      <c r="O510" s="7" t="str">
        <f>HYPERLINK("https://ictv.global/id/ICTV19710297","ICTV19710297@prod")</f>
        <v>ICTV19710297@prod</v>
      </c>
    </row>
    <row r="511" spans="1:15" x14ac:dyDescent="0.2">
      <c r="A511">
        <v>16</v>
      </c>
      <c r="B511">
        <v>19972144</v>
      </c>
      <c r="C511">
        <v>19710298</v>
      </c>
      <c r="D511" t="s">
        <v>29</v>
      </c>
      <c r="E511" t="s">
        <v>335</v>
      </c>
      <c r="G511" t="s">
        <v>33</v>
      </c>
      <c r="H511" t="s">
        <v>333</v>
      </c>
      <c r="I511" t="s">
        <v>29</v>
      </c>
      <c r="J511">
        <v>19982433</v>
      </c>
      <c r="K511">
        <v>19982433</v>
      </c>
      <c r="L511" s="7" t="str">
        <f>HYPERLINK("https://test.ictv.global/id/TN19972144","TN19972144@TEST")</f>
        <v>TN19972144@TEST</v>
      </c>
      <c r="M511" s="7" t="str">
        <f>HYPERLINK("https://test.ictv.global/id/ICTV19710298","ICTV19710298@TEST")</f>
        <v>ICTV19710298@TEST</v>
      </c>
      <c r="N511" s="7" t="str">
        <f>HYPERLINK("https://ictv.global/id/TN19972144","TN19972144@prod")</f>
        <v>TN19972144@prod</v>
      </c>
      <c r="O511" s="7" t="str">
        <f>HYPERLINK("https://ictv.global/id/ICTV19710298","ICTV19710298@prod")</f>
        <v>ICTV19710298@prod</v>
      </c>
    </row>
    <row r="512" spans="1:15" x14ac:dyDescent="0.2">
      <c r="A512">
        <v>16</v>
      </c>
      <c r="B512">
        <v>19972145</v>
      </c>
      <c r="C512">
        <v>19710299</v>
      </c>
      <c r="D512" t="s">
        <v>29</v>
      </c>
      <c r="E512" t="s">
        <v>336</v>
      </c>
      <c r="G512" t="s">
        <v>33</v>
      </c>
      <c r="H512" t="s">
        <v>333</v>
      </c>
      <c r="I512" t="s">
        <v>29</v>
      </c>
      <c r="J512">
        <v>19982433</v>
      </c>
      <c r="K512">
        <v>19982433</v>
      </c>
      <c r="L512" s="7" t="str">
        <f>HYPERLINK("https://test.ictv.global/id/TN19972145","TN19972145@TEST")</f>
        <v>TN19972145@TEST</v>
      </c>
      <c r="M512" s="7" t="str">
        <f>HYPERLINK("https://test.ictv.global/id/ICTV19710299","ICTV19710299@TEST")</f>
        <v>ICTV19710299@TEST</v>
      </c>
      <c r="N512" s="7" t="str">
        <f>HYPERLINK("https://ictv.global/id/TN19972145","TN19972145@prod")</f>
        <v>TN19972145@prod</v>
      </c>
      <c r="O512" s="7" t="str">
        <f>HYPERLINK("https://ictv.global/id/ICTV19710299","ICTV19710299@prod")</f>
        <v>ICTV19710299@prod</v>
      </c>
    </row>
    <row r="513" spans="1:15" x14ac:dyDescent="0.2">
      <c r="A513">
        <v>16</v>
      </c>
      <c r="B513">
        <v>19972146</v>
      </c>
      <c r="C513">
        <v>19710300</v>
      </c>
      <c r="D513" t="s">
        <v>29</v>
      </c>
      <c r="E513" t="s">
        <v>337</v>
      </c>
      <c r="G513" t="s">
        <v>33</v>
      </c>
      <c r="H513" t="s">
        <v>333</v>
      </c>
      <c r="I513" t="s">
        <v>29</v>
      </c>
      <c r="J513">
        <v>19982433</v>
      </c>
      <c r="K513">
        <v>19982433</v>
      </c>
      <c r="L513" s="7" t="str">
        <f>HYPERLINK("https://test.ictv.global/id/TN19972146","TN19972146@TEST")</f>
        <v>TN19972146@TEST</v>
      </c>
      <c r="M513" s="7" t="str">
        <f>HYPERLINK("https://test.ictv.global/id/ICTV19710300","ICTV19710300@TEST")</f>
        <v>ICTV19710300@TEST</v>
      </c>
      <c r="N513" s="7" t="str">
        <f>HYPERLINK("https://ictv.global/id/TN19972146","TN19972146@prod")</f>
        <v>TN19972146@prod</v>
      </c>
      <c r="O513" s="7" t="str">
        <f>HYPERLINK("https://ictv.global/id/ICTV19710300","ICTV19710300@prod")</f>
        <v>ICTV19710300@prod</v>
      </c>
    </row>
    <row r="514" spans="1:15" x14ac:dyDescent="0.2">
      <c r="A514">
        <v>16</v>
      </c>
      <c r="B514">
        <v>19972147</v>
      </c>
      <c r="C514">
        <v>19952044</v>
      </c>
      <c r="D514" t="s">
        <v>29</v>
      </c>
      <c r="E514" t="s">
        <v>338</v>
      </c>
      <c r="G514" t="s">
        <v>33</v>
      </c>
      <c r="H514" t="s">
        <v>333</v>
      </c>
      <c r="I514" t="s">
        <v>29</v>
      </c>
      <c r="J514">
        <v>19982433</v>
      </c>
      <c r="K514">
        <v>19982433</v>
      </c>
      <c r="L514" s="7" t="str">
        <f>HYPERLINK("https://test.ictv.global/id/TN19972147","TN19972147@TEST")</f>
        <v>TN19972147@TEST</v>
      </c>
      <c r="M514" s="7" t="str">
        <f>HYPERLINK("https://test.ictv.global/id/ICTV19952044","ICTV19952044@TEST")</f>
        <v>ICTV19952044@TEST</v>
      </c>
      <c r="N514" s="7" t="str">
        <f>HYPERLINK("https://ictv.global/id/TN19972147","TN19972147@prod")</f>
        <v>TN19972147@prod</v>
      </c>
      <c r="O514" s="7" t="str">
        <f>HYPERLINK("https://ictv.global/id/ICTV19952044","ICTV19952044@prod")</f>
        <v>ICTV19952044@prod</v>
      </c>
    </row>
    <row r="515" spans="1:15" x14ac:dyDescent="0.2">
      <c r="A515">
        <v>16</v>
      </c>
      <c r="B515">
        <v>19972148</v>
      </c>
      <c r="C515">
        <v>19952045</v>
      </c>
      <c r="D515" t="s">
        <v>29</v>
      </c>
      <c r="E515" t="s">
        <v>339</v>
      </c>
      <c r="G515" t="s">
        <v>33</v>
      </c>
      <c r="H515" t="s">
        <v>333</v>
      </c>
      <c r="I515" t="s">
        <v>29</v>
      </c>
      <c r="J515">
        <v>19982433</v>
      </c>
      <c r="K515">
        <v>19982433</v>
      </c>
      <c r="L515" s="7" t="str">
        <f>HYPERLINK("https://test.ictv.global/id/TN19972148","TN19972148@TEST")</f>
        <v>TN19972148@TEST</v>
      </c>
      <c r="M515" s="7" t="str">
        <f>HYPERLINK("https://test.ictv.global/id/ICTV19952045","ICTV19952045@TEST")</f>
        <v>ICTV19952045@TEST</v>
      </c>
      <c r="N515" s="7" t="str">
        <f>HYPERLINK("https://ictv.global/id/TN19972148","TN19972148@prod")</f>
        <v>TN19972148@prod</v>
      </c>
      <c r="O515" s="7" t="str">
        <f>HYPERLINK("https://ictv.global/id/ICTV19952045","ICTV19952045@prod")</f>
        <v>ICTV19952045@prod</v>
      </c>
    </row>
    <row r="516" spans="1:15" x14ac:dyDescent="0.2">
      <c r="A516">
        <v>16</v>
      </c>
      <c r="B516">
        <v>19972149</v>
      </c>
      <c r="C516">
        <v>19952046</v>
      </c>
      <c r="D516" t="s">
        <v>29</v>
      </c>
      <c r="E516" t="s">
        <v>340</v>
      </c>
      <c r="G516" t="s">
        <v>33</v>
      </c>
      <c r="H516" t="s">
        <v>333</v>
      </c>
      <c r="I516" t="s">
        <v>29</v>
      </c>
      <c r="J516">
        <v>19982433</v>
      </c>
      <c r="K516">
        <v>19982433</v>
      </c>
      <c r="L516" s="7" t="str">
        <f>HYPERLINK("https://test.ictv.global/id/TN19972149","TN19972149@TEST")</f>
        <v>TN19972149@TEST</v>
      </c>
      <c r="M516" s="7" t="str">
        <f>HYPERLINK("https://test.ictv.global/id/ICTV19952046","ICTV19952046@TEST")</f>
        <v>ICTV19952046@TEST</v>
      </c>
      <c r="N516" s="7" t="str">
        <f>HYPERLINK("https://ictv.global/id/TN19972149","TN19972149@prod")</f>
        <v>TN19972149@prod</v>
      </c>
      <c r="O516" s="7" t="str">
        <f>HYPERLINK("https://ictv.global/id/ICTV19952046","ICTV19952046@prod")</f>
        <v>ICTV19952046@prod</v>
      </c>
    </row>
    <row r="517" spans="1:15" x14ac:dyDescent="0.2">
      <c r="A517">
        <v>16</v>
      </c>
      <c r="B517">
        <v>19972150</v>
      </c>
      <c r="C517">
        <v>19952047</v>
      </c>
      <c r="D517" t="s">
        <v>29</v>
      </c>
      <c r="E517" t="s">
        <v>341</v>
      </c>
      <c r="G517" t="s">
        <v>33</v>
      </c>
      <c r="H517" t="s">
        <v>333</v>
      </c>
      <c r="I517" t="s">
        <v>29</v>
      </c>
      <c r="J517">
        <v>19982433</v>
      </c>
      <c r="K517">
        <v>19982433</v>
      </c>
      <c r="L517" s="7" t="str">
        <f>HYPERLINK("https://test.ictv.global/id/TN19972150","TN19972150@TEST")</f>
        <v>TN19972150@TEST</v>
      </c>
      <c r="M517" s="7" t="str">
        <f>HYPERLINK("https://test.ictv.global/id/ICTV19952047","ICTV19952047@TEST")</f>
        <v>ICTV19952047@TEST</v>
      </c>
      <c r="N517" s="7" t="str">
        <f>HYPERLINK("https://ictv.global/id/TN19972150","TN19972150@prod")</f>
        <v>TN19972150@prod</v>
      </c>
      <c r="O517" s="7" t="str">
        <f>HYPERLINK("https://ictv.global/id/ICTV19952047","ICTV19952047@prod")</f>
        <v>ICTV19952047@prod</v>
      </c>
    </row>
    <row r="518" spans="1:15" x14ac:dyDescent="0.2">
      <c r="A518">
        <v>16</v>
      </c>
      <c r="B518">
        <v>19972151</v>
      </c>
      <c r="C518">
        <v>19760524</v>
      </c>
      <c r="D518" t="s">
        <v>29</v>
      </c>
      <c r="E518" t="s">
        <v>30</v>
      </c>
      <c r="G518" t="s">
        <v>31</v>
      </c>
      <c r="H518" t="s">
        <v>342</v>
      </c>
      <c r="I518" t="s">
        <v>29</v>
      </c>
      <c r="J518">
        <v>19982435</v>
      </c>
      <c r="K518">
        <v>19982435</v>
      </c>
      <c r="L518" s="7" t="str">
        <f>HYPERLINK("https://test.ictv.global/id/TN19972151","TN19972151@TEST")</f>
        <v>TN19972151@TEST</v>
      </c>
      <c r="M518" s="7" t="str">
        <f>HYPERLINK("https://test.ictv.global/id/ICTV19760524","ICTV19760524@TEST")</f>
        <v>ICTV19760524@TEST</v>
      </c>
      <c r="N518" s="7" t="str">
        <f>HYPERLINK("https://ictv.global/id/TN19972151","TN19972151@prod")</f>
        <v>TN19972151@prod</v>
      </c>
      <c r="O518" s="7" t="str">
        <f>HYPERLINK("https://ictv.global/id/ICTV19760524","ICTV19760524@prod")</f>
        <v>ICTV19760524@prod</v>
      </c>
    </row>
    <row r="519" spans="1:15" x14ac:dyDescent="0.2">
      <c r="A519">
        <v>16</v>
      </c>
      <c r="B519">
        <v>19972152</v>
      </c>
      <c r="C519">
        <v>19710303</v>
      </c>
      <c r="D519" t="s">
        <v>29</v>
      </c>
      <c r="E519" t="s">
        <v>343</v>
      </c>
      <c r="G519" t="s">
        <v>31</v>
      </c>
      <c r="H519" t="s">
        <v>342</v>
      </c>
      <c r="I519" t="s">
        <v>29</v>
      </c>
      <c r="J519">
        <v>19982435</v>
      </c>
      <c r="K519">
        <v>19982435</v>
      </c>
      <c r="L519" s="7" t="str">
        <f>HYPERLINK("https://test.ictv.global/id/TN19972152","TN19972152@TEST")</f>
        <v>TN19972152@TEST</v>
      </c>
      <c r="M519" s="7" t="str">
        <f>HYPERLINK("https://test.ictv.global/id/ICTV19710303","ICTV19710303@TEST")</f>
        <v>ICTV19710303@TEST</v>
      </c>
      <c r="N519" s="7" t="str">
        <f>HYPERLINK("https://ictv.global/id/TN19972152","TN19972152@prod")</f>
        <v>TN19972152@prod</v>
      </c>
      <c r="O519" s="7" t="str">
        <f>HYPERLINK("https://ictv.global/id/ICTV19710303","ICTV19710303@prod")</f>
        <v>ICTV19710303@prod</v>
      </c>
    </row>
    <row r="520" spans="1:15" x14ac:dyDescent="0.2">
      <c r="A520">
        <v>16</v>
      </c>
      <c r="B520">
        <v>19972153</v>
      </c>
      <c r="C520">
        <v>19710304</v>
      </c>
      <c r="D520" t="s">
        <v>29</v>
      </c>
      <c r="E520" t="s">
        <v>344</v>
      </c>
      <c r="G520" t="s">
        <v>33</v>
      </c>
      <c r="H520" t="s">
        <v>342</v>
      </c>
      <c r="I520" t="s">
        <v>29</v>
      </c>
      <c r="J520">
        <v>19982435</v>
      </c>
      <c r="K520">
        <v>19982435</v>
      </c>
      <c r="L520" s="7" t="str">
        <f>HYPERLINK("https://test.ictv.global/id/TN19972153","TN19972153@TEST")</f>
        <v>TN19972153@TEST</v>
      </c>
      <c r="M520" s="7" t="str">
        <f>HYPERLINK("https://test.ictv.global/id/ICTV19710304","ICTV19710304@TEST")</f>
        <v>ICTV19710304@TEST</v>
      </c>
      <c r="N520" s="7" t="str">
        <f>HYPERLINK("https://ictv.global/id/TN19972153","TN19972153@prod")</f>
        <v>TN19972153@prod</v>
      </c>
      <c r="O520" s="7" t="str">
        <f>HYPERLINK("https://ictv.global/id/ICTV19710304","ICTV19710304@prod")</f>
        <v>ICTV19710304@prod</v>
      </c>
    </row>
    <row r="521" spans="1:15" x14ac:dyDescent="0.2">
      <c r="A521">
        <v>16</v>
      </c>
      <c r="B521">
        <v>19972155</v>
      </c>
      <c r="C521">
        <v>19952052</v>
      </c>
      <c r="D521" t="s">
        <v>29</v>
      </c>
      <c r="E521" t="s">
        <v>1422</v>
      </c>
      <c r="G521" t="s">
        <v>1165</v>
      </c>
      <c r="L521" s="7" t="str">
        <f>HYPERLINK("https://test.ictv.global/id/TN19972155","TN19972155@TEST")</f>
        <v>TN19972155@TEST</v>
      </c>
      <c r="M521" s="7" t="str">
        <f>HYPERLINK("https://test.ictv.global/id/ICTV19952052","ICTV19952052@TEST")</f>
        <v>ICTV19952052@TEST</v>
      </c>
      <c r="N521" s="7" t="str">
        <f>HYPERLINK("https://ictv.global/id/TN19972155","TN19972155@prod")</f>
        <v>TN19972155@prod</v>
      </c>
      <c r="O521" s="7" t="str">
        <f>HYPERLINK("https://ictv.global/id/ICTV19952052","ICTV19952052@prod")</f>
        <v>ICTV19952052@prod</v>
      </c>
    </row>
    <row r="522" spans="1:15" x14ac:dyDescent="0.2">
      <c r="A522">
        <v>16</v>
      </c>
      <c r="B522">
        <v>19972156</v>
      </c>
      <c r="C522">
        <v>19952053</v>
      </c>
      <c r="D522" t="s">
        <v>29</v>
      </c>
      <c r="E522" t="s">
        <v>345</v>
      </c>
      <c r="G522" t="s">
        <v>33</v>
      </c>
      <c r="H522" t="s">
        <v>333</v>
      </c>
      <c r="I522" t="s">
        <v>29</v>
      </c>
      <c r="J522">
        <v>19982433</v>
      </c>
      <c r="K522">
        <v>19982433</v>
      </c>
      <c r="L522" s="7" t="str">
        <f>HYPERLINK("https://test.ictv.global/id/TN19972156","TN19972156@TEST")</f>
        <v>TN19972156@TEST</v>
      </c>
      <c r="M522" s="7" t="str">
        <f>HYPERLINK("https://test.ictv.global/id/ICTV19952053","ICTV19952053@TEST")</f>
        <v>ICTV19952053@TEST</v>
      </c>
      <c r="N522" s="7" t="str">
        <f>HYPERLINK("https://ictv.global/id/TN19972156","TN19972156@prod")</f>
        <v>TN19972156@prod</v>
      </c>
      <c r="O522" s="7" t="str">
        <f>HYPERLINK("https://ictv.global/id/ICTV19952053","ICTV19952053@prod")</f>
        <v>ICTV19952053@prod</v>
      </c>
    </row>
    <row r="523" spans="1:15" x14ac:dyDescent="0.2">
      <c r="A523">
        <v>16</v>
      </c>
      <c r="B523">
        <v>19972157</v>
      </c>
      <c r="C523">
        <v>19952054</v>
      </c>
      <c r="D523" t="s">
        <v>29</v>
      </c>
      <c r="E523" t="s">
        <v>346</v>
      </c>
      <c r="G523" t="s">
        <v>33</v>
      </c>
      <c r="H523" t="s">
        <v>333</v>
      </c>
      <c r="I523" t="s">
        <v>29</v>
      </c>
      <c r="J523">
        <v>19982433</v>
      </c>
      <c r="K523">
        <v>19982433</v>
      </c>
      <c r="L523" s="7" t="str">
        <f>HYPERLINK("https://test.ictv.global/id/TN19972157","TN19972157@TEST")</f>
        <v>TN19972157@TEST</v>
      </c>
      <c r="M523" s="7" t="str">
        <f>HYPERLINK("https://test.ictv.global/id/ICTV19952054","ICTV19952054@TEST")</f>
        <v>ICTV19952054@TEST</v>
      </c>
      <c r="N523" s="7" t="str">
        <f>HYPERLINK("https://ictv.global/id/TN19972157","TN19972157@prod")</f>
        <v>TN19972157@prod</v>
      </c>
      <c r="O523" s="7" t="str">
        <f>HYPERLINK("https://ictv.global/id/ICTV19952054","ICTV19952054@prod")</f>
        <v>ICTV19952054@prod</v>
      </c>
    </row>
    <row r="524" spans="1:15" x14ac:dyDescent="0.2">
      <c r="A524">
        <v>16</v>
      </c>
      <c r="B524">
        <v>19972222</v>
      </c>
      <c r="C524">
        <v>19871364</v>
      </c>
      <c r="D524" t="s">
        <v>29</v>
      </c>
      <c r="E524" t="s">
        <v>347</v>
      </c>
      <c r="G524" t="s">
        <v>31</v>
      </c>
      <c r="H524" t="s">
        <v>348</v>
      </c>
      <c r="I524" t="s">
        <v>29</v>
      </c>
      <c r="J524">
        <v>19982504</v>
      </c>
      <c r="K524">
        <v>19982504</v>
      </c>
      <c r="L524" s="7" t="str">
        <f>HYPERLINK("https://test.ictv.global/id/TN19972222","TN19972222@TEST")</f>
        <v>TN19972222@TEST</v>
      </c>
      <c r="M524" s="7" t="str">
        <f>HYPERLINK("https://test.ictv.global/id/ICTV19871364","ICTV19871364@TEST")</f>
        <v>ICTV19871364@TEST</v>
      </c>
      <c r="N524" s="7" t="str">
        <f>HYPERLINK("https://ictv.global/id/TN19972222","TN19972222@prod")</f>
        <v>TN19972222@prod</v>
      </c>
      <c r="O524" s="7" t="str">
        <f>HYPERLINK("https://ictv.global/id/ICTV19871364","ICTV19871364@prod")</f>
        <v>ICTV19871364@prod</v>
      </c>
    </row>
    <row r="525" spans="1:15" x14ac:dyDescent="0.2">
      <c r="A525">
        <v>16</v>
      </c>
      <c r="B525">
        <v>19972223</v>
      </c>
      <c r="C525">
        <v>19871365</v>
      </c>
      <c r="D525" t="s">
        <v>29</v>
      </c>
      <c r="E525" t="s">
        <v>349</v>
      </c>
      <c r="G525" t="s">
        <v>33</v>
      </c>
      <c r="H525" t="s">
        <v>348</v>
      </c>
      <c r="I525" t="s">
        <v>29</v>
      </c>
      <c r="J525">
        <v>19982504</v>
      </c>
      <c r="K525">
        <v>19982504</v>
      </c>
      <c r="L525" s="7" t="str">
        <f>HYPERLINK("https://test.ictv.global/id/TN19972223","TN19972223@TEST")</f>
        <v>TN19972223@TEST</v>
      </c>
      <c r="M525" s="7" t="str">
        <f>HYPERLINK("https://test.ictv.global/id/ICTV19871365","ICTV19871365@TEST")</f>
        <v>ICTV19871365@TEST</v>
      </c>
      <c r="N525" s="7" t="str">
        <f>HYPERLINK("https://ictv.global/id/TN19972223","TN19972223@prod")</f>
        <v>TN19972223@prod</v>
      </c>
      <c r="O525" s="7" t="str">
        <f>HYPERLINK("https://ictv.global/id/ICTV19871365","ICTV19871365@prod")</f>
        <v>ICTV19871365@prod</v>
      </c>
    </row>
    <row r="526" spans="1:15" x14ac:dyDescent="0.2">
      <c r="A526">
        <v>16</v>
      </c>
      <c r="B526">
        <v>19972466</v>
      </c>
      <c r="C526">
        <v>19710243</v>
      </c>
      <c r="D526" t="s">
        <v>29</v>
      </c>
      <c r="E526" t="s">
        <v>350</v>
      </c>
      <c r="G526" t="s">
        <v>53</v>
      </c>
      <c r="H526" t="s">
        <v>351</v>
      </c>
      <c r="I526" t="s">
        <v>29</v>
      </c>
      <c r="J526">
        <v>19981700</v>
      </c>
      <c r="K526">
        <v>19981700</v>
      </c>
      <c r="L526" s="7" t="str">
        <f>HYPERLINK("https://test.ictv.global/id/TN19972466","TN19972466@TEST")</f>
        <v>TN19972466@TEST</v>
      </c>
      <c r="M526" s="7" t="str">
        <f>HYPERLINK("https://test.ictv.global/id/ICTV19710243","ICTV19710243@TEST")</f>
        <v>ICTV19710243@TEST</v>
      </c>
      <c r="N526" s="7" t="str">
        <f>HYPERLINK("https://ictv.global/id/TN19972466","TN19972466@prod")</f>
        <v>TN19972466@prod</v>
      </c>
      <c r="O526" s="7" t="str">
        <f>HYPERLINK("https://ictv.global/id/ICTV19710243","ICTV19710243@prod")</f>
        <v>ICTV19710243@prod</v>
      </c>
    </row>
    <row r="527" spans="1:15" x14ac:dyDescent="0.2">
      <c r="A527">
        <v>16</v>
      </c>
      <c r="B527">
        <v>19972466</v>
      </c>
      <c r="C527">
        <v>19710243</v>
      </c>
      <c r="D527" t="s">
        <v>29</v>
      </c>
      <c r="E527" t="s">
        <v>350</v>
      </c>
      <c r="G527" t="s">
        <v>352</v>
      </c>
      <c r="H527" t="s">
        <v>353</v>
      </c>
      <c r="I527" t="s">
        <v>29</v>
      </c>
      <c r="J527">
        <v>19982747</v>
      </c>
      <c r="K527">
        <v>19982747</v>
      </c>
      <c r="L527" s="7" t="str">
        <f>HYPERLINK("https://test.ictv.global/id/TN19972466","TN19972466@TEST")</f>
        <v>TN19972466@TEST</v>
      </c>
      <c r="M527" s="7" t="str">
        <f>HYPERLINK("https://test.ictv.global/id/ICTV19710243","ICTV19710243@TEST")</f>
        <v>ICTV19710243@TEST</v>
      </c>
      <c r="N527" s="7" t="str">
        <f>HYPERLINK("https://ictv.global/id/TN19972466","TN19972466@prod")</f>
        <v>TN19972466@prod</v>
      </c>
      <c r="O527" s="7" t="str">
        <f>HYPERLINK("https://ictv.global/id/ICTV19710243","ICTV19710243@prod")</f>
        <v>ICTV19710243@prod</v>
      </c>
    </row>
    <row r="528" spans="1:15" x14ac:dyDescent="0.2">
      <c r="A528">
        <v>17</v>
      </c>
      <c r="B528">
        <v>19980048</v>
      </c>
      <c r="C528">
        <v>19710002</v>
      </c>
      <c r="D528" t="s">
        <v>23</v>
      </c>
      <c r="E528" t="s">
        <v>354</v>
      </c>
      <c r="G528" t="s">
        <v>53</v>
      </c>
      <c r="H528" t="s">
        <v>355</v>
      </c>
      <c r="I528" t="s">
        <v>23</v>
      </c>
      <c r="J528">
        <v>19990048</v>
      </c>
      <c r="K528">
        <v>19990048</v>
      </c>
      <c r="L528" s="7" t="str">
        <f>HYPERLINK("https://test.ictv.global/id/TN19980048","TN19980048@TEST")</f>
        <v>TN19980048@TEST</v>
      </c>
      <c r="M528" s="7" t="str">
        <f>HYPERLINK("https://test.ictv.global/id/ICTV19710002","ICTV19710002@TEST")</f>
        <v>ICTV19710002@TEST</v>
      </c>
      <c r="N528" s="7" t="str">
        <f>HYPERLINK("https://ictv.global/id/TN19980048","TN19980048@prod")</f>
        <v>TN19980048@prod</v>
      </c>
      <c r="O528" s="7" t="str">
        <f>HYPERLINK("https://ictv.global/id/ICTV19710002","ICTV19710002@prod")</f>
        <v>ICTV19710002@prod</v>
      </c>
    </row>
    <row r="529" spans="1:15" x14ac:dyDescent="0.2">
      <c r="A529">
        <v>17</v>
      </c>
      <c r="B529">
        <v>19980048</v>
      </c>
      <c r="C529">
        <v>19710002</v>
      </c>
      <c r="D529" t="s">
        <v>23</v>
      </c>
      <c r="E529" t="s">
        <v>354</v>
      </c>
      <c r="G529" t="s">
        <v>53</v>
      </c>
      <c r="H529" t="s">
        <v>356</v>
      </c>
      <c r="I529" t="s">
        <v>23</v>
      </c>
      <c r="J529">
        <v>19990055</v>
      </c>
      <c r="K529">
        <v>19990055</v>
      </c>
      <c r="L529" s="7" t="str">
        <f>HYPERLINK("https://test.ictv.global/id/TN19980048","TN19980048@TEST")</f>
        <v>TN19980048@TEST</v>
      </c>
      <c r="M529" s="7" t="str">
        <f>HYPERLINK("https://test.ictv.global/id/ICTV19710002","ICTV19710002@TEST")</f>
        <v>ICTV19710002@TEST</v>
      </c>
      <c r="N529" s="7" t="str">
        <f>HYPERLINK("https://ictv.global/id/TN19980048","TN19980048@prod")</f>
        <v>TN19980048@prod</v>
      </c>
      <c r="O529" s="7" t="str">
        <f>HYPERLINK("https://ictv.global/id/ICTV19710002","ICTV19710002@prod")</f>
        <v>ICTV19710002@prod</v>
      </c>
    </row>
    <row r="530" spans="1:15" x14ac:dyDescent="0.2">
      <c r="A530">
        <v>17</v>
      </c>
      <c r="B530">
        <v>19980390</v>
      </c>
      <c r="C530">
        <v>19990385</v>
      </c>
      <c r="D530" t="s">
        <v>29</v>
      </c>
      <c r="E530" t="s">
        <v>357</v>
      </c>
      <c r="G530" t="s">
        <v>33</v>
      </c>
      <c r="H530" t="s">
        <v>357</v>
      </c>
      <c r="I530" t="s">
        <v>29</v>
      </c>
      <c r="J530">
        <v>19990385</v>
      </c>
      <c r="K530">
        <v>19990385</v>
      </c>
      <c r="L530" s="7" t="str">
        <f>HYPERLINK("https://test.ictv.global/id/TN19980390","TN19980390@TEST")</f>
        <v>TN19980390@TEST</v>
      </c>
      <c r="M530" s="7" t="str">
        <f>HYPERLINK("https://test.ictv.global/id/ICTV19990385","ICTV19990385@TEST")</f>
        <v>ICTV19990385@TEST</v>
      </c>
      <c r="N530" s="7" t="str">
        <f>HYPERLINK("https://ictv.global/id/TN19980390","TN19980390@prod")</f>
        <v>TN19980390@prod</v>
      </c>
      <c r="O530" s="7" t="str">
        <f>HYPERLINK("https://ictv.global/id/ICTV19990385","ICTV19990385@prod")</f>
        <v>ICTV19990385@prod</v>
      </c>
    </row>
    <row r="531" spans="1:15" x14ac:dyDescent="0.2">
      <c r="A531">
        <v>17</v>
      </c>
      <c r="B531">
        <v>19980392</v>
      </c>
      <c r="C531">
        <v>19951284</v>
      </c>
      <c r="D531" t="s">
        <v>29</v>
      </c>
      <c r="E531" t="s">
        <v>358</v>
      </c>
      <c r="G531" t="s">
        <v>31</v>
      </c>
      <c r="H531" t="s">
        <v>359</v>
      </c>
      <c r="I531" t="s">
        <v>29</v>
      </c>
      <c r="J531">
        <v>19990386</v>
      </c>
      <c r="K531">
        <v>19990386</v>
      </c>
      <c r="L531" s="7" t="str">
        <f>HYPERLINK("https://test.ictv.global/id/TN19980392","TN19980392@TEST")</f>
        <v>TN19980392@TEST</v>
      </c>
      <c r="M531" s="7" t="str">
        <f>HYPERLINK("https://test.ictv.global/id/ICTV19951284","ICTV19951284@TEST")</f>
        <v>ICTV19951284@TEST</v>
      </c>
      <c r="N531" s="7" t="str">
        <f>HYPERLINK("https://ictv.global/id/TN19980392","TN19980392@prod")</f>
        <v>TN19980392@prod</v>
      </c>
      <c r="O531" s="7" t="str">
        <f>HYPERLINK("https://ictv.global/id/ICTV19951284","ICTV19951284@prod")</f>
        <v>ICTV19951284@prod</v>
      </c>
    </row>
    <row r="532" spans="1:15" x14ac:dyDescent="0.2">
      <c r="A532">
        <v>17</v>
      </c>
      <c r="B532">
        <v>19980393</v>
      </c>
      <c r="C532">
        <v>19990386</v>
      </c>
      <c r="D532" t="s">
        <v>29</v>
      </c>
      <c r="E532" t="s">
        <v>359</v>
      </c>
      <c r="G532" t="s">
        <v>31</v>
      </c>
      <c r="H532" t="s">
        <v>359</v>
      </c>
      <c r="I532" t="s">
        <v>29</v>
      </c>
      <c r="J532">
        <v>19990386</v>
      </c>
      <c r="K532">
        <v>19990386</v>
      </c>
      <c r="L532" s="7" t="str">
        <f>HYPERLINK("https://test.ictv.global/id/TN19980393","TN19980393@TEST")</f>
        <v>TN19980393@TEST</v>
      </c>
      <c r="M532" s="7" t="str">
        <f>HYPERLINK("https://test.ictv.global/id/ICTV19990386","ICTV19990386@TEST")</f>
        <v>ICTV19990386@TEST</v>
      </c>
      <c r="N532" s="7" t="str">
        <f>HYPERLINK("https://ictv.global/id/TN19980393","TN19980393@prod")</f>
        <v>TN19980393@prod</v>
      </c>
      <c r="O532" s="7" t="str">
        <f>HYPERLINK("https://ictv.global/id/ICTV19990386","ICTV19990386@prod")</f>
        <v>ICTV19990386@prod</v>
      </c>
    </row>
    <row r="533" spans="1:15" x14ac:dyDescent="0.2">
      <c r="A533">
        <v>17</v>
      </c>
      <c r="B533">
        <v>19980394</v>
      </c>
      <c r="C533">
        <v>19710314</v>
      </c>
      <c r="D533" t="s">
        <v>29</v>
      </c>
      <c r="E533" t="s">
        <v>360</v>
      </c>
      <c r="G533" t="s">
        <v>31</v>
      </c>
      <c r="H533" t="s">
        <v>361</v>
      </c>
      <c r="I533" t="s">
        <v>29</v>
      </c>
      <c r="J533">
        <v>19990390</v>
      </c>
      <c r="K533">
        <v>19990390</v>
      </c>
      <c r="L533" s="7" t="str">
        <f>HYPERLINK("https://test.ictv.global/id/TN19980394","TN19980394@TEST")</f>
        <v>TN19980394@TEST</v>
      </c>
      <c r="M533" s="7" t="str">
        <f>HYPERLINK("https://test.ictv.global/id/ICTV19710314","ICTV19710314@TEST")</f>
        <v>ICTV19710314@TEST</v>
      </c>
      <c r="N533" s="7" t="str">
        <f>HYPERLINK("https://ictv.global/id/TN19980394","TN19980394@prod")</f>
        <v>TN19980394@prod</v>
      </c>
      <c r="O533" s="7" t="str">
        <f>HYPERLINK("https://ictv.global/id/ICTV19710314","ICTV19710314@prod")</f>
        <v>ICTV19710314@prod</v>
      </c>
    </row>
    <row r="534" spans="1:15" x14ac:dyDescent="0.2">
      <c r="A534">
        <v>17</v>
      </c>
      <c r="B534">
        <v>19980395</v>
      </c>
      <c r="C534">
        <v>19910969</v>
      </c>
      <c r="D534" t="s">
        <v>29</v>
      </c>
      <c r="E534" t="s">
        <v>362</v>
      </c>
      <c r="G534" t="s">
        <v>33</v>
      </c>
      <c r="H534" t="s">
        <v>361</v>
      </c>
      <c r="I534" t="s">
        <v>29</v>
      </c>
      <c r="J534">
        <v>19990390</v>
      </c>
      <c r="K534">
        <v>19990390</v>
      </c>
      <c r="L534" s="7" t="str">
        <f>HYPERLINK("https://test.ictv.global/id/TN19980395","TN19980395@TEST")</f>
        <v>TN19980395@TEST</v>
      </c>
      <c r="M534" s="7" t="str">
        <f>HYPERLINK("https://test.ictv.global/id/ICTV19910969","ICTV19910969@TEST")</f>
        <v>ICTV19910969@TEST</v>
      </c>
      <c r="N534" s="7" t="str">
        <f>HYPERLINK("https://ictv.global/id/TN19980395","TN19980395@prod")</f>
        <v>TN19980395@prod</v>
      </c>
      <c r="O534" s="7" t="str">
        <f>HYPERLINK("https://ictv.global/id/ICTV19910969","ICTV19910969@prod")</f>
        <v>ICTV19910969@prod</v>
      </c>
    </row>
    <row r="535" spans="1:15" x14ac:dyDescent="0.2">
      <c r="A535">
        <v>17</v>
      </c>
      <c r="B535">
        <v>19980396</v>
      </c>
      <c r="C535">
        <v>19710316</v>
      </c>
      <c r="D535" t="s">
        <v>29</v>
      </c>
      <c r="E535" t="s">
        <v>363</v>
      </c>
      <c r="G535" t="s">
        <v>31</v>
      </c>
      <c r="H535" t="s">
        <v>361</v>
      </c>
      <c r="I535" t="s">
        <v>29</v>
      </c>
      <c r="J535">
        <v>19990390</v>
      </c>
      <c r="K535">
        <v>19990390</v>
      </c>
      <c r="L535" s="7" t="str">
        <f>HYPERLINK("https://test.ictv.global/id/TN19980396","TN19980396@TEST")</f>
        <v>TN19980396@TEST</v>
      </c>
      <c r="M535" s="7" t="str">
        <f>HYPERLINK("https://test.ictv.global/id/ICTV19710316","ICTV19710316@TEST")</f>
        <v>ICTV19710316@TEST</v>
      </c>
      <c r="N535" s="7" t="str">
        <f>HYPERLINK("https://ictv.global/id/TN19980396","TN19980396@prod")</f>
        <v>TN19980396@prod</v>
      </c>
      <c r="O535" s="7" t="str">
        <f>HYPERLINK("https://ictv.global/id/ICTV19710316","ICTV19710316@prod")</f>
        <v>ICTV19710316@prod</v>
      </c>
    </row>
    <row r="536" spans="1:15" x14ac:dyDescent="0.2">
      <c r="A536">
        <v>17</v>
      </c>
      <c r="B536">
        <v>19980397</v>
      </c>
      <c r="C536">
        <v>19760817</v>
      </c>
      <c r="D536" t="s">
        <v>29</v>
      </c>
      <c r="E536" t="s">
        <v>1423</v>
      </c>
      <c r="G536" t="s">
        <v>1165</v>
      </c>
      <c r="L536" s="7" t="str">
        <f>HYPERLINK("https://test.ictv.global/id/TN19980397","TN19980397@TEST")</f>
        <v>TN19980397@TEST</v>
      </c>
      <c r="M536" s="7" t="str">
        <f>HYPERLINK("https://test.ictv.global/id/ICTV19760817","ICTV19760817@TEST")</f>
        <v>ICTV19760817@TEST</v>
      </c>
      <c r="N536" s="7" t="str">
        <f>HYPERLINK("https://ictv.global/id/TN19980397","TN19980397@prod")</f>
        <v>TN19980397@prod</v>
      </c>
      <c r="O536" s="7" t="str">
        <f>HYPERLINK("https://ictv.global/id/ICTV19760817","ICTV19760817@prod")</f>
        <v>ICTV19760817@prod</v>
      </c>
    </row>
    <row r="537" spans="1:15" x14ac:dyDescent="0.2">
      <c r="A537">
        <v>17</v>
      </c>
      <c r="B537">
        <v>19980398</v>
      </c>
      <c r="C537">
        <v>19760818</v>
      </c>
      <c r="D537" t="s">
        <v>29</v>
      </c>
      <c r="E537" t="s">
        <v>1424</v>
      </c>
      <c r="G537" t="s">
        <v>1165</v>
      </c>
      <c r="L537" s="7" t="str">
        <f>HYPERLINK("https://test.ictv.global/id/TN19980398","TN19980398@TEST")</f>
        <v>TN19980398@TEST</v>
      </c>
      <c r="M537" s="7" t="str">
        <f>HYPERLINK("https://test.ictv.global/id/ICTV19760818","ICTV19760818@TEST")</f>
        <v>ICTV19760818@TEST</v>
      </c>
      <c r="N537" s="7" t="str">
        <f>HYPERLINK("https://ictv.global/id/TN19980398","TN19980398@prod")</f>
        <v>TN19980398@prod</v>
      </c>
      <c r="O537" s="7" t="str">
        <f>HYPERLINK("https://ictv.global/id/ICTV19760818","ICTV19760818@prod")</f>
        <v>ICTV19760818@prod</v>
      </c>
    </row>
    <row r="538" spans="1:15" x14ac:dyDescent="0.2">
      <c r="A538">
        <v>17</v>
      </c>
      <c r="B538">
        <v>19980399</v>
      </c>
      <c r="C538">
        <v>19760819</v>
      </c>
      <c r="D538" t="s">
        <v>29</v>
      </c>
      <c r="E538" t="s">
        <v>1425</v>
      </c>
      <c r="G538" t="s">
        <v>1165</v>
      </c>
      <c r="L538" s="7" t="str">
        <f>HYPERLINK("https://test.ictv.global/id/TN19980399","TN19980399@TEST")</f>
        <v>TN19980399@TEST</v>
      </c>
      <c r="M538" s="7" t="str">
        <f>HYPERLINK("https://test.ictv.global/id/ICTV19760819","ICTV19760819@TEST")</f>
        <v>ICTV19760819@TEST</v>
      </c>
      <c r="N538" s="7" t="str">
        <f>HYPERLINK("https://ictv.global/id/TN19980399","TN19980399@prod")</f>
        <v>TN19980399@prod</v>
      </c>
      <c r="O538" s="7" t="str">
        <f>HYPERLINK("https://ictv.global/id/ICTV19760819","ICTV19760819@prod")</f>
        <v>ICTV19760819@prod</v>
      </c>
    </row>
    <row r="539" spans="1:15" x14ac:dyDescent="0.2">
      <c r="A539">
        <v>17</v>
      </c>
      <c r="B539">
        <v>19980400</v>
      </c>
      <c r="C539">
        <v>19760820</v>
      </c>
      <c r="D539" t="s">
        <v>29</v>
      </c>
      <c r="E539" t="s">
        <v>1426</v>
      </c>
      <c r="G539" t="s">
        <v>1165</v>
      </c>
      <c r="L539" s="7" t="str">
        <f>HYPERLINK("https://test.ictv.global/id/TN19980400","TN19980400@TEST")</f>
        <v>TN19980400@TEST</v>
      </c>
      <c r="M539" s="7" t="str">
        <f>HYPERLINK("https://test.ictv.global/id/ICTV19760820","ICTV19760820@TEST")</f>
        <v>ICTV19760820@TEST</v>
      </c>
      <c r="N539" s="7" t="str">
        <f>HYPERLINK("https://ictv.global/id/TN19980400","TN19980400@prod")</f>
        <v>TN19980400@prod</v>
      </c>
      <c r="O539" s="7" t="str">
        <f>HYPERLINK("https://ictv.global/id/ICTV19760820","ICTV19760820@prod")</f>
        <v>ICTV19760820@prod</v>
      </c>
    </row>
    <row r="540" spans="1:15" x14ac:dyDescent="0.2">
      <c r="A540">
        <v>17</v>
      </c>
      <c r="B540">
        <v>19980401</v>
      </c>
      <c r="C540">
        <v>19760821</v>
      </c>
      <c r="D540" t="s">
        <v>29</v>
      </c>
      <c r="E540" t="s">
        <v>1427</v>
      </c>
      <c r="G540" t="s">
        <v>1165</v>
      </c>
      <c r="L540" s="7" t="str">
        <f>HYPERLINK("https://test.ictv.global/id/TN19980401","TN19980401@TEST")</f>
        <v>TN19980401@TEST</v>
      </c>
      <c r="M540" s="7" t="str">
        <f>HYPERLINK("https://test.ictv.global/id/ICTV19760821","ICTV19760821@TEST")</f>
        <v>ICTV19760821@TEST</v>
      </c>
      <c r="N540" s="7" t="str">
        <f>HYPERLINK("https://ictv.global/id/TN19980401","TN19980401@prod")</f>
        <v>TN19980401@prod</v>
      </c>
      <c r="O540" s="7" t="str">
        <f>HYPERLINK("https://ictv.global/id/ICTV19760821","ICTV19760821@prod")</f>
        <v>ICTV19760821@prod</v>
      </c>
    </row>
    <row r="541" spans="1:15" x14ac:dyDescent="0.2">
      <c r="A541">
        <v>17</v>
      </c>
      <c r="B541">
        <v>19980402</v>
      </c>
      <c r="C541">
        <v>19760822</v>
      </c>
      <c r="D541" t="s">
        <v>29</v>
      </c>
      <c r="E541" t="s">
        <v>1428</v>
      </c>
      <c r="G541" t="s">
        <v>1165</v>
      </c>
      <c r="L541" s="7" t="str">
        <f>HYPERLINK("https://test.ictv.global/id/TN19980402","TN19980402@TEST")</f>
        <v>TN19980402@TEST</v>
      </c>
      <c r="M541" s="7" t="str">
        <f>HYPERLINK("https://test.ictv.global/id/ICTV19760822","ICTV19760822@TEST")</f>
        <v>ICTV19760822@TEST</v>
      </c>
      <c r="N541" s="7" t="str">
        <f>HYPERLINK("https://ictv.global/id/TN19980402","TN19980402@prod")</f>
        <v>TN19980402@prod</v>
      </c>
      <c r="O541" s="7" t="str">
        <f>HYPERLINK("https://ictv.global/id/ICTV19760822","ICTV19760822@prod")</f>
        <v>ICTV19760822@prod</v>
      </c>
    </row>
    <row r="542" spans="1:15" x14ac:dyDescent="0.2">
      <c r="A542">
        <v>17</v>
      </c>
      <c r="B542">
        <v>19980403</v>
      </c>
      <c r="C542">
        <v>19760823</v>
      </c>
      <c r="D542" t="s">
        <v>29</v>
      </c>
      <c r="E542" t="s">
        <v>1429</v>
      </c>
      <c r="G542" t="s">
        <v>1165</v>
      </c>
      <c r="L542" s="7" t="str">
        <f>HYPERLINK("https://test.ictv.global/id/TN19980403","TN19980403@TEST")</f>
        <v>TN19980403@TEST</v>
      </c>
      <c r="M542" s="7" t="str">
        <f>HYPERLINK("https://test.ictv.global/id/ICTV19760823","ICTV19760823@TEST")</f>
        <v>ICTV19760823@TEST</v>
      </c>
      <c r="N542" s="7" t="str">
        <f>HYPERLINK("https://ictv.global/id/TN19980403","TN19980403@prod")</f>
        <v>TN19980403@prod</v>
      </c>
      <c r="O542" s="7" t="str">
        <f>HYPERLINK("https://ictv.global/id/ICTV19760823","ICTV19760823@prod")</f>
        <v>ICTV19760823@prod</v>
      </c>
    </row>
    <row r="543" spans="1:15" x14ac:dyDescent="0.2">
      <c r="A543">
        <v>17</v>
      </c>
      <c r="B543">
        <v>19980404</v>
      </c>
      <c r="C543">
        <v>19760824</v>
      </c>
      <c r="D543" t="s">
        <v>29</v>
      </c>
      <c r="E543" t="s">
        <v>1430</v>
      </c>
      <c r="G543" t="s">
        <v>1165</v>
      </c>
      <c r="L543" s="7" t="str">
        <f>HYPERLINK("https://test.ictv.global/id/TN19980404","TN19980404@TEST")</f>
        <v>TN19980404@TEST</v>
      </c>
      <c r="M543" s="7" t="str">
        <f>HYPERLINK("https://test.ictv.global/id/ICTV19760824","ICTV19760824@TEST")</f>
        <v>ICTV19760824@TEST</v>
      </c>
      <c r="N543" s="7" t="str">
        <f>HYPERLINK("https://ictv.global/id/TN19980404","TN19980404@prod")</f>
        <v>TN19980404@prod</v>
      </c>
      <c r="O543" s="7" t="str">
        <f>HYPERLINK("https://ictv.global/id/ICTV19760824","ICTV19760824@prod")</f>
        <v>ICTV19760824@prod</v>
      </c>
    </row>
    <row r="544" spans="1:15" x14ac:dyDescent="0.2">
      <c r="A544">
        <v>17</v>
      </c>
      <c r="B544">
        <v>19980405</v>
      </c>
      <c r="C544">
        <v>19760816</v>
      </c>
      <c r="D544" t="s">
        <v>29</v>
      </c>
      <c r="E544" t="s">
        <v>1431</v>
      </c>
      <c r="G544" t="s">
        <v>1165</v>
      </c>
      <c r="L544" s="7" t="str">
        <f>HYPERLINK("https://test.ictv.global/id/TN19980405","TN19980405@TEST")</f>
        <v>TN19980405@TEST</v>
      </c>
      <c r="M544" s="7" t="str">
        <f>HYPERLINK("https://test.ictv.global/id/ICTV19760816","ICTV19760816@TEST")</f>
        <v>ICTV19760816@TEST</v>
      </c>
      <c r="N544" s="7" t="str">
        <f>HYPERLINK("https://ictv.global/id/TN19980405","TN19980405@prod")</f>
        <v>TN19980405@prod</v>
      </c>
      <c r="O544" s="7" t="str">
        <f>HYPERLINK("https://ictv.global/id/ICTV19760816","ICTV19760816@prod")</f>
        <v>ICTV19760816@prod</v>
      </c>
    </row>
    <row r="545" spans="1:15" x14ac:dyDescent="0.2">
      <c r="A545">
        <v>17</v>
      </c>
      <c r="B545">
        <v>19980406</v>
      </c>
      <c r="C545">
        <v>19760825</v>
      </c>
      <c r="D545" t="s">
        <v>29</v>
      </c>
      <c r="E545" t="s">
        <v>364</v>
      </c>
      <c r="G545" t="s">
        <v>31</v>
      </c>
      <c r="H545" t="s">
        <v>361</v>
      </c>
      <c r="I545" t="s">
        <v>29</v>
      </c>
      <c r="J545">
        <v>19990390</v>
      </c>
      <c r="K545">
        <v>19990390</v>
      </c>
      <c r="L545" s="7" t="str">
        <f>HYPERLINK("https://test.ictv.global/id/TN19980406","TN19980406@TEST")</f>
        <v>TN19980406@TEST</v>
      </c>
      <c r="M545" s="7" t="str">
        <f>HYPERLINK("https://test.ictv.global/id/ICTV19760825","ICTV19760825@TEST")</f>
        <v>ICTV19760825@TEST</v>
      </c>
      <c r="N545" s="7" t="str">
        <f>HYPERLINK("https://ictv.global/id/TN19980406","TN19980406@prod")</f>
        <v>TN19980406@prod</v>
      </c>
      <c r="O545" s="7" t="str">
        <f>HYPERLINK("https://ictv.global/id/ICTV19760825","ICTV19760825@prod")</f>
        <v>ICTV19760825@prod</v>
      </c>
    </row>
    <row r="546" spans="1:15" x14ac:dyDescent="0.2">
      <c r="A546">
        <v>17</v>
      </c>
      <c r="B546">
        <v>19980407</v>
      </c>
      <c r="C546">
        <v>19791117</v>
      </c>
      <c r="D546" t="s">
        <v>29</v>
      </c>
      <c r="E546" t="s">
        <v>1432</v>
      </c>
      <c r="G546" t="s">
        <v>1165</v>
      </c>
      <c r="L546" s="7" t="str">
        <f>HYPERLINK("https://test.ictv.global/id/TN19980407","TN19980407@TEST")</f>
        <v>TN19980407@TEST</v>
      </c>
      <c r="M546" s="7" t="str">
        <f>HYPERLINK("https://test.ictv.global/id/ICTV19791117","ICTV19791117@TEST")</f>
        <v>ICTV19791117@TEST</v>
      </c>
      <c r="N546" s="7" t="str">
        <f>HYPERLINK("https://ictv.global/id/TN19980407","TN19980407@prod")</f>
        <v>TN19980407@prod</v>
      </c>
      <c r="O546" s="7" t="str">
        <f>HYPERLINK("https://ictv.global/id/ICTV19791117","ICTV19791117@prod")</f>
        <v>ICTV19791117@prod</v>
      </c>
    </row>
    <row r="547" spans="1:15" x14ac:dyDescent="0.2">
      <c r="A547">
        <v>17</v>
      </c>
      <c r="B547">
        <v>19980408</v>
      </c>
      <c r="C547">
        <v>19760827</v>
      </c>
      <c r="D547" t="s">
        <v>29</v>
      </c>
      <c r="E547" t="s">
        <v>365</v>
      </c>
      <c r="G547" t="s">
        <v>31</v>
      </c>
      <c r="H547" t="s">
        <v>361</v>
      </c>
      <c r="I547" t="s">
        <v>29</v>
      </c>
      <c r="J547">
        <v>19990390</v>
      </c>
      <c r="K547">
        <v>19990390</v>
      </c>
      <c r="L547" s="7" t="str">
        <f>HYPERLINK("https://test.ictv.global/id/TN19980408","TN19980408@TEST")</f>
        <v>TN19980408@TEST</v>
      </c>
      <c r="M547" s="7" t="str">
        <f>HYPERLINK("https://test.ictv.global/id/ICTV19760827","ICTV19760827@TEST")</f>
        <v>ICTV19760827@TEST</v>
      </c>
      <c r="N547" s="7" t="str">
        <f>HYPERLINK("https://ictv.global/id/TN19980408","TN19980408@prod")</f>
        <v>TN19980408@prod</v>
      </c>
      <c r="O547" s="7" t="str">
        <f>HYPERLINK("https://ictv.global/id/ICTV19760827","ICTV19760827@prod")</f>
        <v>ICTV19760827@prod</v>
      </c>
    </row>
    <row r="548" spans="1:15" x14ac:dyDescent="0.2">
      <c r="A548">
        <v>17</v>
      </c>
      <c r="B548">
        <v>19980409</v>
      </c>
      <c r="C548">
        <v>19760828</v>
      </c>
      <c r="D548" t="s">
        <v>29</v>
      </c>
      <c r="E548" t="s">
        <v>1433</v>
      </c>
      <c r="G548" t="s">
        <v>1165</v>
      </c>
      <c r="L548" s="7" t="str">
        <f>HYPERLINK("https://test.ictv.global/id/TN19980409","TN19980409@TEST")</f>
        <v>TN19980409@TEST</v>
      </c>
      <c r="M548" s="7" t="str">
        <f>HYPERLINK("https://test.ictv.global/id/ICTV19760828","ICTV19760828@TEST")</f>
        <v>ICTV19760828@TEST</v>
      </c>
      <c r="N548" s="7" t="str">
        <f>HYPERLINK("https://ictv.global/id/TN19980409","TN19980409@prod")</f>
        <v>TN19980409@prod</v>
      </c>
      <c r="O548" s="7" t="str">
        <f>HYPERLINK("https://ictv.global/id/ICTV19760828","ICTV19760828@prod")</f>
        <v>ICTV19760828@prod</v>
      </c>
    </row>
    <row r="549" spans="1:15" x14ac:dyDescent="0.2">
      <c r="A549">
        <v>17</v>
      </c>
      <c r="B549">
        <v>19980410</v>
      </c>
      <c r="C549">
        <v>19760829</v>
      </c>
      <c r="D549" t="s">
        <v>29</v>
      </c>
      <c r="E549" t="s">
        <v>1434</v>
      </c>
      <c r="G549" t="s">
        <v>1165</v>
      </c>
      <c r="L549" s="7" t="str">
        <f>HYPERLINK("https://test.ictv.global/id/TN19980410","TN19980410@TEST")</f>
        <v>TN19980410@TEST</v>
      </c>
      <c r="M549" s="7" t="str">
        <f>HYPERLINK("https://test.ictv.global/id/ICTV19760829","ICTV19760829@TEST")</f>
        <v>ICTV19760829@TEST</v>
      </c>
      <c r="N549" s="7" t="str">
        <f>HYPERLINK("https://ictv.global/id/TN19980410","TN19980410@prod")</f>
        <v>TN19980410@prod</v>
      </c>
      <c r="O549" s="7" t="str">
        <f>HYPERLINK("https://ictv.global/id/ICTV19760829","ICTV19760829@prod")</f>
        <v>ICTV19760829@prod</v>
      </c>
    </row>
    <row r="550" spans="1:15" x14ac:dyDescent="0.2">
      <c r="A550">
        <v>17</v>
      </c>
      <c r="B550">
        <v>19980412</v>
      </c>
      <c r="C550">
        <v>19961345</v>
      </c>
      <c r="D550" t="s">
        <v>29</v>
      </c>
      <c r="E550" t="s">
        <v>1435</v>
      </c>
      <c r="G550" t="s">
        <v>1165</v>
      </c>
      <c r="L550" s="7" t="str">
        <f>HYPERLINK("https://test.ictv.global/id/TN19980412","TN19980412@TEST")</f>
        <v>TN19980412@TEST</v>
      </c>
      <c r="M550" s="7" t="str">
        <f>HYPERLINK("https://test.ictv.global/id/ICTV19961345","ICTV19961345@TEST")</f>
        <v>ICTV19961345@TEST</v>
      </c>
      <c r="N550" s="7" t="str">
        <f>HYPERLINK("https://ictv.global/id/TN19980412","TN19980412@prod")</f>
        <v>TN19980412@prod</v>
      </c>
      <c r="O550" s="7" t="str">
        <f>HYPERLINK("https://ictv.global/id/ICTV19961345","ICTV19961345@prod")</f>
        <v>ICTV19961345@prod</v>
      </c>
    </row>
    <row r="551" spans="1:15" x14ac:dyDescent="0.2">
      <c r="A551">
        <v>17</v>
      </c>
      <c r="B551">
        <v>19980413</v>
      </c>
      <c r="C551">
        <v>19961346</v>
      </c>
      <c r="D551" t="s">
        <v>29</v>
      </c>
      <c r="E551" t="s">
        <v>1436</v>
      </c>
      <c r="G551" t="s">
        <v>1165</v>
      </c>
      <c r="L551" s="7" t="str">
        <f>HYPERLINK("https://test.ictv.global/id/TN19980413","TN19980413@TEST")</f>
        <v>TN19980413@TEST</v>
      </c>
      <c r="M551" s="7" t="str">
        <f>HYPERLINK("https://test.ictv.global/id/ICTV19961346","ICTV19961346@TEST")</f>
        <v>ICTV19961346@TEST</v>
      </c>
      <c r="N551" s="7" t="str">
        <f>HYPERLINK("https://ictv.global/id/TN19980413","TN19980413@prod")</f>
        <v>TN19980413@prod</v>
      </c>
      <c r="O551" s="7" t="str">
        <f>HYPERLINK("https://ictv.global/id/ICTV19961346","ICTV19961346@prod")</f>
        <v>ICTV19961346@prod</v>
      </c>
    </row>
    <row r="552" spans="1:15" x14ac:dyDescent="0.2">
      <c r="A552">
        <v>17</v>
      </c>
      <c r="B552">
        <v>19980414</v>
      </c>
      <c r="C552">
        <v>19961347</v>
      </c>
      <c r="D552" t="s">
        <v>29</v>
      </c>
      <c r="E552" t="s">
        <v>1437</v>
      </c>
      <c r="G552" t="s">
        <v>1165</v>
      </c>
      <c r="L552" s="7" t="str">
        <f>HYPERLINK("https://test.ictv.global/id/TN19980414","TN19980414@TEST")</f>
        <v>TN19980414@TEST</v>
      </c>
      <c r="M552" s="7" t="str">
        <f>HYPERLINK("https://test.ictv.global/id/ICTV19961347","ICTV19961347@TEST")</f>
        <v>ICTV19961347@TEST</v>
      </c>
      <c r="N552" s="7" t="str">
        <f>HYPERLINK("https://ictv.global/id/TN19980414","TN19980414@prod")</f>
        <v>TN19980414@prod</v>
      </c>
      <c r="O552" s="7" t="str">
        <f>HYPERLINK("https://ictv.global/id/ICTV19961347","ICTV19961347@prod")</f>
        <v>ICTV19961347@prod</v>
      </c>
    </row>
    <row r="553" spans="1:15" x14ac:dyDescent="0.2">
      <c r="A553">
        <v>17</v>
      </c>
      <c r="B553">
        <v>19980415</v>
      </c>
      <c r="C553">
        <v>19961348</v>
      </c>
      <c r="D553" t="s">
        <v>29</v>
      </c>
      <c r="E553" t="s">
        <v>1438</v>
      </c>
      <c r="G553" t="s">
        <v>1165</v>
      </c>
      <c r="L553" s="7" t="str">
        <f>HYPERLINK("https://test.ictv.global/id/TN19980415","TN19980415@TEST")</f>
        <v>TN19980415@TEST</v>
      </c>
      <c r="M553" s="7" t="str">
        <f>HYPERLINK("https://test.ictv.global/id/ICTV19961348","ICTV19961348@TEST")</f>
        <v>ICTV19961348@TEST</v>
      </c>
      <c r="N553" s="7" t="str">
        <f>HYPERLINK("https://ictv.global/id/TN19980415","TN19980415@prod")</f>
        <v>TN19980415@prod</v>
      </c>
      <c r="O553" s="7" t="str">
        <f>HYPERLINK("https://ictv.global/id/ICTV19961348","ICTV19961348@prod")</f>
        <v>ICTV19961348@prod</v>
      </c>
    </row>
    <row r="554" spans="1:15" x14ac:dyDescent="0.2">
      <c r="A554">
        <v>17</v>
      </c>
      <c r="B554">
        <v>19980416</v>
      </c>
      <c r="C554">
        <v>19951304</v>
      </c>
      <c r="D554" t="s">
        <v>29</v>
      </c>
      <c r="E554" t="s">
        <v>1439</v>
      </c>
      <c r="G554" t="s">
        <v>1165</v>
      </c>
      <c r="L554" s="7" t="str">
        <f>HYPERLINK("https://test.ictv.global/id/TN19980416","TN19980416@TEST")</f>
        <v>TN19980416@TEST</v>
      </c>
      <c r="M554" s="7" t="str">
        <f>HYPERLINK("https://test.ictv.global/id/ICTV19951304","ICTV19951304@TEST")</f>
        <v>ICTV19951304@TEST</v>
      </c>
      <c r="N554" s="7" t="str">
        <f>HYPERLINK("https://ictv.global/id/TN19980416","TN19980416@prod")</f>
        <v>TN19980416@prod</v>
      </c>
      <c r="O554" s="7" t="str">
        <f>HYPERLINK("https://ictv.global/id/ICTV19951304","ICTV19951304@prod")</f>
        <v>ICTV19951304@prod</v>
      </c>
    </row>
    <row r="555" spans="1:15" x14ac:dyDescent="0.2">
      <c r="A555">
        <v>17</v>
      </c>
      <c r="B555">
        <v>19980417</v>
      </c>
      <c r="C555">
        <v>19951305</v>
      </c>
      <c r="D555" t="s">
        <v>29</v>
      </c>
      <c r="E555" t="s">
        <v>1440</v>
      </c>
      <c r="G555" t="s">
        <v>1165</v>
      </c>
      <c r="L555" s="7" t="str">
        <f>HYPERLINK("https://test.ictv.global/id/TN19980417","TN19980417@TEST")</f>
        <v>TN19980417@TEST</v>
      </c>
      <c r="M555" s="7" t="str">
        <f>HYPERLINK("https://test.ictv.global/id/ICTV19951305","ICTV19951305@TEST")</f>
        <v>ICTV19951305@TEST</v>
      </c>
      <c r="N555" s="7" t="str">
        <f>HYPERLINK("https://ictv.global/id/TN19980417","TN19980417@prod")</f>
        <v>TN19980417@prod</v>
      </c>
      <c r="O555" s="7" t="str">
        <f>HYPERLINK("https://ictv.global/id/ICTV19951305","ICTV19951305@prod")</f>
        <v>ICTV19951305@prod</v>
      </c>
    </row>
    <row r="556" spans="1:15" x14ac:dyDescent="0.2">
      <c r="A556">
        <v>17</v>
      </c>
      <c r="B556">
        <v>19980418</v>
      </c>
      <c r="C556">
        <v>19951306</v>
      </c>
      <c r="D556" t="s">
        <v>29</v>
      </c>
      <c r="E556" t="s">
        <v>1441</v>
      </c>
      <c r="G556" t="s">
        <v>1165</v>
      </c>
      <c r="L556" s="7" t="str">
        <f>HYPERLINK("https://test.ictv.global/id/TN19980418","TN19980418@TEST")</f>
        <v>TN19980418@TEST</v>
      </c>
      <c r="M556" s="7" t="str">
        <f>HYPERLINK("https://test.ictv.global/id/ICTV19951306","ICTV19951306@TEST")</f>
        <v>ICTV19951306@TEST</v>
      </c>
      <c r="N556" s="7" t="str">
        <f>HYPERLINK("https://ictv.global/id/TN19980418","TN19980418@prod")</f>
        <v>TN19980418@prod</v>
      </c>
      <c r="O556" s="7" t="str">
        <f>HYPERLINK("https://ictv.global/id/ICTV19951306","ICTV19951306@prod")</f>
        <v>ICTV19951306@prod</v>
      </c>
    </row>
    <row r="557" spans="1:15" x14ac:dyDescent="0.2">
      <c r="A557">
        <v>17</v>
      </c>
      <c r="B557">
        <v>19980419</v>
      </c>
      <c r="C557">
        <v>19951307</v>
      </c>
      <c r="D557" t="s">
        <v>29</v>
      </c>
      <c r="E557" t="s">
        <v>1442</v>
      </c>
      <c r="G557" t="s">
        <v>1165</v>
      </c>
      <c r="L557" s="7" t="str">
        <f>HYPERLINK("https://test.ictv.global/id/TN19980419","TN19980419@TEST")</f>
        <v>TN19980419@TEST</v>
      </c>
      <c r="M557" s="7" t="str">
        <f>HYPERLINK("https://test.ictv.global/id/ICTV19951307","ICTV19951307@TEST")</f>
        <v>ICTV19951307@TEST</v>
      </c>
      <c r="N557" s="7" t="str">
        <f>HYPERLINK("https://ictv.global/id/TN19980419","TN19980419@prod")</f>
        <v>TN19980419@prod</v>
      </c>
      <c r="O557" s="7" t="str">
        <f>HYPERLINK("https://ictv.global/id/ICTV19951307","ICTV19951307@prod")</f>
        <v>ICTV19951307@prod</v>
      </c>
    </row>
    <row r="558" spans="1:15" x14ac:dyDescent="0.2">
      <c r="A558">
        <v>17</v>
      </c>
      <c r="B558">
        <v>19980421</v>
      </c>
      <c r="C558">
        <v>19951309</v>
      </c>
      <c r="D558" t="s">
        <v>29</v>
      </c>
      <c r="E558" t="s">
        <v>1443</v>
      </c>
      <c r="G558" t="s">
        <v>1165</v>
      </c>
      <c r="L558" s="7" t="str">
        <f>HYPERLINK("https://test.ictv.global/id/TN19980421","TN19980421@TEST")</f>
        <v>TN19980421@TEST</v>
      </c>
      <c r="M558" s="7" t="str">
        <f>HYPERLINK("https://test.ictv.global/id/ICTV19951309","ICTV19951309@TEST")</f>
        <v>ICTV19951309@TEST</v>
      </c>
      <c r="N558" s="7" t="str">
        <f>HYPERLINK("https://ictv.global/id/TN19980421","TN19980421@prod")</f>
        <v>TN19980421@prod</v>
      </c>
      <c r="O558" s="7" t="str">
        <f>HYPERLINK("https://ictv.global/id/ICTV19951309","ICTV19951309@prod")</f>
        <v>ICTV19951309@prod</v>
      </c>
    </row>
    <row r="559" spans="1:15" x14ac:dyDescent="0.2">
      <c r="A559">
        <v>17</v>
      </c>
      <c r="B559">
        <v>19980422</v>
      </c>
      <c r="C559">
        <v>19951310</v>
      </c>
      <c r="D559" t="s">
        <v>29</v>
      </c>
      <c r="E559" t="s">
        <v>1444</v>
      </c>
      <c r="G559" t="s">
        <v>1165</v>
      </c>
      <c r="L559" s="7" t="str">
        <f>HYPERLINK("https://test.ictv.global/id/TN19980422","TN19980422@TEST")</f>
        <v>TN19980422@TEST</v>
      </c>
      <c r="M559" s="7" t="str">
        <f>HYPERLINK("https://test.ictv.global/id/ICTV19951310","ICTV19951310@TEST")</f>
        <v>ICTV19951310@TEST</v>
      </c>
      <c r="N559" s="7" t="str">
        <f>HYPERLINK("https://ictv.global/id/TN19980422","TN19980422@prod")</f>
        <v>TN19980422@prod</v>
      </c>
      <c r="O559" s="7" t="str">
        <f>HYPERLINK("https://ictv.global/id/ICTV19951310","ICTV19951310@prod")</f>
        <v>ICTV19951310@prod</v>
      </c>
    </row>
    <row r="560" spans="1:15" x14ac:dyDescent="0.2">
      <c r="A560">
        <v>17</v>
      </c>
      <c r="B560">
        <v>19980423</v>
      </c>
      <c r="C560">
        <v>19951311</v>
      </c>
      <c r="D560" t="s">
        <v>29</v>
      </c>
      <c r="E560" t="s">
        <v>1445</v>
      </c>
      <c r="G560" t="s">
        <v>1165</v>
      </c>
      <c r="L560" s="7" t="str">
        <f>HYPERLINK("https://test.ictv.global/id/TN19980423","TN19980423@TEST")</f>
        <v>TN19980423@TEST</v>
      </c>
      <c r="M560" s="7" t="str">
        <f>HYPERLINK("https://test.ictv.global/id/ICTV19951311","ICTV19951311@TEST")</f>
        <v>ICTV19951311@TEST</v>
      </c>
      <c r="N560" s="7" t="str">
        <f>HYPERLINK("https://ictv.global/id/TN19980423","TN19980423@prod")</f>
        <v>TN19980423@prod</v>
      </c>
      <c r="O560" s="7" t="str">
        <f>HYPERLINK("https://ictv.global/id/ICTV19951311","ICTV19951311@prod")</f>
        <v>ICTV19951311@prod</v>
      </c>
    </row>
    <row r="561" spans="1:15" x14ac:dyDescent="0.2">
      <c r="A561">
        <v>17</v>
      </c>
      <c r="B561">
        <v>19980424</v>
      </c>
      <c r="C561">
        <v>19951312</v>
      </c>
      <c r="D561" t="s">
        <v>29</v>
      </c>
      <c r="E561" t="s">
        <v>1446</v>
      </c>
      <c r="G561" t="s">
        <v>1165</v>
      </c>
      <c r="L561" s="7" t="str">
        <f>HYPERLINK("https://test.ictv.global/id/TN19980424","TN19980424@TEST")</f>
        <v>TN19980424@TEST</v>
      </c>
      <c r="M561" s="7" t="str">
        <f>HYPERLINK("https://test.ictv.global/id/ICTV19951312","ICTV19951312@TEST")</f>
        <v>ICTV19951312@TEST</v>
      </c>
      <c r="N561" s="7" t="str">
        <f>HYPERLINK("https://ictv.global/id/TN19980424","TN19980424@prod")</f>
        <v>TN19980424@prod</v>
      </c>
      <c r="O561" s="7" t="str">
        <f>HYPERLINK("https://ictv.global/id/ICTV19951312","ICTV19951312@prod")</f>
        <v>ICTV19951312@prod</v>
      </c>
    </row>
    <row r="562" spans="1:15" x14ac:dyDescent="0.2">
      <c r="A562">
        <v>17</v>
      </c>
      <c r="B562">
        <v>19980425</v>
      </c>
      <c r="C562">
        <v>19951313</v>
      </c>
      <c r="D562" t="s">
        <v>29</v>
      </c>
      <c r="E562" t="s">
        <v>1447</v>
      </c>
      <c r="G562" t="s">
        <v>1165</v>
      </c>
      <c r="L562" s="7" t="str">
        <f>HYPERLINK("https://test.ictv.global/id/TN19980425","TN19980425@TEST")</f>
        <v>TN19980425@TEST</v>
      </c>
      <c r="M562" s="7" t="str">
        <f>HYPERLINK("https://test.ictv.global/id/ICTV19951313","ICTV19951313@TEST")</f>
        <v>ICTV19951313@TEST</v>
      </c>
      <c r="N562" s="7" t="str">
        <f>HYPERLINK("https://ictv.global/id/TN19980425","TN19980425@prod")</f>
        <v>TN19980425@prod</v>
      </c>
      <c r="O562" s="7" t="str">
        <f>HYPERLINK("https://ictv.global/id/ICTV19951313","ICTV19951313@prod")</f>
        <v>ICTV19951313@prod</v>
      </c>
    </row>
    <row r="563" spans="1:15" x14ac:dyDescent="0.2">
      <c r="A563">
        <v>17</v>
      </c>
      <c r="B563">
        <v>19980426</v>
      </c>
      <c r="C563">
        <v>19961359</v>
      </c>
      <c r="D563" t="s">
        <v>29</v>
      </c>
      <c r="E563" t="s">
        <v>1448</v>
      </c>
      <c r="G563" t="s">
        <v>1165</v>
      </c>
      <c r="L563" s="7" t="str">
        <f>HYPERLINK("https://test.ictv.global/id/TN19980426","TN19980426@TEST")</f>
        <v>TN19980426@TEST</v>
      </c>
      <c r="M563" s="7" t="str">
        <f>HYPERLINK("https://test.ictv.global/id/ICTV19961359","ICTV19961359@TEST")</f>
        <v>ICTV19961359@TEST</v>
      </c>
      <c r="N563" s="7" t="str">
        <f>HYPERLINK("https://ictv.global/id/TN19980426","TN19980426@prod")</f>
        <v>TN19980426@prod</v>
      </c>
      <c r="O563" s="7" t="str">
        <f>HYPERLINK("https://ictv.global/id/ICTV19961359","ICTV19961359@prod")</f>
        <v>ICTV19961359@prod</v>
      </c>
    </row>
    <row r="564" spans="1:15" x14ac:dyDescent="0.2">
      <c r="A564">
        <v>17</v>
      </c>
      <c r="B564">
        <v>19980427</v>
      </c>
      <c r="C564">
        <v>19961360</v>
      </c>
      <c r="D564" t="s">
        <v>29</v>
      </c>
      <c r="E564" t="s">
        <v>1449</v>
      </c>
      <c r="G564" t="s">
        <v>1165</v>
      </c>
      <c r="L564" s="7" t="str">
        <f>HYPERLINK("https://test.ictv.global/id/TN19980427","TN19980427@TEST")</f>
        <v>TN19980427@TEST</v>
      </c>
      <c r="M564" s="7" t="str">
        <f>HYPERLINK("https://test.ictv.global/id/ICTV19961360","ICTV19961360@TEST")</f>
        <v>ICTV19961360@TEST</v>
      </c>
      <c r="N564" s="7" t="str">
        <f>HYPERLINK("https://ictv.global/id/TN19980427","TN19980427@prod")</f>
        <v>TN19980427@prod</v>
      </c>
      <c r="O564" s="7" t="str">
        <f>HYPERLINK("https://ictv.global/id/ICTV19961360","ICTV19961360@prod")</f>
        <v>ICTV19961360@prod</v>
      </c>
    </row>
    <row r="565" spans="1:15" x14ac:dyDescent="0.2">
      <c r="A565">
        <v>17</v>
      </c>
      <c r="B565">
        <v>19980428</v>
      </c>
      <c r="C565">
        <v>19951314</v>
      </c>
      <c r="D565" t="s">
        <v>29</v>
      </c>
      <c r="E565" t="s">
        <v>1450</v>
      </c>
      <c r="G565" t="s">
        <v>1165</v>
      </c>
      <c r="L565" s="7" t="str">
        <f>HYPERLINK("https://test.ictv.global/id/TN19980428","TN19980428@TEST")</f>
        <v>TN19980428@TEST</v>
      </c>
      <c r="M565" s="7" t="str">
        <f>HYPERLINK("https://test.ictv.global/id/ICTV19951314","ICTV19951314@TEST")</f>
        <v>ICTV19951314@TEST</v>
      </c>
      <c r="N565" s="7" t="str">
        <f>HYPERLINK("https://ictv.global/id/TN19980428","TN19980428@prod")</f>
        <v>TN19980428@prod</v>
      </c>
      <c r="O565" s="7" t="str">
        <f>HYPERLINK("https://ictv.global/id/ICTV19951314","ICTV19951314@prod")</f>
        <v>ICTV19951314@prod</v>
      </c>
    </row>
    <row r="566" spans="1:15" x14ac:dyDescent="0.2">
      <c r="A566">
        <v>17</v>
      </c>
      <c r="B566">
        <v>19980429</v>
      </c>
      <c r="C566">
        <v>19951315</v>
      </c>
      <c r="D566" t="s">
        <v>29</v>
      </c>
      <c r="E566" t="s">
        <v>1451</v>
      </c>
      <c r="G566" t="s">
        <v>1165</v>
      </c>
      <c r="L566" s="7" t="str">
        <f>HYPERLINK("https://test.ictv.global/id/TN19980429","TN19980429@TEST")</f>
        <v>TN19980429@TEST</v>
      </c>
      <c r="M566" s="7" t="str">
        <f>HYPERLINK("https://test.ictv.global/id/ICTV19951315","ICTV19951315@TEST")</f>
        <v>ICTV19951315@TEST</v>
      </c>
      <c r="N566" s="7" t="str">
        <f>HYPERLINK("https://ictv.global/id/TN19980429","TN19980429@prod")</f>
        <v>TN19980429@prod</v>
      </c>
      <c r="O566" s="7" t="str">
        <f>HYPERLINK("https://ictv.global/id/ICTV19951315","ICTV19951315@prod")</f>
        <v>ICTV19951315@prod</v>
      </c>
    </row>
    <row r="567" spans="1:15" x14ac:dyDescent="0.2">
      <c r="A567">
        <v>17</v>
      </c>
      <c r="B567">
        <v>19980430</v>
      </c>
      <c r="C567">
        <v>19951316</v>
      </c>
      <c r="D567" t="s">
        <v>29</v>
      </c>
      <c r="E567" t="s">
        <v>1452</v>
      </c>
      <c r="G567" t="s">
        <v>1165</v>
      </c>
      <c r="L567" s="7" t="str">
        <f>HYPERLINK("https://test.ictv.global/id/TN19980430","TN19980430@TEST")</f>
        <v>TN19980430@TEST</v>
      </c>
      <c r="M567" s="7" t="str">
        <f>HYPERLINK("https://test.ictv.global/id/ICTV19951316","ICTV19951316@TEST")</f>
        <v>ICTV19951316@TEST</v>
      </c>
      <c r="N567" s="7" t="str">
        <f>HYPERLINK("https://ictv.global/id/TN19980430","TN19980430@prod")</f>
        <v>TN19980430@prod</v>
      </c>
      <c r="O567" s="7" t="str">
        <f>HYPERLINK("https://ictv.global/id/ICTV19951316","ICTV19951316@prod")</f>
        <v>ICTV19951316@prod</v>
      </c>
    </row>
    <row r="568" spans="1:15" x14ac:dyDescent="0.2">
      <c r="A568">
        <v>17</v>
      </c>
      <c r="B568">
        <v>19980431</v>
      </c>
      <c r="C568">
        <v>19951317</v>
      </c>
      <c r="D568" t="s">
        <v>29</v>
      </c>
      <c r="E568" t="s">
        <v>1453</v>
      </c>
      <c r="G568" t="s">
        <v>1165</v>
      </c>
      <c r="L568" s="7" t="str">
        <f>HYPERLINK("https://test.ictv.global/id/TN19980431","TN19980431@TEST")</f>
        <v>TN19980431@TEST</v>
      </c>
      <c r="M568" s="7" t="str">
        <f>HYPERLINK("https://test.ictv.global/id/ICTV19951317","ICTV19951317@TEST")</f>
        <v>ICTV19951317@TEST</v>
      </c>
      <c r="N568" s="7" t="str">
        <f>HYPERLINK("https://ictv.global/id/TN19980431","TN19980431@prod")</f>
        <v>TN19980431@prod</v>
      </c>
      <c r="O568" s="7" t="str">
        <f>HYPERLINK("https://ictv.global/id/ICTV19951317","ICTV19951317@prod")</f>
        <v>ICTV19951317@prod</v>
      </c>
    </row>
    <row r="569" spans="1:15" x14ac:dyDescent="0.2">
      <c r="A569">
        <v>17</v>
      </c>
      <c r="B569">
        <v>19980432</v>
      </c>
      <c r="C569">
        <v>19951318</v>
      </c>
      <c r="D569" t="s">
        <v>29</v>
      </c>
      <c r="E569" t="s">
        <v>1454</v>
      </c>
      <c r="G569" t="s">
        <v>1165</v>
      </c>
      <c r="L569" s="7" t="str">
        <f>HYPERLINK("https://test.ictv.global/id/TN19980432","TN19980432@TEST")</f>
        <v>TN19980432@TEST</v>
      </c>
      <c r="M569" s="7" t="str">
        <f>HYPERLINK("https://test.ictv.global/id/ICTV19951318","ICTV19951318@TEST")</f>
        <v>ICTV19951318@TEST</v>
      </c>
      <c r="N569" s="7" t="str">
        <f>HYPERLINK("https://ictv.global/id/TN19980432","TN19980432@prod")</f>
        <v>TN19980432@prod</v>
      </c>
      <c r="O569" s="7" t="str">
        <f>HYPERLINK("https://ictv.global/id/ICTV19951318","ICTV19951318@prod")</f>
        <v>ICTV19951318@prod</v>
      </c>
    </row>
    <row r="570" spans="1:15" x14ac:dyDescent="0.2">
      <c r="A570">
        <v>17</v>
      </c>
      <c r="B570">
        <v>19980433</v>
      </c>
      <c r="C570">
        <v>19951319</v>
      </c>
      <c r="D570" t="s">
        <v>29</v>
      </c>
      <c r="E570" t="s">
        <v>1455</v>
      </c>
      <c r="G570" t="s">
        <v>1165</v>
      </c>
      <c r="L570" s="7" t="str">
        <f>HYPERLINK("https://test.ictv.global/id/TN19980433","TN19980433@TEST")</f>
        <v>TN19980433@TEST</v>
      </c>
      <c r="M570" s="7" t="str">
        <f>HYPERLINK("https://test.ictv.global/id/ICTV19951319","ICTV19951319@TEST")</f>
        <v>ICTV19951319@TEST</v>
      </c>
      <c r="N570" s="7" t="str">
        <f>HYPERLINK("https://ictv.global/id/TN19980433","TN19980433@prod")</f>
        <v>TN19980433@prod</v>
      </c>
      <c r="O570" s="7" t="str">
        <f>HYPERLINK("https://ictv.global/id/ICTV19951319","ICTV19951319@prod")</f>
        <v>ICTV19951319@prod</v>
      </c>
    </row>
    <row r="571" spans="1:15" x14ac:dyDescent="0.2">
      <c r="A571">
        <v>17</v>
      </c>
      <c r="B571">
        <v>19980434</v>
      </c>
      <c r="C571">
        <v>19951320</v>
      </c>
      <c r="D571" t="s">
        <v>29</v>
      </c>
      <c r="E571" t="s">
        <v>1456</v>
      </c>
      <c r="G571" t="s">
        <v>1165</v>
      </c>
      <c r="L571" s="7" t="str">
        <f>HYPERLINK("https://test.ictv.global/id/TN19980434","TN19980434@TEST")</f>
        <v>TN19980434@TEST</v>
      </c>
      <c r="M571" s="7" t="str">
        <f>HYPERLINK("https://test.ictv.global/id/ICTV19951320","ICTV19951320@TEST")</f>
        <v>ICTV19951320@TEST</v>
      </c>
      <c r="N571" s="7" t="str">
        <f>HYPERLINK("https://ictv.global/id/TN19980434","TN19980434@prod")</f>
        <v>TN19980434@prod</v>
      </c>
      <c r="O571" s="7" t="str">
        <f>HYPERLINK("https://ictv.global/id/ICTV19951320","ICTV19951320@prod")</f>
        <v>ICTV19951320@prod</v>
      </c>
    </row>
    <row r="572" spans="1:15" x14ac:dyDescent="0.2">
      <c r="A572">
        <v>17</v>
      </c>
      <c r="B572">
        <v>19980435</v>
      </c>
      <c r="C572">
        <v>19951321</v>
      </c>
      <c r="D572" t="s">
        <v>29</v>
      </c>
      <c r="E572" t="s">
        <v>366</v>
      </c>
      <c r="G572" t="s">
        <v>166</v>
      </c>
      <c r="H572" t="s">
        <v>357</v>
      </c>
      <c r="I572" t="s">
        <v>29</v>
      </c>
      <c r="J572">
        <v>19990385</v>
      </c>
      <c r="K572">
        <v>19990385</v>
      </c>
      <c r="L572" s="7" t="str">
        <f>HYPERLINK("https://test.ictv.global/id/TN19980435","TN19980435@TEST")</f>
        <v>TN19980435@TEST</v>
      </c>
      <c r="M572" s="7" t="str">
        <f>HYPERLINK("https://test.ictv.global/id/ICTV19951321","ICTV19951321@TEST")</f>
        <v>ICTV19951321@TEST</v>
      </c>
      <c r="N572" s="7" t="str">
        <f>HYPERLINK("https://ictv.global/id/TN19980435","TN19980435@prod")</f>
        <v>TN19980435@prod</v>
      </c>
      <c r="O572" s="7" t="str">
        <f>HYPERLINK("https://ictv.global/id/ICTV19951321","ICTV19951321@prod")</f>
        <v>ICTV19951321@prod</v>
      </c>
    </row>
    <row r="573" spans="1:15" x14ac:dyDescent="0.2">
      <c r="A573">
        <v>17</v>
      </c>
      <c r="B573">
        <v>19980436</v>
      </c>
      <c r="C573">
        <v>19951322</v>
      </c>
      <c r="D573" t="s">
        <v>29</v>
      </c>
      <c r="E573" t="s">
        <v>1457</v>
      </c>
      <c r="G573" t="s">
        <v>1165</v>
      </c>
      <c r="L573" s="7" t="str">
        <f>HYPERLINK("https://test.ictv.global/id/TN19980436","TN19980436@TEST")</f>
        <v>TN19980436@TEST</v>
      </c>
      <c r="M573" s="7" t="str">
        <f>HYPERLINK("https://test.ictv.global/id/ICTV19951322","ICTV19951322@TEST")</f>
        <v>ICTV19951322@TEST</v>
      </c>
      <c r="N573" s="7" t="str">
        <f>HYPERLINK("https://ictv.global/id/TN19980436","TN19980436@prod")</f>
        <v>TN19980436@prod</v>
      </c>
      <c r="O573" s="7" t="str">
        <f>HYPERLINK("https://ictv.global/id/ICTV19951322","ICTV19951322@prod")</f>
        <v>ICTV19951322@prod</v>
      </c>
    </row>
    <row r="574" spans="1:15" x14ac:dyDescent="0.2">
      <c r="A574">
        <v>17</v>
      </c>
      <c r="B574">
        <v>19980437</v>
      </c>
      <c r="C574">
        <v>19961370</v>
      </c>
      <c r="D574" t="s">
        <v>29</v>
      </c>
      <c r="E574" t="s">
        <v>1458</v>
      </c>
      <c r="G574" t="s">
        <v>1165</v>
      </c>
      <c r="L574" s="7" t="str">
        <f>HYPERLINK("https://test.ictv.global/id/TN19980437","TN19980437@TEST")</f>
        <v>TN19980437@TEST</v>
      </c>
      <c r="M574" s="7" t="str">
        <f>HYPERLINK("https://test.ictv.global/id/ICTV19961370","ICTV19961370@TEST")</f>
        <v>ICTV19961370@TEST</v>
      </c>
      <c r="N574" s="7" t="str">
        <f>HYPERLINK("https://ictv.global/id/TN19980437","TN19980437@prod")</f>
        <v>TN19980437@prod</v>
      </c>
      <c r="O574" s="7" t="str">
        <f>HYPERLINK("https://ictv.global/id/ICTV19961370","ICTV19961370@prod")</f>
        <v>ICTV19961370@prod</v>
      </c>
    </row>
    <row r="575" spans="1:15" x14ac:dyDescent="0.2">
      <c r="A575">
        <v>17</v>
      </c>
      <c r="B575">
        <v>19980438</v>
      </c>
      <c r="C575">
        <v>19951323</v>
      </c>
      <c r="D575" t="s">
        <v>29</v>
      </c>
      <c r="E575" t="s">
        <v>1459</v>
      </c>
      <c r="G575" t="s">
        <v>1165</v>
      </c>
      <c r="L575" s="7" t="str">
        <f>HYPERLINK("https://test.ictv.global/id/TN19980438","TN19980438@TEST")</f>
        <v>TN19980438@TEST</v>
      </c>
      <c r="M575" s="7" t="str">
        <f>HYPERLINK("https://test.ictv.global/id/ICTV19951323","ICTV19951323@TEST")</f>
        <v>ICTV19951323@TEST</v>
      </c>
      <c r="N575" s="7" t="str">
        <f>HYPERLINK("https://ictv.global/id/TN19980438","TN19980438@prod")</f>
        <v>TN19980438@prod</v>
      </c>
      <c r="O575" s="7" t="str">
        <f>HYPERLINK("https://ictv.global/id/ICTV19951323","ICTV19951323@prod")</f>
        <v>ICTV19951323@prod</v>
      </c>
    </row>
    <row r="576" spans="1:15" x14ac:dyDescent="0.2">
      <c r="A576">
        <v>17</v>
      </c>
      <c r="B576">
        <v>19980439</v>
      </c>
      <c r="C576">
        <v>19951324</v>
      </c>
      <c r="D576" t="s">
        <v>29</v>
      </c>
      <c r="E576" t="s">
        <v>1460</v>
      </c>
      <c r="G576" t="s">
        <v>1165</v>
      </c>
      <c r="L576" s="7" t="str">
        <f>HYPERLINK("https://test.ictv.global/id/TN19980439","TN19980439@TEST")</f>
        <v>TN19980439@TEST</v>
      </c>
      <c r="M576" s="7" t="str">
        <f>HYPERLINK("https://test.ictv.global/id/ICTV19951324","ICTV19951324@TEST")</f>
        <v>ICTV19951324@TEST</v>
      </c>
      <c r="N576" s="7" t="str">
        <f>HYPERLINK("https://ictv.global/id/TN19980439","TN19980439@prod")</f>
        <v>TN19980439@prod</v>
      </c>
      <c r="O576" s="7" t="str">
        <f>HYPERLINK("https://ictv.global/id/ICTV19951324","ICTV19951324@prod")</f>
        <v>ICTV19951324@prod</v>
      </c>
    </row>
    <row r="577" spans="1:15" x14ac:dyDescent="0.2">
      <c r="A577">
        <v>17</v>
      </c>
      <c r="B577">
        <v>19980440</v>
      </c>
      <c r="C577">
        <v>19951325</v>
      </c>
      <c r="D577" t="s">
        <v>29</v>
      </c>
      <c r="E577" t="s">
        <v>1461</v>
      </c>
      <c r="G577" t="s">
        <v>1165</v>
      </c>
      <c r="L577" s="7" t="str">
        <f>HYPERLINK("https://test.ictv.global/id/TN19980440","TN19980440@TEST")</f>
        <v>TN19980440@TEST</v>
      </c>
      <c r="M577" s="7" t="str">
        <f>HYPERLINK("https://test.ictv.global/id/ICTV19951325","ICTV19951325@TEST")</f>
        <v>ICTV19951325@TEST</v>
      </c>
      <c r="N577" s="7" t="str">
        <f>HYPERLINK("https://ictv.global/id/TN19980440","TN19980440@prod")</f>
        <v>TN19980440@prod</v>
      </c>
      <c r="O577" s="7" t="str">
        <f>HYPERLINK("https://ictv.global/id/ICTV19951325","ICTV19951325@prod")</f>
        <v>ICTV19951325@prod</v>
      </c>
    </row>
    <row r="578" spans="1:15" x14ac:dyDescent="0.2">
      <c r="A578">
        <v>17</v>
      </c>
      <c r="B578">
        <v>19980441</v>
      </c>
      <c r="C578">
        <v>19951326</v>
      </c>
      <c r="D578" t="s">
        <v>29</v>
      </c>
      <c r="E578" t="s">
        <v>1462</v>
      </c>
      <c r="G578" t="s">
        <v>1165</v>
      </c>
      <c r="L578" s="7" t="str">
        <f>HYPERLINK("https://test.ictv.global/id/TN19980441","TN19980441@TEST")</f>
        <v>TN19980441@TEST</v>
      </c>
      <c r="M578" s="7" t="str">
        <f>HYPERLINK("https://test.ictv.global/id/ICTV19951326","ICTV19951326@TEST")</f>
        <v>ICTV19951326@TEST</v>
      </c>
      <c r="N578" s="7" t="str">
        <f>HYPERLINK("https://ictv.global/id/TN19980441","TN19980441@prod")</f>
        <v>TN19980441@prod</v>
      </c>
      <c r="O578" s="7" t="str">
        <f>HYPERLINK("https://ictv.global/id/ICTV19951326","ICTV19951326@prod")</f>
        <v>ICTV19951326@prod</v>
      </c>
    </row>
    <row r="579" spans="1:15" x14ac:dyDescent="0.2">
      <c r="A579">
        <v>17</v>
      </c>
      <c r="B579">
        <v>19980442</v>
      </c>
      <c r="C579">
        <v>19951327</v>
      </c>
      <c r="D579" t="s">
        <v>29</v>
      </c>
      <c r="E579" t="s">
        <v>1463</v>
      </c>
      <c r="G579" t="s">
        <v>1165</v>
      </c>
      <c r="L579" s="7" t="str">
        <f>HYPERLINK("https://test.ictv.global/id/TN19980442","TN19980442@TEST")</f>
        <v>TN19980442@TEST</v>
      </c>
      <c r="M579" s="7" t="str">
        <f>HYPERLINK("https://test.ictv.global/id/ICTV19951327","ICTV19951327@TEST")</f>
        <v>ICTV19951327@TEST</v>
      </c>
      <c r="N579" s="7" t="str">
        <f>HYPERLINK("https://ictv.global/id/TN19980442","TN19980442@prod")</f>
        <v>TN19980442@prod</v>
      </c>
      <c r="O579" s="7" t="str">
        <f>HYPERLINK("https://ictv.global/id/ICTV19951327","ICTV19951327@prod")</f>
        <v>ICTV19951327@prod</v>
      </c>
    </row>
    <row r="580" spans="1:15" x14ac:dyDescent="0.2">
      <c r="A580">
        <v>17</v>
      </c>
      <c r="B580">
        <v>19980443</v>
      </c>
      <c r="C580">
        <v>19951328</v>
      </c>
      <c r="D580" t="s">
        <v>29</v>
      </c>
      <c r="E580" t="s">
        <v>1464</v>
      </c>
      <c r="G580" t="s">
        <v>1165</v>
      </c>
      <c r="L580" s="7" t="str">
        <f>HYPERLINK("https://test.ictv.global/id/TN19980443","TN19980443@TEST")</f>
        <v>TN19980443@TEST</v>
      </c>
      <c r="M580" s="7" t="str">
        <f>HYPERLINK("https://test.ictv.global/id/ICTV19951328","ICTV19951328@TEST")</f>
        <v>ICTV19951328@TEST</v>
      </c>
      <c r="N580" s="7" t="str">
        <f>HYPERLINK("https://ictv.global/id/TN19980443","TN19980443@prod")</f>
        <v>TN19980443@prod</v>
      </c>
      <c r="O580" s="7" t="str">
        <f>HYPERLINK("https://ictv.global/id/ICTV19951328","ICTV19951328@prod")</f>
        <v>ICTV19951328@prod</v>
      </c>
    </row>
    <row r="581" spans="1:15" x14ac:dyDescent="0.2">
      <c r="A581">
        <v>17</v>
      </c>
      <c r="B581">
        <v>19980444</v>
      </c>
      <c r="C581">
        <v>19951329</v>
      </c>
      <c r="D581" t="s">
        <v>29</v>
      </c>
      <c r="E581" t="s">
        <v>1465</v>
      </c>
      <c r="G581" t="s">
        <v>1165</v>
      </c>
      <c r="L581" s="7" t="str">
        <f>HYPERLINK("https://test.ictv.global/id/TN19980444","TN19980444@TEST")</f>
        <v>TN19980444@TEST</v>
      </c>
      <c r="M581" s="7" t="str">
        <f>HYPERLINK("https://test.ictv.global/id/ICTV19951329","ICTV19951329@TEST")</f>
        <v>ICTV19951329@TEST</v>
      </c>
      <c r="N581" s="7" t="str">
        <f>HYPERLINK("https://ictv.global/id/TN19980444","TN19980444@prod")</f>
        <v>TN19980444@prod</v>
      </c>
      <c r="O581" s="7" t="str">
        <f>HYPERLINK("https://ictv.global/id/ICTV19951329","ICTV19951329@prod")</f>
        <v>ICTV19951329@prod</v>
      </c>
    </row>
    <row r="582" spans="1:15" x14ac:dyDescent="0.2">
      <c r="A582">
        <v>17</v>
      </c>
      <c r="B582">
        <v>19980445</v>
      </c>
      <c r="C582">
        <v>19951330</v>
      </c>
      <c r="D582" t="s">
        <v>29</v>
      </c>
      <c r="E582" t="s">
        <v>1466</v>
      </c>
      <c r="G582" t="s">
        <v>1165</v>
      </c>
      <c r="L582" s="7" t="str">
        <f>HYPERLINK("https://test.ictv.global/id/TN19980445","TN19980445@TEST")</f>
        <v>TN19980445@TEST</v>
      </c>
      <c r="M582" s="7" t="str">
        <f>HYPERLINK("https://test.ictv.global/id/ICTV19951330","ICTV19951330@TEST")</f>
        <v>ICTV19951330@TEST</v>
      </c>
      <c r="N582" s="7" t="str">
        <f>HYPERLINK("https://ictv.global/id/TN19980445","TN19980445@prod")</f>
        <v>TN19980445@prod</v>
      </c>
      <c r="O582" s="7" t="str">
        <f>HYPERLINK("https://ictv.global/id/ICTV19951330","ICTV19951330@prod")</f>
        <v>ICTV19951330@prod</v>
      </c>
    </row>
    <row r="583" spans="1:15" x14ac:dyDescent="0.2">
      <c r="A583">
        <v>17</v>
      </c>
      <c r="B583">
        <v>19980446</v>
      </c>
      <c r="C583">
        <v>19951331</v>
      </c>
      <c r="D583" t="s">
        <v>29</v>
      </c>
      <c r="E583" t="s">
        <v>1467</v>
      </c>
      <c r="G583" t="s">
        <v>1165</v>
      </c>
      <c r="L583" s="7" t="str">
        <f>HYPERLINK("https://test.ictv.global/id/TN19980446","TN19980446@TEST")</f>
        <v>TN19980446@TEST</v>
      </c>
      <c r="M583" s="7" t="str">
        <f>HYPERLINK("https://test.ictv.global/id/ICTV19951331","ICTV19951331@TEST")</f>
        <v>ICTV19951331@TEST</v>
      </c>
      <c r="N583" s="7" t="str">
        <f>HYPERLINK("https://ictv.global/id/TN19980446","TN19980446@prod")</f>
        <v>TN19980446@prod</v>
      </c>
      <c r="O583" s="7" t="str">
        <f>HYPERLINK("https://ictv.global/id/ICTV19951331","ICTV19951331@prod")</f>
        <v>ICTV19951331@prod</v>
      </c>
    </row>
    <row r="584" spans="1:15" x14ac:dyDescent="0.2">
      <c r="A584">
        <v>17</v>
      </c>
      <c r="B584">
        <v>19980447</v>
      </c>
      <c r="C584">
        <v>19951332</v>
      </c>
      <c r="D584" t="s">
        <v>29</v>
      </c>
      <c r="E584" t="s">
        <v>1468</v>
      </c>
      <c r="G584" t="s">
        <v>1165</v>
      </c>
      <c r="L584" s="7" t="str">
        <f>HYPERLINK("https://test.ictv.global/id/TN19980447","TN19980447@TEST")</f>
        <v>TN19980447@TEST</v>
      </c>
      <c r="M584" s="7" t="str">
        <f>HYPERLINK("https://test.ictv.global/id/ICTV19951332","ICTV19951332@TEST")</f>
        <v>ICTV19951332@TEST</v>
      </c>
      <c r="N584" s="7" t="str">
        <f>HYPERLINK("https://ictv.global/id/TN19980447","TN19980447@prod")</f>
        <v>TN19980447@prod</v>
      </c>
      <c r="O584" s="7" t="str">
        <f>HYPERLINK("https://ictv.global/id/ICTV19951332","ICTV19951332@prod")</f>
        <v>ICTV19951332@prod</v>
      </c>
    </row>
    <row r="585" spans="1:15" x14ac:dyDescent="0.2">
      <c r="A585">
        <v>17</v>
      </c>
      <c r="B585">
        <v>19980448</v>
      </c>
      <c r="C585">
        <v>19951333</v>
      </c>
      <c r="D585" t="s">
        <v>29</v>
      </c>
      <c r="E585" t="s">
        <v>1469</v>
      </c>
      <c r="G585" t="s">
        <v>1165</v>
      </c>
      <c r="L585" s="7" t="str">
        <f>HYPERLINK("https://test.ictv.global/id/TN19980448","TN19980448@TEST")</f>
        <v>TN19980448@TEST</v>
      </c>
      <c r="M585" s="7" t="str">
        <f>HYPERLINK("https://test.ictv.global/id/ICTV19951333","ICTV19951333@TEST")</f>
        <v>ICTV19951333@TEST</v>
      </c>
      <c r="N585" s="7" t="str">
        <f>HYPERLINK("https://ictv.global/id/TN19980448","TN19980448@prod")</f>
        <v>TN19980448@prod</v>
      </c>
      <c r="O585" s="7" t="str">
        <f>HYPERLINK("https://ictv.global/id/ICTV19951333","ICTV19951333@prod")</f>
        <v>ICTV19951333@prod</v>
      </c>
    </row>
    <row r="586" spans="1:15" x14ac:dyDescent="0.2">
      <c r="A586">
        <v>17</v>
      </c>
      <c r="B586">
        <v>19980449</v>
      </c>
      <c r="C586">
        <v>19951334</v>
      </c>
      <c r="D586" t="s">
        <v>29</v>
      </c>
      <c r="E586" t="s">
        <v>1470</v>
      </c>
      <c r="G586" t="s">
        <v>1165</v>
      </c>
      <c r="L586" s="7" t="str">
        <f>HYPERLINK("https://test.ictv.global/id/TN19980449","TN19980449@TEST")</f>
        <v>TN19980449@TEST</v>
      </c>
      <c r="M586" s="7" t="str">
        <f>HYPERLINK("https://test.ictv.global/id/ICTV19951334","ICTV19951334@TEST")</f>
        <v>ICTV19951334@TEST</v>
      </c>
      <c r="N586" s="7" t="str">
        <f>HYPERLINK("https://ictv.global/id/TN19980449","TN19980449@prod")</f>
        <v>TN19980449@prod</v>
      </c>
      <c r="O586" s="7" t="str">
        <f>HYPERLINK("https://ictv.global/id/ICTV19951334","ICTV19951334@prod")</f>
        <v>ICTV19951334@prod</v>
      </c>
    </row>
    <row r="587" spans="1:15" x14ac:dyDescent="0.2">
      <c r="A587">
        <v>17</v>
      </c>
      <c r="B587">
        <v>19980450</v>
      </c>
      <c r="C587">
        <v>19951335</v>
      </c>
      <c r="D587" t="s">
        <v>29</v>
      </c>
      <c r="E587" t="s">
        <v>1471</v>
      </c>
      <c r="G587" t="s">
        <v>1165</v>
      </c>
      <c r="L587" s="7" t="str">
        <f>HYPERLINK("https://test.ictv.global/id/TN19980450","TN19980450@TEST")</f>
        <v>TN19980450@TEST</v>
      </c>
      <c r="M587" s="7" t="str">
        <f>HYPERLINK("https://test.ictv.global/id/ICTV19951335","ICTV19951335@TEST")</f>
        <v>ICTV19951335@TEST</v>
      </c>
      <c r="N587" s="7" t="str">
        <f>HYPERLINK("https://ictv.global/id/TN19980450","TN19980450@prod")</f>
        <v>TN19980450@prod</v>
      </c>
      <c r="O587" s="7" t="str">
        <f>HYPERLINK("https://ictv.global/id/ICTV19951335","ICTV19951335@prod")</f>
        <v>ICTV19951335@prod</v>
      </c>
    </row>
    <row r="588" spans="1:15" x14ac:dyDescent="0.2">
      <c r="A588">
        <v>17</v>
      </c>
      <c r="B588">
        <v>19980451</v>
      </c>
      <c r="C588">
        <v>19951336</v>
      </c>
      <c r="D588" t="s">
        <v>29</v>
      </c>
      <c r="E588" t="s">
        <v>1472</v>
      </c>
      <c r="G588" t="s">
        <v>1165</v>
      </c>
      <c r="L588" s="7" t="str">
        <f>HYPERLINK("https://test.ictv.global/id/TN19980451","TN19980451@TEST")</f>
        <v>TN19980451@TEST</v>
      </c>
      <c r="M588" s="7" t="str">
        <f>HYPERLINK("https://test.ictv.global/id/ICTV19951336","ICTV19951336@TEST")</f>
        <v>ICTV19951336@TEST</v>
      </c>
      <c r="N588" s="7" t="str">
        <f>HYPERLINK("https://ictv.global/id/TN19980451","TN19980451@prod")</f>
        <v>TN19980451@prod</v>
      </c>
      <c r="O588" s="7" t="str">
        <f>HYPERLINK("https://ictv.global/id/ICTV19951336","ICTV19951336@prod")</f>
        <v>ICTV19951336@prod</v>
      </c>
    </row>
    <row r="589" spans="1:15" x14ac:dyDescent="0.2">
      <c r="A589">
        <v>17</v>
      </c>
      <c r="B589">
        <v>19980452</v>
      </c>
      <c r="C589">
        <v>19951340</v>
      </c>
      <c r="D589" t="s">
        <v>29</v>
      </c>
      <c r="E589" t="s">
        <v>1473</v>
      </c>
      <c r="G589" t="s">
        <v>1165</v>
      </c>
      <c r="L589" s="7" t="str">
        <f>HYPERLINK("https://test.ictv.global/id/TN19980452","TN19980452@TEST")</f>
        <v>TN19980452@TEST</v>
      </c>
      <c r="M589" s="7" t="str">
        <f>HYPERLINK("https://test.ictv.global/id/ICTV19951340","ICTV19951340@TEST")</f>
        <v>ICTV19951340@TEST</v>
      </c>
      <c r="N589" s="7" t="str">
        <f>HYPERLINK("https://ictv.global/id/TN19980452","TN19980452@prod")</f>
        <v>TN19980452@prod</v>
      </c>
      <c r="O589" s="7" t="str">
        <f>HYPERLINK("https://ictv.global/id/ICTV19951340","ICTV19951340@prod")</f>
        <v>ICTV19951340@prod</v>
      </c>
    </row>
    <row r="590" spans="1:15" x14ac:dyDescent="0.2">
      <c r="A590">
        <v>17</v>
      </c>
      <c r="B590">
        <v>19980453</v>
      </c>
      <c r="C590">
        <v>19951341</v>
      </c>
      <c r="D590" t="s">
        <v>29</v>
      </c>
      <c r="E590" t="s">
        <v>1474</v>
      </c>
      <c r="G590" t="s">
        <v>1165</v>
      </c>
      <c r="L590" s="7" t="str">
        <f>HYPERLINK("https://test.ictv.global/id/TN19980453","TN19980453@TEST")</f>
        <v>TN19980453@TEST</v>
      </c>
      <c r="M590" s="7" t="str">
        <f>HYPERLINK("https://test.ictv.global/id/ICTV19951341","ICTV19951341@TEST")</f>
        <v>ICTV19951341@TEST</v>
      </c>
      <c r="N590" s="7" t="str">
        <f>HYPERLINK("https://ictv.global/id/TN19980453","TN19980453@prod")</f>
        <v>TN19980453@prod</v>
      </c>
      <c r="O590" s="7" t="str">
        <f>HYPERLINK("https://ictv.global/id/ICTV19951341","ICTV19951341@prod")</f>
        <v>ICTV19951341@prod</v>
      </c>
    </row>
    <row r="591" spans="1:15" x14ac:dyDescent="0.2">
      <c r="A591">
        <v>17</v>
      </c>
      <c r="B591">
        <v>19980454</v>
      </c>
      <c r="C591">
        <v>19951342</v>
      </c>
      <c r="D591" t="s">
        <v>29</v>
      </c>
      <c r="E591" t="s">
        <v>1475</v>
      </c>
      <c r="G591" t="s">
        <v>1165</v>
      </c>
      <c r="L591" s="7" t="str">
        <f>HYPERLINK("https://test.ictv.global/id/TN19980454","TN19980454@TEST")</f>
        <v>TN19980454@TEST</v>
      </c>
      <c r="M591" s="7" t="str">
        <f>HYPERLINK("https://test.ictv.global/id/ICTV19951342","ICTV19951342@TEST")</f>
        <v>ICTV19951342@TEST</v>
      </c>
      <c r="N591" s="7" t="str">
        <f>HYPERLINK("https://ictv.global/id/TN19980454","TN19980454@prod")</f>
        <v>TN19980454@prod</v>
      </c>
      <c r="O591" s="7" t="str">
        <f>HYPERLINK("https://ictv.global/id/ICTV19951342","ICTV19951342@prod")</f>
        <v>ICTV19951342@prod</v>
      </c>
    </row>
    <row r="592" spans="1:15" x14ac:dyDescent="0.2">
      <c r="A592">
        <v>17</v>
      </c>
      <c r="B592">
        <v>19980455</v>
      </c>
      <c r="C592">
        <v>19951343</v>
      </c>
      <c r="D592" t="s">
        <v>29</v>
      </c>
      <c r="E592" t="s">
        <v>1476</v>
      </c>
      <c r="G592" t="s">
        <v>1165</v>
      </c>
      <c r="L592" s="7" t="str">
        <f>HYPERLINK("https://test.ictv.global/id/TN19980455","TN19980455@TEST")</f>
        <v>TN19980455@TEST</v>
      </c>
      <c r="M592" s="7" t="str">
        <f>HYPERLINK("https://test.ictv.global/id/ICTV19951343","ICTV19951343@TEST")</f>
        <v>ICTV19951343@TEST</v>
      </c>
      <c r="N592" s="7" t="str">
        <f>HYPERLINK("https://ictv.global/id/TN19980455","TN19980455@prod")</f>
        <v>TN19980455@prod</v>
      </c>
      <c r="O592" s="7" t="str">
        <f>HYPERLINK("https://ictv.global/id/ICTV19951343","ICTV19951343@prod")</f>
        <v>ICTV19951343@prod</v>
      </c>
    </row>
    <row r="593" spans="1:15" x14ac:dyDescent="0.2">
      <c r="A593">
        <v>17</v>
      </c>
      <c r="B593">
        <v>19980456</v>
      </c>
      <c r="C593">
        <v>19951344</v>
      </c>
      <c r="D593" t="s">
        <v>29</v>
      </c>
      <c r="E593" t="s">
        <v>1477</v>
      </c>
      <c r="G593" t="s">
        <v>1165</v>
      </c>
      <c r="L593" s="7" t="str">
        <f>HYPERLINK("https://test.ictv.global/id/TN19980456","TN19980456@TEST")</f>
        <v>TN19980456@TEST</v>
      </c>
      <c r="M593" s="7" t="str">
        <f>HYPERLINK("https://test.ictv.global/id/ICTV19951344","ICTV19951344@TEST")</f>
        <v>ICTV19951344@TEST</v>
      </c>
      <c r="N593" s="7" t="str">
        <f>HYPERLINK("https://ictv.global/id/TN19980456","TN19980456@prod")</f>
        <v>TN19980456@prod</v>
      </c>
      <c r="O593" s="7" t="str">
        <f>HYPERLINK("https://ictv.global/id/ICTV19951344","ICTV19951344@prod")</f>
        <v>ICTV19951344@prod</v>
      </c>
    </row>
    <row r="594" spans="1:15" x14ac:dyDescent="0.2">
      <c r="A594">
        <v>17</v>
      </c>
      <c r="B594">
        <v>19980457</v>
      </c>
      <c r="C594">
        <v>19951345</v>
      </c>
      <c r="D594" t="s">
        <v>29</v>
      </c>
      <c r="E594" t="s">
        <v>1478</v>
      </c>
      <c r="G594" t="s">
        <v>1165</v>
      </c>
      <c r="L594" s="7" t="str">
        <f>HYPERLINK("https://test.ictv.global/id/TN19980457","TN19980457@TEST")</f>
        <v>TN19980457@TEST</v>
      </c>
      <c r="M594" s="7" t="str">
        <f>HYPERLINK("https://test.ictv.global/id/ICTV19951345","ICTV19951345@TEST")</f>
        <v>ICTV19951345@TEST</v>
      </c>
      <c r="N594" s="7" t="str">
        <f>HYPERLINK("https://ictv.global/id/TN19980457","TN19980457@prod")</f>
        <v>TN19980457@prod</v>
      </c>
      <c r="O594" s="7" t="str">
        <f>HYPERLINK("https://ictv.global/id/ICTV19951345","ICTV19951345@prod")</f>
        <v>ICTV19951345@prod</v>
      </c>
    </row>
    <row r="595" spans="1:15" x14ac:dyDescent="0.2">
      <c r="A595">
        <v>17</v>
      </c>
      <c r="B595">
        <v>19980458</v>
      </c>
      <c r="C595">
        <v>19951346</v>
      </c>
      <c r="D595" t="s">
        <v>29</v>
      </c>
      <c r="E595" t="s">
        <v>1479</v>
      </c>
      <c r="G595" t="s">
        <v>1165</v>
      </c>
      <c r="L595" s="7" t="str">
        <f>HYPERLINK("https://test.ictv.global/id/TN19980458","TN19980458@TEST")</f>
        <v>TN19980458@TEST</v>
      </c>
      <c r="M595" s="7" t="str">
        <f>HYPERLINK("https://test.ictv.global/id/ICTV19951346","ICTV19951346@TEST")</f>
        <v>ICTV19951346@TEST</v>
      </c>
      <c r="N595" s="7" t="str">
        <f>HYPERLINK("https://ictv.global/id/TN19980458","TN19980458@prod")</f>
        <v>TN19980458@prod</v>
      </c>
      <c r="O595" s="7" t="str">
        <f>HYPERLINK("https://ictv.global/id/ICTV19951346","ICTV19951346@prod")</f>
        <v>ICTV19951346@prod</v>
      </c>
    </row>
    <row r="596" spans="1:15" x14ac:dyDescent="0.2">
      <c r="A596">
        <v>17</v>
      </c>
      <c r="B596">
        <v>19980459</v>
      </c>
      <c r="C596">
        <v>19961392</v>
      </c>
      <c r="D596" t="s">
        <v>29</v>
      </c>
      <c r="E596" t="s">
        <v>1480</v>
      </c>
      <c r="G596" t="s">
        <v>1165</v>
      </c>
      <c r="L596" s="7" t="str">
        <f>HYPERLINK("https://test.ictv.global/id/TN19980459","TN19980459@TEST")</f>
        <v>TN19980459@TEST</v>
      </c>
      <c r="M596" s="7" t="str">
        <f>HYPERLINK("https://test.ictv.global/id/ICTV19961392","ICTV19961392@TEST")</f>
        <v>ICTV19961392@TEST</v>
      </c>
      <c r="N596" s="7" t="str">
        <f>HYPERLINK("https://ictv.global/id/TN19980459","TN19980459@prod")</f>
        <v>TN19980459@prod</v>
      </c>
      <c r="O596" s="7" t="str">
        <f>HYPERLINK("https://ictv.global/id/ICTV19961392","ICTV19961392@prod")</f>
        <v>ICTV19961392@prod</v>
      </c>
    </row>
    <row r="597" spans="1:15" x14ac:dyDescent="0.2">
      <c r="A597">
        <v>17</v>
      </c>
      <c r="B597">
        <v>19980460</v>
      </c>
      <c r="C597">
        <v>19951347</v>
      </c>
      <c r="D597" t="s">
        <v>29</v>
      </c>
      <c r="E597" t="s">
        <v>1481</v>
      </c>
      <c r="G597" t="s">
        <v>1165</v>
      </c>
      <c r="L597" s="7" t="str">
        <f>HYPERLINK("https://test.ictv.global/id/TN19980460","TN19980460@TEST")</f>
        <v>TN19980460@TEST</v>
      </c>
      <c r="M597" s="7" t="str">
        <f>HYPERLINK("https://test.ictv.global/id/ICTV19951347","ICTV19951347@TEST")</f>
        <v>ICTV19951347@TEST</v>
      </c>
      <c r="N597" s="7" t="str">
        <f>HYPERLINK("https://ictv.global/id/TN19980460","TN19980460@prod")</f>
        <v>TN19980460@prod</v>
      </c>
      <c r="O597" s="7" t="str">
        <f>HYPERLINK("https://ictv.global/id/ICTV19951347","ICTV19951347@prod")</f>
        <v>ICTV19951347@prod</v>
      </c>
    </row>
    <row r="598" spans="1:15" x14ac:dyDescent="0.2">
      <c r="A598">
        <v>17</v>
      </c>
      <c r="B598">
        <v>19980461</v>
      </c>
      <c r="C598">
        <v>19951348</v>
      </c>
      <c r="D598" t="s">
        <v>29</v>
      </c>
      <c r="E598" t="s">
        <v>1482</v>
      </c>
      <c r="G598" t="s">
        <v>1165</v>
      </c>
      <c r="L598" s="7" t="str">
        <f>HYPERLINK("https://test.ictv.global/id/TN19980461","TN19980461@TEST")</f>
        <v>TN19980461@TEST</v>
      </c>
      <c r="M598" s="7" t="str">
        <f>HYPERLINK("https://test.ictv.global/id/ICTV19951348","ICTV19951348@TEST")</f>
        <v>ICTV19951348@TEST</v>
      </c>
      <c r="N598" s="7" t="str">
        <f>HYPERLINK("https://ictv.global/id/TN19980461","TN19980461@prod")</f>
        <v>TN19980461@prod</v>
      </c>
      <c r="O598" s="7" t="str">
        <f>HYPERLINK("https://ictv.global/id/ICTV19951348","ICTV19951348@prod")</f>
        <v>ICTV19951348@prod</v>
      </c>
    </row>
    <row r="599" spans="1:15" x14ac:dyDescent="0.2">
      <c r="A599">
        <v>17</v>
      </c>
      <c r="B599">
        <v>19980462</v>
      </c>
      <c r="C599">
        <v>19951349</v>
      </c>
      <c r="D599" t="s">
        <v>29</v>
      </c>
      <c r="E599" t="s">
        <v>1483</v>
      </c>
      <c r="G599" t="s">
        <v>1165</v>
      </c>
      <c r="L599" s="7" t="str">
        <f>HYPERLINK("https://test.ictv.global/id/TN19980462","TN19980462@TEST")</f>
        <v>TN19980462@TEST</v>
      </c>
      <c r="M599" s="7" t="str">
        <f>HYPERLINK("https://test.ictv.global/id/ICTV19951349","ICTV19951349@TEST")</f>
        <v>ICTV19951349@TEST</v>
      </c>
      <c r="N599" s="7" t="str">
        <f>HYPERLINK("https://ictv.global/id/TN19980462","TN19980462@prod")</f>
        <v>TN19980462@prod</v>
      </c>
      <c r="O599" s="7" t="str">
        <f>HYPERLINK("https://ictv.global/id/ICTV19951349","ICTV19951349@prod")</f>
        <v>ICTV19951349@prod</v>
      </c>
    </row>
    <row r="600" spans="1:15" x14ac:dyDescent="0.2">
      <c r="A600">
        <v>17</v>
      </c>
      <c r="B600">
        <v>19980463</v>
      </c>
      <c r="C600">
        <v>19951350</v>
      </c>
      <c r="D600" t="s">
        <v>29</v>
      </c>
      <c r="E600" t="s">
        <v>1484</v>
      </c>
      <c r="G600" t="s">
        <v>1165</v>
      </c>
      <c r="L600" s="7" t="str">
        <f>HYPERLINK("https://test.ictv.global/id/TN19980463","TN19980463@TEST")</f>
        <v>TN19980463@TEST</v>
      </c>
      <c r="M600" s="7" t="str">
        <f>HYPERLINK("https://test.ictv.global/id/ICTV19951350","ICTV19951350@TEST")</f>
        <v>ICTV19951350@TEST</v>
      </c>
      <c r="N600" s="7" t="str">
        <f>HYPERLINK("https://ictv.global/id/TN19980463","TN19980463@prod")</f>
        <v>TN19980463@prod</v>
      </c>
      <c r="O600" s="7" t="str">
        <f>HYPERLINK("https://ictv.global/id/ICTV19951350","ICTV19951350@prod")</f>
        <v>ICTV19951350@prod</v>
      </c>
    </row>
    <row r="601" spans="1:15" x14ac:dyDescent="0.2">
      <c r="A601">
        <v>17</v>
      </c>
      <c r="B601">
        <v>19980464</v>
      </c>
      <c r="C601">
        <v>19951351</v>
      </c>
      <c r="D601" t="s">
        <v>29</v>
      </c>
      <c r="E601" t="s">
        <v>1485</v>
      </c>
      <c r="G601" t="s">
        <v>1165</v>
      </c>
      <c r="L601" s="7" t="str">
        <f>HYPERLINK("https://test.ictv.global/id/TN19980464","TN19980464@TEST")</f>
        <v>TN19980464@TEST</v>
      </c>
      <c r="M601" s="7" t="str">
        <f>HYPERLINK("https://test.ictv.global/id/ICTV19951351","ICTV19951351@TEST")</f>
        <v>ICTV19951351@TEST</v>
      </c>
      <c r="N601" s="7" t="str">
        <f>HYPERLINK("https://ictv.global/id/TN19980464","TN19980464@prod")</f>
        <v>TN19980464@prod</v>
      </c>
      <c r="O601" s="7" t="str">
        <f>HYPERLINK("https://ictv.global/id/ICTV19951351","ICTV19951351@prod")</f>
        <v>ICTV19951351@prod</v>
      </c>
    </row>
    <row r="602" spans="1:15" x14ac:dyDescent="0.2">
      <c r="A602">
        <v>17</v>
      </c>
      <c r="B602">
        <v>19980465</v>
      </c>
      <c r="C602">
        <v>19951352</v>
      </c>
      <c r="D602" t="s">
        <v>29</v>
      </c>
      <c r="E602" t="s">
        <v>1486</v>
      </c>
      <c r="G602" t="s">
        <v>1165</v>
      </c>
      <c r="L602" s="7" t="str">
        <f>HYPERLINK("https://test.ictv.global/id/TN19980465","TN19980465@TEST")</f>
        <v>TN19980465@TEST</v>
      </c>
      <c r="M602" s="7" t="str">
        <f>HYPERLINK("https://test.ictv.global/id/ICTV19951352","ICTV19951352@TEST")</f>
        <v>ICTV19951352@TEST</v>
      </c>
      <c r="N602" s="7" t="str">
        <f>HYPERLINK("https://ictv.global/id/TN19980465","TN19980465@prod")</f>
        <v>TN19980465@prod</v>
      </c>
      <c r="O602" s="7" t="str">
        <f>HYPERLINK("https://ictv.global/id/ICTV19951352","ICTV19951352@prod")</f>
        <v>ICTV19951352@prod</v>
      </c>
    </row>
    <row r="603" spans="1:15" x14ac:dyDescent="0.2">
      <c r="A603">
        <v>17</v>
      </c>
      <c r="B603">
        <v>19980466</v>
      </c>
      <c r="C603">
        <v>19951353</v>
      </c>
      <c r="D603" t="s">
        <v>29</v>
      </c>
      <c r="E603" t="s">
        <v>1487</v>
      </c>
      <c r="G603" t="s">
        <v>1165</v>
      </c>
      <c r="L603" s="7" t="str">
        <f>HYPERLINK("https://test.ictv.global/id/TN19980466","TN19980466@TEST")</f>
        <v>TN19980466@TEST</v>
      </c>
      <c r="M603" s="7" t="str">
        <f>HYPERLINK("https://test.ictv.global/id/ICTV19951353","ICTV19951353@TEST")</f>
        <v>ICTV19951353@TEST</v>
      </c>
      <c r="N603" s="7" t="str">
        <f>HYPERLINK("https://ictv.global/id/TN19980466","TN19980466@prod")</f>
        <v>TN19980466@prod</v>
      </c>
      <c r="O603" s="7" t="str">
        <f>HYPERLINK("https://ictv.global/id/ICTV19951353","ICTV19951353@prod")</f>
        <v>ICTV19951353@prod</v>
      </c>
    </row>
    <row r="604" spans="1:15" x14ac:dyDescent="0.2">
      <c r="A604">
        <v>17</v>
      </c>
      <c r="B604">
        <v>19980467</v>
      </c>
      <c r="C604">
        <v>19951354</v>
      </c>
      <c r="D604" t="s">
        <v>29</v>
      </c>
      <c r="E604" t="s">
        <v>1488</v>
      </c>
      <c r="G604" t="s">
        <v>1165</v>
      </c>
      <c r="L604" s="7" t="str">
        <f>HYPERLINK("https://test.ictv.global/id/TN19980467","TN19980467@TEST")</f>
        <v>TN19980467@TEST</v>
      </c>
      <c r="M604" s="7" t="str">
        <f>HYPERLINK("https://test.ictv.global/id/ICTV19951354","ICTV19951354@TEST")</f>
        <v>ICTV19951354@TEST</v>
      </c>
      <c r="N604" s="7" t="str">
        <f>HYPERLINK("https://ictv.global/id/TN19980467","TN19980467@prod")</f>
        <v>TN19980467@prod</v>
      </c>
      <c r="O604" s="7" t="str">
        <f>HYPERLINK("https://ictv.global/id/ICTV19951354","ICTV19951354@prod")</f>
        <v>ICTV19951354@prod</v>
      </c>
    </row>
    <row r="605" spans="1:15" x14ac:dyDescent="0.2">
      <c r="A605">
        <v>17</v>
      </c>
      <c r="B605">
        <v>19980468</v>
      </c>
      <c r="C605">
        <v>19951355</v>
      </c>
      <c r="D605" t="s">
        <v>29</v>
      </c>
      <c r="E605" t="s">
        <v>1489</v>
      </c>
      <c r="G605" t="s">
        <v>1165</v>
      </c>
      <c r="L605" s="7" t="str">
        <f>HYPERLINK("https://test.ictv.global/id/TN19980468","TN19980468@TEST")</f>
        <v>TN19980468@TEST</v>
      </c>
      <c r="M605" s="7" t="str">
        <f>HYPERLINK("https://test.ictv.global/id/ICTV19951355","ICTV19951355@TEST")</f>
        <v>ICTV19951355@TEST</v>
      </c>
      <c r="N605" s="7" t="str">
        <f>HYPERLINK("https://ictv.global/id/TN19980468","TN19980468@prod")</f>
        <v>TN19980468@prod</v>
      </c>
      <c r="O605" s="7" t="str">
        <f>HYPERLINK("https://ictv.global/id/ICTV19951355","ICTV19951355@prod")</f>
        <v>ICTV19951355@prod</v>
      </c>
    </row>
    <row r="606" spans="1:15" x14ac:dyDescent="0.2">
      <c r="A606">
        <v>17</v>
      </c>
      <c r="B606">
        <v>19980469</v>
      </c>
      <c r="C606">
        <v>19951356</v>
      </c>
      <c r="D606" t="s">
        <v>29</v>
      </c>
      <c r="E606" t="s">
        <v>1490</v>
      </c>
      <c r="G606" t="s">
        <v>1165</v>
      </c>
      <c r="L606" s="7" t="str">
        <f>HYPERLINK("https://test.ictv.global/id/TN19980469","TN19980469@TEST")</f>
        <v>TN19980469@TEST</v>
      </c>
      <c r="M606" s="7" t="str">
        <f>HYPERLINK("https://test.ictv.global/id/ICTV19951356","ICTV19951356@TEST")</f>
        <v>ICTV19951356@TEST</v>
      </c>
      <c r="N606" s="7" t="str">
        <f>HYPERLINK("https://ictv.global/id/TN19980469","TN19980469@prod")</f>
        <v>TN19980469@prod</v>
      </c>
      <c r="O606" s="7" t="str">
        <f>HYPERLINK("https://ictv.global/id/ICTV19951356","ICTV19951356@prod")</f>
        <v>ICTV19951356@prod</v>
      </c>
    </row>
    <row r="607" spans="1:15" x14ac:dyDescent="0.2">
      <c r="A607">
        <v>17</v>
      </c>
      <c r="B607">
        <v>19980470</v>
      </c>
      <c r="C607">
        <v>19951357</v>
      </c>
      <c r="D607" t="s">
        <v>29</v>
      </c>
      <c r="E607" t="s">
        <v>1491</v>
      </c>
      <c r="G607" t="s">
        <v>1165</v>
      </c>
      <c r="L607" s="7" t="str">
        <f>HYPERLINK("https://test.ictv.global/id/TN19980470","TN19980470@TEST")</f>
        <v>TN19980470@TEST</v>
      </c>
      <c r="M607" s="7" t="str">
        <f>HYPERLINK("https://test.ictv.global/id/ICTV19951357","ICTV19951357@TEST")</f>
        <v>ICTV19951357@TEST</v>
      </c>
      <c r="N607" s="7" t="str">
        <f>HYPERLINK("https://ictv.global/id/TN19980470","TN19980470@prod")</f>
        <v>TN19980470@prod</v>
      </c>
      <c r="O607" s="7" t="str">
        <f>HYPERLINK("https://ictv.global/id/ICTV19951357","ICTV19951357@prod")</f>
        <v>ICTV19951357@prod</v>
      </c>
    </row>
    <row r="608" spans="1:15" x14ac:dyDescent="0.2">
      <c r="A608">
        <v>17</v>
      </c>
      <c r="B608">
        <v>19980471</v>
      </c>
      <c r="C608">
        <v>19951358</v>
      </c>
      <c r="D608" t="s">
        <v>29</v>
      </c>
      <c r="E608" t="s">
        <v>1492</v>
      </c>
      <c r="G608" t="s">
        <v>1165</v>
      </c>
      <c r="L608" s="7" t="str">
        <f>HYPERLINK("https://test.ictv.global/id/TN19980471","TN19980471@TEST")</f>
        <v>TN19980471@TEST</v>
      </c>
      <c r="M608" s="7" t="str">
        <f>HYPERLINK("https://test.ictv.global/id/ICTV19951358","ICTV19951358@TEST")</f>
        <v>ICTV19951358@TEST</v>
      </c>
      <c r="N608" s="7" t="str">
        <f>HYPERLINK("https://ictv.global/id/TN19980471","TN19980471@prod")</f>
        <v>TN19980471@prod</v>
      </c>
      <c r="O608" s="7" t="str">
        <f>HYPERLINK("https://ictv.global/id/ICTV19951358","ICTV19951358@prod")</f>
        <v>ICTV19951358@prod</v>
      </c>
    </row>
    <row r="609" spans="1:15" x14ac:dyDescent="0.2">
      <c r="A609">
        <v>17</v>
      </c>
      <c r="B609">
        <v>19980472</v>
      </c>
      <c r="C609">
        <v>19951359</v>
      </c>
      <c r="D609" t="s">
        <v>29</v>
      </c>
      <c r="E609" t="s">
        <v>1493</v>
      </c>
      <c r="G609" t="s">
        <v>1165</v>
      </c>
      <c r="L609" s="7" t="str">
        <f>HYPERLINK("https://test.ictv.global/id/TN19980472","TN19980472@TEST")</f>
        <v>TN19980472@TEST</v>
      </c>
      <c r="M609" s="7" t="str">
        <f>HYPERLINK("https://test.ictv.global/id/ICTV19951359","ICTV19951359@TEST")</f>
        <v>ICTV19951359@TEST</v>
      </c>
      <c r="N609" s="7" t="str">
        <f>HYPERLINK("https://ictv.global/id/TN19980472","TN19980472@prod")</f>
        <v>TN19980472@prod</v>
      </c>
      <c r="O609" s="7" t="str">
        <f>HYPERLINK("https://ictv.global/id/ICTV19951359","ICTV19951359@prod")</f>
        <v>ICTV19951359@prod</v>
      </c>
    </row>
    <row r="610" spans="1:15" x14ac:dyDescent="0.2">
      <c r="A610">
        <v>17</v>
      </c>
      <c r="B610">
        <v>19980473</v>
      </c>
      <c r="C610">
        <v>19951360</v>
      </c>
      <c r="D610" t="s">
        <v>29</v>
      </c>
      <c r="E610" t="s">
        <v>1494</v>
      </c>
      <c r="G610" t="s">
        <v>1165</v>
      </c>
      <c r="L610" s="7" t="str">
        <f>HYPERLINK("https://test.ictv.global/id/TN19980473","TN19980473@TEST")</f>
        <v>TN19980473@TEST</v>
      </c>
      <c r="M610" s="7" t="str">
        <f>HYPERLINK("https://test.ictv.global/id/ICTV19951360","ICTV19951360@TEST")</f>
        <v>ICTV19951360@TEST</v>
      </c>
      <c r="N610" s="7" t="str">
        <f>HYPERLINK("https://ictv.global/id/TN19980473","TN19980473@prod")</f>
        <v>TN19980473@prod</v>
      </c>
      <c r="O610" s="7" t="str">
        <f>HYPERLINK("https://ictv.global/id/ICTV19951360","ICTV19951360@prod")</f>
        <v>ICTV19951360@prod</v>
      </c>
    </row>
    <row r="611" spans="1:15" x14ac:dyDescent="0.2">
      <c r="A611">
        <v>17</v>
      </c>
      <c r="B611">
        <v>19980474</v>
      </c>
      <c r="C611">
        <v>19951361</v>
      </c>
      <c r="D611" t="s">
        <v>29</v>
      </c>
      <c r="E611" t="s">
        <v>1495</v>
      </c>
      <c r="G611" t="s">
        <v>1165</v>
      </c>
      <c r="L611" s="7" t="str">
        <f>HYPERLINK("https://test.ictv.global/id/TN19980474","TN19980474@TEST")</f>
        <v>TN19980474@TEST</v>
      </c>
      <c r="M611" s="7" t="str">
        <f>HYPERLINK("https://test.ictv.global/id/ICTV19951361","ICTV19951361@TEST")</f>
        <v>ICTV19951361@TEST</v>
      </c>
      <c r="N611" s="7" t="str">
        <f>HYPERLINK("https://ictv.global/id/TN19980474","TN19980474@prod")</f>
        <v>TN19980474@prod</v>
      </c>
      <c r="O611" s="7" t="str">
        <f>HYPERLINK("https://ictv.global/id/ICTV19951361","ICTV19951361@prod")</f>
        <v>ICTV19951361@prod</v>
      </c>
    </row>
    <row r="612" spans="1:15" x14ac:dyDescent="0.2">
      <c r="A612">
        <v>17</v>
      </c>
      <c r="B612">
        <v>19980475</v>
      </c>
      <c r="C612">
        <v>19951362</v>
      </c>
      <c r="D612" t="s">
        <v>29</v>
      </c>
      <c r="E612" t="s">
        <v>1496</v>
      </c>
      <c r="G612" t="s">
        <v>1165</v>
      </c>
      <c r="L612" s="7" t="str">
        <f>HYPERLINK("https://test.ictv.global/id/TN19980475","TN19980475@TEST")</f>
        <v>TN19980475@TEST</v>
      </c>
      <c r="M612" s="7" t="str">
        <f>HYPERLINK("https://test.ictv.global/id/ICTV19951362","ICTV19951362@TEST")</f>
        <v>ICTV19951362@TEST</v>
      </c>
      <c r="N612" s="7" t="str">
        <f>HYPERLINK("https://ictv.global/id/TN19980475","TN19980475@prod")</f>
        <v>TN19980475@prod</v>
      </c>
      <c r="O612" s="7" t="str">
        <f>HYPERLINK("https://ictv.global/id/ICTV19951362","ICTV19951362@prod")</f>
        <v>ICTV19951362@prod</v>
      </c>
    </row>
    <row r="613" spans="1:15" x14ac:dyDescent="0.2">
      <c r="A613">
        <v>17</v>
      </c>
      <c r="B613">
        <v>19980476</v>
      </c>
      <c r="C613">
        <v>19951363</v>
      </c>
      <c r="D613" t="s">
        <v>29</v>
      </c>
      <c r="E613" t="s">
        <v>1497</v>
      </c>
      <c r="G613" t="s">
        <v>1165</v>
      </c>
      <c r="L613" s="7" t="str">
        <f>HYPERLINK("https://test.ictv.global/id/TN19980476","TN19980476@TEST")</f>
        <v>TN19980476@TEST</v>
      </c>
      <c r="M613" s="7" t="str">
        <f>HYPERLINK("https://test.ictv.global/id/ICTV19951363","ICTV19951363@TEST")</f>
        <v>ICTV19951363@TEST</v>
      </c>
      <c r="N613" s="7" t="str">
        <f>HYPERLINK("https://ictv.global/id/TN19980476","TN19980476@prod")</f>
        <v>TN19980476@prod</v>
      </c>
      <c r="O613" s="7" t="str">
        <f>HYPERLINK("https://ictv.global/id/ICTV19951363","ICTV19951363@prod")</f>
        <v>ICTV19951363@prod</v>
      </c>
    </row>
    <row r="614" spans="1:15" x14ac:dyDescent="0.2">
      <c r="A614">
        <v>17</v>
      </c>
      <c r="B614">
        <v>19980477</v>
      </c>
      <c r="C614">
        <v>19951364</v>
      </c>
      <c r="D614" t="s">
        <v>29</v>
      </c>
      <c r="E614" t="s">
        <v>1498</v>
      </c>
      <c r="G614" t="s">
        <v>1165</v>
      </c>
      <c r="L614" s="7" t="str">
        <f>HYPERLINK("https://test.ictv.global/id/TN19980477","TN19980477@TEST")</f>
        <v>TN19980477@TEST</v>
      </c>
      <c r="M614" s="7" t="str">
        <f>HYPERLINK("https://test.ictv.global/id/ICTV19951364","ICTV19951364@TEST")</f>
        <v>ICTV19951364@TEST</v>
      </c>
      <c r="N614" s="7" t="str">
        <f>HYPERLINK("https://ictv.global/id/TN19980477","TN19980477@prod")</f>
        <v>TN19980477@prod</v>
      </c>
      <c r="O614" s="7" t="str">
        <f>HYPERLINK("https://ictv.global/id/ICTV19951364","ICTV19951364@prod")</f>
        <v>ICTV19951364@prod</v>
      </c>
    </row>
    <row r="615" spans="1:15" x14ac:dyDescent="0.2">
      <c r="A615">
        <v>17</v>
      </c>
      <c r="B615">
        <v>19980478</v>
      </c>
      <c r="C615">
        <v>19951365</v>
      </c>
      <c r="D615" t="s">
        <v>29</v>
      </c>
      <c r="E615" t="s">
        <v>1499</v>
      </c>
      <c r="G615" t="s">
        <v>1165</v>
      </c>
      <c r="L615" s="7" t="str">
        <f>HYPERLINK("https://test.ictv.global/id/TN19980478","TN19980478@TEST")</f>
        <v>TN19980478@TEST</v>
      </c>
      <c r="M615" s="7" t="str">
        <f>HYPERLINK("https://test.ictv.global/id/ICTV19951365","ICTV19951365@TEST")</f>
        <v>ICTV19951365@TEST</v>
      </c>
      <c r="N615" s="7" t="str">
        <f>HYPERLINK("https://ictv.global/id/TN19980478","TN19980478@prod")</f>
        <v>TN19980478@prod</v>
      </c>
      <c r="O615" s="7" t="str">
        <f>HYPERLINK("https://ictv.global/id/ICTV19951365","ICTV19951365@prod")</f>
        <v>ICTV19951365@prod</v>
      </c>
    </row>
    <row r="616" spans="1:15" x14ac:dyDescent="0.2">
      <c r="A616">
        <v>17</v>
      </c>
      <c r="B616">
        <v>19980479</v>
      </c>
      <c r="C616">
        <v>19951366</v>
      </c>
      <c r="D616" t="s">
        <v>29</v>
      </c>
      <c r="E616" t="s">
        <v>1500</v>
      </c>
      <c r="G616" t="s">
        <v>1165</v>
      </c>
      <c r="L616" s="7" t="str">
        <f>HYPERLINK("https://test.ictv.global/id/TN19980479","TN19980479@TEST")</f>
        <v>TN19980479@TEST</v>
      </c>
      <c r="M616" s="7" t="str">
        <f>HYPERLINK("https://test.ictv.global/id/ICTV19951366","ICTV19951366@TEST")</f>
        <v>ICTV19951366@TEST</v>
      </c>
      <c r="N616" s="7" t="str">
        <f>HYPERLINK("https://ictv.global/id/TN19980479","TN19980479@prod")</f>
        <v>TN19980479@prod</v>
      </c>
      <c r="O616" s="7" t="str">
        <f>HYPERLINK("https://ictv.global/id/ICTV19951366","ICTV19951366@prod")</f>
        <v>ICTV19951366@prod</v>
      </c>
    </row>
    <row r="617" spans="1:15" x14ac:dyDescent="0.2">
      <c r="A617">
        <v>17</v>
      </c>
      <c r="B617">
        <v>19980480</v>
      </c>
      <c r="C617">
        <v>19951367</v>
      </c>
      <c r="D617" t="s">
        <v>29</v>
      </c>
      <c r="E617" t="s">
        <v>1501</v>
      </c>
      <c r="G617" t="s">
        <v>1165</v>
      </c>
      <c r="L617" s="7" t="str">
        <f>HYPERLINK("https://test.ictv.global/id/TN19980480","TN19980480@TEST")</f>
        <v>TN19980480@TEST</v>
      </c>
      <c r="M617" s="7" t="str">
        <f>HYPERLINK("https://test.ictv.global/id/ICTV19951367","ICTV19951367@TEST")</f>
        <v>ICTV19951367@TEST</v>
      </c>
      <c r="N617" s="7" t="str">
        <f>HYPERLINK("https://ictv.global/id/TN19980480","TN19980480@prod")</f>
        <v>TN19980480@prod</v>
      </c>
      <c r="O617" s="7" t="str">
        <f>HYPERLINK("https://ictv.global/id/ICTV19951367","ICTV19951367@prod")</f>
        <v>ICTV19951367@prod</v>
      </c>
    </row>
    <row r="618" spans="1:15" x14ac:dyDescent="0.2">
      <c r="A618">
        <v>17</v>
      </c>
      <c r="B618">
        <v>19980481</v>
      </c>
      <c r="C618">
        <v>19951368</v>
      </c>
      <c r="D618" t="s">
        <v>29</v>
      </c>
      <c r="E618" t="s">
        <v>1502</v>
      </c>
      <c r="G618" t="s">
        <v>1165</v>
      </c>
      <c r="L618" s="7" t="str">
        <f>HYPERLINK("https://test.ictv.global/id/TN19980481","TN19980481@TEST")</f>
        <v>TN19980481@TEST</v>
      </c>
      <c r="M618" s="7" t="str">
        <f>HYPERLINK("https://test.ictv.global/id/ICTV19951368","ICTV19951368@TEST")</f>
        <v>ICTV19951368@TEST</v>
      </c>
      <c r="N618" s="7" t="str">
        <f>HYPERLINK("https://ictv.global/id/TN19980481","TN19980481@prod")</f>
        <v>TN19980481@prod</v>
      </c>
      <c r="O618" s="7" t="str">
        <f>HYPERLINK("https://ictv.global/id/ICTV19951368","ICTV19951368@prod")</f>
        <v>ICTV19951368@prod</v>
      </c>
    </row>
    <row r="619" spans="1:15" x14ac:dyDescent="0.2">
      <c r="A619">
        <v>17</v>
      </c>
      <c r="B619">
        <v>19980486</v>
      </c>
      <c r="C619">
        <v>19760810</v>
      </c>
      <c r="D619" t="s">
        <v>29</v>
      </c>
      <c r="E619" t="s">
        <v>367</v>
      </c>
      <c r="G619" t="s">
        <v>33</v>
      </c>
      <c r="H619" t="s">
        <v>368</v>
      </c>
      <c r="I619" t="s">
        <v>29</v>
      </c>
      <c r="J619">
        <v>19990398</v>
      </c>
      <c r="K619">
        <v>19990398</v>
      </c>
      <c r="L619" s="7" t="str">
        <f>HYPERLINK("https://test.ictv.global/id/TN19980486","TN19980486@TEST")</f>
        <v>TN19980486@TEST</v>
      </c>
      <c r="M619" s="7" t="str">
        <f>HYPERLINK("https://test.ictv.global/id/ICTV19760810","ICTV19760810@TEST")</f>
        <v>ICTV19760810@TEST</v>
      </c>
      <c r="N619" s="7" t="str">
        <f>HYPERLINK("https://ictv.global/id/TN19980486","TN19980486@prod")</f>
        <v>TN19980486@prod</v>
      </c>
      <c r="O619" s="7" t="str">
        <f>HYPERLINK("https://ictv.global/id/ICTV19760810","ICTV19760810@prod")</f>
        <v>ICTV19760810@prod</v>
      </c>
    </row>
    <row r="620" spans="1:15" x14ac:dyDescent="0.2">
      <c r="A620">
        <v>17</v>
      </c>
      <c r="B620">
        <v>19980487</v>
      </c>
      <c r="C620">
        <v>19760804</v>
      </c>
      <c r="D620" t="s">
        <v>29</v>
      </c>
      <c r="E620" t="s">
        <v>369</v>
      </c>
      <c r="G620" t="s">
        <v>31</v>
      </c>
      <c r="H620" t="s">
        <v>368</v>
      </c>
      <c r="I620" t="s">
        <v>29</v>
      </c>
      <c r="J620">
        <v>19990398</v>
      </c>
      <c r="K620">
        <v>19990398</v>
      </c>
      <c r="L620" s="7" t="str">
        <f>HYPERLINK("https://test.ictv.global/id/TN19980487","TN19980487@TEST")</f>
        <v>TN19980487@TEST</v>
      </c>
      <c r="M620" s="7" t="str">
        <f>HYPERLINK("https://test.ictv.global/id/ICTV19760804","ICTV19760804@TEST")</f>
        <v>ICTV19760804@TEST</v>
      </c>
      <c r="N620" s="7" t="str">
        <f>HYPERLINK("https://ictv.global/id/TN19980487","TN19980487@prod")</f>
        <v>TN19980487@prod</v>
      </c>
      <c r="O620" s="7" t="str">
        <f>HYPERLINK("https://ictv.global/id/ICTV19760804","ICTV19760804@prod")</f>
        <v>ICTV19760804@prod</v>
      </c>
    </row>
    <row r="621" spans="1:15" x14ac:dyDescent="0.2">
      <c r="A621">
        <v>17</v>
      </c>
      <c r="B621">
        <v>19980488</v>
      </c>
      <c r="C621">
        <v>19760805</v>
      </c>
      <c r="D621" t="s">
        <v>29</v>
      </c>
      <c r="E621" t="s">
        <v>370</v>
      </c>
      <c r="G621" t="s">
        <v>31</v>
      </c>
      <c r="H621" t="s">
        <v>368</v>
      </c>
      <c r="I621" t="s">
        <v>29</v>
      </c>
      <c r="J621">
        <v>19990398</v>
      </c>
      <c r="K621">
        <v>19990398</v>
      </c>
      <c r="L621" s="7" t="str">
        <f>HYPERLINK("https://test.ictv.global/id/TN19980488","TN19980488@TEST")</f>
        <v>TN19980488@TEST</v>
      </c>
      <c r="M621" s="7" t="str">
        <f>HYPERLINK("https://test.ictv.global/id/ICTV19760805","ICTV19760805@TEST")</f>
        <v>ICTV19760805@TEST</v>
      </c>
      <c r="N621" s="7" t="str">
        <f>HYPERLINK("https://ictv.global/id/TN19980488","TN19980488@prod")</f>
        <v>TN19980488@prod</v>
      </c>
      <c r="O621" s="7" t="str">
        <f>HYPERLINK("https://ictv.global/id/ICTV19760805","ICTV19760805@prod")</f>
        <v>ICTV19760805@prod</v>
      </c>
    </row>
    <row r="622" spans="1:15" x14ac:dyDescent="0.2">
      <c r="A622">
        <v>17</v>
      </c>
      <c r="B622">
        <v>19980489</v>
      </c>
      <c r="C622">
        <v>19760806</v>
      </c>
      <c r="D622" t="s">
        <v>29</v>
      </c>
      <c r="E622" t="s">
        <v>371</v>
      </c>
      <c r="G622" t="s">
        <v>31</v>
      </c>
      <c r="H622" t="s">
        <v>368</v>
      </c>
      <c r="I622" t="s">
        <v>29</v>
      </c>
      <c r="J622">
        <v>19990398</v>
      </c>
      <c r="K622">
        <v>19990398</v>
      </c>
      <c r="L622" s="7" t="str">
        <f>HYPERLINK("https://test.ictv.global/id/TN19980489","TN19980489@TEST")</f>
        <v>TN19980489@TEST</v>
      </c>
      <c r="M622" s="7" t="str">
        <f>HYPERLINK("https://test.ictv.global/id/ICTV19760806","ICTV19760806@TEST")</f>
        <v>ICTV19760806@TEST</v>
      </c>
      <c r="N622" s="7" t="str">
        <f>HYPERLINK("https://ictv.global/id/TN19980489","TN19980489@prod")</f>
        <v>TN19980489@prod</v>
      </c>
      <c r="O622" s="7" t="str">
        <f>HYPERLINK("https://ictv.global/id/ICTV19760806","ICTV19760806@prod")</f>
        <v>ICTV19760806@prod</v>
      </c>
    </row>
    <row r="623" spans="1:15" x14ac:dyDescent="0.2">
      <c r="A623">
        <v>17</v>
      </c>
      <c r="B623">
        <v>19980490</v>
      </c>
      <c r="C623">
        <v>19760807</v>
      </c>
      <c r="D623" t="s">
        <v>29</v>
      </c>
      <c r="E623" t="s">
        <v>1503</v>
      </c>
      <c r="G623" t="s">
        <v>1165</v>
      </c>
      <c r="L623" s="7" t="str">
        <f>HYPERLINK("https://test.ictv.global/id/TN19980490","TN19980490@TEST")</f>
        <v>TN19980490@TEST</v>
      </c>
      <c r="M623" s="7" t="str">
        <f>HYPERLINK("https://test.ictv.global/id/ICTV19760807","ICTV19760807@TEST")</f>
        <v>ICTV19760807@TEST</v>
      </c>
      <c r="N623" s="7" t="str">
        <f>HYPERLINK("https://ictv.global/id/TN19980490","TN19980490@prod")</f>
        <v>TN19980490@prod</v>
      </c>
      <c r="O623" s="7" t="str">
        <f>HYPERLINK("https://ictv.global/id/ICTV19760807","ICTV19760807@prod")</f>
        <v>ICTV19760807@prod</v>
      </c>
    </row>
    <row r="624" spans="1:15" x14ac:dyDescent="0.2">
      <c r="A624">
        <v>17</v>
      </c>
      <c r="B624">
        <v>19980491</v>
      </c>
      <c r="C624">
        <v>19760808</v>
      </c>
      <c r="D624" t="s">
        <v>29</v>
      </c>
      <c r="E624" t="s">
        <v>1504</v>
      </c>
      <c r="G624" t="s">
        <v>1165</v>
      </c>
      <c r="L624" s="7" t="str">
        <f>HYPERLINK("https://test.ictv.global/id/TN19980491","TN19980491@TEST")</f>
        <v>TN19980491@TEST</v>
      </c>
      <c r="M624" s="7" t="str">
        <f>HYPERLINK("https://test.ictv.global/id/ICTV19760808","ICTV19760808@TEST")</f>
        <v>ICTV19760808@TEST</v>
      </c>
      <c r="N624" s="7" t="str">
        <f>HYPERLINK("https://ictv.global/id/TN19980491","TN19980491@prod")</f>
        <v>TN19980491@prod</v>
      </c>
      <c r="O624" s="7" t="str">
        <f>HYPERLINK("https://ictv.global/id/ICTV19760808","ICTV19760808@prod")</f>
        <v>ICTV19760808@prod</v>
      </c>
    </row>
    <row r="625" spans="1:15" x14ac:dyDescent="0.2">
      <c r="A625">
        <v>17</v>
      </c>
      <c r="B625">
        <v>19980492</v>
      </c>
      <c r="C625">
        <v>19760809</v>
      </c>
      <c r="D625" t="s">
        <v>29</v>
      </c>
      <c r="E625" t="s">
        <v>372</v>
      </c>
      <c r="G625" t="s">
        <v>31</v>
      </c>
      <c r="H625" t="s">
        <v>368</v>
      </c>
      <c r="I625" t="s">
        <v>29</v>
      </c>
      <c r="J625">
        <v>19990398</v>
      </c>
      <c r="K625">
        <v>19990398</v>
      </c>
      <c r="L625" s="7" t="str">
        <f>HYPERLINK("https://test.ictv.global/id/TN19980492","TN19980492@TEST")</f>
        <v>TN19980492@TEST</v>
      </c>
      <c r="M625" s="7" t="str">
        <f>HYPERLINK("https://test.ictv.global/id/ICTV19760809","ICTV19760809@TEST")</f>
        <v>ICTV19760809@TEST</v>
      </c>
      <c r="N625" s="7" t="str">
        <f>HYPERLINK("https://ictv.global/id/TN19980492","TN19980492@prod")</f>
        <v>TN19980492@prod</v>
      </c>
      <c r="O625" s="7" t="str">
        <f>HYPERLINK("https://ictv.global/id/ICTV19760809","ICTV19760809@prod")</f>
        <v>ICTV19760809@prod</v>
      </c>
    </row>
    <row r="626" spans="1:15" x14ac:dyDescent="0.2">
      <c r="A626">
        <v>17</v>
      </c>
      <c r="B626">
        <v>19980493</v>
      </c>
      <c r="C626">
        <v>19760811</v>
      </c>
      <c r="D626" t="s">
        <v>29</v>
      </c>
      <c r="E626" t="s">
        <v>373</v>
      </c>
      <c r="G626" t="s">
        <v>31</v>
      </c>
      <c r="H626" t="s">
        <v>368</v>
      </c>
      <c r="I626" t="s">
        <v>29</v>
      </c>
      <c r="J626">
        <v>19990398</v>
      </c>
      <c r="K626">
        <v>19990398</v>
      </c>
      <c r="L626" s="7" t="str">
        <f>HYPERLINK("https://test.ictv.global/id/TN19980493","TN19980493@TEST")</f>
        <v>TN19980493@TEST</v>
      </c>
      <c r="M626" s="7" t="str">
        <f>HYPERLINK("https://test.ictv.global/id/ICTV19760811","ICTV19760811@TEST")</f>
        <v>ICTV19760811@TEST</v>
      </c>
      <c r="N626" s="7" t="str">
        <f>HYPERLINK("https://ictv.global/id/TN19980493","TN19980493@prod")</f>
        <v>TN19980493@prod</v>
      </c>
      <c r="O626" s="7" t="str">
        <f>HYPERLINK("https://ictv.global/id/ICTV19760811","ICTV19760811@prod")</f>
        <v>ICTV19760811@prod</v>
      </c>
    </row>
    <row r="627" spans="1:15" x14ac:dyDescent="0.2">
      <c r="A627">
        <v>17</v>
      </c>
      <c r="B627">
        <v>19980494</v>
      </c>
      <c r="C627">
        <v>19951757</v>
      </c>
      <c r="D627" t="s">
        <v>29</v>
      </c>
      <c r="E627" t="s">
        <v>1505</v>
      </c>
      <c r="G627" t="s">
        <v>1165</v>
      </c>
      <c r="L627" s="7" t="str">
        <f>HYPERLINK("https://test.ictv.global/id/TN19980494","TN19980494@TEST")</f>
        <v>TN19980494@TEST</v>
      </c>
      <c r="M627" s="7" t="str">
        <f>HYPERLINK("https://test.ictv.global/id/ICTV19951757","ICTV19951757@TEST")</f>
        <v>ICTV19951757@TEST</v>
      </c>
      <c r="N627" s="7" t="str">
        <f>HYPERLINK("https://ictv.global/id/TN19980494","TN19980494@prod")</f>
        <v>TN19980494@prod</v>
      </c>
      <c r="O627" s="7" t="str">
        <f>HYPERLINK("https://ictv.global/id/ICTV19951757","ICTV19951757@prod")</f>
        <v>ICTV19951757@prod</v>
      </c>
    </row>
    <row r="628" spans="1:15" x14ac:dyDescent="0.2">
      <c r="A628">
        <v>17</v>
      </c>
      <c r="B628">
        <v>19980496</v>
      </c>
      <c r="C628">
        <v>19951759</v>
      </c>
      <c r="D628" t="s">
        <v>29</v>
      </c>
      <c r="E628" t="s">
        <v>1506</v>
      </c>
      <c r="G628" t="s">
        <v>1165</v>
      </c>
      <c r="L628" s="7" t="str">
        <f>HYPERLINK("https://test.ictv.global/id/TN19980496","TN19980496@TEST")</f>
        <v>TN19980496@TEST</v>
      </c>
      <c r="M628" s="7" t="str">
        <f>HYPERLINK("https://test.ictv.global/id/ICTV19951759","ICTV19951759@TEST")</f>
        <v>ICTV19951759@TEST</v>
      </c>
      <c r="N628" s="7" t="str">
        <f>HYPERLINK("https://ictv.global/id/TN19980496","TN19980496@prod")</f>
        <v>TN19980496@prod</v>
      </c>
      <c r="O628" s="7" t="str">
        <f>HYPERLINK("https://ictv.global/id/ICTV19951759","ICTV19951759@prod")</f>
        <v>ICTV19951759@prod</v>
      </c>
    </row>
    <row r="629" spans="1:15" x14ac:dyDescent="0.2">
      <c r="A629">
        <v>17</v>
      </c>
      <c r="B629">
        <v>19980497</v>
      </c>
      <c r="C629">
        <v>19951760</v>
      </c>
      <c r="D629" t="s">
        <v>29</v>
      </c>
      <c r="E629" t="s">
        <v>1507</v>
      </c>
      <c r="G629" t="s">
        <v>1165</v>
      </c>
      <c r="L629" s="7" t="str">
        <f>HYPERLINK("https://test.ictv.global/id/TN19980497","TN19980497@TEST")</f>
        <v>TN19980497@TEST</v>
      </c>
      <c r="M629" s="7" t="str">
        <f>HYPERLINK("https://test.ictv.global/id/ICTV19951760","ICTV19951760@TEST")</f>
        <v>ICTV19951760@TEST</v>
      </c>
      <c r="N629" s="7" t="str">
        <f>HYPERLINK("https://ictv.global/id/TN19980497","TN19980497@prod")</f>
        <v>TN19980497@prod</v>
      </c>
      <c r="O629" s="7" t="str">
        <f>HYPERLINK("https://ictv.global/id/ICTV19951760","ICTV19951760@prod")</f>
        <v>ICTV19951760@prod</v>
      </c>
    </row>
    <row r="630" spans="1:15" x14ac:dyDescent="0.2">
      <c r="A630">
        <v>17</v>
      </c>
      <c r="B630">
        <v>19980498</v>
      </c>
      <c r="C630">
        <v>19961817</v>
      </c>
      <c r="D630" t="s">
        <v>29</v>
      </c>
      <c r="E630" t="s">
        <v>1508</v>
      </c>
      <c r="G630" t="s">
        <v>1165</v>
      </c>
      <c r="L630" s="7" t="str">
        <f>HYPERLINK("https://test.ictv.global/id/TN19980498","TN19980498@TEST")</f>
        <v>TN19980498@TEST</v>
      </c>
      <c r="M630" s="7" t="str">
        <f>HYPERLINK("https://test.ictv.global/id/ICTV19961817","ICTV19961817@TEST")</f>
        <v>ICTV19961817@TEST</v>
      </c>
      <c r="N630" s="7" t="str">
        <f>HYPERLINK("https://ictv.global/id/TN19980498","TN19980498@prod")</f>
        <v>TN19980498@prod</v>
      </c>
      <c r="O630" s="7" t="str">
        <f>HYPERLINK("https://ictv.global/id/ICTV19961817","ICTV19961817@prod")</f>
        <v>ICTV19961817@prod</v>
      </c>
    </row>
    <row r="631" spans="1:15" x14ac:dyDescent="0.2">
      <c r="A631">
        <v>17</v>
      </c>
      <c r="B631">
        <v>19980499</v>
      </c>
      <c r="C631">
        <v>19961818</v>
      </c>
      <c r="D631" t="s">
        <v>29</v>
      </c>
      <c r="E631" t="s">
        <v>1509</v>
      </c>
      <c r="G631" t="s">
        <v>1165</v>
      </c>
      <c r="L631" s="7" t="str">
        <f>HYPERLINK("https://test.ictv.global/id/TN19980499","TN19980499@TEST")</f>
        <v>TN19980499@TEST</v>
      </c>
      <c r="M631" s="7" t="str">
        <f>HYPERLINK("https://test.ictv.global/id/ICTV19961818","ICTV19961818@TEST")</f>
        <v>ICTV19961818@TEST</v>
      </c>
      <c r="N631" s="7" t="str">
        <f>HYPERLINK("https://ictv.global/id/TN19980499","TN19980499@prod")</f>
        <v>TN19980499@prod</v>
      </c>
      <c r="O631" s="7" t="str">
        <f>HYPERLINK("https://ictv.global/id/ICTV19961818","ICTV19961818@prod")</f>
        <v>ICTV19961818@prod</v>
      </c>
    </row>
    <row r="632" spans="1:15" x14ac:dyDescent="0.2">
      <c r="A632">
        <v>17</v>
      </c>
      <c r="B632">
        <v>19980500</v>
      </c>
      <c r="C632">
        <v>19951763</v>
      </c>
      <c r="D632" t="s">
        <v>29</v>
      </c>
      <c r="E632" t="s">
        <v>1510</v>
      </c>
      <c r="G632" t="s">
        <v>1165</v>
      </c>
      <c r="L632" s="7" t="str">
        <f>HYPERLINK("https://test.ictv.global/id/TN19980500","TN19980500@TEST")</f>
        <v>TN19980500@TEST</v>
      </c>
      <c r="M632" s="7" t="str">
        <f>HYPERLINK("https://test.ictv.global/id/ICTV19951763","ICTV19951763@TEST")</f>
        <v>ICTV19951763@TEST</v>
      </c>
      <c r="N632" s="7" t="str">
        <f>HYPERLINK("https://ictv.global/id/TN19980500","TN19980500@prod")</f>
        <v>TN19980500@prod</v>
      </c>
      <c r="O632" s="7" t="str">
        <f>HYPERLINK("https://ictv.global/id/ICTV19951763","ICTV19951763@prod")</f>
        <v>ICTV19951763@prod</v>
      </c>
    </row>
    <row r="633" spans="1:15" x14ac:dyDescent="0.2">
      <c r="A633">
        <v>17</v>
      </c>
      <c r="B633">
        <v>19980501</v>
      </c>
      <c r="C633">
        <v>19951764</v>
      </c>
      <c r="D633" t="s">
        <v>29</v>
      </c>
      <c r="E633" t="s">
        <v>1511</v>
      </c>
      <c r="G633" t="s">
        <v>1165</v>
      </c>
      <c r="L633" s="7" t="str">
        <f>HYPERLINK("https://test.ictv.global/id/TN19980501","TN19980501@TEST")</f>
        <v>TN19980501@TEST</v>
      </c>
      <c r="M633" s="7" t="str">
        <f>HYPERLINK("https://test.ictv.global/id/ICTV19951764","ICTV19951764@TEST")</f>
        <v>ICTV19951764@TEST</v>
      </c>
      <c r="N633" s="7" t="str">
        <f>HYPERLINK("https://ictv.global/id/TN19980501","TN19980501@prod")</f>
        <v>TN19980501@prod</v>
      </c>
      <c r="O633" s="7" t="str">
        <f>HYPERLINK("https://ictv.global/id/ICTV19951764","ICTV19951764@prod")</f>
        <v>ICTV19951764@prod</v>
      </c>
    </row>
    <row r="634" spans="1:15" x14ac:dyDescent="0.2">
      <c r="A634">
        <v>17</v>
      </c>
      <c r="B634">
        <v>19980502</v>
      </c>
      <c r="C634">
        <v>19951765</v>
      </c>
      <c r="D634" t="s">
        <v>29</v>
      </c>
      <c r="E634" t="s">
        <v>1512</v>
      </c>
      <c r="G634" t="s">
        <v>1165</v>
      </c>
      <c r="L634" s="7" t="str">
        <f>HYPERLINK("https://test.ictv.global/id/TN19980502","TN19980502@TEST")</f>
        <v>TN19980502@TEST</v>
      </c>
      <c r="M634" s="7" t="str">
        <f>HYPERLINK("https://test.ictv.global/id/ICTV19951765","ICTV19951765@TEST")</f>
        <v>ICTV19951765@TEST</v>
      </c>
      <c r="N634" s="7" t="str">
        <f>HYPERLINK("https://ictv.global/id/TN19980502","TN19980502@prod")</f>
        <v>TN19980502@prod</v>
      </c>
      <c r="O634" s="7" t="str">
        <f>HYPERLINK("https://ictv.global/id/ICTV19951765","ICTV19951765@prod")</f>
        <v>ICTV19951765@prod</v>
      </c>
    </row>
    <row r="635" spans="1:15" x14ac:dyDescent="0.2">
      <c r="A635">
        <v>17</v>
      </c>
      <c r="B635">
        <v>19980503</v>
      </c>
      <c r="C635">
        <v>19951766</v>
      </c>
      <c r="D635" t="s">
        <v>29</v>
      </c>
      <c r="E635" t="s">
        <v>1513</v>
      </c>
      <c r="G635" t="s">
        <v>1165</v>
      </c>
      <c r="L635" s="7" t="str">
        <f>HYPERLINK("https://test.ictv.global/id/TN19980503","TN19980503@TEST")</f>
        <v>TN19980503@TEST</v>
      </c>
      <c r="M635" s="7" t="str">
        <f>HYPERLINK("https://test.ictv.global/id/ICTV19951766","ICTV19951766@TEST")</f>
        <v>ICTV19951766@TEST</v>
      </c>
      <c r="N635" s="7" t="str">
        <f>HYPERLINK("https://ictv.global/id/TN19980503","TN19980503@prod")</f>
        <v>TN19980503@prod</v>
      </c>
      <c r="O635" s="7" t="str">
        <f>HYPERLINK("https://ictv.global/id/ICTV19951766","ICTV19951766@prod")</f>
        <v>ICTV19951766@prod</v>
      </c>
    </row>
    <row r="636" spans="1:15" x14ac:dyDescent="0.2">
      <c r="A636">
        <v>17</v>
      </c>
      <c r="B636">
        <v>19980504</v>
      </c>
      <c r="C636">
        <v>19951767</v>
      </c>
      <c r="D636" t="s">
        <v>29</v>
      </c>
      <c r="E636" t="s">
        <v>1514</v>
      </c>
      <c r="G636" t="s">
        <v>1165</v>
      </c>
      <c r="L636" s="7" t="str">
        <f>HYPERLINK("https://test.ictv.global/id/TN19980504","TN19980504@TEST")</f>
        <v>TN19980504@TEST</v>
      </c>
      <c r="M636" s="7" t="str">
        <f>HYPERLINK("https://test.ictv.global/id/ICTV19951767","ICTV19951767@TEST")</f>
        <v>ICTV19951767@TEST</v>
      </c>
      <c r="N636" s="7" t="str">
        <f>HYPERLINK("https://ictv.global/id/TN19980504","TN19980504@prod")</f>
        <v>TN19980504@prod</v>
      </c>
      <c r="O636" s="7" t="str">
        <f>HYPERLINK("https://ictv.global/id/ICTV19951767","ICTV19951767@prod")</f>
        <v>ICTV19951767@prod</v>
      </c>
    </row>
    <row r="637" spans="1:15" x14ac:dyDescent="0.2">
      <c r="A637">
        <v>17</v>
      </c>
      <c r="B637">
        <v>19980505</v>
      </c>
      <c r="C637">
        <v>19951768</v>
      </c>
      <c r="D637" t="s">
        <v>29</v>
      </c>
      <c r="E637" t="s">
        <v>1515</v>
      </c>
      <c r="G637" t="s">
        <v>1165</v>
      </c>
      <c r="L637" s="7" t="str">
        <f>HYPERLINK("https://test.ictv.global/id/TN19980505","TN19980505@TEST")</f>
        <v>TN19980505@TEST</v>
      </c>
      <c r="M637" s="7" t="str">
        <f>HYPERLINK("https://test.ictv.global/id/ICTV19951768","ICTV19951768@TEST")</f>
        <v>ICTV19951768@TEST</v>
      </c>
      <c r="N637" s="7" t="str">
        <f>HYPERLINK("https://ictv.global/id/TN19980505","TN19980505@prod")</f>
        <v>TN19980505@prod</v>
      </c>
      <c r="O637" s="7" t="str">
        <f>HYPERLINK("https://ictv.global/id/ICTV19951768","ICTV19951768@prod")</f>
        <v>ICTV19951768@prod</v>
      </c>
    </row>
    <row r="638" spans="1:15" x14ac:dyDescent="0.2">
      <c r="A638">
        <v>17</v>
      </c>
      <c r="B638">
        <v>19980506</v>
      </c>
      <c r="C638">
        <v>19951769</v>
      </c>
      <c r="D638" t="s">
        <v>29</v>
      </c>
      <c r="E638" t="s">
        <v>1516</v>
      </c>
      <c r="G638" t="s">
        <v>1165</v>
      </c>
      <c r="L638" s="7" t="str">
        <f>HYPERLINK("https://test.ictv.global/id/TN19980506","TN19980506@TEST")</f>
        <v>TN19980506@TEST</v>
      </c>
      <c r="M638" s="7" t="str">
        <f>HYPERLINK("https://test.ictv.global/id/ICTV19951769","ICTV19951769@TEST")</f>
        <v>ICTV19951769@TEST</v>
      </c>
      <c r="N638" s="7" t="str">
        <f>HYPERLINK("https://ictv.global/id/TN19980506","TN19980506@prod")</f>
        <v>TN19980506@prod</v>
      </c>
      <c r="O638" s="7" t="str">
        <f>HYPERLINK("https://ictv.global/id/ICTV19951769","ICTV19951769@prod")</f>
        <v>ICTV19951769@prod</v>
      </c>
    </row>
    <row r="639" spans="1:15" x14ac:dyDescent="0.2">
      <c r="A639">
        <v>17</v>
      </c>
      <c r="B639">
        <v>19980507</v>
      </c>
      <c r="C639">
        <v>19951770</v>
      </c>
      <c r="D639" t="s">
        <v>29</v>
      </c>
      <c r="E639" t="s">
        <v>1517</v>
      </c>
      <c r="G639" t="s">
        <v>1165</v>
      </c>
      <c r="L639" s="7" t="str">
        <f>HYPERLINK("https://test.ictv.global/id/TN19980507","TN19980507@TEST")</f>
        <v>TN19980507@TEST</v>
      </c>
      <c r="M639" s="7" t="str">
        <f>HYPERLINK("https://test.ictv.global/id/ICTV19951770","ICTV19951770@TEST")</f>
        <v>ICTV19951770@TEST</v>
      </c>
      <c r="N639" s="7" t="str">
        <f>HYPERLINK("https://ictv.global/id/TN19980507","TN19980507@prod")</f>
        <v>TN19980507@prod</v>
      </c>
      <c r="O639" s="7" t="str">
        <f>HYPERLINK("https://ictv.global/id/ICTV19951770","ICTV19951770@prod")</f>
        <v>ICTV19951770@prod</v>
      </c>
    </row>
    <row r="640" spans="1:15" x14ac:dyDescent="0.2">
      <c r="A640">
        <v>17</v>
      </c>
      <c r="B640">
        <v>19980508</v>
      </c>
      <c r="C640">
        <v>19951771</v>
      </c>
      <c r="D640" t="s">
        <v>29</v>
      </c>
      <c r="E640" t="s">
        <v>1518</v>
      </c>
      <c r="G640" t="s">
        <v>1165</v>
      </c>
      <c r="L640" s="7" t="str">
        <f>HYPERLINK("https://test.ictv.global/id/TN19980508","TN19980508@TEST")</f>
        <v>TN19980508@TEST</v>
      </c>
      <c r="M640" s="7" t="str">
        <f>HYPERLINK("https://test.ictv.global/id/ICTV19951771","ICTV19951771@TEST")</f>
        <v>ICTV19951771@TEST</v>
      </c>
      <c r="N640" s="7" t="str">
        <f>HYPERLINK("https://ictv.global/id/TN19980508","TN19980508@prod")</f>
        <v>TN19980508@prod</v>
      </c>
      <c r="O640" s="7" t="str">
        <f>HYPERLINK("https://ictv.global/id/ICTV19951771","ICTV19951771@prod")</f>
        <v>ICTV19951771@prod</v>
      </c>
    </row>
    <row r="641" spans="1:15" x14ac:dyDescent="0.2">
      <c r="A641">
        <v>17</v>
      </c>
      <c r="B641">
        <v>19980509</v>
      </c>
      <c r="C641">
        <v>19951772</v>
      </c>
      <c r="D641" t="s">
        <v>29</v>
      </c>
      <c r="E641" t="s">
        <v>1519</v>
      </c>
      <c r="G641" t="s">
        <v>1165</v>
      </c>
      <c r="L641" s="7" t="str">
        <f>HYPERLINK("https://test.ictv.global/id/TN19980509","TN19980509@TEST")</f>
        <v>TN19980509@TEST</v>
      </c>
      <c r="M641" s="7" t="str">
        <f>HYPERLINK("https://test.ictv.global/id/ICTV19951772","ICTV19951772@TEST")</f>
        <v>ICTV19951772@TEST</v>
      </c>
      <c r="N641" s="7" t="str">
        <f>HYPERLINK("https://ictv.global/id/TN19980509","TN19980509@prod")</f>
        <v>TN19980509@prod</v>
      </c>
      <c r="O641" s="7" t="str">
        <f>HYPERLINK("https://ictv.global/id/ICTV19951772","ICTV19951772@prod")</f>
        <v>ICTV19951772@prod</v>
      </c>
    </row>
    <row r="642" spans="1:15" x14ac:dyDescent="0.2">
      <c r="A642">
        <v>17</v>
      </c>
      <c r="B642">
        <v>19980510</v>
      </c>
      <c r="C642">
        <v>19951773</v>
      </c>
      <c r="D642" t="s">
        <v>29</v>
      </c>
      <c r="E642" t="s">
        <v>1520</v>
      </c>
      <c r="G642" t="s">
        <v>1165</v>
      </c>
      <c r="L642" s="7" t="str">
        <f>HYPERLINK("https://test.ictv.global/id/TN19980510","TN19980510@TEST")</f>
        <v>TN19980510@TEST</v>
      </c>
      <c r="M642" s="7" t="str">
        <f>HYPERLINK("https://test.ictv.global/id/ICTV19951773","ICTV19951773@TEST")</f>
        <v>ICTV19951773@TEST</v>
      </c>
      <c r="N642" s="7" t="str">
        <f>HYPERLINK("https://ictv.global/id/TN19980510","TN19980510@prod")</f>
        <v>TN19980510@prod</v>
      </c>
      <c r="O642" s="7" t="str">
        <f>HYPERLINK("https://ictv.global/id/ICTV19951773","ICTV19951773@prod")</f>
        <v>ICTV19951773@prod</v>
      </c>
    </row>
    <row r="643" spans="1:15" x14ac:dyDescent="0.2">
      <c r="A643">
        <v>17</v>
      </c>
      <c r="B643">
        <v>19980511</v>
      </c>
      <c r="C643">
        <v>19951774</v>
      </c>
      <c r="D643" t="s">
        <v>29</v>
      </c>
      <c r="E643" t="s">
        <v>1521</v>
      </c>
      <c r="G643" t="s">
        <v>1165</v>
      </c>
      <c r="L643" s="7" t="str">
        <f>HYPERLINK("https://test.ictv.global/id/TN19980511","TN19980511@TEST")</f>
        <v>TN19980511@TEST</v>
      </c>
      <c r="M643" s="7" t="str">
        <f>HYPERLINK("https://test.ictv.global/id/ICTV19951774","ICTV19951774@TEST")</f>
        <v>ICTV19951774@TEST</v>
      </c>
      <c r="N643" s="7" t="str">
        <f>HYPERLINK("https://ictv.global/id/TN19980511","TN19980511@prod")</f>
        <v>TN19980511@prod</v>
      </c>
      <c r="O643" s="7" t="str">
        <f>HYPERLINK("https://ictv.global/id/ICTV19951774","ICTV19951774@prod")</f>
        <v>ICTV19951774@prod</v>
      </c>
    </row>
    <row r="644" spans="1:15" x14ac:dyDescent="0.2">
      <c r="A644">
        <v>17</v>
      </c>
      <c r="B644">
        <v>19980512</v>
      </c>
      <c r="C644">
        <v>19951775</v>
      </c>
      <c r="D644" t="s">
        <v>29</v>
      </c>
      <c r="E644" t="s">
        <v>1522</v>
      </c>
      <c r="G644" t="s">
        <v>1165</v>
      </c>
      <c r="L644" s="7" t="str">
        <f>HYPERLINK("https://test.ictv.global/id/TN19980512","TN19980512@TEST")</f>
        <v>TN19980512@TEST</v>
      </c>
      <c r="M644" s="7" t="str">
        <f>HYPERLINK("https://test.ictv.global/id/ICTV19951775","ICTV19951775@TEST")</f>
        <v>ICTV19951775@TEST</v>
      </c>
      <c r="N644" s="7" t="str">
        <f>HYPERLINK("https://ictv.global/id/TN19980512","TN19980512@prod")</f>
        <v>TN19980512@prod</v>
      </c>
      <c r="O644" s="7" t="str">
        <f>HYPERLINK("https://ictv.global/id/ICTV19951775","ICTV19951775@prod")</f>
        <v>ICTV19951775@prod</v>
      </c>
    </row>
    <row r="645" spans="1:15" x14ac:dyDescent="0.2">
      <c r="A645">
        <v>17</v>
      </c>
      <c r="B645">
        <v>19980513</v>
      </c>
      <c r="C645">
        <v>19951777</v>
      </c>
      <c r="D645" t="s">
        <v>29</v>
      </c>
      <c r="E645" t="s">
        <v>1523</v>
      </c>
      <c r="G645" t="s">
        <v>1165</v>
      </c>
      <c r="L645" s="7" t="str">
        <f>HYPERLINK("https://test.ictv.global/id/TN19980513","TN19980513@TEST")</f>
        <v>TN19980513@TEST</v>
      </c>
      <c r="M645" s="7" t="str">
        <f>HYPERLINK("https://test.ictv.global/id/ICTV19951777","ICTV19951777@TEST")</f>
        <v>ICTV19951777@TEST</v>
      </c>
      <c r="N645" s="7" t="str">
        <f>HYPERLINK("https://ictv.global/id/TN19980513","TN19980513@prod")</f>
        <v>TN19980513@prod</v>
      </c>
      <c r="O645" s="7" t="str">
        <f>HYPERLINK("https://ictv.global/id/ICTV19951777","ICTV19951777@prod")</f>
        <v>ICTV19951777@prod</v>
      </c>
    </row>
    <row r="646" spans="1:15" x14ac:dyDescent="0.2">
      <c r="A646">
        <v>17</v>
      </c>
      <c r="B646">
        <v>19980514</v>
      </c>
      <c r="C646">
        <v>19951778</v>
      </c>
      <c r="D646" t="s">
        <v>29</v>
      </c>
      <c r="E646" t="s">
        <v>1524</v>
      </c>
      <c r="G646" t="s">
        <v>1165</v>
      </c>
      <c r="L646" s="7" t="str">
        <f>HYPERLINK("https://test.ictv.global/id/TN19980514","TN19980514@TEST")</f>
        <v>TN19980514@TEST</v>
      </c>
      <c r="M646" s="7" t="str">
        <f>HYPERLINK("https://test.ictv.global/id/ICTV19951778","ICTV19951778@TEST")</f>
        <v>ICTV19951778@TEST</v>
      </c>
      <c r="N646" s="7" t="str">
        <f>HYPERLINK("https://ictv.global/id/TN19980514","TN19980514@prod")</f>
        <v>TN19980514@prod</v>
      </c>
      <c r="O646" s="7" t="str">
        <f>HYPERLINK("https://ictv.global/id/ICTV19951778","ICTV19951778@prod")</f>
        <v>ICTV19951778@prod</v>
      </c>
    </row>
    <row r="647" spans="1:15" x14ac:dyDescent="0.2">
      <c r="A647">
        <v>17</v>
      </c>
      <c r="B647">
        <v>19980515</v>
      </c>
      <c r="C647">
        <v>19951779</v>
      </c>
      <c r="D647" t="s">
        <v>29</v>
      </c>
      <c r="E647" t="s">
        <v>1525</v>
      </c>
      <c r="G647" t="s">
        <v>1165</v>
      </c>
      <c r="L647" s="7" t="str">
        <f>HYPERLINK("https://test.ictv.global/id/TN19980515","TN19980515@TEST")</f>
        <v>TN19980515@TEST</v>
      </c>
      <c r="M647" s="7" t="str">
        <f>HYPERLINK("https://test.ictv.global/id/ICTV19951779","ICTV19951779@TEST")</f>
        <v>ICTV19951779@TEST</v>
      </c>
      <c r="N647" s="7" t="str">
        <f>HYPERLINK("https://ictv.global/id/TN19980515","TN19980515@prod")</f>
        <v>TN19980515@prod</v>
      </c>
      <c r="O647" s="7" t="str">
        <f>HYPERLINK("https://ictv.global/id/ICTV19951779","ICTV19951779@prod")</f>
        <v>ICTV19951779@prod</v>
      </c>
    </row>
    <row r="648" spans="1:15" x14ac:dyDescent="0.2">
      <c r="A648">
        <v>17</v>
      </c>
      <c r="B648">
        <v>19980516</v>
      </c>
      <c r="C648">
        <v>19951780</v>
      </c>
      <c r="D648" t="s">
        <v>29</v>
      </c>
      <c r="E648" t="s">
        <v>1526</v>
      </c>
      <c r="G648" t="s">
        <v>1165</v>
      </c>
      <c r="L648" s="7" t="str">
        <f>HYPERLINK("https://test.ictv.global/id/TN19980516","TN19980516@TEST")</f>
        <v>TN19980516@TEST</v>
      </c>
      <c r="M648" s="7" t="str">
        <f>HYPERLINK("https://test.ictv.global/id/ICTV19951780","ICTV19951780@TEST")</f>
        <v>ICTV19951780@TEST</v>
      </c>
      <c r="N648" s="7" t="str">
        <f>HYPERLINK("https://ictv.global/id/TN19980516","TN19980516@prod")</f>
        <v>TN19980516@prod</v>
      </c>
      <c r="O648" s="7" t="str">
        <f>HYPERLINK("https://ictv.global/id/ICTV19951780","ICTV19951780@prod")</f>
        <v>ICTV19951780@prod</v>
      </c>
    </row>
    <row r="649" spans="1:15" x14ac:dyDescent="0.2">
      <c r="A649">
        <v>17</v>
      </c>
      <c r="B649">
        <v>19980517</v>
      </c>
      <c r="C649">
        <v>19951781</v>
      </c>
      <c r="D649" t="s">
        <v>29</v>
      </c>
      <c r="E649" t="s">
        <v>1527</v>
      </c>
      <c r="G649" t="s">
        <v>1165</v>
      </c>
      <c r="L649" s="7" t="str">
        <f>HYPERLINK("https://test.ictv.global/id/TN19980517","TN19980517@TEST")</f>
        <v>TN19980517@TEST</v>
      </c>
      <c r="M649" s="7" t="str">
        <f>HYPERLINK("https://test.ictv.global/id/ICTV19951781","ICTV19951781@TEST")</f>
        <v>ICTV19951781@TEST</v>
      </c>
      <c r="N649" s="7" t="str">
        <f>HYPERLINK("https://ictv.global/id/TN19980517","TN19980517@prod")</f>
        <v>TN19980517@prod</v>
      </c>
      <c r="O649" s="7" t="str">
        <f>HYPERLINK("https://ictv.global/id/ICTV19951781","ICTV19951781@prod")</f>
        <v>ICTV19951781@prod</v>
      </c>
    </row>
    <row r="650" spans="1:15" x14ac:dyDescent="0.2">
      <c r="A650">
        <v>17</v>
      </c>
      <c r="B650">
        <v>19980518</v>
      </c>
      <c r="C650">
        <v>19951782</v>
      </c>
      <c r="D650" t="s">
        <v>29</v>
      </c>
      <c r="E650" t="s">
        <v>1528</v>
      </c>
      <c r="G650" t="s">
        <v>1165</v>
      </c>
      <c r="L650" s="7" t="str">
        <f>HYPERLINK("https://test.ictv.global/id/TN19980518","TN19980518@TEST")</f>
        <v>TN19980518@TEST</v>
      </c>
      <c r="M650" s="7" t="str">
        <f>HYPERLINK("https://test.ictv.global/id/ICTV19951782","ICTV19951782@TEST")</f>
        <v>ICTV19951782@TEST</v>
      </c>
      <c r="N650" s="7" t="str">
        <f>HYPERLINK("https://ictv.global/id/TN19980518","TN19980518@prod")</f>
        <v>TN19980518@prod</v>
      </c>
      <c r="O650" s="7" t="str">
        <f>HYPERLINK("https://ictv.global/id/ICTV19951782","ICTV19951782@prod")</f>
        <v>ICTV19951782@prod</v>
      </c>
    </row>
    <row r="651" spans="1:15" x14ac:dyDescent="0.2">
      <c r="A651">
        <v>17</v>
      </c>
      <c r="B651">
        <v>19980519</v>
      </c>
      <c r="C651">
        <v>19951783</v>
      </c>
      <c r="D651" t="s">
        <v>29</v>
      </c>
      <c r="E651" t="s">
        <v>1529</v>
      </c>
      <c r="G651" t="s">
        <v>1165</v>
      </c>
      <c r="L651" s="7" t="str">
        <f>HYPERLINK("https://test.ictv.global/id/TN19980519","TN19980519@TEST")</f>
        <v>TN19980519@TEST</v>
      </c>
      <c r="M651" s="7" t="str">
        <f>HYPERLINK("https://test.ictv.global/id/ICTV19951783","ICTV19951783@TEST")</f>
        <v>ICTV19951783@TEST</v>
      </c>
      <c r="N651" s="7" t="str">
        <f>HYPERLINK("https://ictv.global/id/TN19980519","TN19980519@prod")</f>
        <v>TN19980519@prod</v>
      </c>
      <c r="O651" s="7" t="str">
        <f>HYPERLINK("https://ictv.global/id/ICTV19951783","ICTV19951783@prod")</f>
        <v>ICTV19951783@prod</v>
      </c>
    </row>
    <row r="652" spans="1:15" x14ac:dyDescent="0.2">
      <c r="A652">
        <v>17</v>
      </c>
      <c r="B652">
        <v>19980520</v>
      </c>
      <c r="C652">
        <v>19951784</v>
      </c>
      <c r="D652" t="s">
        <v>29</v>
      </c>
      <c r="E652" t="s">
        <v>1530</v>
      </c>
      <c r="F652" t="s">
        <v>1531</v>
      </c>
      <c r="G652" t="s">
        <v>1165</v>
      </c>
      <c r="L652" s="7" t="str">
        <f>HYPERLINK("https://test.ictv.global/id/TN19980520","TN19980520@TEST")</f>
        <v>TN19980520@TEST</v>
      </c>
      <c r="M652" s="7" t="str">
        <f>HYPERLINK("https://test.ictv.global/id/ICTV19951784","ICTV19951784@TEST")</f>
        <v>ICTV19951784@TEST</v>
      </c>
      <c r="N652" s="7" t="str">
        <f>HYPERLINK("https://ictv.global/id/TN19980520","TN19980520@prod")</f>
        <v>TN19980520@prod</v>
      </c>
      <c r="O652" s="7" t="str">
        <f>HYPERLINK("https://ictv.global/id/ICTV19951784","ICTV19951784@prod")</f>
        <v>ICTV19951784@prod</v>
      </c>
    </row>
    <row r="653" spans="1:15" x14ac:dyDescent="0.2">
      <c r="A653">
        <v>17</v>
      </c>
      <c r="B653">
        <v>19980521</v>
      </c>
      <c r="C653">
        <v>19951785</v>
      </c>
      <c r="D653" t="s">
        <v>29</v>
      </c>
      <c r="E653" t="s">
        <v>1532</v>
      </c>
      <c r="G653" t="s">
        <v>1165</v>
      </c>
      <c r="L653" s="7" t="str">
        <f>HYPERLINK("https://test.ictv.global/id/TN19980521","TN19980521@TEST")</f>
        <v>TN19980521@TEST</v>
      </c>
      <c r="M653" s="7" t="str">
        <f>HYPERLINK("https://test.ictv.global/id/ICTV19951785","ICTV19951785@TEST")</f>
        <v>ICTV19951785@TEST</v>
      </c>
      <c r="N653" s="7" t="str">
        <f>HYPERLINK("https://ictv.global/id/TN19980521","TN19980521@prod")</f>
        <v>TN19980521@prod</v>
      </c>
      <c r="O653" s="7" t="str">
        <f>HYPERLINK("https://ictv.global/id/ICTV19951785","ICTV19951785@prod")</f>
        <v>ICTV19951785@prod</v>
      </c>
    </row>
    <row r="654" spans="1:15" x14ac:dyDescent="0.2">
      <c r="A654">
        <v>17</v>
      </c>
      <c r="B654">
        <v>19980522</v>
      </c>
      <c r="C654">
        <v>19951786</v>
      </c>
      <c r="D654" t="s">
        <v>29</v>
      </c>
      <c r="E654" t="s">
        <v>973</v>
      </c>
      <c r="G654" t="s">
        <v>1165</v>
      </c>
      <c r="L654" s="7" t="str">
        <f>HYPERLINK("https://test.ictv.global/id/TN19980522","TN19980522@TEST")</f>
        <v>TN19980522@TEST</v>
      </c>
      <c r="M654" s="7" t="str">
        <f>HYPERLINK("https://test.ictv.global/id/ICTV19951786","ICTV19951786@TEST")</f>
        <v>ICTV19951786@TEST</v>
      </c>
      <c r="N654" s="7" t="str">
        <f>HYPERLINK("https://ictv.global/id/TN19980522","TN19980522@prod")</f>
        <v>TN19980522@prod</v>
      </c>
      <c r="O654" s="7" t="str">
        <f>HYPERLINK("https://ictv.global/id/ICTV19951786","ICTV19951786@prod")</f>
        <v>ICTV19951786@prod</v>
      </c>
    </row>
    <row r="655" spans="1:15" x14ac:dyDescent="0.2">
      <c r="A655">
        <v>17</v>
      </c>
      <c r="B655">
        <v>19980523</v>
      </c>
      <c r="C655">
        <v>19951787</v>
      </c>
      <c r="D655" t="s">
        <v>29</v>
      </c>
      <c r="E655" t="s">
        <v>1533</v>
      </c>
      <c r="G655" t="s">
        <v>1165</v>
      </c>
      <c r="L655" s="7" t="str">
        <f>HYPERLINK("https://test.ictv.global/id/TN19980523","TN19980523@TEST")</f>
        <v>TN19980523@TEST</v>
      </c>
      <c r="M655" s="7" t="str">
        <f>HYPERLINK("https://test.ictv.global/id/ICTV19951787","ICTV19951787@TEST")</f>
        <v>ICTV19951787@TEST</v>
      </c>
      <c r="N655" s="7" t="str">
        <f>HYPERLINK("https://ictv.global/id/TN19980523","TN19980523@prod")</f>
        <v>TN19980523@prod</v>
      </c>
      <c r="O655" s="7" t="str">
        <f>HYPERLINK("https://ictv.global/id/ICTV19951787","ICTV19951787@prod")</f>
        <v>ICTV19951787@prod</v>
      </c>
    </row>
    <row r="656" spans="1:15" x14ac:dyDescent="0.2">
      <c r="A656">
        <v>17</v>
      </c>
      <c r="B656">
        <v>19980524</v>
      </c>
      <c r="C656">
        <v>19951788</v>
      </c>
      <c r="D656" t="s">
        <v>29</v>
      </c>
      <c r="E656" t="s">
        <v>1534</v>
      </c>
      <c r="G656" t="s">
        <v>1165</v>
      </c>
      <c r="L656" s="7" t="str">
        <f>HYPERLINK("https://test.ictv.global/id/TN19980524","TN19980524@TEST")</f>
        <v>TN19980524@TEST</v>
      </c>
      <c r="M656" s="7" t="str">
        <f>HYPERLINK("https://test.ictv.global/id/ICTV19951788","ICTV19951788@TEST")</f>
        <v>ICTV19951788@TEST</v>
      </c>
      <c r="N656" s="7" t="str">
        <f>HYPERLINK("https://ictv.global/id/TN19980524","TN19980524@prod")</f>
        <v>TN19980524@prod</v>
      </c>
      <c r="O656" s="7" t="str">
        <f>HYPERLINK("https://ictv.global/id/ICTV19951788","ICTV19951788@prod")</f>
        <v>ICTV19951788@prod</v>
      </c>
    </row>
    <row r="657" spans="1:15" x14ac:dyDescent="0.2">
      <c r="A657">
        <v>17</v>
      </c>
      <c r="B657">
        <v>19980525</v>
      </c>
      <c r="C657">
        <v>19951790</v>
      </c>
      <c r="D657" t="s">
        <v>29</v>
      </c>
      <c r="E657" t="s">
        <v>1535</v>
      </c>
      <c r="G657" t="s">
        <v>1165</v>
      </c>
      <c r="L657" s="7" t="str">
        <f>HYPERLINK("https://test.ictv.global/id/TN19980525","TN19980525@TEST")</f>
        <v>TN19980525@TEST</v>
      </c>
      <c r="M657" s="7" t="str">
        <f>HYPERLINK("https://test.ictv.global/id/ICTV19951790","ICTV19951790@TEST")</f>
        <v>ICTV19951790@TEST</v>
      </c>
      <c r="N657" s="7" t="str">
        <f>HYPERLINK("https://ictv.global/id/TN19980525","TN19980525@prod")</f>
        <v>TN19980525@prod</v>
      </c>
      <c r="O657" s="7" t="str">
        <f>HYPERLINK("https://ictv.global/id/ICTV19951790","ICTV19951790@prod")</f>
        <v>ICTV19951790@prod</v>
      </c>
    </row>
    <row r="658" spans="1:15" x14ac:dyDescent="0.2">
      <c r="A658">
        <v>17</v>
      </c>
      <c r="B658">
        <v>19980526</v>
      </c>
      <c r="C658">
        <v>19951791</v>
      </c>
      <c r="D658" t="s">
        <v>29</v>
      </c>
      <c r="E658" t="s">
        <v>1536</v>
      </c>
      <c r="G658" t="s">
        <v>1165</v>
      </c>
      <c r="L658" s="7" t="str">
        <f>HYPERLINK("https://test.ictv.global/id/TN19980526","TN19980526@TEST")</f>
        <v>TN19980526@TEST</v>
      </c>
      <c r="M658" s="7" t="str">
        <f>HYPERLINK("https://test.ictv.global/id/ICTV19951791","ICTV19951791@TEST")</f>
        <v>ICTV19951791@TEST</v>
      </c>
      <c r="N658" s="7" t="str">
        <f>HYPERLINK("https://ictv.global/id/TN19980526","TN19980526@prod")</f>
        <v>TN19980526@prod</v>
      </c>
      <c r="O658" s="7" t="str">
        <f>HYPERLINK("https://ictv.global/id/ICTV19951791","ICTV19951791@prod")</f>
        <v>ICTV19951791@prod</v>
      </c>
    </row>
    <row r="659" spans="1:15" x14ac:dyDescent="0.2">
      <c r="A659">
        <v>17</v>
      </c>
      <c r="B659">
        <v>19980527</v>
      </c>
      <c r="C659">
        <v>19951792</v>
      </c>
      <c r="D659" t="s">
        <v>29</v>
      </c>
      <c r="E659" t="s">
        <v>1537</v>
      </c>
      <c r="G659" t="s">
        <v>1165</v>
      </c>
      <c r="L659" s="7" t="str">
        <f>HYPERLINK("https://test.ictv.global/id/TN19980527","TN19980527@TEST")</f>
        <v>TN19980527@TEST</v>
      </c>
      <c r="M659" s="7" t="str">
        <f>HYPERLINK("https://test.ictv.global/id/ICTV19951792","ICTV19951792@TEST")</f>
        <v>ICTV19951792@TEST</v>
      </c>
      <c r="N659" s="7" t="str">
        <f>HYPERLINK("https://ictv.global/id/TN19980527","TN19980527@prod")</f>
        <v>TN19980527@prod</v>
      </c>
      <c r="O659" s="7" t="str">
        <f>HYPERLINK("https://ictv.global/id/ICTV19951792","ICTV19951792@prod")</f>
        <v>ICTV19951792@prod</v>
      </c>
    </row>
    <row r="660" spans="1:15" x14ac:dyDescent="0.2">
      <c r="A660">
        <v>17</v>
      </c>
      <c r="B660">
        <v>19980528</v>
      </c>
      <c r="C660">
        <v>19951793</v>
      </c>
      <c r="D660" t="s">
        <v>29</v>
      </c>
      <c r="E660" t="s">
        <v>1538</v>
      </c>
      <c r="G660" t="s">
        <v>1165</v>
      </c>
      <c r="L660" s="7" t="str">
        <f>HYPERLINK("https://test.ictv.global/id/TN19980528","TN19980528@TEST")</f>
        <v>TN19980528@TEST</v>
      </c>
      <c r="M660" s="7" t="str">
        <f>HYPERLINK("https://test.ictv.global/id/ICTV19951793","ICTV19951793@TEST")</f>
        <v>ICTV19951793@TEST</v>
      </c>
      <c r="N660" s="7" t="str">
        <f>HYPERLINK("https://ictv.global/id/TN19980528","TN19980528@prod")</f>
        <v>TN19980528@prod</v>
      </c>
      <c r="O660" s="7" t="str">
        <f>HYPERLINK("https://ictv.global/id/ICTV19951793","ICTV19951793@prod")</f>
        <v>ICTV19951793@prod</v>
      </c>
    </row>
    <row r="661" spans="1:15" x14ac:dyDescent="0.2">
      <c r="A661">
        <v>17</v>
      </c>
      <c r="B661">
        <v>19980529</v>
      </c>
      <c r="C661">
        <v>19951794</v>
      </c>
      <c r="D661" t="s">
        <v>29</v>
      </c>
      <c r="E661" t="s">
        <v>1539</v>
      </c>
      <c r="G661" t="s">
        <v>1165</v>
      </c>
      <c r="L661" s="7" t="str">
        <f>HYPERLINK("https://test.ictv.global/id/TN19980529","TN19980529@TEST")</f>
        <v>TN19980529@TEST</v>
      </c>
      <c r="M661" s="7" t="str">
        <f>HYPERLINK("https://test.ictv.global/id/ICTV19951794","ICTV19951794@TEST")</f>
        <v>ICTV19951794@TEST</v>
      </c>
      <c r="N661" s="7" t="str">
        <f>HYPERLINK("https://ictv.global/id/TN19980529","TN19980529@prod")</f>
        <v>TN19980529@prod</v>
      </c>
      <c r="O661" s="7" t="str">
        <f>HYPERLINK("https://ictv.global/id/ICTV19951794","ICTV19951794@prod")</f>
        <v>ICTV19951794@prod</v>
      </c>
    </row>
    <row r="662" spans="1:15" x14ac:dyDescent="0.2">
      <c r="A662">
        <v>17</v>
      </c>
      <c r="B662">
        <v>19980530</v>
      </c>
      <c r="C662">
        <v>19951795</v>
      </c>
      <c r="D662" t="s">
        <v>29</v>
      </c>
      <c r="E662" t="s">
        <v>1540</v>
      </c>
      <c r="G662" t="s">
        <v>1165</v>
      </c>
      <c r="L662" s="7" t="str">
        <f>HYPERLINK("https://test.ictv.global/id/TN19980530","TN19980530@TEST")</f>
        <v>TN19980530@TEST</v>
      </c>
      <c r="M662" s="7" t="str">
        <f>HYPERLINK("https://test.ictv.global/id/ICTV19951795","ICTV19951795@TEST")</f>
        <v>ICTV19951795@TEST</v>
      </c>
      <c r="N662" s="7" t="str">
        <f>HYPERLINK("https://ictv.global/id/TN19980530","TN19980530@prod")</f>
        <v>TN19980530@prod</v>
      </c>
      <c r="O662" s="7" t="str">
        <f>HYPERLINK("https://ictv.global/id/ICTV19951795","ICTV19951795@prod")</f>
        <v>ICTV19951795@prod</v>
      </c>
    </row>
    <row r="663" spans="1:15" x14ac:dyDescent="0.2">
      <c r="A663">
        <v>17</v>
      </c>
      <c r="B663">
        <v>19980534</v>
      </c>
      <c r="C663">
        <v>19760702</v>
      </c>
      <c r="D663" t="s">
        <v>29</v>
      </c>
      <c r="E663" t="s">
        <v>1541</v>
      </c>
      <c r="G663" t="s">
        <v>1165</v>
      </c>
      <c r="L663" s="7" t="str">
        <f>HYPERLINK("https://test.ictv.global/id/TN19980534","TN19980534@TEST")</f>
        <v>TN19980534@TEST</v>
      </c>
      <c r="M663" s="7" t="str">
        <f>HYPERLINK("https://test.ictv.global/id/ICTV19760702","ICTV19760702@TEST")</f>
        <v>ICTV19760702@TEST</v>
      </c>
      <c r="N663" s="7" t="str">
        <f>HYPERLINK("https://ictv.global/id/TN19980534","TN19980534@prod")</f>
        <v>TN19980534@prod</v>
      </c>
      <c r="O663" s="7" t="str">
        <f>HYPERLINK("https://ictv.global/id/ICTV19760702","ICTV19760702@prod")</f>
        <v>ICTV19760702@prod</v>
      </c>
    </row>
    <row r="664" spans="1:15" x14ac:dyDescent="0.2">
      <c r="A664">
        <v>17</v>
      </c>
      <c r="B664">
        <v>19980535</v>
      </c>
      <c r="C664">
        <v>19760703</v>
      </c>
      <c r="D664" t="s">
        <v>29</v>
      </c>
      <c r="E664" t="s">
        <v>1542</v>
      </c>
      <c r="G664" t="s">
        <v>1165</v>
      </c>
      <c r="L664" s="7" t="str">
        <f>HYPERLINK("https://test.ictv.global/id/TN19980535","TN19980535@TEST")</f>
        <v>TN19980535@TEST</v>
      </c>
      <c r="M664" s="7" t="str">
        <f>HYPERLINK("https://test.ictv.global/id/ICTV19760703","ICTV19760703@TEST")</f>
        <v>ICTV19760703@TEST</v>
      </c>
      <c r="N664" s="7" t="str">
        <f>HYPERLINK("https://ictv.global/id/TN19980535","TN19980535@prod")</f>
        <v>TN19980535@prod</v>
      </c>
      <c r="O664" s="7" t="str">
        <f>HYPERLINK("https://ictv.global/id/ICTV19760703","ICTV19760703@prod")</f>
        <v>ICTV19760703@prod</v>
      </c>
    </row>
    <row r="665" spans="1:15" x14ac:dyDescent="0.2">
      <c r="A665">
        <v>17</v>
      </c>
      <c r="B665">
        <v>19980539</v>
      </c>
      <c r="C665">
        <v>19962186</v>
      </c>
      <c r="D665" t="s">
        <v>29</v>
      </c>
      <c r="E665" t="s">
        <v>1543</v>
      </c>
      <c r="G665" t="s">
        <v>1165</v>
      </c>
      <c r="L665" s="7" t="str">
        <f>HYPERLINK("https://test.ictv.global/id/TN19980539","TN19980539@TEST")</f>
        <v>TN19980539@TEST</v>
      </c>
      <c r="M665" s="7" t="str">
        <f>HYPERLINK("https://test.ictv.global/id/ICTV19962186","ICTV19962186@TEST")</f>
        <v>ICTV19962186@TEST</v>
      </c>
      <c r="N665" s="7" t="str">
        <f>HYPERLINK("https://ictv.global/id/TN19980539","TN19980539@prod")</f>
        <v>TN19980539@prod</v>
      </c>
      <c r="O665" s="7" t="str">
        <f>HYPERLINK("https://ictv.global/id/ICTV19962186","ICTV19962186@prod")</f>
        <v>ICTV19962186@prod</v>
      </c>
    </row>
    <row r="666" spans="1:15" x14ac:dyDescent="0.2">
      <c r="A666">
        <v>17</v>
      </c>
      <c r="B666">
        <v>19980540</v>
      </c>
      <c r="C666">
        <v>19962187</v>
      </c>
      <c r="D666" t="s">
        <v>29</v>
      </c>
      <c r="E666" t="s">
        <v>1544</v>
      </c>
      <c r="G666" t="s">
        <v>1165</v>
      </c>
      <c r="L666" s="7" t="str">
        <f>HYPERLINK("https://test.ictv.global/id/TN19980540","TN19980540@TEST")</f>
        <v>TN19980540@TEST</v>
      </c>
      <c r="M666" s="7" t="str">
        <f>HYPERLINK("https://test.ictv.global/id/ICTV19962187","ICTV19962187@TEST")</f>
        <v>ICTV19962187@TEST</v>
      </c>
      <c r="N666" s="7" t="str">
        <f>HYPERLINK("https://ictv.global/id/TN19980540","TN19980540@prod")</f>
        <v>TN19980540@prod</v>
      </c>
      <c r="O666" s="7" t="str">
        <f>HYPERLINK("https://ictv.global/id/ICTV19962187","ICTV19962187@prod")</f>
        <v>ICTV19962187@prod</v>
      </c>
    </row>
    <row r="667" spans="1:15" x14ac:dyDescent="0.2">
      <c r="A667">
        <v>17</v>
      </c>
      <c r="B667">
        <v>19980541</v>
      </c>
      <c r="C667">
        <v>19952125</v>
      </c>
      <c r="D667" t="s">
        <v>29</v>
      </c>
      <c r="E667" t="s">
        <v>1545</v>
      </c>
      <c r="G667" t="s">
        <v>1165</v>
      </c>
      <c r="L667" s="7" t="str">
        <f>HYPERLINK("https://test.ictv.global/id/TN19980541","TN19980541@TEST")</f>
        <v>TN19980541@TEST</v>
      </c>
      <c r="M667" s="7" t="str">
        <f>HYPERLINK("https://test.ictv.global/id/ICTV19952125","ICTV19952125@TEST")</f>
        <v>ICTV19952125@TEST</v>
      </c>
      <c r="N667" s="7" t="str">
        <f>HYPERLINK("https://ictv.global/id/TN19980541","TN19980541@prod")</f>
        <v>TN19980541@prod</v>
      </c>
      <c r="O667" s="7" t="str">
        <f>HYPERLINK("https://ictv.global/id/ICTV19952125","ICTV19952125@prod")</f>
        <v>ICTV19952125@prod</v>
      </c>
    </row>
    <row r="668" spans="1:15" x14ac:dyDescent="0.2">
      <c r="A668">
        <v>17</v>
      </c>
      <c r="B668">
        <v>19980542</v>
      </c>
      <c r="C668">
        <v>19952126</v>
      </c>
      <c r="D668" t="s">
        <v>29</v>
      </c>
      <c r="E668" t="s">
        <v>1546</v>
      </c>
      <c r="G668" t="s">
        <v>1165</v>
      </c>
      <c r="L668" s="7" t="str">
        <f>HYPERLINK("https://test.ictv.global/id/TN19980542","TN19980542@TEST")</f>
        <v>TN19980542@TEST</v>
      </c>
      <c r="M668" s="7" t="str">
        <f>HYPERLINK("https://test.ictv.global/id/ICTV19952126","ICTV19952126@TEST")</f>
        <v>ICTV19952126@TEST</v>
      </c>
      <c r="N668" s="7" t="str">
        <f>HYPERLINK("https://ictv.global/id/TN19980542","TN19980542@prod")</f>
        <v>TN19980542@prod</v>
      </c>
      <c r="O668" s="7" t="str">
        <f>HYPERLINK("https://ictv.global/id/ICTV19952126","ICTV19952126@prod")</f>
        <v>ICTV19952126@prod</v>
      </c>
    </row>
    <row r="669" spans="1:15" x14ac:dyDescent="0.2">
      <c r="A669">
        <v>17</v>
      </c>
      <c r="B669">
        <v>19980543</v>
      </c>
      <c r="C669">
        <v>19952127</v>
      </c>
      <c r="D669" t="s">
        <v>29</v>
      </c>
      <c r="E669" t="s">
        <v>1547</v>
      </c>
      <c r="G669" t="s">
        <v>1165</v>
      </c>
      <c r="L669" s="7" t="str">
        <f>HYPERLINK("https://test.ictv.global/id/TN19980543","TN19980543@TEST")</f>
        <v>TN19980543@TEST</v>
      </c>
      <c r="M669" s="7" t="str">
        <f>HYPERLINK("https://test.ictv.global/id/ICTV19952127","ICTV19952127@TEST")</f>
        <v>ICTV19952127@TEST</v>
      </c>
      <c r="N669" s="7" t="str">
        <f>HYPERLINK("https://ictv.global/id/TN19980543","TN19980543@prod")</f>
        <v>TN19980543@prod</v>
      </c>
      <c r="O669" s="7" t="str">
        <f>HYPERLINK("https://ictv.global/id/ICTV19952127","ICTV19952127@prod")</f>
        <v>ICTV19952127@prod</v>
      </c>
    </row>
    <row r="670" spans="1:15" x14ac:dyDescent="0.2">
      <c r="A670">
        <v>17</v>
      </c>
      <c r="B670">
        <v>19980544</v>
      </c>
      <c r="C670">
        <v>19952128</v>
      </c>
      <c r="D670" t="s">
        <v>29</v>
      </c>
      <c r="E670" t="s">
        <v>1548</v>
      </c>
      <c r="G670" t="s">
        <v>1165</v>
      </c>
      <c r="L670" s="7" t="str">
        <f>HYPERLINK("https://test.ictv.global/id/TN19980544","TN19980544@TEST")</f>
        <v>TN19980544@TEST</v>
      </c>
      <c r="M670" s="7" t="str">
        <f>HYPERLINK("https://test.ictv.global/id/ICTV19952128","ICTV19952128@TEST")</f>
        <v>ICTV19952128@TEST</v>
      </c>
      <c r="N670" s="7" t="str">
        <f>HYPERLINK("https://ictv.global/id/TN19980544","TN19980544@prod")</f>
        <v>TN19980544@prod</v>
      </c>
      <c r="O670" s="7" t="str">
        <f>HYPERLINK("https://ictv.global/id/ICTV19952128","ICTV19952128@prod")</f>
        <v>ICTV19952128@prod</v>
      </c>
    </row>
    <row r="671" spans="1:15" x14ac:dyDescent="0.2">
      <c r="A671">
        <v>17</v>
      </c>
      <c r="B671">
        <v>19980545</v>
      </c>
      <c r="C671">
        <v>19952129</v>
      </c>
      <c r="D671" t="s">
        <v>29</v>
      </c>
      <c r="E671" t="s">
        <v>1549</v>
      </c>
      <c r="G671" t="s">
        <v>1165</v>
      </c>
      <c r="L671" s="7" t="str">
        <f>HYPERLINK("https://test.ictv.global/id/TN19980545","TN19980545@TEST")</f>
        <v>TN19980545@TEST</v>
      </c>
      <c r="M671" s="7" t="str">
        <f>HYPERLINK("https://test.ictv.global/id/ICTV19952129","ICTV19952129@TEST")</f>
        <v>ICTV19952129@TEST</v>
      </c>
      <c r="N671" s="7" t="str">
        <f>HYPERLINK("https://ictv.global/id/TN19980545","TN19980545@prod")</f>
        <v>TN19980545@prod</v>
      </c>
      <c r="O671" s="7" t="str">
        <f>HYPERLINK("https://ictv.global/id/ICTV19952129","ICTV19952129@prod")</f>
        <v>ICTV19952129@prod</v>
      </c>
    </row>
    <row r="672" spans="1:15" x14ac:dyDescent="0.2">
      <c r="A672">
        <v>17</v>
      </c>
      <c r="B672">
        <v>19980546</v>
      </c>
      <c r="C672">
        <v>19952130</v>
      </c>
      <c r="D672" t="s">
        <v>29</v>
      </c>
      <c r="E672" t="s">
        <v>1550</v>
      </c>
      <c r="G672" t="s">
        <v>1165</v>
      </c>
      <c r="L672" s="7" t="str">
        <f>HYPERLINK("https://test.ictv.global/id/TN19980546","TN19980546@TEST")</f>
        <v>TN19980546@TEST</v>
      </c>
      <c r="M672" s="7" t="str">
        <f>HYPERLINK("https://test.ictv.global/id/ICTV19952130","ICTV19952130@TEST")</f>
        <v>ICTV19952130@TEST</v>
      </c>
      <c r="N672" s="7" t="str">
        <f>HYPERLINK("https://ictv.global/id/TN19980546","TN19980546@prod")</f>
        <v>TN19980546@prod</v>
      </c>
      <c r="O672" s="7" t="str">
        <f>HYPERLINK("https://ictv.global/id/ICTV19952130","ICTV19952130@prod")</f>
        <v>ICTV19952130@prod</v>
      </c>
    </row>
    <row r="673" spans="1:15" x14ac:dyDescent="0.2">
      <c r="A673">
        <v>17</v>
      </c>
      <c r="B673">
        <v>19980547</v>
      </c>
      <c r="C673">
        <v>19952131</v>
      </c>
      <c r="D673" t="s">
        <v>29</v>
      </c>
      <c r="E673" t="s">
        <v>1551</v>
      </c>
      <c r="G673" t="s">
        <v>1165</v>
      </c>
      <c r="L673" s="7" t="str">
        <f>HYPERLINK("https://test.ictv.global/id/TN19980547","TN19980547@TEST")</f>
        <v>TN19980547@TEST</v>
      </c>
      <c r="M673" s="7" t="str">
        <f>HYPERLINK("https://test.ictv.global/id/ICTV19952131","ICTV19952131@TEST")</f>
        <v>ICTV19952131@TEST</v>
      </c>
      <c r="N673" s="7" t="str">
        <f>HYPERLINK("https://ictv.global/id/TN19980547","TN19980547@prod")</f>
        <v>TN19980547@prod</v>
      </c>
      <c r="O673" s="7" t="str">
        <f>HYPERLINK("https://ictv.global/id/ICTV19952131","ICTV19952131@prod")</f>
        <v>ICTV19952131@prod</v>
      </c>
    </row>
    <row r="674" spans="1:15" x14ac:dyDescent="0.2">
      <c r="A674">
        <v>17</v>
      </c>
      <c r="B674">
        <v>19980548</v>
      </c>
      <c r="C674">
        <v>19952132</v>
      </c>
      <c r="D674" t="s">
        <v>29</v>
      </c>
      <c r="E674" t="s">
        <v>1552</v>
      </c>
      <c r="G674" t="s">
        <v>1165</v>
      </c>
      <c r="L674" s="7" t="str">
        <f>HYPERLINK("https://test.ictv.global/id/TN19980548","TN19980548@TEST")</f>
        <v>TN19980548@TEST</v>
      </c>
      <c r="M674" s="7" t="str">
        <f>HYPERLINK("https://test.ictv.global/id/ICTV19952132","ICTV19952132@TEST")</f>
        <v>ICTV19952132@TEST</v>
      </c>
      <c r="N674" s="7" t="str">
        <f>HYPERLINK("https://ictv.global/id/TN19980548","TN19980548@prod")</f>
        <v>TN19980548@prod</v>
      </c>
      <c r="O674" s="7" t="str">
        <f>HYPERLINK("https://ictv.global/id/ICTV19952132","ICTV19952132@prod")</f>
        <v>ICTV19952132@prod</v>
      </c>
    </row>
    <row r="675" spans="1:15" x14ac:dyDescent="0.2">
      <c r="A675">
        <v>17</v>
      </c>
      <c r="B675">
        <v>19980549</v>
      </c>
      <c r="C675">
        <v>19952133</v>
      </c>
      <c r="D675" t="s">
        <v>29</v>
      </c>
      <c r="E675" t="s">
        <v>1553</v>
      </c>
      <c r="G675" t="s">
        <v>1165</v>
      </c>
      <c r="L675" s="7" t="str">
        <f>HYPERLINK("https://test.ictv.global/id/TN19980549","TN19980549@TEST")</f>
        <v>TN19980549@TEST</v>
      </c>
      <c r="M675" s="7" t="str">
        <f>HYPERLINK("https://test.ictv.global/id/ICTV19952133","ICTV19952133@TEST")</f>
        <v>ICTV19952133@TEST</v>
      </c>
      <c r="N675" s="7" t="str">
        <f>HYPERLINK("https://ictv.global/id/TN19980549","TN19980549@prod")</f>
        <v>TN19980549@prod</v>
      </c>
      <c r="O675" s="7" t="str">
        <f>HYPERLINK("https://ictv.global/id/ICTV19952133","ICTV19952133@prod")</f>
        <v>ICTV19952133@prod</v>
      </c>
    </row>
    <row r="676" spans="1:15" x14ac:dyDescent="0.2">
      <c r="A676">
        <v>17</v>
      </c>
      <c r="B676">
        <v>19980550</v>
      </c>
      <c r="C676">
        <v>19952134</v>
      </c>
      <c r="D676" t="s">
        <v>29</v>
      </c>
      <c r="E676" t="s">
        <v>1554</v>
      </c>
      <c r="G676" t="s">
        <v>1165</v>
      </c>
      <c r="L676" s="7" t="str">
        <f>HYPERLINK("https://test.ictv.global/id/TN19980550","TN19980550@TEST")</f>
        <v>TN19980550@TEST</v>
      </c>
      <c r="M676" s="7" t="str">
        <f>HYPERLINK("https://test.ictv.global/id/ICTV19952134","ICTV19952134@TEST")</f>
        <v>ICTV19952134@TEST</v>
      </c>
      <c r="N676" s="7" t="str">
        <f>HYPERLINK("https://ictv.global/id/TN19980550","TN19980550@prod")</f>
        <v>TN19980550@prod</v>
      </c>
      <c r="O676" s="7" t="str">
        <f>HYPERLINK("https://ictv.global/id/ICTV19952134","ICTV19952134@prod")</f>
        <v>ICTV19952134@prod</v>
      </c>
    </row>
    <row r="677" spans="1:15" x14ac:dyDescent="0.2">
      <c r="A677">
        <v>17</v>
      </c>
      <c r="B677">
        <v>19980551</v>
      </c>
      <c r="C677">
        <v>19952135</v>
      </c>
      <c r="D677" t="s">
        <v>29</v>
      </c>
      <c r="E677" t="s">
        <v>1555</v>
      </c>
      <c r="G677" t="s">
        <v>1165</v>
      </c>
      <c r="L677" s="7" t="str">
        <f>HYPERLINK("https://test.ictv.global/id/TN19980551","TN19980551@TEST")</f>
        <v>TN19980551@TEST</v>
      </c>
      <c r="M677" s="7" t="str">
        <f>HYPERLINK("https://test.ictv.global/id/ICTV19952135","ICTV19952135@TEST")</f>
        <v>ICTV19952135@TEST</v>
      </c>
      <c r="N677" s="7" t="str">
        <f>HYPERLINK("https://ictv.global/id/TN19980551","TN19980551@prod")</f>
        <v>TN19980551@prod</v>
      </c>
      <c r="O677" s="7" t="str">
        <f>HYPERLINK("https://ictv.global/id/ICTV19952135","ICTV19952135@prod")</f>
        <v>ICTV19952135@prod</v>
      </c>
    </row>
    <row r="678" spans="1:15" x14ac:dyDescent="0.2">
      <c r="A678">
        <v>17</v>
      </c>
      <c r="B678">
        <v>19980552</v>
      </c>
      <c r="C678">
        <v>19952136</v>
      </c>
      <c r="D678" t="s">
        <v>29</v>
      </c>
      <c r="E678" t="s">
        <v>1556</v>
      </c>
      <c r="G678" t="s">
        <v>1165</v>
      </c>
      <c r="L678" s="7" t="str">
        <f>HYPERLINK("https://test.ictv.global/id/TN19980552","TN19980552@TEST")</f>
        <v>TN19980552@TEST</v>
      </c>
      <c r="M678" s="7" t="str">
        <f>HYPERLINK("https://test.ictv.global/id/ICTV19952136","ICTV19952136@TEST")</f>
        <v>ICTV19952136@TEST</v>
      </c>
      <c r="N678" s="7" t="str">
        <f>HYPERLINK("https://ictv.global/id/TN19980552","TN19980552@prod")</f>
        <v>TN19980552@prod</v>
      </c>
      <c r="O678" s="7" t="str">
        <f>HYPERLINK("https://ictv.global/id/ICTV19952136","ICTV19952136@prod")</f>
        <v>ICTV19952136@prod</v>
      </c>
    </row>
    <row r="679" spans="1:15" x14ac:dyDescent="0.2">
      <c r="A679">
        <v>17</v>
      </c>
      <c r="B679">
        <v>19980553</v>
      </c>
      <c r="C679">
        <v>19952137</v>
      </c>
      <c r="D679" t="s">
        <v>29</v>
      </c>
      <c r="E679" t="s">
        <v>1557</v>
      </c>
      <c r="G679" t="s">
        <v>1165</v>
      </c>
      <c r="L679" s="7" t="str">
        <f>HYPERLINK("https://test.ictv.global/id/TN19980553","TN19980553@TEST")</f>
        <v>TN19980553@TEST</v>
      </c>
      <c r="M679" s="7" t="str">
        <f>HYPERLINK("https://test.ictv.global/id/ICTV19952137","ICTV19952137@TEST")</f>
        <v>ICTV19952137@TEST</v>
      </c>
      <c r="N679" s="7" t="str">
        <f>HYPERLINK("https://ictv.global/id/TN19980553","TN19980553@prod")</f>
        <v>TN19980553@prod</v>
      </c>
      <c r="O679" s="7" t="str">
        <f>HYPERLINK("https://ictv.global/id/ICTV19952137","ICTV19952137@prod")</f>
        <v>ICTV19952137@prod</v>
      </c>
    </row>
    <row r="680" spans="1:15" x14ac:dyDescent="0.2">
      <c r="A680">
        <v>17</v>
      </c>
      <c r="B680">
        <v>19980554</v>
      </c>
      <c r="C680">
        <v>19952138</v>
      </c>
      <c r="D680" t="s">
        <v>29</v>
      </c>
      <c r="E680" t="s">
        <v>1558</v>
      </c>
      <c r="G680" t="s">
        <v>1165</v>
      </c>
      <c r="L680" s="7" t="str">
        <f>HYPERLINK("https://test.ictv.global/id/TN19980554","TN19980554@TEST")</f>
        <v>TN19980554@TEST</v>
      </c>
      <c r="M680" s="7" t="str">
        <f>HYPERLINK("https://test.ictv.global/id/ICTV19952138","ICTV19952138@TEST")</f>
        <v>ICTV19952138@TEST</v>
      </c>
      <c r="N680" s="7" t="str">
        <f>HYPERLINK("https://ictv.global/id/TN19980554","TN19980554@prod")</f>
        <v>TN19980554@prod</v>
      </c>
      <c r="O680" s="7" t="str">
        <f>HYPERLINK("https://ictv.global/id/ICTV19952138","ICTV19952138@prod")</f>
        <v>ICTV19952138@prod</v>
      </c>
    </row>
    <row r="681" spans="1:15" x14ac:dyDescent="0.2">
      <c r="A681">
        <v>17</v>
      </c>
      <c r="B681">
        <v>19980555</v>
      </c>
      <c r="C681">
        <v>19952139</v>
      </c>
      <c r="D681" t="s">
        <v>29</v>
      </c>
      <c r="E681" t="s">
        <v>1559</v>
      </c>
      <c r="G681" t="s">
        <v>1165</v>
      </c>
      <c r="L681" s="7" t="str">
        <f>HYPERLINK("https://test.ictv.global/id/TN19980555","TN19980555@TEST")</f>
        <v>TN19980555@TEST</v>
      </c>
      <c r="M681" s="7" t="str">
        <f>HYPERLINK("https://test.ictv.global/id/ICTV19952139","ICTV19952139@TEST")</f>
        <v>ICTV19952139@TEST</v>
      </c>
      <c r="N681" s="7" t="str">
        <f>HYPERLINK("https://ictv.global/id/TN19980555","TN19980555@prod")</f>
        <v>TN19980555@prod</v>
      </c>
      <c r="O681" s="7" t="str">
        <f>HYPERLINK("https://ictv.global/id/ICTV19952139","ICTV19952139@prod")</f>
        <v>ICTV19952139@prod</v>
      </c>
    </row>
    <row r="682" spans="1:15" x14ac:dyDescent="0.2">
      <c r="A682">
        <v>17</v>
      </c>
      <c r="B682">
        <v>19980556</v>
      </c>
      <c r="C682">
        <v>19952140</v>
      </c>
      <c r="D682" t="s">
        <v>29</v>
      </c>
      <c r="E682" t="s">
        <v>1560</v>
      </c>
      <c r="G682" t="s">
        <v>1165</v>
      </c>
      <c r="L682" s="7" t="str">
        <f>HYPERLINK("https://test.ictv.global/id/TN19980556","TN19980556@TEST")</f>
        <v>TN19980556@TEST</v>
      </c>
      <c r="M682" s="7" t="str">
        <f>HYPERLINK("https://test.ictv.global/id/ICTV19952140","ICTV19952140@TEST")</f>
        <v>ICTV19952140@TEST</v>
      </c>
      <c r="N682" s="7" t="str">
        <f>HYPERLINK("https://ictv.global/id/TN19980556","TN19980556@prod")</f>
        <v>TN19980556@prod</v>
      </c>
      <c r="O682" s="7" t="str">
        <f>HYPERLINK("https://ictv.global/id/ICTV19952140","ICTV19952140@prod")</f>
        <v>ICTV19952140@prod</v>
      </c>
    </row>
    <row r="683" spans="1:15" x14ac:dyDescent="0.2">
      <c r="A683">
        <v>17</v>
      </c>
      <c r="B683">
        <v>19980557</v>
      </c>
      <c r="C683">
        <v>19952141</v>
      </c>
      <c r="D683" t="s">
        <v>29</v>
      </c>
      <c r="E683" t="s">
        <v>1561</v>
      </c>
      <c r="G683" t="s">
        <v>1165</v>
      </c>
      <c r="L683" s="7" t="str">
        <f>HYPERLINK("https://test.ictv.global/id/TN19980557","TN19980557@TEST")</f>
        <v>TN19980557@TEST</v>
      </c>
      <c r="M683" s="7" t="str">
        <f>HYPERLINK("https://test.ictv.global/id/ICTV19952141","ICTV19952141@TEST")</f>
        <v>ICTV19952141@TEST</v>
      </c>
      <c r="N683" s="7" t="str">
        <f>HYPERLINK("https://ictv.global/id/TN19980557","TN19980557@prod")</f>
        <v>TN19980557@prod</v>
      </c>
      <c r="O683" s="7" t="str">
        <f>HYPERLINK("https://ictv.global/id/ICTV19952141","ICTV19952141@prod")</f>
        <v>ICTV19952141@prod</v>
      </c>
    </row>
    <row r="684" spans="1:15" x14ac:dyDescent="0.2">
      <c r="A684">
        <v>17</v>
      </c>
      <c r="B684">
        <v>19980558</v>
      </c>
      <c r="C684">
        <v>19952142</v>
      </c>
      <c r="D684" t="s">
        <v>29</v>
      </c>
      <c r="E684" t="s">
        <v>1562</v>
      </c>
      <c r="G684" t="s">
        <v>1165</v>
      </c>
      <c r="L684" s="7" t="str">
        <f>HYPERLINK("https://test.ictv.global/id/TN19980558","TN19980558@TEST")</f>
        <v>TN19980558@TEST</v>
      </c>
      <c r="M684" s="7" t="str">
        <f>HYPERLINK("https://test.ictv.global/id/ICTV19952142","ICTV19952142@TEST")</f>
        <v>ICTV19952142@TEST</v>
      </c>
      <c r="N684" s="7" t="str">
        <f>HYPERLINK("https://ictv.global/id/TN19980558","TN19980558@prod")</f>
        <v>TN19980558@prod</v>
      </c>
      <c r="O684" s="7" t="str">
        <f>HYPERLINK("https://ictv.global/id/ICTV19952142","ICTV19952142@prod")</f>
        <v>ICTV19952142@prod</v>
      </c>
    </row>
    <row r="685" spans="1:15" x14ac:dyDescent="0.2">
      <c r="A685">
        <v>17</v>
      </c>
      <c r="B685">
        <v>19980559</v>
      </c>
      <c r="C685">
        <v>19952143</v>
      </c>
      <c r="D685" t="s">
        <v>29</v>
      </c>
      <c r="E685" t="s">
        <v>1563</v>
      </c>
      <c r="G685" t="s">
        <v>1165</v>
      </c>
      <c r="L685" s="7" t="str">
        <f>HYPERLINK("https://test.ictv.global/id/TN19980559","TN19980559@TEST")</f>
        <v>TN19980559@TEST</v>
      </c>
      <c r="M685" s="7" t="str">
        <f>HYPERLINK("https://test.ictv.global/id/ICTV19952143","ICTV19952143@TEST")</f>
        <v>ICTV19952143@TEST</v>
      </c>
      <c r="N685" s="7" t="str">
        <f>HYPERLINK("https://ictv.global/id/TN19980559","TN19980559@prod")</f>
        <v>TN19980559@prod</v>
      </c>
      <c r="O685" s="7" t="str">
        <f>HYPERLINK("https://ictv.global/id/ICTV19952143","ICTV19952143@prod")</f>
        <v>ICTV19952143@prod</v>
      </c>
    </row>
    <row r="686" spans="1:15" x14ac:dyDescent="0.2">
      <c r="A686">
        <v>17</v>
      </c>
      <c r="B686">
        <v>19980560</v>
      </c>
      <c r="C686">
        <v>19952144</v>
      </c>
      <c r="D686" t="s">
        <v>29</v>
      </c>
      <c r="E686" t="s">
        <v>1564</v>
      </c>
      <c r="G686" t="s">
        <v>1165</v>
      </c>
      <c r="L686" s="7" t="str">
        <f>HYPERLINK("https://test.ictv.global/id/TN19980560","TN19980560@TEST")</f>
        <v>TN19980560@TEST</v>
      </c>
      <c r="M686" s="7" t="str">
        <f>HYPERLINK("https://test.ictv.global/id/ICTV19952144","ICTV19952144@TEST")</f>
        <v>ICTV19952144@TEST</v>
      </c>
      <c r="N686" s="7" t="str">
        <f>HYPERLINK("https://ictv.global/id/TN19980560","TN19980560@prod")</f>
        <v>TN19980560@prod</v>
      </c>
      <c r="O686" s="7" t="str">
        <f>HYPERLINK("https://ictv.global/id/ICTV19952144","ICTV19952144@prod")</f>
        <v>ICTV19952144@prod</v>
      </c>
    </row>
    <row r="687" spans="1:15" x14ac:dyDescent="0.2">
      <c r="A687">
        <v>17</v>
      </c>
      <c r="B687">
        <v>19980561</v>
      </c>
      <c r="C687">
        <v>19952145</v>
      </c>
      <c r="D687" t="s">
        <v>29</v>
      </c>
      <c r="E687" t="s">
        <v>1565</v>
      </c>
      <c r="G687" t="s">
        <v>1165</v>
      </c>
      <c r="L687" s="7" t="str">
        <f>HYPERLINK("https://test.ictv.global/id/TN19980561","TN19980561@TEST")</f>
        <v>TN19980561@TEST</v>
      </c>
      <c r="M687" s="7" t="str">
        <f>HYPERLINK("https://test.ictv.global/id/ICTV19952145","ICTV19952145@TEST")</f>
        <v>ICTV19952145@TEST</v>
      </c>
      <c r="N687" s="7" t="str">
        <f>HYPERLINK("https://ictv.global/id/TN19980561","TN19980561@prod")</f>
        <v>TN19980561@prod</v>
      </c>
      <c r="O687" s="7" t="str">
        <f>HYPERLINK("https://ictv.global/id/ICTV19952145","ICTV19952145@prod")</f>
        <v>ICTV19952145@prod</v>
      </c>
    </row>
    <row r="688" spans="1:15" x14ac:dyDescent="0.2">
      <c r="A688">
        <v>17</v>
      </c>
      <c r="B688">
        <v>19980562</v>
      </c>
      <c r="C688">
        <v>19952146</v>
      </c>
      <c r="D688" t="s">
        <v>29</v>
      </c>
      <c r="E688" t="s">
        <v>1566</v>
      </c>
      <c r="G688" t="s">
        <v>1165</v>
      </c>
      <c r="L688" s="7" t="str">
        <f>HYPERLINK("https://test.ictv.global/id/TN19980562","TN19980562@TEST")</f>
        <v>TN19980562@TEST</v>
      </c>
      <c r="M688" s="7" t="str">
        <f>HYPERLINK("https://test.ictv.global/id/ICTV19952146","ICTV19952146@TEST")</f>
        <v>ICTV19952146@TEST</v>
      </c>
      <c r="N688" s="7" t="str">
        <f>HYPERLINK("https://ictv.global/id/TN19980562","TN19980562@prod")</f>
        <v>TN19980562@prod</v>
      </c>
      <c r="O688" s="7" t="str">
        <f>HYPERLINK("https://ictv.global/id/ICTV19952146","ICTV19952146@prod")</f>
        <v>ICTV19952146@prod</v>
      </c>
    </row>
    <row r="689" spans="1:15" x14ac:dyDescent="0.2">
      <c r="A689">
        <v>17</v>
      </c>
      <c r="B689">
        <v>19980563</v>
      </c>
      <c r="C689">
        <v>19962210</v>
      </c>
      <c r="D689" t="s">
        <v>29</v>
      </c>
      <c r="E689" t="s">
        <v>1567</v>
      </c>
      <c r="G689" t="s">
        <v>1165</v>
      </c>
      <c r="L689" s="7" t="str">
        <f>HYPERLINK("https://test.ictv.global/id/TN19980563","TN19980563@TEST")</f>
        <v>TN19980563@TEST</v>
      </c>
      <c r="M689" s="7" t="str">
        <f>HYPERLINK("https://test.ictv.global/id/ICTV19962210","ICTV19962210@TEST")</f>
        <v>ICTV19962210@TEST</v>
      </c>
      <c r="N689" s="7" t="str">
        <f>HYPERLINK("https://ictv.global/id/TN19980563","TN19980563@prod")</f>
        <v>TN19980563@prod</v>
      </c>
      <c r="O689" s="7" t="str">
        <f>HYPERLINK("https://ictv.global/id/ICTV19962210","ICTV19962210@prod")</f>
        <v>ICTV19962210@prod</v>
      </c>
    </row>
    <row r="690" spans="1:15" x14ac:dyDescent="0.2">
      <c r="A690">
        <v>17</v>
      </c>
      <c r="B690">
        <v>19980564</v>
      </c>
      <c r="C690">
        <v>19952147</v>
      </c>
      <c r="D690" t="s">
        <v>29</v>
      </c>
      <c r="E690" t="s">
        <v>1568</v>
      </c>
      <c r="G690" t="s">
        <v>1165</v>
      </c>
      <c r="L690" s="7" t="str">
        <f>HYPERLINK("https://test.ictv.global/id/TN19980564","TN19980564@TEST")</f>
        <v>TN19980564@TEST</v>
      </c>
      <c r="M690" s="7" t="str">
        <f>HYPERLINK("https://test.ictv.global/id/ICTV19952147","ICTV19952147@TEST")</f>
        <v>ICTV19952147@TEST</v>
      </c>
      <c r="N690" s="7" t="str">
        <f>HYPERLINK("https://ictv.global/id/TN19980564","TN19980564@prod")</f>
        <v>TN19980564@prod</v>
      </c>
      <c r="O690" s="7" t="str">
        <f>HYPERLINK("https://ictv.global/id/ICTV19952147","ICTV19952147@prod")</f>
        <v>ICTV19952147@prod</v>
      </c>
    </row>
    <row r="691" spans="1:15" x14ac:dyDescent="0.2">
      <c r="A691">
        <v>17</v>
      </c>
      <c r="B691">
        <v>19980565</v>
      </c>
      <c r="C691">
        <v>19952148</v>
      </c>
      <c r="D691" t="s">
        <v>29</v>
      </c>
      <c r="E691" t="s">
        <v>1569</v>
      </c>
      <c r="G691" t="s">
        <v>1165</v>
      </c>
      <c r="L691" s="7" t="str">
        <f>HYPERLINK("https://test.ictv.global/id/TN19980565","TN19980565@TEST")</f>
        <v>TN19980565@TEST</v>
      </c>
      <c r="M691" s="7" t="str">
        <f>HYPERLINK("https://test.ictv.global/id/ICTV19952148","ICTV19952148@TEST")</f>
        <v>ICTV19952148@TEST</v>
      </c>
      <c r="N691" s="7" t="str">
        <f>HYPERLINK("https://ictv.global/id/TN19980565","TN19980565@prod")</f>
        <v>TN19980565@prod</v>
      </c>
      <c r="O691" s="7" t="str">
        <f>HYPERLINK("https://ictv.global/id/ICTV19952148","ICTV19952148@prod")</f>
        <v>ICTV19952148@prod</v>
      </c>
    </row>
    <row r="692" spans="1:15" x14ac:dyDescent="0.2">
      <c r="A692">
        <v>17</v>
      </c>
      <c r="B692">
        <v>19980566</v>
      </c>
      <c r="C692">
        <v>19952149</v>
      </c>
      <c r="D692" t="s">
        <v>29</v>
      </c>
      <c r="E692" t="s">
        <v>1570</v>
      </c>
      <c r="G692" t="s">
        <v>1165</v>
      </c>
      <c r="L692" s="7" t="str">
        <f>HYPERLINK("https://test.ictv.global/id/TN19980566","TN19980566@TEST")</f>
        <v>TN19980566@TEST</v>
      </c>
      <c r="M692" s="7" t="str">
        <f>HYPERLINK("https://test.ictv.global/id/ICTV19952149","ICTV19952149@TEST")</f>
        <v>ICTV19952149@TEST</v>
      </c>
      <c r="N692" s="7" t="str">
        <f>HYPERLINK("https://ictv.global/id/TN19980566","TN19980566@prod")</f>
        <v>TN19980566@prod</v>
      </c>
      <c r="O692" s="7" t="str">
        <f>HYPERLINK("https://ictv.global/id/ICTV19952149","ICTV19952149@prod")</f>
        <v>ICTV19952149@prod</v>
      </c>
    </row>
    <row r="693" spans="1:15" x14ac:dyDescent="0.2">
      <c r="A693">
        <v>17</v>
      </c>
      <c r="B693">
        <v>19980567</v>
      </c>
      <c r="C693">
        <v>19952150</v>
      </c>
      <c r="D693" t="s">
        <v>29</v>
      </c>
      <c r="E693" t="s">
        <v>1571</v>
      </c>
      <c r="G693" t="s">
        <v>1165</v>
      </c>
      <c r="L693" s="7" t="str">
        <f>HYPERLINK("https://test.ictv.global/id/TN19980567","TN19980567@TEST")</f>
        <v>TN19980567@TEST</v>
      </c>
      <c r="M693" s="7" t="str">
        <f>HYPERLINK("https://test.ictv.global/id/ICTV19952150","ICTV19952150@TEST")</f>
        <v>ICTV19952150@TEST</v>
      </c>
      <c r="N693" s="7" t="str">
        <f>HYPERLINK("https://ictv.global/id/TN19980567","TN19980567@prod")</f>
        <v>TN19980567@prod</v>
      </c>
      <c r="O693" s="7" t="str">
        <f>HYPERLINK("https://ictv.global/id/ICTV19952150","ICTV19952150@prod")</f>
        <v>ICTV19952150@prod</v>
      </c>
    </row>
    <row r="694" spans="1:15" x14ac:dyDescent="0.2">
      <c r="A694">
        <v>17</v>
      </c>
      <c r="B694">
        <v>19980568</v>
      </c>
      <c r="C694">
        <v>19952151</v>
      </c>
      <c r="D694" t="s">
        <v>29</v>
      </c>
      <c r="E694" t="s">
        <v>1572</v>
      </c>
      <c r="G694" t="s">
        <v>1165</v>
      </c>
      <c r="L694" s="7" t="str">
        <f>HYPERLINK("https://test.ictv.global/id/TN19980568","TN19980568@TEST")</f>
        <v>TN19980568@TEST</v>
      </c>
      <c r="M694" s="7" t="str">
        <f>HYPERLINK("https://test.ictv.global/id/ICTV19952151","ICTV19952151@TEST")</f>
        <v>ICTV19952151@TEST</v>
      </c>
      <c r="N694" s="7" t="str">
        <f>HYPERLINK("https://ictv.global/id/TN19980568","TN19980568@prod")</f>
        <v>TN19980568@prod</v>
      </c>
      <c r="O694" s="7" t="str">
        <f>HYPERLINK("https://ictv.global/id/ICTV19952151","ICTV19952151@prod")</f>
        <v>ICTV19952151@prod</v>
      </c>
    </row>
    <row r="695" spans="1:15" x14ac:dyDescent="0.2">
      <c r="A695">
        <v>17</v>
      </c>
      <c r="B695">
        <v>19980569</v>
      </c>
      <c r="C695">
        <v>19952152</v>
      </c>
      <c r="D695" t="s">
        <v>29</v>
      </c>
      <c r="E695" t="s">
        <v>1573</v>
      </c>
      <c r="G695" t="s">
        <v>1165</v>
      </c>
      <c r="L695" s="7" t="str">
        <f>HYPERLINK("https://test.ictv.global/id/TN19980569","TN19980569@TEST")</f>
        <v>TN19980569@TEST</v>
      </c>
      <c r="M695" s="7" t="str">
        <f>HYPERLINK("https://test.ictv.global/id/ICTV19952152","ICTV19952152@TEST")</f>
        <v>ICTV19952152@TEST</v>
      </c>
      <c r="N695" s="7" t="str">
        <f>HYPERLINK("https://ictv.global/id/TN19980569","TN19980569@prod")</f>
        <v>TN19980569@prod</v>
      </c>
      <c r="O695" s="7" t="str">
        <f>HYPERLINK("https://ictv.global/id/ICTV19952152","ICTV19952152@prod")</f>
        <v>ICTV19952152@prod</v>
      </c>
    </row>
    <row r="696" spans="1:15" x14ac:dyDescent="0.2">
      <c r="A696">
        <v>17</v>
      </c>
      <c r="B696">
        <v>19980570</v>
      </c>
      <c r="C696">
        <v>19952153</v>
      </c>
      <c r="D696" t="s">
        <v>29</v>
      </c>
      <c r="E696" t="s">
        <v>1574</v>
      </c>
      <c r="G696" t="s">
        <v>1165</v>
      </c>
      <c r="L696" s="7" t="str">
        <f>HYPERLINK("https://test.ictv.global/id/TN19980570","TN19980570@TEST")</f>
        <v>TN19980570@TEST</v>
      </c>
      <c r="M696" s="7" t="str">
        <f>HYPERLINK("https://test.ictv.global/id/ICTV19952153","ICTV19952153@TEST")</f>
        <v>ICTV19952153@TEST</v>
      </c>
      <c r="N696" s="7" t="str">
        <f>HYPERLINK("https://ictv.global/id/TN19980570","TN19980570@prod")</f>
        <v>TN19980570@prod</v>
      </c>
      <c r="O696" s="7" t="str">
        <f>HYPERLINK("https://ictv.global/id/ICTV19952153","ICTV19952153@prod")</f>
        <v>ICTV19952153@prod</v>
      </c>
    </row>
    <row r="697" spans="1:15" x14ac:dyDescent="0.2">
      <c r="A697">
        <v>17</v>
      </c>
      <c r="B697">
        <v>19980571</v>
      </c>
      <c r="C697">
        <v>19962218</v>
      </c>
      <c r="D697" t="s">
        <v>29</v>
      </c>
      <c r="E697" t="s">
        <v>1575</v>
      </c>
      <c r="G697" t="s">
        <v>1165</v>
      </c>
      <c r="L697" s="7" t="str">
        <f>HYPERLINK("https://test.ictv.global/id/TN19980571","TN19980571@TEST")</f>
        <v>TN19980571@TEST</v>
      </c>
      <c r="M697" s="7" t="str">
        <f>HYPERLINK("https://test.ictv.global/id/ICTV19962218","ICTV19962218@TEST")</f>
        <v>ICTV19962218@TEST</v>
      </c>
      <c r="N697" s="7" t="str">
        <f>HYPERLINK("https://ictv.global/id/TN19980571","TN19980571@prod")</f>
        <v>TN19980571@prod</v>
      </c>
      <c r="O697" s="7" t="str">
        <f>HYPERLINK("https://ictv.global/id/ICTV19962218","ICTV19962218@prod")</f>
        <v>ICTV19962218@prod</v>
      </c>
    </row>
    <row r="698" spans="1:15" x14ac:dyDescent="0.2">
      <c r="A698">
        <v>17</v>
      </c>
      <c r="B698">
        <v>19980572</v>
      </c>
      <c r="C698">
        <v>19952154</v>
      </c>
      <c r="D698" t="s">
        <v>29</v>
      </c>
      <c r="E698" t="s">
        <v>1576</v>
      </c>
      <c r="G698" t="s">
        <v>1165</v>
      </c>
      <c r="L698" s="7" t="str">
        <f>HYPERLINK("https://test.ictv.global/id/TN19980572","TN19980572@TEST")</f>
        <v>TN19980572@TEST</v>
      </c>
      <c r="M698" s="7" t="str">
        <f>HYPERLINK("https://test.ictv.global/id/ICTV19952154","ICTV19952154@TEST")</f>
        <v>ICTV19952154@TEST</v>
      </c>
      <c r="N698" s="7" t="str">
        <f>HYPERLINK("https://ictv.global/id/TN19980572","TN19980572@prod")</f>
        <v>TN19980572@prod</v>
      </c>
      <c r="O698" s="7" t="str">
        <f>HYPERLINK("https://ictv.global/id/ICTV19952154","ICTV19952154@prod")</f>
        <v>ICTV19952154@prod</v>
      </c>
    </row>
    <row r="699" spans="1:15" x14ac:dyDescent="0.2">
      <c r="A699">
        <v>17</v>
      </c>
      <c r="B699">
        <v>19980573</v>
      </c>
      <c r="C699">
        <v>19952155</v>
      </c>
      <c r="D699" t="s">
        <v>29</v>
      </c>
      <c r="E699" t="s">
        <v>1577</v>
      </c>
      <c r="G699" t="s">
        <v>1165</v>
      </c>
      <c r="L699" s="7" t="str">
        <f>HYPERLINK("https://test.ictv.global/id/TN19980573","TN19980573@TEST")</f>
        <v>TN19980573@TEST</v>
      </c>
      <c r="M699" s="7" t="str">
        <f>HYPERLINK("https://test.ictv.global/id/ICTV19952155","ICTV19952155@TEST")</f>
        <v>ICTV19952155@TEST</v>
      </c>
      <c r="N699" s="7" t="str">
        <f>HYPERLINK("https://ictv.global/id/TN19980573","TN19980573@prod")</f>
        <v>TN19980573@prod</v>
      </c>
      <c r="O699" s="7" t="str">
        <f>HYPERLINK("https://ictv.global/id/ICTV19952155","ICTV19952155@prod")</f>
        <v>ICTV19952155@prod</v>
      </c>
    </row>
    <row r="700" spans="1:15" x14ac:dyDescent="0.2">
      <c r="A700">
        <v>17</v>
      </c>
      <c r="B700">
        <v>19980574</v>
      </c>
      <c r="C700">
        <v>19962221</v>
      </c>
      <c r="D700" t="s">
        <v>29</v>
      </c>
      <c r="E700" t="s">
        <v>1578</v>
      </c>
      <c r="G700" t="s">
        <v>1165</v>
      </c>
      <c r="L700" s="7" t="str">
        <f>HYPERLINK("https://test.ictv.global/id/TN19980574","TN19980574@TEST")</f>
        <v>TN19980574@TEST</v>
      </c>
      <c r="M700" s="7" t="str">
        <f>HYPERLINK("https://test.ictv.global/id/ICTV19962221","ICTV19962221@TEST")</f>
        <v>ICTV19962221@TEST</v>
      </c>
      <c r="N700" s="7" t="str">
        <f>HYPERLINK("https://ictv.global/id/TN19980574","TN19980574@prod")</f>
        <v>TN19980574@prod</v>
      </c>
      <c r="O700" s="7" t="str">
        <f>HYPERLINK("https://ictv.global/id/ICTV19962221","ICTV19962221@prod")</f>
        <v>ICTV19962221@prod</v>
      </c>
    </row>
    <row r="701" spans="1:15" x14ac:dyDescent="0.2">
      <c r="A701">
        <v>17</v>
      </c>
      <c r="B701">
        <v>19980575</v>
      </c>
      <c r="C701">
        <v>19962222</v>
      </c>
      <c r="D701" t="s">
        <v>29</v>
      </c>
      <c r="E701" t="s">
        <v>1579</v>
      </c>
      <c r="G701" t="s">
        <v>1165</v>
      </c>
      <c r="L701" s="7" t="str">
        <f>HYPERLINK("https://test.ictv.global/id/TN19980575","TN19980575@TEST")</f>
        <v>TN19980575@TEST</v>
      </c>
      <c r="M701" s="7" t="str">
        <f>HYPERLINK("https://test.ictv.global/id/ICTV19962222","ICTV19962222@TEST")</f>
        <v>ICTV19962222@TEST</v>
      </c>
      <c r="N701" s="7" t="str">
        <f>HYPERLINK("https://ictv.global/id/TN19980575","TN19980575@prod")</f>
        <v>TN19980575@prod</v>
      </c>
      <c r="O701" s="7" t="str">
        <f>HYPERLINK("https://ictv.global/id/ICTV19962222","ICTV19962222@prod")</f>
        <v>ICTV19962222@prod</v>
      </c>
    </row>
    <row r="702" spans="1:15" x14ac:dyDescent="0.2">
      <c r="A702">
        <v>17</v>
      </c>
      <c r="B702">
        <v>19980576</v>
      </c>
      <c r="C702">
        <v>19952156</v>
      </c>
      <c r="D702" t="s">
        <v>29</v>
      </c>
      <c r="E702" t="s">
        <v>1580</v>
      </c>
      <c r="G702" t="s">
        <v>1165</v>
      </c>
      <c r="L702" s="7" t="str">
        <f>HYPERLINK("https://test.ictv.global/id/TN19980576","TN19980576@TEST")</f>
        <v>TN19980576@TEST</v>
      </c>
      <c r="M702" s="7" t="str">
        <f>HYPERLINK("https://test.ictv.global/id/ICTV19952156","ICTV19952156@TEST")</f>
        <v>ICTV19952156@TEST</v>
      </c>
      <c r="N702" s="7" t="str">
        <f>HYPERLINK("https://ictv.global/id/TN19980576","TN19980576@prod")</f>
        <v>TN19980576@prod</v>
      </c>
      <c r="O702" s="7" t="str">
        <f>HYPERLINK("https://ictv.global/id/ICTV19952156","ICTV19952156@prod")</f>
        <v>ICTV19952156@prod</v>
      </c>
    </row>
    <row r="703" spans="1:15" x14ac:dyDescent="0.2">
      <c r="A703">
        <v>17</v>
      </c>
      <c r="B703">
        <v>19980577</v>
      </c>
      <c r="C703">
        <v>19952157</v>
      </c>
      <c r="D703" t="s">
        <v>29</v>
      </c>
      <c r="E703" t="s">
        <v>1581</v>
      </c>
      <c r="G703" t="s">
        <v>1165</v>
      </c>
      <c r="L703" s="7" t="str">
        <f>HYPERLINK("https://test.ictv.global/id/TN19980577","TN19980577@TEST")</f>
        <v>TN19980577@TEST</v>
      </c>
      <c r="M703" s="7" t="str">
        <f>HYPERLINK("https://test.ictv.global/id/ICTV19952157","ICTV19952157@TEST")</f>
        <v>ICTV19952157@TEST</v>
      </c>
      <c r="N703" s="7" t="str">
        <f>HYPERLINK("https://ictv.global/id/TN19980577","TN19980577@prod")</f>
        <v>TN19980577@prod</v>
      </c>
      <c r="O703" s="7" t="str">
        <f>HYPERLINK("https://ictv.global/id/ICTV19952157","ICTV19952157@prod")</f>
        <v>ICTV19952157@prod</v>
      </c>
    </row>
    <row r="704" spans="1:15" x14ac:dyDescent="0.2">
      <c r="A704">
        <v>17</v>
      </c>
      <c r="B704">
        <v>19980578</v>
      </c>
      <c r="C704">
        <v>19952158</v>
      </c>
      <c r="D704" t="s">
        <v>29</v>
      </c>
      <c r="E704" t="s">
        <v>1582</v>
      </c>
      <c r="G704" t="s">
        <v>1165</v>
      </c>
      <c r="L704" s="7" t="str">
        <f>HYPERLINK("https://test.ictv.global/id/TN19980578","TN19980578@TEST")</f>
        <v>TN19980578@TEST</v>
      </c>
      <c r="M704" s="7" t="str">
        <f>HYPERLINK("https://test.ictv.global/id/ICTV19952158","ICTV19952158@TEST")</f>
        <v>ICTV19952158@TEST</v>
      </c>
      <c r="N704" s="7" t="str">
        <f>HYPERLINK("https://ictv.global/id/TN19980578","TN19980578@prod")</f>
        <v>TN19980578@prod</v>
      </c>
      <c r="O704" s="7" t="str">
        <f>HYPERLINK("https://ictv.global/id/ICTV19952158","ICTV19952158@prod")</f>
        <v>ICTV19952158@prod</v>
      </c>
    </row>
    <row r="705" spans="1:15" x14ac:dyDescent="0.2">
      <c r="A705">
        <v>17</v>
      </c>
      <c r="B705">
        <v>19980579</v>
      </c>
      <c r="C705">
        <v>19952159</v>
      </c>
      <c r="D705" t="s">
        <v>29</v>
      </c>
      <c r="E705" t="s">
        <v>1583</v>
      </c>
      <c r="G705" t="s">
        <v>1165</v>
      </c>
      <c r="L705" s="7" t="str">
        <f>HYPERLINK("https://test.ictv.global/id/TN19980579","TN19980579@TEST")</f>
        <v>TN19980579@TEST</v>
      </c>
      <c r="M705" s="7" t="str">
        <f>HYPERLINK("https://test.ictv.global/id/ICTV19952159","ICTV19952159@TEST")</f>
        <v>ICTV19952159@TEST</v>
      </c>
      <c r="N705" s="7" t="str">
        <f>HYPERLINK("https://ictv.global/id/TN19980579","TN19980579@prod")</f>
        <v>TN19980579@prod</v>
      </c>
      <c r="O705" s="7" t="str">
        <f>HYPERLINK("https://ictv.global/id/ICTV19952159","ICTV19952159@prod")</f>
        <v>ICTV19952159@prod</v>
      </c>
    </row>
    <row r="706" spans="1:15" x14ac:dyDescent="0.2">
      <c r="A706">
        <v>17</v>
      </c>
      <c r="B706">
        <v>19980580</v>
      </c>
      <c r="C706">
        <v>19952160</v>
      </c>
      <c r="D706" t="s">
        <v>29</v>
      </c>
      <c r="E706" t="s">
        <v>1584</v>
      </c>
      <c r="G706" t="s">
        <v>1165</v>
      </c>
      <c r="L706" s="7" t="str">
        <f>HYPERLINK("https://test.ictv.global/id/TN19980580","TN19980580@TEST")</f>
        <v>TN19980580@TEST</v>
      </c>
      <c r="M706" s="7" t="str">
        <f>HYPERLINK("https://test.ictv.global/id/ICTV19952160","ICTV19952160@TEST")</f>
        <v>ICTV19952160@TEST</v>
      </c>
      <c r="N706" s="7" t="str">
        <f>HYPERLINK("https://ictv.global/id/TN19980580","TN19980580@prod")</f>
        <v>TN19980580@prod</v>
      </c>
      <c r="O706" s="7" t="str">
        <f>HYPERLINK("https://ictv.global/id/ICTV19952160","ICTV19952160@prod")</f>
        <v>ICTV19952160@prod</v>
      </c>
    </row>
    <row r="707" spans="1:15" x14ac:dyDescent="0.2">
      <c r="A707">
        <v>17</v>
      </c>
      <c r="B707">
        <v>19980581</v>
      </c>
      <c r="C707">
        <v>19952161</v>
      </c>
      <c r="D707" t="s">
        <v>29</v>
      </c>
      <c r="E707" t="s">
        <v>1585</v>
      </c>
      <c r="G707" t="s">
        <v>1165</v>
      </c>
      <c r="L707" s="7" t="str">
        <f>HYPERLINK("https://test.ictv.global/id/TN19980581","TN19980581@TEST")</f>
        <v>TN19980581@TEST</v>
      </c>
      <c r="M707" s="7" t="str">
        <f>HYPERLINK("https://test.ictv.global/id/ICTV19952161","ICTV19952161@TEST")</f>
        <v>ICTV19952161@TEST</v>
      </c>
      <c r="N707" s="7" t="str">
        <f>HYPERLINK("https://ictv.global/id/TN19980581","TN19980581@prod")</f>
        <v>TN19980581@prod</v>
      </c>
      <c r="O707" s="7" t="str">
        <f>HYPERLINK("https://ictv.global/id/ICTV19952161","ICTV19952161@prod")</f>
        <v>ICTV19952161@prod</v>
      </c>
    </row>
    <row r="708" spans="1:15" x14ac:dyDescent="0.2">
      <c r="A708">
        <v>17</v>
      </c>
      <c r="B708">
        <v>19980582</v>
      </c>
      <c r="C708">
        <v>19952162</v>
      </c>
      <c r="D708" t="s">
        <v>29</v>
      </c>
      <c r="E708" t="s">
        <v>1586</v>
      </c>
      <c r="G708" t="s">
        <v>1165</v>
      </c>
      <c r="L708" s="7" t="str">
        <f>HYPERLINK("https://test.ictv.global/id/TN19980582","TN19980582@TEST")</f>
        <v>TN19980582@TEST</v>
      </c>
      <c r="M708" s="7" t="str">
        <f>HYPERLINK("https://test.ictv.global/id/ICTV19952162","ICTV19952162@TEST")</f>
        <v>ICTV19952162@TEST</v>
      </c>
      <c r="N708" s="7" t="str">
        <f>HYPERLINK("https://ictv.global/id/TN19980582","TN19980582@prod")</f>
        <v>TN19980582@prod</v>
      </c>
      <c r="O708" s="7" t="str">
        <f>HYPERLINK("https://ictv.global/id/ICTV19952162","ICTV19952162@prod")</f>
        <v>ICTV19952162@prod</v>
      </c>
    </row>
    <row r="709" spans="1:15" x14ac:dyDescent="0.2">
      <c r="A709">
        <v>17</v>
      </c>
      <c r="B709">
        <v>19980583</v>
      </c>
      <c r="C709">
        <v>19952163</v>
      </c>
      <c r="D709" t="s">
        <v>29</v>
      </c>
      <c r="E709" t="s">
        <v>1587</v>
      </c>
      <c r="G709" t="s">
        <v>1165</v>
      </c>
      <c r="L709" s="7" t="str">
        <f>HYPERLINK("https://test.ictv.global/id/TN19980583","TN19980583@TEST")</f>
        <v>TN19980583@TEST</v>
      </c>
      <c r="M709" s="7" t="str">
        <f>HYPERLINK("https://test.ictv.global/id/ICTV19952163","ICTV19952163@TEST")</f>
        <v>ICTV19952163@TEST</v>
      </c>
      <c r="N709" s="7" t="str">
        <f>HYPERLINK("https://ictv.global/id/TN19980583","TN19980583@prod")</f>
        <v>TN19980583@prod</v>
      </c>
      <c r="O709" s="7" t="str">
        <f>HYPERLINK("https://ictv.global/id/ICTV19952163","ICTV19952163@prod")</f>
        <v>ICTV19952163@prod</v>
      </c>
    </row>
    <row r="710" spans="1:15" x14ac:dyDescent="0.2">
      <c r="A710">
        <v>17</v>
      </c>
      <c r="B710">
        <v>19980584</v>
      </c>
      <c r="C710">
        <v>19952164</v>
      </c>
      <c r="D710" t="s">
        <v>29</v>
      </c>
      <c r="E710" t="s">
        <v>1588</v>
      </c>
      <c r="G710" t="s">
        <v>1165</v>
      </c>
      <c r="L710" s="7" t="str">
        <f>HYPERLINK("https://test.ictv.global/id/TN19980584","TN19980584@TEST")</f>
        <v>TN19980584@TEST</v>
      </c>
      <c r="M710" s="7" t="str">
        <f>HYPERLINK("https://test.ictv.global/id/ICTV19952164","ICTV19952164@TEST")</f>
        <v>ICTV19952164@TEST</v>
      </c>
      <c r="N710" s="7" t="str">
        <f>HYPERLINK("https://ictv.global/id/TN19980584","TN19980584@prod")</f>
        <v>TN19980584@prod</v>
      </c>
      <c r="O710" s="7" t="str">
        <f>HYPERLINK("https://ictv.global/id/ICTV19952164","ICTV19952164@prod")</f>
        <v>ICTV19952164@prod</v>
      </c>
    </row>
    <row r="711" spans="1:15" x14ac:dyDescent="0.2">
      <c r="A711">
        <v>17</v>
      </c>
      <c r="B711">
        <v>19980585</v>
      </c>
      <c r="C711">
        <v>19952165</v>
      </c>
      <c r="D711" t="s">
        <v>29</v>
      </c>
      <c r="E711" t="s">
        <v>1589</v>
      </c>
      <c r="G711" t="s">
        <v>1165</v>
      </c>
      <c r="L711" s="7" t="str">
        <f>HYPERLINK("https://test.ictv.global/id/TN19980585","TN19980585@TEST")</f>
        <v>TN19980585@TEST</v>
      </c>
      <c r="M711" s="7" t="str">
        <f>HYPERLINK("https://test.ictv.global/id/ICTV19952165","ICTV19952165@TEST")</f>
        <v>ICTV19952165@TEST</v>
      </c>
      <c r="N711" s="7" t="str">
        <f>HYPERLINK("https://ictv.global/id/TN19980585","TN19980585@prod")</f>
        <v>TN19980585@prod</v>
      </c>
      <c r="O711" s="7" t="str">
        <f>HYPERLINK("https://ictv.global/id/ICTV19952165","ICTV19952165@prod")</f>
        <v>ICTV19952165@prod</v>
      </c>
    </row>
    <row r="712" spans="1:15" x14ac:dyDescent="0.2">
      <c r="A712">
        <v>17</v>
      </c>
      <c r="B712">
        <v>19980586</v>
      </c>
      <c r="C712">
        <v>19952166</v>
      </c>
      <c r="D712" t="s">
        <v>29</v>
      </c>
      <c r="E712" t="s">
        <v>1590</v>
      </c>
      <c r="G712" t="s">
        <v>1165</v>
      </c>
      <c r="L712" s="7" t="str">
        <f>HYPERLINK("https://test.ictv.global/id/TN19980586","TN19980586@TEST")</f>
        <v>TN19980586@TEST</v>
      </c>
      <c r="M712" s="7" t="str">
        <f>HYPERLINK("https://test.ictv.global/id/ICTV19952166","ICTV19952166@TEST")</f>
        <v>ICTV19952166@TEST</v>
      </c>
      <c r="N712" s="7" t="str">
        <f>HYPERLINK("https://ictv.global/id/TN19980586","TN19980586@prod")</f>
        <v>TN19980586@prod</v>
      </c>
      <c r="O712" s="7" t="str">
        <f>HYPERLINK("https://ictv.global/id/ICTV19952166","ICTV19952166@prod")</f>
        <v>ICTV19952166@prod</v>
      </c>
    </row>
    <row r="713" spans="1:15" x14ac:dyDescent="0.2">
      <c r="A713">
        <v>17</v>
      </c>
      <c r="B713">
        <v>19980587</v>
      </c>
      <c r="C713">
        <v>19952167</v>
      </c>
      <c r="D713" t="s">
        <v>29</v>
      </c>
      <c r="E713" t="s">
        <v>1591</v>
      </c>
      <c r="G713" t="s">
        <v>1165</v>
      </c>
      <c r="L713" s="7" t="str">
        <f>HYPERLINK("https://test.ictv.global/id/TN19980587","TN19980587@TEST")</f>
        <v>TN19980587@TEST</v>
      </c>
      <c r="M713" s="7" t="str">
        <f>HYPERLINK("https://test.ictv.global/id/ICTV19952167","ICTV19952167@TEST")</f>
        <v>ICTV19952167@TEST</v>
      </c>
      <c r="N713" s="7" t="str">
        <f>HYPERLINK("https://ictv.global/id/TN19980587","TN19980587@prod")</f>
        <v>TN19980587@prod</v>
      </c>
      <c r="O713" s="7" t="str">
        <f>HYPERLINK("https://ictv.global/id/ICTV19952167","ICTV19952167@prod")</f>
        <v>ICTV19952167@prod</v>
      </c>
    </row>
    <row r="714" spans="1:15" x14ac:dyDescent="0.2">
      <c r="A714">
        <v>17</v>
      </c>
      <c r="B714">
        <v>19980588</v>
      </c>
      <c r="C714">
        <v>19952168</v>
      </c>
      <c r="D714" t="s">
        <v>29</v>
      </c>
      <c r="E714" t="s">
        <v>1592</v>
      </c>
      <c r="G714" t="s">
        <v>1165</v>
      </c>
      <c r="L714" s="7" t="str">
        <f>HYPERLINK("https://test.ictv.global/id/TN19980588","TN19980588@TEST")</f>
        <v>TN19980588@TEST</v>
      </c>
      <c r="M714" s="7" t="str">
        <f>HYPERLINK("https://test.ictv.global/id/ICTV19952168","ICTV19952168@TEST")</f>
        <v>ICTV19952168@TEST</v>
      </c>
      <c r="N714" s="7" t="str">
        <f>HYPERLINK("https://ictv.global/id/TN19980588","TN19980588@prod")</f>
        <v>TN19980588@prod</v>
      </c>
      <c r="O714" s="7" t="str">
        <f>HYPERLINK("https://ictv.global/id/ICTV19952168","ICTV19952168@prod")</f>
        <v>ICTV19952168@prod</v>
      </c>
    </row>
    <row r="715" spans="1:15" x14ac:dyDescent="0.2">
      <c r="A715">
        <v>17</v>
      </c>
      <c r="B715">
        <v>19980589</v>
      </c>
      <c r="C715">
        <v>19952169</v>
      </c>
      <c r="D715" t="s">
        <v>29</v>
      </c>
      <c r="E715" t="s">
        <v>1593</v>
      </c>
      <c r="G715" t="s">
        <v>1165</v>
      </c>
      <c r="L715" s="7" t="str">
        <f>HYPERLINK("https://test.ictv.global/id/TN19980589","TN19980589@TEST")</f>
        <v>TN19980589@TEST</v>
      </c>
      <c r="M715" s="7" t="str">
        <f>HYPERLINK("https://test.ictv.global/id/ICTV19952169","ICTV19952169@TEST")</f>
        <v>ICTV19952169@TEST</v>
      </c>
      <c r="N715" s="7" t="str">
        <f>HYPERLINK("https://ictv.global/id/TN19980589","TN19980589@prod")</f>
        <v>TN19980589@prod</v>
      </c>
      <c r="O715" s="7" t="str">
        <f>HYPERLINK("https://ictv.global/id/ICTV19952169","ICTV19952169@prod")</f>
        <v>ICTV19952169@prod</v>
      </c>
    </row>
    <row r="716" spans="1:15" x14ac:dyDescent="0.2">
      <c r="A716">
        <v>17</v>
      </c>
      <c r="B716">
        <v>19980590</v>
      </c>
      <c r="C716">
        <v>19952170</v>
      </c>
      <c r="D716" t="s">
        <v>29</v>
      </c>
      <c r="E716" t="s">
        <v>1594</v>
      </c>
      <c r="G716" t="s">
        <v>1165</v>
      </c>
      <c r="L716" s="7" t="str">
        <f>HYPERLINK("https://test.ictv.global/id/TN19980590","TN19980590@TEST")</f>
        <v>TN19980590@TEST</v>
      </c>
      <c r="M716" s="7" t="str">
        <f>HYPERLINK("https://test.ictv.global/id/ICTV19952170","ICTV19952170@TEST")</f>
        <v>ICTV19952170@TEST</v>
      </c>
      <c r="N716" s="7" t="str">
        <f>HYPERLINK("https://ictv.global/id/TN19980590","TN19980590@prod")</f>
        <v>TN19980590@prod</v>
      </c>
      <c r="O716" s="7" t="str">
        <f>HYPERLINK("https://ictv.global/id/ICTV19952170","ICTV19952170@prod")</f>
        <v>ICTV19952170@prod</v>
      </c>
    </row>
    <row r="717" spans="1:15" x14ac:dyDescent="0.2">
      <c r="A717">
        <v>17</v>
      </c>
      <c r="B717">
        <v>19980591</v>
      </c>
      <c r="C717">
        <v>19952171</v>
      </c>
      <c r="D717" t="s">
        <v>29</v>
      </c>
      <c r="E717" t="s">
        <v>1595</v>
      </c>
      <c r="G717" t="s">
        <v>1165</v>
      </c>
      <c r="L717" s="7" t="str">
        <f>HYPERLINK("https://test.ictv.global/id/TN19980591","TN19980591@TEST")</f>
        <v>TN19980591@TEST</v>
      </c>
      <c r="M717" s="7" t="str">
        <f>HYPERLINK("https://test.ictv.global/id/ICTV19952171","ICTV19952171@TEST")</f>
        <v>ICTV19952171@TEST</v>
      </c>
      <c r="N717" s="7" t="str">
        <f>HYPERLINK("https://ictv.global/id/TN19980591","TN19980591@prod")</f>
        <v>TN19980591@prod</v>
      </c>
      <c r="O717" s="7" t="str">
        <f>HYPERLINK("https://ictv.global/id/ICTV19952171","ICTV19952171@prod")</f>
        <v>ICTV19952171@prod</v>
      </c>
    </row>
    <row r="718" spans="1:15" x14ac:dyDescent="0.2">
      <c r="A718">
        <v>17</v>
      </c>
      <c r="B718">
        <v>19980592</v>
      </c>
      <c r="C718">
        <v>19952173</v>
      </c>
      <c r="D718" t="s">
        <v>29</v>
      </c>
      <c r="E718" t="s">
        <v>1596</v>
      </c>
      <c r="G718" t="s">
        <v>1165</v>
      </c>
      <c r="L718" s="7" t="str">
        <f>HYPERLINK("https://test.ictv.global/id/TN19980592","TN19980592@TEST")</f>
        <v>TN19980592@TEST</v>
      </c>
      <c r="M718" s="7" t="str">
        <f>HYPERLINK("https://test.ictv.global/id/ICTV19952173","ICTV19952173@TEST")</f>
        <v>ICTV19952173@TEST</v>
      </c>
      <c r="N718" s="7" t="str">
        <f>HYPERLINK("https://ictv.global/id/TN19980592","TN19980592@prod")</f>
        <v>TN19980592@prod</v>
      </c>
      <c r="O718" s="7" t="str">
        <f>HYPERLINK("https://ictv.global/id/ICTV19952173","ICTV19952173@prod")</f>
        <v>ICTV19952173@prod</v>
      </c>
    </row>
    <row r="719" spans="1:15" x14ac:dyDescent="0.2">
      <c r="A719">
        <v>17</v>
      </c>
      <c r="B719">
        <v>19980593</v>
      </c>
      <c r="C719">
        <v>19952174</v>
      </c>
      <c r="D719" t="s">
        <v>29</v>
      </c>
      <c r="E719" t="s">
        <v>1597</v>
      </c>
      <c r="G719" t="s">
        <v>1165</v>
      </c>
      <c r="L719" s="7" t="str">
        <f>HYPERLINK("https://test.ictv.global/id/TN19980593","TN19980593@TEST")</f>
        <v>TN19980593@TEST</v>
      </c>
      <c r="M719" s="7" t="str">
        <f>HYPERLINK("https://test.ictv.global/id/ICTV19952174","ICTV19952174@TEST")</f>
        <v>ICTV19952174@TEST</v>
      </c>
      <c r="N719" s="7" t="str">
        <f>HYPERLINK("https://ictv.global/id/TN19980593","TN19980593@prod")</f>
        <v>TN19980593@prod</v>
      </c>
      <c r="O719" s="7" t="str">
        <f>HYPERLINK("https://ictv.global/id/ICTV19952174","ICTV19952174@prod")</f>
        <v>ICTV19952174@prod</v>
      </c>
    </row>
    <row r="720" spans="1:15" x14ac:dyDescent="0.2">
      <c r="A720">
        <v>17</v>
      </c>
      <c r="B720">
        <v>19980594</v>
      </c>
      <c r="C720">
        <v>19952175</v>
      </c>
      <c r="D720" t="s">
        <v>29</v>
      </c>
      <c r="E720" t="s">
        <v>1598</v>
      </c>
      <c r="G720" t="s">
        <v>1165</v>
      </c>
      <c r="L720" s="7" t="str">
        <f>HYPERLINK("https://test.ictv.global/id/TN19980594","TN19980594@TEST")</f>
        <v>TN19980594@TEST</v>
      </c>
      <c r="M720" s="7" t="str">
        <f>HYPERLINK("https://test.ictv.global/id/ICTV19952175","ICTV19952175@TEST")</f>
        <v>ICTV19952175@TEST</v>
      </c>
      <c r="N720" s="7" t="str">
        <f>HYPERLINK("https://ictv.global/id/TN19980594","TN19980594@prod")</f>
        <v>TN19980594@prod</v>
      </c>
      <c r="O720" s="7" t="str">
        <f>HYPERLINK("https://ictv.global/id/ICTV19952175","ICTV19952175@prod")</f>
        <v>ICTV19952175@prod</v>
      </c>
    </row>
    <row r="721" spans="1:15" x14ac:dyDescent="0.2">
      <c r="A721">
        <v>17</v>
      </c>
      <c r="B721">
        <v>19980595</v>
      </c>
      <c r="C721">
        <v>19952176</v>
      </c>
      <c r="D721" t="s">
        <v>29</v>
      </c>
      <c r="E721" t="s">
        <v>1599</v>
      </c>
      <c r="G721" t="s">
        <v>1165</v>
      </c>
      <c r="L721" s="7" t="str">
        <f>HYPERLINK("https://test.ictv.global/id/TN19980595","TN19980595@TEST")</f>
        <v>TN19980595@TEST</v>
      </c>
      <c r="M721" s="7" t="str">
        <f>HYPERLINK("https://test.ictv.global/id/ICTV19952176","ICTV19952176@TEST")</f>
        <v>ICTV19952176@TEST</v>
      </c>
      <c r="N721" s="7" t="str">
        <f>HYPERLINK("https://ictv.global/id/TN19980595","TN19980595@prod")</f>
        <v>TN19980595@prod</v>
      </c>
      <c r="O721" s="7" t="str">
        <f>HYPERLINK("https://ictv.global/id/ICTV19952176","ICTV19952176@prod")</f>
        <v>ICTV19952176@prod</v>
      </c>
    </row>
    <row r="722" spans="1:15" x14ac:dyDescent="0.2">
      <c r="A722">
        <v>17</v>
      </c>
      <c r="B722">
        <v>19980596</v>
      </c>
      <c r="C722">
        <v>19952177</v>
      </c>
      <c r="D722" t="s">
        <v>29</v>
      </c>
      <c r="E722" t="s">
        <v>1600</v>
      </c>
      <c r="G722" t="s">
        <v>1165</v>
      </c>
      <c r="L722" s="7" t="str">
        <f>HYPERLINK("https://test.ictv.global/id/TN19980596","TN19980596@TEST")</f>
        <v>TN19980596@TEST</v>
      </c>
      <c r="M722" s="7" t="str">
        <f>HYPERLINK("https://test.ictv.global/id/ICTV19952177","ICTV19952177@TEST")</f>
        <v>ICTV19952177@TEST</v>
      </c>
      <c r="N722" s="7" t="str">
        <f>HYPERLINK("https://ictv.global/id/TN19980596","TN19980596@prod")</f>
        <v>TN19980596@prod</v>
      </c>
      <c r="O722" s="7" t="str">
        <f>HYPERLINK("https://ictv.global/id/ICTV19952177","ICTV19952177@prod")</f>
        <v>ICTV19952177@prod</v>
      </c>
    </row>
    <row r="723" spans="1:15" x14ac:dyDescent="0.2">
      <c r="A723">
        <v>17</v>
      </c>
      <c r="B723">
        <v>19980597</v>
      </c>
      <c r="C723">
        <v>19952178</v>
      </c>
      <c r="D723" t="s">
        <v>29</v>
      </c>
      <c r="E723" t="s">
        <v>1601</v>
      </c>
      <c r="G723" t="s">
        <v>1165</v>
      </c>
      <c r="L723" s="7" t="str">
        <f>HYPERLINK("https://test.ictv.global/id/TN19980597","TN19980597@TEST")</f>
        <v>TN19980597@TEST</v>
      </c>
      <c r="M723" s="7" t="str">
        <f>HYPERLINK("https://test.ictv.global/id/ICTV19952178","ICTV19952178@TEST")</f>
        <v>ICTV19952178@TEST</v>
      </c>
      <c r="N723" s="7" t="str">
        <f>HYPERLINK("https://ictv.global/id/TN19980597","TN19980597@prod")</f>
        <v>TN19980597@prod</v>
      </c>
      <c r="O723" s="7" t="str">
        <f>HYPERLINK("https://ictv.global/id/ICTV19952178","ICTV19952178@prod")</f>
        <v>ICTV19952178@prod</v>
      </c>
    </row>
    <row r="724" spans="1:15" x14ac:dyDescent="0.2">
      <c r="A724">
        <v>17</v>
      </c>
      <c r="B724">
        <v>19980598</v>
      </c>
      <c r="C724">
        <v>19952179</v>
      </c>
      <c r="D724" t="s">
        <v>29</v>
      </c>
      <c r="E724" t="s">
        <v>1602</v>
      </c>
      <c r="G724" t="s">
        <v>1165</v>
      </c>
      <c r="L724" s="7" t="str">
        <f>HYPERLINK("https://test.ictv.global/id/TN19980598","TN19980598@TEST")</f>
        <v>TN19980598@TEST</v>
      </c>
      <c r="M724" s="7" t="str">
        <f>HYPERLINK("https://test.ictv.global/id/ICTV19952179","ICTV19952179@TEST")</f>
        <v>ICTV19952179@TEST</v>
      </c>
      <c r="N724" s="7" t="str">
        <f>HYPERLINK("https://ictv.global/id/TN19980598","TN19980598@prod")</f>
        <v>TN19980598@prod</v>
      </c>
      <c r="O724" s="7" t="str">
        <f>HYPERLINK("https://ictv.global/id/ICTV19952179","ICTV19952179@prod")</f>
        <v>ICTV19952179@prod</v>
      </c>
    </row>
    <row r="725" spans="1:15" x14ac:dyDescent="0.2">
      <c r="A725">
        <v>17</v>
      </c>
      <c r="B725">
        <v>19980599</v>
      </c>
      <c r="C725">
        <v>19952180</v>
      </c>
      <c r="D725" t="s">
        <v>29</v>
      </c>
      <c r="E725" t="s">
        <v>1603</v>
      </c>
      <c r="G725" t="s">
        <v>1165</v>
      </c>
      <c r="L725" s="7" t="str">
        <f>HYPERLINK("https://test.ictv.global/id/TN19980599","TN19980599@TEST")</f>
        <v>TN19980599@TEST</v>
      </c>
      <c r="M725" s="7" t="str">
        <f>HYPERLINK("https://test.ictv.global/id/ICTV19952180","ICTV19952180@TEST")</f>
        <v>ICTV19952180@TEST</v>
      </c>
      <c r="N725" s="7" t="str">
        <f>HYPERLINK("https://ictv.global/id/TN19980599","TN19980599@prod")</f>
        <v>TN19980599@prod</v>
      </c>
      <c r="O725" s="7" t="str">
        <f>HYPERLINK("https://ictv.global/id/ICTV19952180","ICTV19952180@prod")</f>
        <v>ICTV19952180@prod</v>
      </c>
    </row>
    <row r="726" spans="1:15" x14ac:dyDescent="0.2">
      <c r="A726">
        <v>17</v>
      </c>
      <c r="B726">
        <v>19980600</v>
      </c>
      <c r="C726">
        <v>19952181</v>
      </c>
      <c r="D726" t="s">
        <v>29</v>
      </c>
      <c r="E726" t="s">
        <v>1604</v>
      </c>
      <c r="G726" t="s">
        <v>1165</v>
      </c>
      <c r="L726" s="7" t="str">
        <f>HYPERLINK("https://test.ictv.global/id/TN19980600","TN19980600@TEST")</f>
        <v>TN19980600@TEST</v>
      </c>
      <c r="M726" s="7" t="str">
        <f>HYPERLINK("https://test.ictv.global/id/ICTV19952181","ICTV19952181@TEST")</f>
        <v>ICTV19952181@TEST</v>
      </c>
      <c r="N726" s="7" t="str">
        <f>HYPERLINK("https://ictv.global/id/TN19980600","TN19980600@prod")</f>
        <v>TN19980600@prod</v>
      </c>
      <c r="O726" s="7" t="str">
        <f>HYPERLINK("https://ictv.global/id/ICTV19952181","ICTV19952181@prod")</f>
        <v>ICTV19952181@prod</v>
      </c>
    </row>
    <row r="727" spans="1:15" x14ac:dyDescent="0.2">
      <c r="A727">
        <v>17</v>
      </c>
      <c r="B727">
        <v>19980601</v>
      </c>
      <c r="C727">
        <v>19952182</v>
      </c>
      <c r="D727" t="s">
        <v>29</v>
      </c>
      <c r="E727" t="s">
        <v>1605</v>
      </c>
      <c r="G727" t="s">
        <v>1165</v>
      </c>
      <c r="L727" s="7" t="str">
        <f>HYPERLINK("https://test.ictv.global/id/TN19980601","TN19980601@TEST")</f>
        <v>TN19980601@TEST</v>
      </c>
      <c r="M727" s="7" t="str">
        <f>HYPERLINK("https://test.ictv.global/id/ICTV19952182","ICTV19952182@TEST")</f>
        <v>ICTV19952182@TEST</v>
      </c>
      <c r="N727" s="7" t="str">
        <f>HYPERLINK("https://ictv.global/id/TN19980601","TN19980601@prod")</f>
        <v>TN19980601@prod</v>
      </c>
      <c r="O727" s="7" t="str">
        <f>HYPERLINK("https://ictv.global/id/ICTV19952182","ICTV19952182@prod")</f>
        <v>ICTV19952182@prod</v>
      </c>
    </row>
    <row r="728" spans="1:15" x14ac:dyDescent="0.2">
      <c r="A728">
        <v>17</v>
      </c>
      <c r="B728">
        <v>19980602</v>
      </c>
      <c r="C728">
        <v>19952183</v>
      </c>
      <c r="D728" t="s">
        <v>29</v>
      </c>
      <c r="E728" t="s">
        <v>1606</v>
      </c>
      <c r="G728" t="s">
        <v>1165</v>
      </c>
      <c r="L728" s="7" t="str">
        <f>HYPERLINK("https://test.ictv.global/id/TN19980602","TN19980602@TEST")</f>
        <v>TN19980602@TEST</v>
      </c>
      <c r="M728" s="7" t="str">
        <f>HYPERLINK("https://test.ictv.global/id/ICTV19952183","ICTV19952183@TEST")</f>
        <v>ICTV19952183@TEST</v>
      </c>
      <c r="N728" s="7" t="str">
        <f>HYPERLINK("https://ictv.global/id/TN19980602","TN19980602@prod")</f>
        <v>TN19980602@prod</v>
      </c>
      <c r="O728" s="7" t="str">
        <f>HYPERLINK("https://ictv.global/id/ICTV19952183","ICTV19952183@prod")</f>
        <v>ICTV19952183@prod</v>
      </c>
    </row>
    <row r="729" spans="1:15" x14ac:dyDescent="0.2">
      <c r="A729">
        <v>17</v>
      </c>
      <c r="B729">
        <v>19980603</v>
      </c>
      <c r="C729">
        <v>19952184</v>
      </c>
      <c r="D729" t="s">
        <v>29</v>
      </c>
      <c r="E729" t="s">
        <v>1607</v>
      </c>
      <c r="G729" t="s">
        <v>1165</v>
      </c>
      <c r="L729" s="7" t="str">
        <f>HYPERLINK("https://test.ictv.global/id/TN19980603","TN19980603@TEST")</f>
        <v>TN19980603@TEST</v>
      </c>
      <c r="M729" s="7" t="str">
        <f>HYPERLINK("https://test.ictv.global/id/ICTV19952184","ICTV19952184@TEST")</f>
        <v>ICTV19952184@TEST</v>
      </c>
      <c r="N729" s="7" t="str">
        <f>HYPERLINK("https://ictv.global/id/TN19980603","TN19980603@prod")</f>
        <v>TN19980603@prod</v>
      </c>
      <c r="O729" s="7" t="str">
        <f>HYPERLINK("https://ictv.global/id/ICTV19952184","ICTV19952184@prod")</f>
        <v>ICTV19952184@prod</v>
      </c>
    </row>
    <row r="730" spans="1:15" x14ac:dyDescent="0.2">
      <c r="A730">
        <v>17</v>
      </c>
      <c r="B730">
        <v>19980604</v>
      </c>
      <c r="C730">
        <v>19952186</v>
      </c>
      <c r="D730" t="s">
        <v>29</v>
      </c>
      <c r="E730" t="s">
        <v>1608</v>
      </c>
      <c r="G730" t="s">
        <v>1165</v>
      </c>
      <c r="L730" s="7" t="str">
        <f>HYPERLINK("https://test.ictv.global/id/TN19980604","TN19980604@TEST")</f>
        <v>TN19980604@TEST</v>
      </c>
      <c r="M730" s="7" t="str">
        <f>HYPERLINK("https://test.ictv.global/id/ICTV19952186","ICTV19952186@TEST")</f>
        <v>ICTV19952186@TEST</v>
      </c>
      <c r="N730" s="7" t="str">
        <f>HYPERLINK("https://ictv.global/id/TN19980604","TN19980604@prod")</f>
        <v>TN19980604@prod</v>
      </c>
      <c r="O730" s="7" t="str">
        <f>HYPERLINK("https://ictv.global/id/ICTV19952186","ICTV19952186@prod")</f>
        <v>ICTV19952186@prod</v>
      </c>
    </row>
    <row r="731" spans="1:15" x14ac:dyDescent="0.2">
      <c r="A731">
        <v>17</v>
      </c>
      <c r="B731">
        <v>19980605</v>
      </c>
      <c r="C731">
        <v>19952187</v>
      </c>
      <c r="D731" t="s">
        <v>29</v>
      </c>
      <c r="E731" t="s">
        <v>1609</v>
      </c>
      <c r="G731" t="s">
        <v>1165</v>
      </c>
      <c r="L731" s="7" t="str">
        <f>HYPERLINK("https://test.ictv.global/id/TN19980605","TN19980605@TEST")</f>
        <v>TN19980605@TEST</v>
      </c>
      <c r="M731" s="7" t="str">
        <f>HYPERLINK("https://test.ictv.global/id/ICTV19952187","ICTV19952187@TEST")</f>
        <v>ICTV19952187@TEST</v>
      </c>
      <c r="N731" s="7" t="str">
        <f>HYPERLINK("https://ictv.global/id/TN19980605","TN19980605@prod")</f>
        <v>TN19980605@prod</v>
      </c>
      <c r="O731" s="7" t="str">
        <f>HYPERLINK("https://ictv.global/id/ICTV19952187","ICTV19952187@prod")</f>
        <v>ICTV19952187@prod</v>
      </c>
    </row>
    <row r="732" spans="1:15" x14ac:dyDescent="0.2">
      <c r="A732">
        <v>17</v>
      </c>
      <c r="B732">
        <v>19980606</v>
      </c>
      <c r="C732">
        <v>19952188</v>
      </c>
      <c r="D732" t="s">
        <v>29</v>
      </c>
      <c r="E732" t="s">
        <v>1610</v>
      </c>
      <c r="G732" t="s">
        <v>1165</v>
      </c>
      <c r="L732" s="7" t="str">
        <f>HYPERLINK("https://test.ictv.global/id/TN19980606","TN19980606@TEST")</f>
        <v>TN19980606@TEST</v>
      </c>
      <c r="M732" s="7" t="str">
        <f>HYPERLINK("https://test.ictv.global/id/ICTV19952188","ICTV19952188@TEST")</f>
        <v>ICTV19952188@TEST</v>
      </c>
      <c r="N732" s="7" t="str">
        <f>HYPERLINK("https://ictv.global/id/TN19980606","TN19980606@prod")</f>
        <v>TN19980606@prod</v>
      </c>
      <c r="O732" s="7" t="str">
        <f>HYPERLINK("https://ictv.global/id/ICTV19952188","ICTV19952188@prod")</f>
        <v>ICTV19952188@prod</v>
      </c>
    </row>
    <row r="733" spans="1:15" x14ac:dyDescent="0.2">
      <c r="A733">
        <v>17</v>
      </c>
      <c r="B733">
        <v>19980607</v>
      </c>
      <c r="C733">
        <v>19952189</v>
      </c>
      <c r="D733" t="s">
        <v>29</v>
      </c>
      <c r="E733" t="s">
        <v>1611</v>
      </c>
      <c r="G733" t="s">
        <v>1165</v>
      </c>
      <c r="L733" s="7" t="str">
        <f>HYPERLINK("https://test.ictv.global/id/TN19980607","TN19980607@TEST")</f>
        <v>TN19980607@TEST</v>
      </c>
      <c r="M733" s="7" t="str">
        <f>HYPERLINK("https://test.ictv.global/id/ICTV19952189","ICTV19952189@TEST")</f>
        <v>ICTV19952189@TEST</v>
      </c>
      <c r="N733" s="7" t="str">
        <f>HYPERLINK("https://ictv.global/id/TN19980607","TN19980607@prod")</f>
        <v>TN19980607@prod</v>
      </c>
      <c r="O733" s="7" t="str">
        <f>HYPERLINK("https://ictv.global/id/ICTV19952189","ICTV19952189@prod")</f>
        <v>ICTV19952189@prod</v>
      </c>
    </row>
    <row r="734" spans="1:15" x14ac:dyDescent="0.2">
      <c r="A734">
        <v>17</v>
      </c>
      <c r="B734">
        <v>19980608</v>
      </c>
      <c r="C734">
        <v>19952190</v>
      </c>
      <c r="D734" t="s">
        <v>29</v>
      </c>
      <c r="E734" t="s">
        <v>1612</v>
      </c>
      <c r="G734" t="s">
        <v>1165</v>
      </c>
      <c r="L734" s="7" t="str">
        <f>HYPERLINK("https://test.ictv.global/id/TN19980608","TN19980608@TEST")</f>
        <v>TN19980608@TEST</v>
      </c>
      <c r="M734" s="7" t="str">
        <f>HYPERLINK("https://test.ictv.global/id/ICTV19952190","ICTV19952190@TEST")</f>
        <v>ICTV19952190@TEST</v>
      </c>
      <c r="N734" s="7" t="str">
        <f>HYPERLINK("https://ictv.global/id/TN19980608","TN19980608@prod")</f>
        <v>TN19980608@prod</v>
      </c>
      <c r="O734" s="7" t="str">
        <f>HYPERLINK("https://ictv.global/id/ICTV19952190","ICTV19952190@prod")</f>
        <v>ICTV19952190@prod</v>
      </c>
    </row>
    <row r="735" spans="1:15" x14ac:dyDescent="0.2">
      <c r="A735">
        <v>17</v>
      </c>
      <c r="B735">
        <v>19980609</v>
      </c>
      <c r="C735">
        <v>19952191</v>
      </c>
      <c r="D735" t="s">
        <v>29</v>
      </c>
      <c r="E735" t="s">
        <v>1613</v>
      </c>
      <c r="G735" t="s">
        <v>1165</v>
      </c>
      <c r="L735" s="7" t="str">
        <f>HYPERLINK("https://test.ictv.global/id/TN19980609","TN19980609@TEST")</f>
        <v>TN19980609@TEST</v>
      </c>
      <c r="M735" s="7" t="str">
        <f>HYPERLINK("https://test.ictv.global/id/ICTV19952191","ICTV19952191@TEST")</f>
        <v>ICTV19952191@TEST</v>
      </c>
      <c r="N735" s="7" t="str">
        <f>HYPERLINK("https://ictv.global/id/TN19980609","TN19980609@prod")</f>
        <v>TN19980609@prod</v>
      </c>
      <c r="O735" s="7" t="str">
        <f>HYPERLINK("https://ictv.global/id/ICTV19952191","ICTV19952191@prod")</f>
        <v>ICTV19952191@prod</v>
      </c>
    </row>
    <row r="736" spans="1:15" x14ac:dyDescent="0.2">
      <c r="A736">
        <v>17</v>
      </c>
      <c r="B736">
        <v>19980610</v>
      </c>
      <c r="C736">
        <v>19952192</v>
      </c>
      <c r="D736" t="s">
        <v>29</v>
      </c>
      <c r="E736" t="s">
        <v>1614</v>
      </c>
      <c r="G736" t="s">
        <v>1165</v>
      </c>
      <c r="L736" s="7" t="str">
        <f>HYPERLINK("https://test.ictv.global/id/TN19980610","TN19980610@TEST")</f>
        <v>TN19980610@TEST</v>
      </c>
      <c r="M736" s="7" t="str">
        <f>HYPERLINK("https://test.ictv.global/id/ICTV19952192","ICTV19952192@TEST")</f>
        <v>ICTV19952192@TEST</v>
      </c>
      <c r="N736" s="7" t="str">
        <f>HYPERLINK("https://ictv.global/id/TN19980610","TN19980610@prod")</f>
        <v>TN19980610@prod</v>
      </c>
      <c r="O736" s="7" t="str">
        <f>HYPERLINK("https://ictv.global/id/ICTV19952192","ICTV19952192@prod")</f>
        <v>ICTV19952192@prod</v>
      </c>
    </row>
    <row r="737" spans="1:15" x14ac:dyDescent="0.2">
      <c r="A737">
        <v>17</v>
      </c>
      <c r="B737">
        <v>19980611</v>
      </c>
      <c r="C737">
        <v>19952193</v>
      </c>
      <c r="D737" t="s">
        <v>29</v>
      </c>
      <c r="E737" t="s">
        <v>1615</v>
      </c>
      <c r="G737" t="s">
        <v>1165</v>
      </c>
      <c r="L737" s="7" t="str">
        <f>HYPERLINK("https://test.ictv.global/id/TN19980611","TN19980611@TEST")</f>
        <v>TN19980611@TEST</v>
      </c>
      <c r="M737" s="7" t="str">
        <f>HYPERLINK("https://test.ictv.global/id/ICTV19952193","ICTV19952193@TEST")</f>
        <v>ICTV19952193@TEST</v>
      </c>
      <c r="N737" s="7" t="str">
        <f>HYPERLINK("https://ictv.global/id/TN19980611","TN19980611@prod")</f>
        <v>TN19980611@prod</v>
      </c>
      <c r="O737" s="7" t="str">
        <f>HYPERLINK("https://ictv.global/id/ICTV19952193","ICTV19952193@prod")</f>
        <v>ICTV19952193@prod</v>
      </c>
    </row>
    <row r="738" spans="1:15" x14ac:dyDescent="0.2">
      <c r="A738">
        <v>17</v>
      </c>
      <c r="B738">
        <v>19980612</v>
      </c>
      <c r="C738">
        <v>19952194</v>
      </c>
      <c r="D738" t="s">
        <v>29</v>
      </c>
      <c r="E738" t="s">
        <v>1616</v>
      </c>
      <c r="G738" t="s">
        <v>1165</v>
      </c>
      <c r="L738" s="7" t="str">
        <f>HYPERLINK("https://test.ictv.global/id/TN19980612","TN19980612@TEST")</f>
        <v>TN19980612@TEST</v>
      </c>
      <c r="M738" s="7" t="str">
        <f>HYPERLINK("https://test.ictv.global/id/ICTV19952194","ICTV19952194@TEST")</f>
        <v>ICTV19952194@TEST</v>
      </c>
      <c r="N738" s="7" t="str">
        <f>HYPERLINK("https://ictv.global/id/TN19980612","TN19980612@prod")</f>
        <v>TN19980612@prod</v>
      </c>
      <c r="O738" s="7" t="str">
        <f>HYPERLINK("https://ictv.global/id/ICTV19952194","ICTV19952194@prod")</f>
        <v>ICTV19952194@prod</v>
      </c>
    </row>
    <row r="739" spans="1:15" x14ac:dyDescent="0.2">
      <c r="A739">
        <v>17</v>
      </c>
      <c r="B739">
        <v>19980613</v>
      </c>
      <c r="C739">
        <v>19952195</v>
      </c>
      <c r="D739" t="s">
        <v>29</v>
      </c>
      <c r="E739" t="s">
        <v>1617</v>
      </c>
      <c r="G739" t="s">
        <v>1165</v>
      </c>
      <c r="L739" s="7" t="str">
        <f>HYPERLINK("https://test.ictv.global/id/TN19980613","TN19980613@TEST")</f>
        <v>TN19980613@TEST</v>
      </c>
      <c r="M739" s="7" t="str">
        <f>HYPERLINK("https://test.ictv.global/id/ICTV19952195","ICTV19952195@TEST")</f>
        <v>ICTV19952195@TEST</v>
      </c>
      <c r="N739" s="7" t="str">
        <f>HYPERLINK("https://ictv.global/id/TN19980613","TN19980613@prod")</f>
        <v>TN19980613@prod</v>
      </c>
      <c r="O739" s="7" t="str">
        <f>HYPERLINK("https://ictv.global/id/ICTV19952195","ICTV19952195@prod")</f>
        <v>ICTV19952195@prod</v>
      </c>
    </row>
    <row r="740" spans="1:15" x14ac:dyDescent="0.2">
      <c r="A740">
        <v>17</v>
      </c>
      <c r="B740">
        <v>19980614</v>
      </c>
      <c r="C740">
        <v>19952196</v>
      </c>
      <c r="D740" t="s">
        <v>29</v>
      </c>
      <c r="E740" t="s">
        <v>1618</v>
      </c>
      <c r="G740" t="s">
        <v>1165</v>
      </c>
      <c r="L740" s="7" t="str">
        <f>HYPERLINK("https://test.ictv.global/id/TN19980614","TN19980614@TEST")</f>
        <v>TN19980614@TEST</v>
      </c>
      <c r="M740" s="7" t="str">
        <f>HYPERLINK("https://test.ictv.global/id/ICTV19952196","ICTV19952196@TEST")</f>
        <v>ICTV19952196@TEST</v>
      </c>
      <c r="N740" s="7" t="str">
        <f>HYPERLINK("https://ictv.global/id/TN19980614","TN19980614@prod")</f>
        <v>TN19980614@prod</v>
      </c>
      <c r="O740" s="7" t="str">
        <f>HYPERLINK("https://ictv.global/id/ICTV19952196","ICTV19952196@prod")</f>
        <v>ICTV19952196@prod</v>
      </c>
    </row>
    <row r="741" spans="1:15" x14ac:dyDescent="0.2">
      <c r="A741">
        <v>17</v>
      </c>
      <c r="B741">
        <v>19980615</v>
      </c>
      <c r="C741">
        <v>19952197</v>
      </c>
      <c r="D741" t="s">
        <v>29</v>
      </c>
      <c r="E741" t="s">
        <v>1619</v>
      </c>
      <c r="G741" t="s">
        <v>1165</v>
      </c>
      <c r="L741" s="7" t="str">
        <f>HYPERLINK("https://test.ictv.global/id/TN19980615","TN19980615@TEST")</f>
        <v>TN19980615@TEST</v>
      </c>
      <c r="M741" s="7" t="str">
        <f>HYPERLINK("https://test.ictv.global/id/ICTV19952197","ICTV19952197@TEST")</f>
        <v>ICTV19952197@TEST</v>
      </c>
      <c r="N741" s="7" t="str">
        <f>HYPERLINK("https://ictv.global/id/TN19980615","TN19980615@prod")</f>
        <v>TN19980615@prod</v>
      </c>
      <c r="O741" s="7" t="str">
        <f>HYPERLINK("https://ictv.global/id/ICTV19952197","ICTV19952197@prod")</f>
        <v>ICTV19952197@prod</v>
      </c>
    </row>
    <row r="742" spans="1:15" x14ac:dyDescent="0.2">
      <c r="A742">
        <v>17</v>
      </c>
      <c r="B742">
        <v>19980616</v>
      </c>
      <c r="C742">
        <v>19952198</v>
      </c>
      <c r="D742" t="s">
        <v>29</v>
      </c>
      <c r="E742" t="s">
        <v>1620</v>
      </c>
      <c r="G742" t="s">
        <v>1165</v>
      </c>
      <c r="L742" s="7" t="str">
        <f>HYPERLINK("https://test.ictv.global/id/TN19980616","TN19980616@TEST")</f>
        <v>TN19980616@TEST</v>
      </c>
      <c r="M742" s="7" t="str">
        <f>HYPERLINK("https://test.ictv.global/id/ICTV19952198","ICTV19952198@TEST")</f>
        <v>ICTV19952198@TEST</v>
      </c>
      <c r="N742" s="7" t="str">
        <f>HYPERLINK("https://ictv.global/id/TN19980616","TN19980616@prod")</f>
        <v>TN19980616@prod</v>
      </c>
      <c r="O742" s="7" t="str">
        <f>HYPERLINK("https://ictv.global/id/ICTV19952198","ICTV19952198@prod")</f>
        <v>ICTV19952198@prod</v>
      </c>
    </row>
    <row r="743" spans="1:15" x14ac:dyDescent="0.2">
      <c r="A743">
        <v>17</v>
      </c>
      <c r="B743">
        <v>19980617</v>
      </c>
      <c r="C743">
        <v>19952199</v>
      </c>
      <c r="D743" t="s">
        <v>29</v>
      </c>
      <c r="E743" t="s">
        <v>1621</v>
      </c>
      <c r="G743" t="s">
        <v>1165</v>
      </c>
      <c r="L743" s="7" t="str">
        <f>HYPERLINK("https://test.ictv.global/id/TN19980617","TN19980617@TEST")</f>
        <v>TN19980617@TEST</v>
      </c>
      <c r="M743" s="7" t="str">
        <f>HYPERLINK("https://test.ictv.global/id/ICTV19952199","ICTV19952199@TEST")</f>
        <v>ICTV19952199@TEST</v>
      </c>
      <c r="N743" s="7" t="str">
        <f>HYPERLINK("https://ictv.global/id/TN19980617","TN19980617@prod")</f>
        <v>TN19980617@prod</v>
      </c>
      <c r="O743" s="7" t="str">
        <f>HYPERLINK("https://ictv.global/id/ICTV19952199","ICTV19952199@prod")</f>
        <v>ICTV19952199@prod</v>
      </c>
    </row>
    <row r="744" spans="1:15" x14ac:dyDescent="0.2">
      <c r="A744">
        <v>17</v>
      </c>
      <c r="B744">
        <v>19980618</v>
      </c>
      <c r="C744">
        <v>19952200</v>
      </c>
      <c r="D744" t="s">
        <v>29</v>
      </c>
      <c r="E744" t="s">
        <v>1622</v>
      </c>
      <c r="G744" t="s">
        <v>1165</v>
      </c>
      <c r="L744" s="7" t="str">
        <f>HYPERLINK("https://test.ictv.global/id/TN19980618","TN19980618@TEST")</f>
        <v>TN19980618@TEST</v>
      </c>
      <c r="M744" s="7" t="str">
        <f>HYPERLINK("https://test.ictv.global/id/ICTV19952200","ICTV19952200@TEST")</f>
        <v>ICTV19952200@TEST</v>
      </c>
      <c r="N744" s="7" t="str">
        <f>HYPERLINK("https://ictv.global/id/TN19980618","TN19980618@prod")</f>
        <v>TN19980618@prod</v>
      </c>
      <c r="O744" s="7" t="str">
        <f>HYPERLINK("https://ictv.global/id/ICTV19952200","ICTV19952200@prod")</f>
        <v>ICTV19952200@prod</v>
      </c>
    </row>
    <row r="745" spans="1:15" x14ac:dyDescent="0.2">
      <c r="A745">
        <v>17</v>
      </c>
      <c r="B745">
        <v>19980619</v>
      </c>
      <c r="C745">
        <v>19952201</v>
      </c>
      <c r="D745" t="s">
        <v>29</v>
      </c>
      <c r="E745" t="s">
        <v>1623</v>
      </c>
      <c r="F745" t="s">
        <v>1624</v>
      </c>
      <c r="G745" t="s">
        <v>1165</v>
      </c>
      <c r="L745" s="7" t="str">
        <f>HYPERLINK("https://test.ictv.global/id/TN19980619","TN19980619@TEST")</f>
        <v>TN19980619@TEST</v>
      </c>
      <c r="M745" s="7" t="str">
        <f>HYPERLINK("https://test.ictv.global/id/ICTV19952201","ICTV19952201@TEST")</f>
        <v>ICTV19952201@TEST</v>
      </c>
      <c r="N745" s="7" t="str">
        <f>HYPERLINK("https://ictv.global/id/TN19980619","TN19980619@prod")</f>
        <v>TN19980619@prod</v>
      </c>
      <c r="O745" s="7" t="str">
        <f>HYPERLINK("https://ictv.global/id/ICTV19952201","ICTV19952201@prod")</f>
        <v>ICTV19952201@prod</v>
      </c>
    </row>
    <row r="746" spans="1:15" x14ac:dyDescent="0.2">
      <c r="A746">
        <v>17</v>
      </c>
      <c r="B746">
        <v>19980620</v>
      </c>
      <c r="C746">
        <v>19952202</v>
      </c>
      <c r="D746" t="s">
        <v>29</v>
      </c>
      <c r="E746" t="s">
        <v>1625</v>
      </c>
      <c r="G746" t="s">
        <v>1165</v>
      </c>
      <c r="L746" s="7" t="str">
        <f>HYPERLINK("https://test.ictv.global/id/TN19980620","TN19980620@TEST")</f>
        <v>TN19980620@TEST</v>
      </c>
      <c r="M746" s="7" t="str">
        <f>HYPERLINK("https://test.ictv.global/id/ICTV19952202","ICTV19952202@TEST")</f>
        <v>ICTV19952202@TEST</v>
      </c>
      <c r="N746" s="7" t="str">
        <f>HYPERLINK("https://ictv.global/id/TN19980620","TN19980620@prod")</f>
        <v>TN19980620@prod</v>
      </c>
      <c r="O746" s="7" t="str">
        <f>HYPERLINK("https://ictv.global/id/ICTV19952202","ICTV19952202@prod")</f>
        <v>ICTV19952202@prod</v>
      </c>
    </row>
    <row r="747" spans="1:15" x14ac:dyDescent="0.2">
      <c r="A747">
        <v>17</v>
      </c>
      <c r="B747">
        <v>19980621</v>
      </c>
      <c r="C747">
        <v>19952203</v>
      </c>
      <c r="D747" t="s">
        <v>29</v>
      </c>
      <c r="E747" t="s">
        <v>1626</v>
      </c>
      <c r="G747" t="s">
        <v>1165</v>
      </c>
      <c r="L747" s="7" t="str">
        <f>HYPERLINK("https://test.ictv.global/id/TN19980621","TN19980621@TEST")</f>
        <v>TN19980621@TEST</v>
      </c>
      <c r="M747" s="7" t="str">
        <f>HYPERLINK("https://test.ictv.global/id/ICTV19952203","ICTV19952203@TEST")</f>
        <v>ICTV19952203@TEST</v>
      </c>
      <c r="N747" s="7" t="str">
        <f>HYPERLINK("https://ictv.global/id/TN19980621","TN19980621@prod")</f>
        <v>TN19980621@prod</v>
      </c>
      <c r="O747" s="7" t="str">
        <f>HYPERLINK("https://ictv.global/id/ICTV19952203","ICTV19952203@prod")</f>
        <v>ICTV19952203@prod</v>
      </c>
    </row>
    <row r="748" spans="1:15" x14ac:dyDescent="0.2">
      <c r="A748">
        <v>17</v>
      </c>
      <c r="B748">
        <v>19980622</v>
      </c>
      <c r="C748">
        <v>19952204</v>
      </c>
      <c r="D748" t="s">
        <v>29</v>
      </c>
      <c r="E748" t="s">
        <v>1627</v>
      </c>
      <c r="G748" t="s">
        <v>1165</v>
      </c>
      <c r="L748" s="7" t="str">
        <f>HYPERLINK("https://test.ictv.global/id/TN19980622","TN19980622@TEST")</f>
        <v>TN19980622@TEST</v>
      </c>
      <c r="M748" s="7" t="str">
        <f>HYPERLINK("https://test.ictv.global/id/ICTV19952204","ICTV19952204@TEST")</f>
        <v>ICTV19952204@TEST</v>
      </c>
      <c r="N748" s="7" t="str">
        <f>HYPERLINK("https://ictv.global/id/TN19980622","TN19980622@prod")</f>
        <v>TN19980622@prod</v>
      </c>
      <c r="O748" s="7" t="str">
        <f>HYPERLINK("https://ictv.global/id/ICTV19952204","ICTV19952204@prod")</f>
        <v>ICTV19952204@prod</v>
      </c>
    </row>
    <row r="749" spans="1:15" x14ac:dyDescent="0.2">
      <c r="A749">
        <v>17</v>
      </c>
      <c r="B749">
        <v>19980623</v>
      </c>
      <c r="C749">
        <v>19952205</v>
      </c>
      <c r="D749" t="s">
        <v>29</v>
      </c>
      <c r="E749" t="s">
        <v>1628</v>
      </c>
      <c r="G749" t="s">
        <v>1165</v>
      </c>
      <c r="L749" s="7" t="str">
        <f>HYPERLINK("https://test.ictv.global/id/TN19980623","TN19980623@TEST")</f>
        <v>TN19980623@TEST</v>
      </c>
      <c r="M749" s="7" t="str">
        <f>HYPERLINK("https://test.ictv.global/id/ICTV19952205","ICTV19952205@TEST")</f>
        <v>ICTV19952205@TEST</v>
      </c>
      <c r="N749" s="7" t="str">
        <f>HYPERLINK("https://ictv.global/id/TN19980623","TN19980623@prod")</f>
        <v>TN19980623@prod</v>
      </c>
      <c r="O749" s="7" t="str">
        <f>HYPERLINK("https://ictv.global/id/ICTV19952205","ICTV19952205@prod")</f>
        <v>ICTV19952205@prod</v>
      </c>
    </row>
    <row r="750" spans="1:15" x14ac:dyDescent="0.2">
      <c r="A750">
        <v>17</v>
      </c>
      <c r="B750">
        <v>19980624</v>
      </c>
      <c r="C750">
        <v>19952206</v>
      </c>
      <c r="D750" t="s">
        <v>29</v>
      </c>
      <c r="E750" t="s">
        <v>1629</v>
      </c>
      <c r="G750" t="s">
        <v>1165</v>
      </c>
      <c r="L750" s="7" t="str">
        <f>HYPERLINK("https://test.ictv.global/id/TN19980624","TN19980624@TEST")</f>
        <v>TN19980624@TEST</v>
      </c>
      <c r="M750" s="7" t="str">
        <f>HYPERLINK("https://test.ictv.global/id/ICTV19952206","ICTV19952206@TEST")</f>
        <v>ICTV19952206@TEST</v>
      </c>
      <c r="N750" s="7" t="str">
        <f>HYPERLINK("https://ictv.global/id/TN19980624","TN19980624@prod")</f>
        <v>TN19980624@prod</v>
      </c>
      <c r="O750" s="7" t="str">
        <f>HYPERLINK("https://ictv.global/id/ICTV19952206","ICTV19952206@prod")</f>
        <v>ICTV19952206@prod</v>
      </c>
    </row>
    <row r="751" spans="1:15" x14ac:dyDescent="0.2">
      <c r="A751">
        <v>17</v>
      </c>
      <c r="B751">
        <v>19980625</v>
      </c>
      <c r="C751">
        <v>19952207</v>
      </c>
      <c r="D751" t="s">
        <v>29</v>
      </c>
      <c r="E751" t="s">
        <v>1630</v>
      </c>
      <c r="G751" t="s">
        <v>1165</v>
      </c>
      <c r="L751" s="7" t="str">
        <f>HYPERLINK("https://test.ictv.global/id/TN19980625","TN19980625@TEST")</f>
        <v>TN19980625@TEST</v>
      </c>
      <c r="M751" s="7" t="str">
        <f>HYPERLINK("https://test.ictv.global/id/ICTV19952207","ICTV19952207@TEST")</f>
        <v>ICTV19952207@TEST</v>
      </c>
      <c r="N751" s="7" t="str">
        <f>HYPERLINK("https://ictv.global/id/TN19980625","TN19980625@prod")</f>
        <v>TN19980625@prod</v>
      </c>
      <c r="O751" s="7" t="str">
        <f>HYPERLINK("https://ictv.global/id/ICTV19952207","ICTV19952207@prod")</f>
        <v>ICTV19952207@prod</v>
      </c>
    </row>
    <row r="752" spans="1:15" x14ac:dyDescent="0.2">
      <c r="A752">
        <v>17</v>
      </c>
      <c r="B752">
        <v>19980626</v>
      </c>
      <c r="C752">
        <v>19952208</v>
      </c>
      <c r="D752" t="s">
        <v>29</v>
      </c>
      <c r="E752" t="s">
        <v>1631</v>
      </c>
      <c r="G752" t="s">
        <v>1165</v>
      </c>
      <c r="L752" s="7" t="str">
        <f>HYPERLINK("https://test.ictv.global/id/TN19980626","TN19980626@TEST")</f>
        <v>TN19980626@TEST</v>
      </c>
      <c r="M752" s="7" t="str">
        <f>HYPERLINK("https://test.ictv.global/id/ICTV19952208","ICTV19952208@TEST")</f>
        <v>ICTV19952208@TEST</v>
      </c>
      <c r="N752" s="7" t="str">
        <f>HYPERLINK("https://ictv.global/id/TN19980626","TN19980626@prod")</f>
        <v>TN19980626@prod</v>
      </c>
      <c r="O752" s="7" t="str">
        <f>HYPERLINK("https://ictv.global/id/ICTV19952208","ICTV19952208@prod")</f>
        <v>ICTV19952208@prod</v>
      </c>
    </row>
    <row r="753" spans="1:15" x14ac:dyDescent="0.2">
      <c r="A753">
        <v>17</v>
      </c>
      <c r="B753">
        <v>19980627</v>
      </c>
      <c r="C753">
        <v>19952209</v>
      </c>
      <c r="D753" t="s">
        <v>29</v>
      </c>
      <c r="E753" t="s">
        <v>1632</v>
      </c>
      <c r="G753" t="s">
        <v>1165</v>
      </c>
      <c r="L753" s="7" t="str">
        <f>HYPERLINK("https://test.ictv.global/id/TN19980627","TN19980627@TEST")</f>
        <v>TN19980627@TEST</v>
      </c>
      <c r="M753" s="7" t="str">
        <f>HYPERLINK("https://test.ictv.global/id/ICTV19952209","ICTV19952209@TEST")</f>
        <v>ICTV19952209@TEST</v>
      </c>
      <c r="N753" s="7" t="str">
        <f>HYPERLINK("https://ictv.global/id/TN19980627","TN19980627@prod")</f>
        <v>TN19980627@prod</v>
      </c>
      <c r="O753" s="7" t="str">
        <f>HYPERLINK("https://ictv.global/id/ICTV19952209","ICTV19952209@prod")</f>
        <v>ICTV19952209@prod</v>
      </c>
    </row>
    <row r="754" spans="1:15" x14ac:dyDescent="0.2">
      <c r="A754">
        <v>17</v>
      </c>
      <c r="B754">
        <v>19980628</v>
      </c>
      <c r="C754">
        <v>19952210</v>
      </c>
      <c r="D754" t="s">
        <v>29</v>
      </c>
      <c r="E754" t="s">
        <v>1633</v>
      </c>
      <c r="G754" t="s">
        <v>1165</v>
      </c>
      <c r="L754" s="7" t="str">
        <f>HYPERLINK("https://test.ictv.global/id/TN19980628","TN19980628@TEST")</f>
        <v>TN19980628@TEST</v>
      </c>
      <c r="M754" s="7" t="str">
        <f>HYPERLINK("https://test.ictv.global/id/ICTV19952210","ICTV19952210@TEST")</f>
        <v>ICTV19952210@TEST</v>
      </c>
      <c r="N754" s="7" t="str">
        <f>HYPERLINK("https://ictv.global/id/TN19980628","TN19980628@prod")</f>
        <v>TN19980628@prod</v>
      </c>
      <c r="O754" s="7" t="str">
        <f>HYPERLINK("https://ictv.global/id/ICTV19952210","ICTV19952210@prod")</f>
        <v>ICTV19952210@prod</v>
      </c>
    </row>
    <row r="755" spans="1:15" x14ac:dyDescent="0.2">
      <c r="A755">
        <v>17</v>
      </c>
      <c r="B755">
        <v>19980629</v>
      </c>
      <c r="C755">
        <v>19952211</v>
      </c>
      <c r="D755" t="s">
        <v>29</v>
      </c>
      <c r="E755" t="s">
        <v>1634</v>
      </c>
      <c r="G755" t="s">
        <v>1165</v>
      </c>
      <c r="L755" s="7" t="str">
        <f>HYPERLINK("https://test.ictv.global/id/TN19980629","TN19980629@TEST")</f>
        <v>TN19980629@TEST</v>
      </c>
      <c r="M755" s="7" t="str">
        <f>HYPERLINK("https://test.ictv.global/id/ICTV19952211","ICTV19952211@TEST")</f>
        <v>ICTV19952211@TEST</v>
      </c>
      <c r="N755" s="7" t="str">
        <f>HYPERLINK("https://ictv.global/id/TN19980629","TN19980629@prod")</f>
        <v>TN19980629@prod</v>
      </c>
      <c r="O755" s="7" t="str">
        <f>HYPERLINK("https://ictv.global/id/ICTV19952211","ICTV19952211@prod")</f>
        <v>ICTV19952211@prod</v>
      </c>
    </row>
    <row r="756" spans="1:15" x14ac:dyDescent="0.2">
      <c r="A756">
        <v>17</v>
      </c>
      <c r="B756">
        <v>19980630</v>
      </c>
      <c r="C756">
        <v>19952212</v>
      </c>
      <c r="D756" t="s">
        <v>29</v>
      </c>
      <c r="E756" t="s">
        <v>1635</v>
      </c>
      <c r="G756" t="s">
        <v>1165</v>
      </c>
      <c r="L756" s="7" t="str">
        <f>HYPERLINK("https://test.ictv.global/id/TN19980630","TN19980630@TEST")</f>
        <v>TN19980630@TEST</v>
      </c>
      <c r="M756" s="7" t="str">
        <f>HYPERLINK("https://test.ictv.global/id/ICTV19952212","ICTV19952212@TEST")</f>
        <v>ICTV19952212@TEST</v>
      </c>
      <c r="N756" s="7" t="str">
        <f>HYPERLINK("https://ictv.global/id/TN19980630","TN19980630@prod")</f>
        <v>TN19980630@prod</v>
      </c>
      <c r="O756" s="7" t="str">
        <f>HYPERLINK("https://ictv.global/id/ICTV19952212","ICTV19952212@prod")</f>
        <v>ICTV19952212@prod</v>
      </c>
    </row>
    <row r="757" spans="1:15" x14ac:dyDescent="0.2">
      <c r="A757">
        <v>17</v>
      </c>
      <c r="B757">
        <v>19980631</v>
      </c>
      <c r="C757">
        <v>19952213</v>
      </c>
      <c r="D757" t="s">
        <v>29</v>
      </c>
      <c r="E757" t="s">
        <v>1636</v>
      </c>
      <c r="G757" t="s">
        <v>1165</v>
      </c>
      <c r="L757" s="7" t="str">
        <f>HYPERLINK("https://test.ictv.global/id/TN19980631","TN19980631@TEST")</f>
        <v>TN19980631@TEST</v>
      </c>
      <c r="M757" s="7" t="str">
        <f>HYPERLINK("https://test.ictv.global/id/ICTV19952213","ICTV19952213@TEST")</f>
        <v>ICTV19952213@TEST</v>
      </c>
      <c r="N757" s="7" t="str">
        <f>HYPERLINK("https://ictv.global/id/TN19980631","TN19980631@prod")</f>
        <v>TN19980631@prod</v>
      </c>
      <c r="O757" s="7" t="str">
        <f>HYPERLINK("https://ictv.global/id/ICTV19952213","ICTV19952213@prod")</f>
        <v>ICTV19952213@prod</v>
      </c>
    </row>
    <row r="758" spans="1:15" x14ac:dyDescent="0.2">
      <c r="A758">
        <v>17</v>
      </c>
      <c r="B758">
        <v>19980632</v>
      </c>
      <c r="C758">
        <v>19962279</v>
      </c>
      <c r="D758" t="s">
        <v>29</v>
      </c>
      <c r="E758" t="s">
        <v>1637</v>
      </c>
      <c r="G758" t="s">
        <v>1165</v>
      </c>
      <c r="L758" s="7" t="str">
        <f>HYPERLINK("https://test.ictv.global/id/TN19980632","TN19980632@TEST")</f>
        <v>TN19980632@TEST</v>
      </c>
      <c r="M758" s="7" t="str">
        <f>HYPERLINK("https://test.ictv.global/id/ICTV19962279","ICTV19962279@TEST")</f>
        <v>ICTV19962279@TEST</v>
      </c>
      <c r="N758" s="7" t="str">
        <f>HYPERLINK("https://ictv.global/id/TN19980632","TN19980632@prod")</f>
        <v>TN19980632@prod</v>
      </c>
      <c r="O758" s="7" t="str">
        <f>HYPERLINK("https://ictv.global/id/ICTV19962279","ICTV19962279@prod")</f>
        <v>ICTV19962279@prod</v>
      </c>
    </row>
    <row r="759" spans="1:15" x14ac:dyDescent="0.2">
      <c r="A759">
        <v>17</v>
      </c>
      <c r="B759">
        <v>19980633</v>
      </c>
      <c r="C759">
        <v>19962280</v>
      </c>
      <c r="D759" t="s">
        <v>29</v>
      </c>
      <c r="E759" t="s">
        <v>1638</v>
      </c>
      <c r="G759" t="s">
        <v>1165</v>
      </c>
      <c r="L759" s="7" t="str">
        <f>HYPERLINK("https://test.ictv.global/id/TN19980633","TN19980633@TEST")</f>
        <v>TN19980633@TEST</v>
      </c>
      <c r="M759" s="7" t="str">
        <f>HYPERLINK("https://test.ictv.global/id/ICTV19962280","ICTV19962280@TEST")</f>
        <v>ICTV19962280@TEST</v>
      </c>
      <c r="N759" s="7" t="str">
        <f>HYPERLINK("https://ictv.global/id/TN19980633","TN19980633@prod")</f>
        <v>TN19980633@prod</v>
      </c>
      <c r="O759" s="7" t="str">
        <f>HYPERLINK("https://ictv.global/id/ICTV19962280","ICTV19962280@prod")</f>
        <v>ICTV19962280@prod</v>
      </c>
    </row>
    <row r="760" spans="1:15" x14ac:dyDescent="0.2">
      <c r="A760">
        <v>17</v>
      </c>
      <c r="B760">
        <v>19980634</v>
      </c>
      <c r="C760">
        <v>19952214</v>
      </c>
      <c r="D760" t="s">
        <v>29</v>
      </c>
      <c r="E760" t="s">
        <v>1639</v>
      </c>
      <c r="F760" t="s">
        <v>1640</v>
      </c>
      <c r="G760" t="s">
        <v>1165</v>
      </c>
      <c r="L760" s="7" t="str">
        <f>HYPERLINK("https://test.ictv.global/id/TN19980634","TN19980634@TEST")</f>
        <v>TN19980634@TEST</v>
      </c>
      <c r="M760" s="7" t="str">
        <f>HYPERLINK("https://test.ictv.global/id/ICTV19952214","ICTV19952214@TEST")</f>
        <v>ICTV19952214@TEST</v>
      </c>
      <c r="N760" s="7" t="str">
        <f>HYPERLINK("https://ictv.global/id/TN19980634","TN19980634@prod")</f>
        <v>TN19980634@prod</v>
      </c>
      <c r="O760" s="7" t="str">
        <f>HYPERLINK("https://ictv.global/id/ICTV19952214","ICTV19952214@prod")</f>
        <v>ICTV19952214@prod</v>
      </c>
    </row>
    <row r="761" spans="1:15" x14ac:dyDescent="0.2">
      <c r="A761">
        <v>17</v>
      </c>
      <c r="B761">
        <v>19980635</v>
      </c>
      <c r="C761">
        <v>19952215</v>
      </c>
      <c r="D761" t="s">
        <v>29</v>
      </c>
      <c r="E761" t="s">
        <v>1641</v>
      </c>
      <c r="G761" t="s">
        <v>1165</v>
      </c>
      <c r="L761" s="7" t="str">
        <f>HYPERLINK("https://test.ictv.global/id/TN19980635","TN19980635@TEST")</f>
        <v>TN19980635@TEST</v>
      </c>
      <c r="M761" s="7" t="str">
        <f>HYPERLINK("https://test.ictv.global/id/ICTV19952215","ICTV19952215@TEST")</f>
        <v>ICTV19952215@TEST</v>
      </c>
      <c r="N761" s="7" t="str">
        <f>HYPERLINK("https://ictv.global/id/TN19980635","TN19980635@prod")</f>
        <v>TN19980635@prod</v>
      </c>
      <c r="O761" s="7" t="str">
        <f>HYPERLINK("https://ictv.global/id/ICTV19952215","ICTV19952215@prod")</f>
        <v>ICTV19952215@prod</v>
      </c>
    </row>
    <row r="762" spans="1:15" x14ac:dyDescent="0.2">
      <c r="A762">
        <v>17</v>
      </c>
      <c r="B762">
        <v>19980636</v>
      </c>
      <c r="C762">
        <v>19962283</v>
      </c>
      <c r="D762" t="s">
        <v>29</v>
      </c>
      <c r="E762" t="s">
        <v>1642</v>
      </c>
      <c r="G762" t="s">
        <v>1165</v>
      </c>
      <c r="L762" s="7" t="str">
        <f>HYPERLINK("https://test.ictv.global/id/TN19980636","TN19980636@TEST")</f>
        <v>TN19980636@TEST</v>
      </c>
      <c r="M762" s="7" t="str">
        <f>HYPERLINK("https://test.ictv.global/id/ICTV19962283","ICTV19962283@TEST")</f>
        <v>ICTV19962283@TEST</v>
      </c>
      <c r="N762" s="7" t="str">
        <f>HYPERLINK("https://ictv.global/id/TN19980636","TN19980636@prod")</f>
        <v>TN19980636@prod</v>
      </c>
      <c r="O762" s="7" t="str">
        <f>HYPERLINK("https://ictv.global/id/ICTV19962283","ICTV19962283@prod")</f>
        <v>ICTV19962283@prod</v>
      </c>
    </row>
    <row r="763" spans="1:15" x14ac:dyDescent="0.2">
      <c r="A763">
        <v>17</v>
      </c>
      <c r="B763">
        <v>19980637</v>
      </c>
      <c r="C763">
        <v>19952216</v>
      </c>
      <c r="D763" t="s">
        <v>29</v>
      </c>
      <c r="E763" t="s">
        <v>1643</v>
      </c>
      <c r="F763" t="s">
        <v>1644</v>
      </c>
      <c r="G763" t="s">
        <v>1165</v>
      </c>
      <c r="L763" s="7" t="str">
        <f>HYPERLINK("https://test.ictv.global/id/TN19980637","TN19980637@TEST")</f>
        <v>TN19980637@TEST</v>
      </c>
      <c r="M763" s="7" t="str">
        <f>HYPERLINK("https://test.ictv.global/id/ICTV19952216","ICTV19952216@TEST")</f>
        <v>ICTV19952216@TEST</v>
      </c>
      <c r="N763" s="7" t="str">
        <f>HYPERLINK("https://ictv.global/id/TN19980637","TN19980637@prod")</f>
        <v>TN19980637@prod</v>
      </c>
      <c r="O763" s="7" t="str">
        <f>HYPERLINK("https://ictv.global/id/ICTV19952216","ICTV19952216@prod")</f>
        <v>ICTV19952216@prod</v>
      </c>
    </row>
    <row r="764" spans="1:15" x14ac:dyDescent="0.2">
      <c r="A764">
        <v>17</v>
      </c>
      <c r="B764">
        <v>19980638</v>
      </c>
      <c r="C764">
        <v>19952217</v>
      </c>
      <c r="D764" t="s">
        <v>29</v>
      </c>
      <c r="E764" t="s">
        <v>1645</v>
      </c>
      <c r="F764" t="s">
        <v>1646</v>
      </c>
      <c r="G764" t="s">
        <v>1165</v>
      </c>
      <c r="L764" s="7" t="str">
        <f>HYPERLINK("https://test.ictv.global/id/TN19980638","TN19980638@TEST")</f>
        <v>TN19980638@TEST</v>
      </c>
      <c r="M764" s="7" t="str">
        <f>HYPERLINK("https://test.ictv.global/id/ICTV19952217","ICTV19952217@TEST")</f>
        <v>ICTV19952217@TEST</v>
      </c>
      <c r="N764" s="7" t="str">
        <f>HYPERLINK("https://ictv.global/id/TN19980638","TN19980638@prod")</f>
        <v>TN19980638@prod</v>
      </c>
      <c r="O764" s="7" t="str">
        <f>HYPERLINK("https://ictv.global/id/ICTV19952217","ICTV19952217@prod")</f>
        <v>ICTV19952217@prod</v>
      </c>
    </row>
    <row r="765" spans="1:15" x14ac:dyDescent="0.2">
      <c r="A765">
        <v>17</v>
      </c>
      <c r="B765">
        <v>19980639</v>
      </c>
      <c r="C765">
        <v>19952218</v>
      </c>
      <c r="D765" t="s">
        <v>29</v>
      </c>
      <c r="E765" t="s">
        <v>1647</v>
      </c>
      <c r="G765" t="s">
        <v>1165</v>
      </c>
      <c r="L765" s="7" t="str">
        <f>HYPERLINK("https://test.ictv.global/id/TN19980639","TN19980639@TEST")</f>
        <v>TN19980639@TEST</v>
      </c>
      <c r="M765" s="7" t="str">
        <f>HYPERLINK("https://test.ictv.global/id/ICTV19952218","ICTV19952218@TEST")</f>
        <v>ICTV19952218@TEST</v>
      </c>
      <c r="N765" s="7" t="str">
        <f>HYPERLINK("https://ictv.global/id/TN19980639","TN19980639@prod")</f>
        <v>TN19980639@prod</v>
      </c>
      <c r="O765" s="7" t="str">
        <f>HYPERLINK("https://ictv.global/id/ICTV19952218","ICTV19952218@prod")</f>
        <v>ICTV19952218@prod</v>
      </c>
    </row>
    <row r="766" spans="1:15" x14ac:dyDescent="0.2">
      <c r="A766">
        <v>17</v>
      </c>
      <c r="B766">
        <v>19980640</v>
      </c>
      <c r="C766">
        <v>19952219</v>
      </c>
      <c r="D766" t="s">
        <v>29</v>
      </c>
      <c r="E766" t="s">
        <v>1648</v>
      </c>
      <c r="G766" t="s">
        <v>1165</v>
      </c>
      <c r="L766" s="7" t="str">
        <f>HYPERLINK("https://test.ictv.global/id/TN19980640","TN19980640@TEST")</f>
        <v>TN19980640@TEST</v>
      </c>
      <c r="M766" s="7" t="str">
        <f>HYPERLINK("https://test.ictv.global/id/ICTV19952219","ICTV19952219@TEST")</f>
        <v>ICTV19952219@TEST</v>
      </c>
      <c r="N766" s="7" t="str">
        <f>HYPERLINK("https://ictv.global/id/TN19980640","TN19980640@prod")</f>
        <v>TN19980640@prod</v>
      </c>
      <c r="O766" s="7" t="str">
        <f>HYPERLINK("https://ictv.global/id/ICTV19952219","ICTV19952219@prod")</f>
        <v>ICTV19952219@prod</v>
      </c>
    </row>
    <row r="767" spans="1:15" x14ac:dyDescent="0.2">
      <c r="A767">
        <v>17</v>
      </c>
      <c r="B767">
        <v>19980641</v>
      </c>
      <c r="C767">
        <v>19952220</v>
      </c>
      <c r="D767" t="s">
        <v>29</v>
      </c>
      <c r="E767" t="s">
        <v>1649</v>
      </c>
      <c r="G767" t="s">
        <v>1165</v>
      </c>
      <c r="L767" s="7" t="str">
        <f>HYPERLINK("https://test.ictv.global/id/TN19980641","TN19980641@TEST")</f>
        <v>TN19980641@TEST</v>
      </c>
      <c r="M767" s="7" t="str">
        <f>HYPERLINK("https://test.ictv.global/id/ICTV19952220","ICTV19952220@TEST")</f>
        <v>ICTV19952220@TEST</v>
      </c>
      <c r="N767" s="7" t="str">
        <f>HYPERLINK("https://ictv.global/id/TN19980641","TN19980641@prod")</f>
        <v>TN19980641@prod</v>
      </c>
      <c r="O767" s="7" t="str">
        <f>HYPERLINK("https://ictv.global/id/ICTV19952220","ICTV19952220@prod")</f>
        <v>ICTV19952220@prod</v>
      </c>
    </row>
    <row r="768" spans="1:15" x14ac:dyDescent="0.2">
      <c r="A768">
        <v>17</v>
      </c>
      <c r="B768">
        <v>19980642</v>
      </c>
      <c r="C768">
        <v>19952221</v>
      </c>
      <c r="D768" t="s">
        <v>29</v>
      </c>
      <c r="E768" t="s">
        <v>1650</v>
      </c>
      <c r="G768" t="s">
        <v>1165</v>
      </c>
      <c r="L768" s="7" t="str">
        <f>HYPERLINK("https://test.ictv.global/id/TN19980642","TN19980642@TEST")</f>
        <v>TN19980642@TEST</v>
      </c>
      <c r="M768" s="7" t="str">
        <f>HYPERLINK("https://test.ictv.global/id/ICTV19952221","ICTV19952221@TEST")</f>
        <v>ICTV19952221@TEST</v>
      </c>
      <c r="N768" s="7" t="str">
        <f>HYPERLINK("https://ictv.global/id/TN19980642","TN19980642@prod")</f>
        <v>TN19980642@prod</v>
      </c>
      <c r="O768" s="7" t="str">
        <f>HYPERLINK("https://ictv.global/id/ICTV19952221","ICTV19952221@prod")</f>
        <v>ICTV19952221@prod</v>
      </c>
    </row>
    <row r="769" spans="1:15" x14ac:dyDescent="0.2">
      <c r="A769">
        <v>17</v>
      </c>
      <c r="B769">
        <v>19980643</v>
      </c>
      <c r="C769">
        <v>19952222</v>
      </c>
      <c r="D769" t="s">
        <v>29</v>
      </c>
      <c r="E769" t="s">
        <v>1651</v>
      </c>
      <c r="G769" t="s">
        <v>1165</v>
      </c>
      <c r="L769" s="7" t="str">
        <f>HYPERLINK("https://test.ictv.global/id/TN19980643","TN19980643@TEST")</f>
        <v>TN19980643@TEST</v>
      </c>
      <c r="M769" s="7" t="str">
        <f>HYPERLINK("https://test.ictv.global/id/ICTV19952222","ICTV19952222@TEST")</f>
        <v>ICTV19952222@TEST</v>
      </c>
      <c r="N769" s="7" t="str">
        <f>HYPERLINK("https://ictv.global/id/TN19980643","TN19980643@prod")</f>
        <v>TN19980643@prod</v>
      </c>
      <c r="O769" s="7" t="str">
        <f>HYPERLINK("https://ictv.global/id/ICTV19952222","ICTV19952222@prod")</f>
        <v>ICTV19952222@prod</v>
      </c>
    </row>
    <row r="770" spans="1:15" x14ac:dyDescent="0.2">
      <c r="A770">
        <v>17</v>
      </c>
      <c r="B770">
        <v>19980644</v>
      </c>
      <c r="C770">
        <v>19952223</v>
      </c>
      <c r="D770" t="s">
        <v>29</v>
      </c>
      <c r="E770" t="s">
        <v>1652</v>
      </c>
      <c r="G770" t="s">
        <v>1165</v>
      </c>
      <c r="L770" s="7" t="str">
        <f>HYPERLINK("https://test.ictv.global/id/TN19980644","TN19980644@TEST")</f>
        <v>TN19980644@TEST</v>
      </c>
      <c r="M770" s="7" t="str">
        <f>HYPERLINK("https://test.ictv.global/id/ICTV19952223","ICTV19952223@TEST")</f>
        <v>ICTV19952223@TEST</v>
      </c>
      <c r="N770" s="7" t="str">
        <f>HYPERLINK("https://ictv.global/id/TN19980644","TN19980644@prod")</f>
        <v>TN19980644@prod</v>
      </c>
      <c r="O770" s="7" t="str">
        <f>HYPERLINK("https://ictv.global/id/ICTV19952223","ICTV19952223@prod")</f>
        <v>ICTV19952223@prod</v>
      </c>
    </row>
    <row r="771" spans="1:15" x14ac:dyDescent="0.2">
      <c r="A771">
        <v>17</v>
      </c>
      <c r="B771">
        <v>19980645</v>
      </c>
      <c r="C771">
        <v>19952224</v>
      </c>
      <c r="D771" t="s">
        <v>29</v>
      </c>
      <c r="E771" t="s">
        <v>1653</v>
      </c>
      <c r="G771" t="s">
        <v>1165</v>
      </c>
      <c r="L771" s="7" t="str">
        <f>HYPERLINK("https://test.ictv.global/id/TN19980645","TN19980645@TEST")</f>
        <v>TN19980645@TEST</v>
      </c>
      <c r="M771" s="7" t="str">
        <f>HYPERLINK("https://test.ictv.global/id/ICTV19952224","ICTV19952224@TEST")</f>
        <v>ICTV19952224@TEST</v>
      </c>
      <c r="N771" s="7" t="str">
        <f>HYPERLINK("https://ictv.global/id/TN19980645","TN19980645@prod")</f>
        <v>TN19980645@prod</v>
      </c>
      <c r="O771" s="7" t="str">
        <f>HYPERLINK("https://ictv.global/id/ICTV19952224","ICTV19952224@prod")</f>
        <v>ICTV19952224@prod</v>
      </c>
    </row>
    <row r="772" spans="1:15" x14ac:dyDescent="0.2">
      <c r="A772">
        <v>17</v>
      </c>
      <c r="B772">
        <v>19980646</v>
      </c>
      <c r="C772">
        <v>19952225</v>
      </c>
      <c r="D772" t="s">
        <v>29</v>
      </c>
      <c r="E772" t="s">
        <v>1654</v>
      </c>
      <c r="G772" t="s">
        <v>1165</v>
      </c>
      <c r="L772" s="7" t="str">
        <f>HYPERLINK("https://test.ictv.global/id/TN19980646","TN19980646@TEST")</f>
        <v>TN19980646@TEST</v>
      </c>
      <c r="M772" s="7" t="str">
        <f>HYPERLINK("https://test.ictv.global/id/ICTV19952225","ICTV19952225@TEST")</f>
        <v>ICTV19952225@TEST</v>
      </c>
      <c r="N772" s="7" t="str">
        <f>HYPERLINK("https://ictv.global/id/TN19980646","TN19980646@prod")</f>
        <v>TN19980646@prod</v>
      </c>
      <c r="O772" s="7" t="str">
        <f>HYPERLINK("https://ictv.global/id/ICTV19952225","ICTV19952225@prod")</f>
        <v>ICTV19952225@prod</v>
      </c>
    </row>
    <row r="773" spans="1:15" x14ac:dyDescent="0.2">
      <c r="A773">
        <v>17</v>
      </c>
      <c r="B773">
        <v>19980647</v>
      </c>
      <c r="C773">
        <v>19952226</v>
      </c>
      <c r="D773" t="s">
        <v>29</v>
      </c>
      <c r="E773" t="s">
        <v>1655</v>
      </c>
      <c r="G773" t="s">
        <v>1165</v>
      </c>
      <c r="L773" s="7" t="str">
        <f>HYPERLINK("https://test.ictv.global/id/TN19980647","TN19980647@TEST")</f>
        <v>TN19980647@TEST</v>
      </c>
      <c r="M773" s="7" t="str">
        <f>HYPERLINK("https://test.ictv.global/id/ICTV19952226","ICTV19952226@TEST")</f>
        <v>ICTV19952226@TEST</v>
      </c>
      <c r="N773" s="7" t="str">
        <f>HYPERLINK("https://ictv.global/id/TN19980647","TN19980647@prod")</f>
        <v>TN19980647@prod</v>
      </c>
      <c r="O773" s="7" t="str">
        <f>HYPERLINK("https://ictv.global/id/ICTV19952226","ICTV19952226@prod")</f>
        <v>ICTV19952226@prod</v>
      </c>
    </row>
    <row r="774" spans="1:15" x14ac:dyDescent="0.2">
      <c r="A774">
        <v>17</v>
      </c>
      <c r="B774">
        <v>19980648</v>
      </c>
      <c r="C774">
        <v>19952227</v>
      </c>
      <c r="D774" t="s">
        <v>29</v>
      </c>
      <c r="E774" t="s">
        <v>1656</v>
      </c>
      <c r="G774" t="s">
        <v>1165</v>
      </c>
      <c r="L774" s="7" t="str">
        <f>HYPERLINK("https://test.ictv.global/id/TN19980648","TN19980648@TEST")</f>
        <v>TN19980648@TEST</v>
      </c>
      <c r="M774" s="7" t="str">
        <f>HYPERLINK("https://test.ictv.global/id/ICTV19952227","ICTV19952227@TEST")</f>
        <v>ICTV19952227@TEST</v>
      </c>
      <c r="N774" s="7" t="str">
        <f>HYPERLINK("https://ictv.global/id/TN19980648","TN19980648@prod")</f>
        <v>TN19980648@prod</v>
      </c>
      <c r="O774" s="7" t="str">
        <f>HYPERLINK("https://ictv.global/id/ICTV19952227","ICTV19952227@prod")</f>
        <v>ICTV19952227@prod</v>
      </c>
    </row>
    <row r="775" spans="1:15" x14ac:dyDescent="0.2">
      <c r="A775">
        <v>17</v>
      </c>
      <c r="B775">
        <v>19980649</v>
      </c>
      <c r="C775">
        <v>19952228</v>
      </c>
      <c r="D775" t="s">
        <v>29</v>
      </c>
      <c r="E775" t="s">
        <v>1657</v>
      </c>
      <c r="G775" t="s">
        <v>1165</v>
      </c>
      <c r="L775" s="7" t="str">
        <f>HYPERLINK("https://test.ictv.global/id/TN19980649","TN19980649@TEST")</f>
        <v>TN19980649@TEST</v>
      </c>
      <c r="M775" s="7" t="str">
        <f>HYPERLINK("https://test.ictv.global/id/ICTV19952228","ICTV19952228@TEST")</f>
        <v>ICTV19952228@TEST</v>
      </c>
      <c r="N775" s="7" t="str">
        <f>HYPERLINK("https://ictv.global/id/TN19980649","TN19980649@prod")</f>
        <v>TN19980649@prod</v>
      </c>
      <c r="O775" s="7" t="str">
        <f>HYPERLINK("https://ictv.global/id/ICTV19952228","ICTV19952228@prod")</f>
        <v>ICTV19952228@prod</v>
      </c>
    </row>
    <row r="776" spans="1:15" x14ac:dyDescent="0.2">
      <c r="A776">
        <v>17</v>
      </c>
      <c r="B776">
        <v>19980650</v>
      </c>
      <c r="C776">
        <v>19952229</v>
      </c>
      <c r="D776" t="s">
        <v>29</v>
      </c>
      <c r="E776" t="s">
        <v>1658</v>
      </c>
      <c r="G776" t="s">
        <v>1165</v>
      </c>
      <c r="L776" s="7" t="str">
        <f>HYPERLINK("https://test.ictv.global/id/TN19980650","TN19980650@TEST")</f>
        <v>TN19980650@TEST</v>
      </c>
      <c r="M776" s="7" t="str">
        <f>HYPERLINK("https://test.ictv.global/id/ICTV19952229","ICTV19952229@TEST")</f>
        <v>ICTV19952229@TEST</v>
      </c>
      <c r="N776" s="7" t="str">
        <f>HYPERLINK("https://ictv.global/id/TN19980650","TN19980650@prod")</f>
        <v>TN19980650@prod</v>
      </c>
      <c r="O776" s="7" t="str">
        <f>HYPERLINK("https://ictv.global/id/ICTV19952229","ICTV19952229@prod")</f>
        <v>ICTV19952229@prod</v>
      </c>
    </row>
    <row r="777" spans="1:15" x14ac:dyDescent="0.2">
      <c r="A777">
        <v>17</v>
      </c>
      <c r="B777">
        <v>19980658</v>
      </c>
      <c r="C777">
        <v>19950290</v>
      </c>
      <c r="D777" t="s">
        <v>29</v>
      </c>
      <c r="E777" t="s">
        <v>374</v>
      </c>
      <c r="G777" t="s">
        <v>33</v>
      </c>
      <c r="H777" t="s">
        <v>375</v>
      </c>
      <c r="I777" t="s">
        <v>29</v>
      </c>
      <c r="J777">
        <v>20073054</v>
      </c>
      <c r="K777">
        <v>19990415</v>
      </c>
      <c r="L777" s="7" t="str">
        <f>HYPERLINK("https://test.ictv.global/id/TN19980658","TN19980658@TEST")</f>
        <v>TN19980658@TEST</v>
      </c>
      <c r="M777" s="7" t="str">
        <f>HYPERLINK("https://test.ictv.global/id/ICTV19950290","ICTV19950290@TEST")</f>
        <v>ICTV19950290@TEST</v>
      </c>
      <c r="N777" s="7" t="str">
        <f>HYPERLINK("https://ictv.global/id/TN19980658","TN19980658@prod")</f>
        <v>TN19980658@prod</v>
      </c>
      <c r="O777" s="7" t="str">
        <f>HYPERLINK("https://ictv.global/id/ICTV19950290","ICTV19950290@prod")</f>
        <v>ICTV19950290@prod</v>
      </c>
    </row>
    <row r="778" spans="1:15" x14ac:dyDescent="0.2">
      <c r="A778">
        <v>17</v>
      </c>
      <c r="B778">
        <v>19980662</v>
      </c>
      <c r="C778">
        <v>19950294</v>
      </c>
      <c r="D778" t="s">
        <v>29</v>
      </c>
      <c r="E778" t="s">
        <v>376</v>
      </c>
      <c r="G778" t="s">
        <v>33</v>
      </c>
      <c r="H778" t="s">
        <v>375</v>
      </c>
      <c r="I778" t="s">
        <v>29</v>
      </c>
      <c r="J778">
        <v>20073054</v>
      </c>
      <c r="K778">
        <v>19990415</v>
      </c>
      <c r="L778" s="7" t="str">
        <f>HYPERLINK("https://test.ictv.global/id/TN19980662","TN19980662@TEST")</f>
        <v>TN19980662@TEST</v>
      </c>
      <c r="M778" s="7" t="str">
        <f>HYPERLINK("https://test.ictv.global/id/ICTV19950294","ICTV19950294@TEST")</f>
        <v>ICTV19950294@TEST</v>
      </c>
      <c r="N778" s="7" t="str">
        <f>HYPERLINK("https://ictv.global/id/TN19980662","TN19980662@prod")</f>
        <v>TN19980662@prod</v>
      </c>
      <c r="O778" s="7" t="str">
        <f>HYPERLINK("https://ictv.global/id/ICTV19950294","ICTV19950294@prod")</f>
        <v>ICTV19950294@prod</v>
      </c>
    </row>
    <row r="779" spans="1:15" x14ac:dyDescent="0.2">
      <c r="A779">
        <v>17</v>
      </c>
      <c r="B779">
        <v>19980678</v>
      </c>
      <c r="C779">
        <v>19950310</v>
      </c>
      <c r="D779" t="s">
        <v>29</v>
      </c>
      <c r="E779" t="s">
        <v>261</v>
      </c>
      <c r="G779" t="s">
        <v>33</v>
      </c>
      <c r="H779" t="s">
        <v>377</v>
      </c>
      <c r="I779" t="s">
        <v>29</v>
      </c>
      <c r="J779">
        <v>19990434</v>
      </c>
      <c r="K779">
        <v>19990434</v>
      </c>
      <c r="L779" s="7" t="str">
        <f>HYPERLINK("https://test.ictv.global/id/TN19980678","TN19980678@TEST")</f>
        <v>TN19980678@TEST</v>
      </c>
      <c r="M779" s="7" t="str">
        <f>HYPERLINK("https://test.ictv.global/id/ICTV19950310","ICTV19950310@TEST")</f>
        <v>ICTV19950310@TEST</v>
      </c>
      <c r="N779" s="7" t="str">
        <f>HYPERLINK("https://ictv.global/id/TN19980678","TN19980678@prod")</f>
        <v>TN19980678@prod</v>
      </c>
      <c r="O779" s="7" t="str">
        <f>HYPERLINK("https://ictv.global/id/ICTV19950310","ICTV19950310@prod")</f>
        <v>ICTV19950310@prod</v>
      </c>
    </row>
    <row r="780" spans="1:15" x14ac:dyDescent="0.2">
      <c r="A780">
        <v>17</v>
      </c>
      <c r="B780">
        <v>19980679</v>
      </c>
      <c r="C780">
        <v>19950311</v>
      </c>
      <c r="D780" t="s">
        <v>29</v>
      </c>
      <c r="E780" t="s">
        <v>262</v>
      </c>
      <c r="G780" t="s">
        <v>33</v>
      </c>
      <c r="H780" t="s">
        <v>377</v>
      </c>
      <c r="I780" t="s">
        <v>29</v>
      </c>
      <c r="J780">
        <v>19990434</v>
      </c>
      <c r="K780">
        <v>19990434</v>
      </c>
      <c r="L780" s="7" t="str">
        <f>HYPERLINK("https://test.ictv.global/id/TN19980679","TN19980679@TEST")</f>
        <v>TN19980679@TEST</v>
      </c>
      <c r="M780" s="7" t="str">
        <f>HYPERLINK("https://test.ictv.global/id/ICTV19950311","ICTV19950311@TEST")</f>
        <v>ICTV19950311@TEST</v>
      </c>
      <c r="N780" s="7" t="str">
        <f>HYPERLINK("https://ictv.global/id/TN19980679","TN19980679@prod")</f>
        <v>TN19980679@prod</v>
      </c>
      <c r="O780" s="7" t="str">
        <f>HYPERLINK("https://ictv.global/id/ICTV19950311","ICTV19950311@prod")</f>
        <v>ICTV19950311@prod</v>
      </c>
    </row>
    <row r="781" spans="1:15" x14ac:dyDescent="0.2">
      <c r="A781">
        <v>17</v>
      </c>
      <c r="B781">
        <v>19980713</v>
      </c>
      <c r="C781">
        <v>19950344</v>
      </c>
      <c r="D781" t="s">
        <v>29</v>
      </c>
      <c r="E781" t="s">
        <v>1659</v>
      </c>
      <c r="G781" t="s">
        <v>1165</v>
      </c>
      <c r="L781" s="7" t="str">
        <f>HYPERLINK("https://test.ictv.global/id/TN19980713","TN19980713@TEST")</f>
        <v>TN19980713@TEST</v>
      </c>
      <c r="M781" s="7" t="str">
        <f>HYPERLINK("https://test.ictv.global/id/ICTV19950344","ICTV19950344@TEST")</f>
        <v>ICTV19950344@TEST</v>
      </c>
      <c r="N781" s="7" t="str">
        <f>HYPERLINK("https://ictv.global/id/TN19980713","TN19980713@prod")</f>
        <v>TN19980713@prod</v>
      </c>
      <c r="O781" s="7" t="str">
        <f>HYPERLINK("https://ictv.global/id/ICTV19950344","ICTV19950344@prod")</f>
        <v>ICTV19950344@prod</v>
      </c>
    </row>
    <row r="782" spans="1:15" x14ac:dyDescent="0.2">
      <c r="A782">
        <v>17</v>
      </c>
      <c r="B782">
        <v>19980714</v>
      </c>
      <c r="C782">
        <v>19950345</v>
      </c>
      <c r="D782" t="s">
        <v>29</v>
      </c>
      <c r="E782" t="s">
        <v>51</v>
      </c>
      <c r="G782" t="s">
        <v>1165</v>
      </c>
      <c r="L782" s="7" t="str">
        <f>HYPERLINK("https://test.ictv.global/id/TN19980714","TN19980714@TEST")</f>
        <v>TN19980714@TEST</v>
      </c>
      <c r="M782" s="7" t="str">
        <f>HYPERLINK("https://test.ictv.global/id/ICTV19950345","ICTV19950345@TEST")</f>
        <v>ICTV19950345@TEST</v>
      </c>
      <c r="N782" s="7" t="str">
        <f>HYPERLINK("https://ictv.global/id/TN19980714","TN19980714@prod")</f>
        <v>TN19980714@prod</v>
      </c>
      <c r="O782" s="7" t="str">
        <f>HYPERLINK("https://ictv.global/id/ICTV19950345","ICTV19950345@prod")</f>
        <v>ICTV19950345@prod</v>
      </c>
    </row>
    <row r="783" spans="1:15" x14ac:dyDescent="0.2">
      <c r="A783">
        <v>17</v>
      </c>
      <c r="B783">
        <v>19980715</v>
      </c>
      <c r="C783">
        <v>19950346</v>
      </c>
      <c r="D783" t="s">
        <v>29</v>
      </c>
      <c r="E783" t="s">
        <v>1230</v>
      </c>
      <c r="G783" t="s">
        <v>1165</v>
      </c>
      <c r="L783" s="7" t="str">
        <f>HYPERLINK("https://test.ictv.global/id/TN19980715","TN19980715@TEST")</f>
        <v>TN19980715@TEST</v>
      </c>
      <c r="M783" s="7" t="str">
        <f>HYPERLINK("https://test.ictv.global/id/ICTV19950346","ICTV19950346@TEST")</f>
        <v>ICTV19950346@TEST</v>
      </c>
      <c r="N783" s="7" t="str">
        <f>HYPERLINK("https://ictv.global/id/TN19980715","TN19980715@prod")</f>
        <v>TN19980715@prod</v>
      </c>
      <c r="O783" s="7" t="str">
        <f>HYPERLINK("https://ictv.global/id/ICTV19950346","ICTV19950346@prod")</f>
        <v>ICTV19950346@prod</v>
      </c>
    </row>
    <row r="784" spans="1:15" x14ac:dyDescent="0.2">
      <c r="A784">
        <v>17</v>
      </c>
      <c r="B784">
        <v>19980716</v>
      </c>
      <c r="C784">
        <v>19950347</v>
      </c>
      <c r="D784" t="s">
        <v>29</v>
      </c>
      <c r="E784" t="s">
        <v>1660</v>
      </c>
      <c r="G784" t="s">
        <v>1165</v>
      </c>
      <c r="L784" s="7" t="str">
        <f>HYPERLINK("https://test.ictv.global/id/TN19980716","TN19980716@TEST")</f>
        <v>TN19980716@TEST</v>
      </c>
      <c r="M784" s="7" t="str">
        <f>HYPERLINK("https://test.ictv.global/id/ICTV19950347","ICTV19950347@TEST")</f>
        <v>ICTV19950347@TEST</v>
      </c>
      <c r="N784" s="7" t="str">
        <f>HYPERLINK("https://ictv.global/id/TN19980716","TN19980716@prod")</f>
        <v>TN19980716@prod</v>
      </c>
      <c r="O784" s="7" t="str">
        <f>HYPERLINK("https://ictv.global/id/ICTV19950347","ICTV19950347@prod")</f>
        <v>ICTV19950347@prod</v>
      </c>
    </row>
    <row r="785" spans="1:15" x14ac:dyDescent="0.2">
      <c r="A785">
        <v>17</v>
      </c>
      <c r="B785">
        <v>19980717</v>
      </c>
      <c r="C785">
        <v>19950348</v>
      </c>
      <c r="D785" t="s">
        <v>29</v>
      </c>
      <c r="E785" t="s">
        <v>1661</v>
      </c>
      <c r="G785" t="s">
        <v>1165</v>
      </c>
      <c r="L785" s="7" t="str">
        <f>HYPERLINK("https://test.ictv.global/id/TN19980717","TN19980717@TEST")</f>
        <v>TN19980717@TEST</v>
      </c>
      <c r="M785" s="7" t="str">
        <f>HYPERLINK("https://test.ictv.global/id/ICTV19950348","ICTV19950348@TEST")</f>
        <v>ICTV19950348@TEST</v>
      </c>
      <c r="N785" s="7" t="str">
        <f>HYPERLINK("https://ictv.global/id/TN19980717","TN19980717@prod")</f>
        <v>TN19980717@prod</v>
      </c>
      <c r="O785" s="7" t="str">
        <f>HYPERLINK("https://ictv.global/id/ICTV19950348","ICTV19950348@prod")</f>
        <v>ICTV19950348@prod</v>
      </c>
    </row>
    <row r="786" spans="1:15" x14ac:dyDescent="0.2">
      <c r="A786">
        <v>17</v>
      </c>
      <c r="B786">
        <v>19980718</v>
      </c>
      <c r="C786">
        <v>19950349</v>
      </c>
      <c r="D786" t="s">
        <v>29</v>
      </c>
      <c r="E786" t="s">
        <v>1662</v>
      </c>
      <c r="G786" t="s">
        <v>1165</v>
      </c>
      <c r="L786" s="7" t="str">
        <f>HYPERLINK("https://test.ictv.global/id/TN19980718","TN19980718@TEST")</f>
        <v>TN19980718@TEST</v>
      </c>
      <c r="M786" s="7" t="str">
        <f>HYPERLINK("https://test.ictv.global/id/ICTV19950349","ICTV19950349@TEST")</f>
        <v>ICTV19950349@TEST</v>
      </c>
      <c r="N786" s="7" t="str">
        <f>HYPERLINK("https://ictv.global/id/TN19980718","TN19980718@prod")</f>
        <v>TN19980718@prod</v>
      </c>
      <c r="O786" s="7" t="str">
        <f>HYPERLINK("https://ictv.global/id/ICTV19950349","ICTV19950349@prod")</f>
        <v>ICTV19950349@prod</v>
      </c>
    </row>
    <row r="787" spans="1:15" x14ac:dyDescent="0.2">
      <c r="A787">
        <v>17</v>
      </c>
      <c r="B787">
        <v>19980745</v>
      </c>
      <c r="C787">
        <v>19810169</v>
      </c>
      <c r="D787" t="s">
        <v>29</v>
      </c>
      <c r="E787" t="s">
        <v>1663</v>
      </c>
      <c r="G787" t="s">
        <v>1165</v>
      </c>
      <c r="L787" s="7" t="str">
        <f>HYPERLINK("https://test.ictv.global/id/TN19980745","TN19980745@TEST")</f>
        <v>TN19980745@TEST</v>
      </c>
      <c r="M787" s="7" t="str">
        <f>HYPERLINK("https://test.ictv.global/id/ICTV19810169","ICTV19810169@TEST")</f>
        <v>ICTV19810169@TEST</v>
      </c>
      <c r="N787" s="7" t="str">
        <f>HYPERLINK("https://ictv.global/id/TN19980745","TN19980745@prod")</f>
        <v>TN19980745@prod</v>
      </c>
      <c r="O787" s="7" t="str">
        <f>HYPERLINK("https://ictv.global/id/ICTV19810169","ICTV19810169@prod")</f>
        <v>ICTV19810169@prod</v>
      </c>
    </row>
    <row r="788" spans="1:15" x14ac:dyDescent="0.2">
      <c r="A788">
        <v>17</v>
      </c>
      <c r="B788">
        <v>19980746</v>
      </c>
      <c r="C788">
        <v>19910294</v>
      </c>
      <c r="D788" t="s">
        <v>29</v>
      </c>
      <c r="E788" t="s">
        <v>1664</v>
      </c>
      <c r="G788" t="s">
        <v>1165</v>
      </c>
      <c r="L788" s="7" t="str">
        <f>HYPERLINK("https://test.ictv.global/id/TN19980746","TN19980746@TEST")</f>
        <v>TN19980746@TEST</v>
      </c>
      <c r="M788" s="7" t="str">
        <f>HYPERLINK("https://test.ictv.global/id/ICTV19910294","ICTV19910294@TEST")</f>
        <v>ICTV19910294@TEST</v>
      </c>
      <c r="N788" s="7" t="str">
        <f>HYPERLINK("https://ictv.global/id/TN19980746","TN19980746@prod")</f>
        <v>TN19980746@prod</v>
      </c>
      <c r="O788" s="7" t="str">
        <f>HYPERLINK("https://ictv.global/id/ICTV19910294","ICTV19910294@prod")</f>
        <v>ICTV19910294@prod</v>
      </c>
    </row>
    <row r="789" spans="1:15" x14ac:dyDescent="0.2">
      <c r="A789">
        <v>17</v>
      </c>
      <c r="B789">
        <v>19980748</v>
      </c>
      <c r="C789">
        <v>19950361</v>
      </c>
      <c r="D789" t="s">
        <v>29</v>
      </c>
      <c r="E789" t="s">
        <v>378</v>
      </c>
      <c r="G789" t="s">
        <v>33</v>
      </c>
      <c r="H789" t="s">
        <v>379</v>
      </c>
      <c r="I789" t="s">
        <v>29</v>
      </c>
      <c r="J789">
        <v>19990504</v>
      </c>
      <c r="K789">
        <v>19990504</v>
      </c>
      <c r="L789" s="7" t="str">
        <f>HYPERLINK("https://test.ictv.global/id/TN19980748","TN19980748@TEST")</f>
        <v>TN19980748@TEST</v>
      </c>
      <c r="M789" s="7" t="str">
        <f>HYPERLINK("https://test.ictv.global/id/ICTV19950361","ICTV19950361@TEST")</f>
        <v>ICTV19950361@TEST</v>
      </c>
      <c r="N789" s="7" t="str">
        <f>HYPERLINK("https://ictv.global/id/TN19980748","TN19980748@prod")</f>
        <v>TN19980748@prod</v>
      </c>
      <c r="O789" s="7" t="str">
        <f>HYPERLINK("https://ictv.global/id/ICTV19950361","ICTV19950361@prod")</f>
        <v>ICTV19950361@prod</v>
      </c>
    </row>
    <row r="790" spans="1:15" x14ac:dyDescent="0.2">
      <c r="A790">
        <v>17</v>
      </c>
      <c r="B790">
        <v>19980749</v>
      </c>
      <c r="C790">
        <v>19950362</v>
      </c>
      <c r="D790" t="s">
        <v>29</v>
      </c>
      <c r="E790" t="s">
        <v>380</v>
      </c>
      <c r="G790" t="s">
        <v>33</v>
      </c>
      <c r="H790" t="s">
        <v>381</v>
      </c>
      <c r="I790" t="s">
        <v>29</v>
      </c>
      <c r="J790">
        <v>19990505</v>
      </c>
      <c r="K790">
        <v>19990505</v>
      </c>
      <c r="L790" s="7" t="str">
        <f>HYPERLINK("https://test.ictv.global/id/TN19980749","TN19980749@TEST")</f>
        <v>TN19980749@TEST</v>
      </c>
      <c r="M790" s="7" t="str">
        <f>HYPERLINK("https://test.ictv.global/id/ICTV19950362","ICTV19950362@TEST")</f>
        <v>ICTV19950362@TEST</v>
      </c>
      <c r="N790" s="7" t="str">
        <f>HYPERLINK("https://ictv.global/id/TN19980749","TN19980749@prod")</f>
        <v>TN19980749@prod</v>
      </c>
      <c r="O790" s="7" t="str">
        <f>HYPERLINK("https://ictv.global/id/ICTV19950362","ICTV19950362@prod")</f>
        <v>ICTV19950362@prod</v>
      </c>
    </row>
    <row r="791" spans="1:15" x14ac:dyDescent="0.2">
      <c r="A791">
        <v>17</v>
      </c>
      <c r="B791">
        <v>19980750</v>
      </c>
      <c r="C791">
        <v>19950363</v>
      </c>
      <c r="D791" t="s">
        <v>29</v>
      </c>
      <c r="E791" t="s">
        <v>1665</v>
      </c>
      <c r="G791" t="s">
        <v>1165</v>
      </c>
      <c r="L791" s="7" t="str">
        <f>HYPERLINK("https://test.ictv.global/id/TN19980750","TN19980750@TEST")</f>
        <v>TN19980750@TEST</v>
      </c>
      <c r="M791" s="7" t="str">
        <f>HYPERLINK("https://test.ictv.global/id/ICTV19950363","ICTV19950363@TEST")</f>
        <v>ICTV19950363@TEST</v>
      </c>
      <c r="N791" s="7" t="str">
        <f>HYPERLINK("https://ictv.global/id/TN19980750","TN19980750@prod")</f>
        <v>TN19980750@prod</v>
      </c>
      <c r="O791" s="7" t="str">
        <f>HYPERLINK("https://ictv.global/id/ICTV19950363","ICTV19950363@prod")</f>
        <v>ICTV19950363@prod</v>
      </c>
    </row>
    <row r="792" spans="1:15" x14ac:dyDescent="0.2">
      <c r="A792">
        <v>17</v>
      </c>
      <c r="B792">
        <v>19980751</v>
      </c>
      <c r="C792">
        <v>19810171</v>
      </c>
      <c r="D792" t="s">
        <v>29</v>
      </c>
      <c r="E792" t="s">
        <v>382</v>
      </c>
      <c r="G792" t="s">
        <v>33</v>
      </c>
      <c r="H792" t="s">
        <v>381</v>
      </c>
      <c r="I792" t="s">
        <v>29</v>
      </c>
      <c r="J792">
        <v>19990505</v>
      </c>
      <c r="K792">
        <v>19990505</v>
      </c>
      <c r="L792" s="7" t="str">
        <f>HYPERLINK("https://test.ictv.global/id/TN19980751","TN19980751@TEST")</f>
        <v>TN19980751@TEST</v>
      </c>
      <c r="M792" s="7" t="str">
        <f>HYPERLINK("https://test.ictv.global/id/ICTV19810171","ICTV19810171@TEST")</f>
        <v>ICTV19810171@TEST</v>
      </c>
      <c r="N792" s="7" t="str">
        <f>HYPERLINK("https://ictv.global/id/TN19980751","TN19980751@prod")</f>
        <v>TN19980751@prod</v>
      </c>
      <c r="O792" s="7" t="str">
        <f>HYPERLINK("https://ictv.global/id/ICTV19810171","ICTV19810171@prod")</f>
        <v>ICTV19810171@prod</v>
      </c>
    </row>
    <row r="793" spans="1:15" x14ac:dyDescent="0.2">
      <c r="A793">
        <v>17</v>
      </c>
      <c r="B793">
        <v>19980752</v>
      </c>
      <c r="C793">
        <v>19950365</v>
      </c>
      <c r="D793" t="s">
        <v>29</v>
      </c>
      <c r="E793" t="s">
        <v>383</v>
      </c>
      <c r="G793" t="s">
        <v>33</v>
      </c>
      <c r="H793" t="s">
        <v>381</v>
      </c>
      <c r="I793" t="s">
        <v>29</v>
      </c>
      <c r="J793">
        <v>19990505</v>
      </c>
      <c r="K793">
        <v>19990505</v>
      </c>
      <c r="L793" s="7" t="str">
        <f>HYPERLINK("https://test.ictv.global/id/TN19980752","TN19980752@TEST")</f>
        <v>TN19980752@TEST</v>
      </c>
      <c r="M793" s="7" t="str">
        <f>HYPERLINK("https://test.ictv.global/id/ICTV19950365","ICTV19950365@TEST")</f>
        <v>ICTV19950365@TEST</v>
      </c>
      <c r="N793" s="7" t="str">
        <f>HYPERLINK("https://ictv.global/id/TN19980752","TN19980752@prod")</f>
        <v>TN19980752@prod</v>
      </c>
      <c r="O793" s="7" t="str">
        <f>HYPERLINK("https://ictv.global/id/ICTV19950365","ICTV19950365@prod")</f>
        <v>ICTV19950365@prod</v>
      </c>
    </row>
    <row r="794" spans="1:15" x14ac:dyDescent="0.2">
      <c r="A794">
        <v>17</v>
      </c>
      <c r="B794">
        <v>19980753</v>
      </c>
      <c r="C794">
        <v>19950366</v>
      </c>
      <c r="D794" t="s">
        <v>29</v>
      </c>
      <c r="E794" t="s">
        <v>384</v>
      </c>
      <c r="G794" t="s">
        <v>33</v>
      </c>
      <c r="H794" t="s">
        <v>379</v>
      </c>
      <c r="I794" t="s">
        <v>29</v>
      </c>
      <c r="J794">
        <v>19990504</v>
      </c>
      <c r="K794">
        <v>19990504</v>
      </c>
      <c r="L794" s="7" t="str">
        <f>HYPERLINK("https://test.ictv.global/id/TN19980753","TN19980753@TEST")</f>
        <v>TN19980753@TEST</v>
      </c>
      <c r="M794" s="7" t="str">
        <f>HYPERLINK("https://test.ictv.global/id/ICTV19950366","ICTV19950366@TEST")</f>
        <v>ICTV19950366@TEST</v>
      </c>
      <c r="N794" s="7" t="str">
        <f>HYPERLINK("https://ictv.global/id/TN19980753","TN19980753@prod")</f>
        <v>TN19980753@prod</v>
      </c>
      <c r="O794" s="7" t="str">
        <f>HYPERLINK("https://ictv.global/id/ICTV19950366","ICTV19950366@prod")</f>
        <v>ICTV19950366@prod</v>
      </c>
    </row>
    <row r="795" spans="1:15" x14ac:dyDescent="0.2">
      <c r="A795">
        <v>17</v>
      </c>
      <c r="B795">
        <v>19980755</v>
      </c>
      <c r="C795">
        <v>19950368</v>
      </c>
      <c r="D795" t="s">
        <v>29</v>
      </c>
      <c r="E795" t="s">
        <v>385</v>
      </c>
      <c r="G795" t="s">
        <v>33</v>
      </c>
      <c r="H795" t="s">
        <v>386</v>
      </c>
      <c r="I795" t="s">
        <v>29</v>
      </c>
      <c r="J795">
        <v>19990506</v>
      </c>
      <c r="K795">
        <v>19990506</v>
      </c>
      <c r="L795" s="7" t="str">
        <f>HYPERLINK("https://test.ictv.global/id/TN19980755","TN19980755@TEST")</f>
        <v>TN19980755@TEST</v>
      </c>
      <c r="M795" s="7" t="str">
        <f>HYPERLINK("https://test.ictv.global/id/ICTV19950368","ICTV19950368@TEST")</f>
        <v>ICTV19950368@TEST</v>
      </c>
      <c r="N795" s="7" t="str">
        <f>HYPERLINK("https://ictv.global/id/TN19980755","TN19980755@prod")</f>
        <v>TN19980755@prod</v>
      </c>
      <c r="O795" s="7" t="str">
        <f>HYPERLINK("https://ictv.global/id/ICTV19950368","ICTV19950368@prod")</f>
        <v>ICTV19950368@prod</v>
      </c>
    </row>
    <row r="796" spans="1:15" x14ac:dyDescent="0.2">
      <c r="A796">
        <v>17</v>
      </c>
      <c r="B796">
        <v>19980756</v>
      </c>
      <c r="C796">
        <v>19950369</v>
      </c>
      <c r="D796" t="s">
        <v>29</v>
      </c>
      <c r="E796" t="s">
        <v>387</v>
      </c>
      <c r="G796" t="s">
        <v>33</v>
      </c>
      <c r="H796" t="s">
        <v>386</v>
      </c>
      <c r="I796" t="s">
        <v>29</v>
      </c>
      <c r="J796">
        <v>19990506</v>
      </c>
      <c r="K796">
        <v>19990506</v>
      </c>
      <c r="L796" s="7" t="str">
        <f>HYPERLINK("https://test.ictv.global/id/TN19980756","TN19980756@TEST")</f>
        <v>TN19980756@TEST</v>
      </c>
      <c r="M796" s="7" t="str">
        <f>HYPERLINK("https://test.ictv.global/id/ICTV19950369","ICTV19950369@TEST")</f>
        <v>ICTV19950369@TEST</v>
      </c>
      <c r="N796" s="7" t="str">
        <f>HYPERLINK("https://ictv.global/id/TN19980756","TN19980756@prod")</f>
        <v>TN19980756@prod</v>
      </c>
      <c r="O796" s="7" t="str">
        <f>HYPERLINK("https://ictv.global/id/ICTV19950369","ICTV19950369@prod")</f>
        <v>ICTV19950369@prod</v>
      </c>
    </row>
    <row r="797" spans="1:15" x14ac:dyDescent="0.2">
      <c r="A797">
        <v>17</v>
      </c>
      <c r="B797">
        <v>19980757</v>
      </c>
      <c r="C797">
        <v>19950370</v>
      </c>
      <c r="D797" t="s">
        <v>29</v>
      </c>
      <c r="E797" t="s">
        <v>388</v>
      </c>
      <c r="G797" t="s">
        <v>33</v>
      </c>
      <c r="H797" t="s">
        <v>386</v>
      </c>
      <c r="I797" t="s">
        <v>29</v>
      </c>
      <c r="J797">
        <v>19990506</v>
      </c>
      <c r="K797">
        <v>19990506</v>
      </c>
      <c r="L797" s="7" t="str">
        <f>HYPERLINK("https://test.ictv.global/id/TN19980757","TN19980757@TEST")</f>
        <v>TN19980757@TEST</v>
      </c>
      <c r="M797" s="7" t="str">
        <f>HYPERLINK("https://test.ictv.global/id/ICTV19950370","ICTV19950370@TEST")</f>
        <v>ICTV19950370@TEST</v>
      </c>
      <c r="N797" s="7" t="str">
        <f>HYPERLINK("https://ictv.global/id/TN19980757","TN19980757@prod")</f>
        <v>TN19980757@prod</v>
      </c>
      <c r="O797" s="7" t="str">
        <f>HYPERLINK("https://ictv.global/id/ICTV19950370","ICTV19950370@prod")</f>
        <v>ICTV19950370@prod</v>
      </c>
    </row>
    <row r="798" spans="1:15" x14ac:dyDescent="0.2">
      <c r="A798">
        <v>17</v>
      </c>
      <c r="B798">
        <v>19980758</v>
      </c>
      <c r="C798">
        <v>19950371</v>
      </c>
      <c r="D798" t="s">
        <v>29</v>
      </c>
      <c r="E798" t="s">
        <v>389</v>
      </c>
      <c r="G798" t="s">
        <v>33</v>
      </c>
      <c r="H798" t="s">
        <v>381</v>
      </c>
      <c r="I798" t="s">
        <v>29</v>
      </c>
      <c r="J798">
        <v>19990505</v>
      </c>
      <c r="K798">
        <v>19990505</v>
      </c>
      <c r="L798" s="7" t="str">
        <f>HYPERLINK("https://test.ictv.global/id/TN19980758","TN19980758@TEST")</f>
        <v>TN19980758@TEST</v>
      </c>
      <c r="M798" s="7" t="str">
        <f>HYPERLINK("https://test.ictv.global/id/ICTV19950371","ICTV19950371@TEST")</f>
        <v>ICTV19950371@TEST</v>
      </c>
      <c r="N798" s="7" t="str">
        <f>HYPERLINK("https://ictv.global/id/TN19980758","TN19980758@prod")</f>
        <v>TN19980758@prod</v>
      </c>
      <c r="O798" s="7" t="str">
        <f>HYPERLINK("https://ictv.global/id/ICTV19950371","ICTV19950371@prod")</f>
        <v>ICTV19950371@prod</v>
      </c>
    </row>
    <row r="799" spans="1:15" x14ac:dyDescent="0.2">
      <c r="A799">
        <v>17</v>
      </c>
      <c r="B799">
        <v>19980759</v>
      </c>
      <c r="C799">
        <v>19810179</v>
      </c>
      <c r="D799" t="s">
        <v>29</v>
      </c>
      <c r="E799" t="s">
        <v>390</v>
      </c>
      <c r="G799" t="s">
        <v>33</v>
      </c>
      <c r="H799" t="s">
        <v>391</v>
      </c>
      <c r="I799" t="s">
        <v>29</v>
      </c>
      <c r="J799">
        <v>19990507</v>
      </c>
      <c r="K799">
        <v>19990507</v>
      </c>
      <c r="L799" s="7" t="str">
        <f>HYPERLINK("https://test.ictv.global/id/TN19980759","TN19980759@TEST")</f>
        <v>TN19980759@TEST</v>
      </c>
      <c r="M799" s="7" t="str">
        <f>HYPERLINK("https://test.ictv.global/id/ICTV19810179","ICTV19810179@TEST")</f>
        <v>ICTV19810179@TEST</v>
      </c>
      <c r="N799" s="7" t="str">
        <f>HYPERLINK("https://ictv.global/id/TN19980759","TN19980759@prod")</f>
        <v>TN19980759@prod</v>
      </c>
      <c r="O799" s="7" t="str">
        <f>HYPERLINK("https://ictv.global/id/ICTV19810179","ICTV19810179@prod")</f>
        <v>ICTV19810179@prod</v>
      </c>
    </row>
    <row r="800" spans="1:15" x14ac:dyDescent="0.2">
      <c r="A800">
        <v>17</v>
      </c>
      <c r="B800">
        <v>19980760</v>
      </c>
      <c r="C800">
        <v>19910298</v>
      </c>
      <c r="D800" t="s">
        <v>29</v>
      </c>
      <c r="E800" t="s">
        <v>392</v>
      </c>
      <c r="G800" t="s">
        <v>33</v>
      </c>
      <c r="H800" t="s">
        <v>391</v>
      </c>
      <c r="I800" t="s">
        <v>29</v>
      </c>
      <c r="J800">
        <v>19990507</v>
      </c>
      <c r="K800">
        <v>19990507</v>
      </c>
      <c r="L800" s="7" t="str">
        <f>HYPERLINK("https://test.ictv.global/id/TN19980760","TN19980760@TEST")</f>
        <v>TN19980760@TEST</v>
      </c>
      <c r="M800" s="7" t="str">
        <f>HYPERLINK("https://test.ictv.global/id/ICTV19910298","ICTV19910298@TEST")</f>
        <v>ICTV19910298@TEST</v>
      </c>
      <c r="N800" s="7" t="str">
        <f>HYPERLINK("https://ictv.global/id/TN19980760","TN19980760@prod")</f>
        <v>TN19980760@prod</v>
      </c>
      <c r="O800" s="7" t="str">
        <f>HYPERLINK("https://ictv.global/id/ICTV19910298","ICTV19910298@prod")</f>
        <v>ICTV19910298@prod</v>
      </c>
    </row>
    <row r="801" spans="1:15" x14ac:dyDescent="0.2">
      <c r="A801">
        <v>17</v>
      </c>
      <c r="B801">
        <v>19980761</v>
      </c>
      <c r="C801">
        <v>19910299</v>
      </c>
      <c r="D801" t="s">
        <v>29</v>
      </c>
      <c r="E801" t="s">
        <v>393</v>
      </c>
      <c r="G801" t="s">
        <v>33</v>
      </c>
      <c r="H801" t="s">
        <v>391</v>
      </c>
      <c r="I801" t="s">
        <v>29</v>
      </c>
      <c r="J801">
        <v>19990507</v>
      </c>
      <c r="K801">
        <v>19990507</v>
      </c>
      <c r="L801" s="7" t="str">
        <f>HYPERLINK("https://test.ictv.global/id/TN19980761","TN19980761@TEST")</f>
        <v>TN19980761@TEST</v>
      </c>
      <c r="M801" s="7" t="str">
        <f>HYPERLINK("https://test.ictv.global/id/ICTV19910299","ICTV19910299@TEST")</f>
        <v>ICTV19910299@TEST</v>
      </c>
      <c r="N801" s="7" t="str">
        <f>HYPERLINK("https://ictv.global/id/TN19980761","TN19980761@prod")</f>
        <v>TN19980761@prod</v>
      </c>
      <c r="O801" s="7" t="str">
        <f>HYPERLINK("https://ictv.global/id/ICTV19910299","ICTV19910299@prod")</f>
        <v>ICTV19910299@prod</v>
      </c>
    </row>
    <row r="802" spans="1:15" x14ac:dyDescent="0.2">
      <c r="A802">
        <v>17</v>
      </c>
      <c r="B802">
        <v>19980762</v>
      </c>
      <c r="C802">
        <v>19810180</v>
      </c>
      <c r="D802" t="s">
        <v>29</v>
      </c>
      <c r="E802" t="s">
        <v>1666</v>
      </c>
      <c r="G802" t="s">
        <v>1165</v>
      </c>
      <c r="L802" s="7" t="str">
        <f>HYPERLINK("https://test.ictv.global/id/TN19980762","TN19980762@TEST")</f>
        <v>TN19980762@TEST</v>
      </c>
      <c r="M802" s="7" t="str">
        <f>HYPERLINK("https://test.ictv.global/id/ICTV19810180","ICTV19810180@TEST")</f>
        <v>ICTV19810180@TEST</v>
      </c>
      <c r="N802" s="7" t="str">
        <f>HYPERLINK("https://ictv.global/id/TN19980762","TN19980762@prod")</f>
        <v>TN19980762@prod</v>
      </c>
      <c r="O802" s="7" t="str">
        <f>HYPERLINK("https://ictv.global/id/ICTV19810180","ICTV19810180@prod")</f>
        <v>ICTV19810180@prod</v>
      </c>
    </row>
    <row r="803" spans="1:15" x14ac:dyDescent="0.2">
      <c r="A803">
        <v>17</v>
      </c>
      <c r="B803">
        <v>19980763</v>
      </c>
      <c r="C803">
        <v>19810181</v>
      </c>
      <c r="D803" t="s">
        <v>29</v>
      </c>
      <c r="E803" t="s">
        <v>1667</v>
      </c>
      <c r="G803" t="s">
        <v>1165</v>
      </c>
      <c r="L803" s="7" t="str">
        <f>HYPERLINK("https://test.ictv.global/id/TN19980763","TN19980763@TEST")</f>
        <v>TN19980763@TEST</v>
      </c>
      <c r="M803" s="7" t="str">
        <f>HYPERLINK("https://test.ictv.global/id/ICTV19810181","ICTV19810181@TEST")</f>
        <v>ICTV19810181@TEST</v>
      </c>
      <c r="N803" s="7" t="str">
        <f>HYPERLINK("https://ictv.global/id/TN19980763","TN19980763@prod")</f>
        <v>TN19980763@prod</v>
      </c>
      <c r="O803" s="7" t="str">
        <f>HYPERLINK("https://ictv.global/id/ICTV19810181","ICTV19810181@prod")</f>
        <v>ICTV19810181@prod</v>
      </c>
    </row>
    <row r="804" spans="1:15" x14ac:dyDescent="0.2">
      <c r="A804">
        <v>17</v>
      </c>
      <c r="B804">
        <v>19980764</v>
      </c>
      <c r="C804">
        <v>19810182</v>
      </c>
      <c r="D804" t="s">
        <v>29</v>
      </c>
      <c r="E804" t="s">
        <v>1668</v>
      </c>
      <c r="G804" t="s">
        <v>1165</v>
      </c>
      <c r="L804" s="7" t="str">
        <f>HYPERLINK("https://test.ictv.global/id/TN19980764","TN19980764@TEST")</f>
        <v>TN19980764@TEST</v>
      </c>
      <c r="M804" s="7" t="str">
        <f>HYPERLINK("https://test.ictv.global/id/ICTV19810182","ICTV19810182@TEST")</f>
        <v>ICTV19810182@TEST</v>
      </c>
      <c r="N804" s="7" t="str">
        <f>HYPERLINK("https://ictv.global/id/TN19980764","TN19980764@prod")</f>
        <v>TN19980764@prod</v>
      </c>
      <c r="O804" s="7" t="str">
        <f>HYPERLINK("https://ictv.global/id/ICTV19810182","ICTV19810182@prod")</f>
        <v>ICTV19810182@prod</v>
      </c>
    </row>
    <row r="805" spans="1:15" x14ac:dyDescent="0.2">
      <c r="A805">
        <v>17</v>
      </c>
      <c r="B805">
        <v>19980765</v>
      </c>
      <c r="C805">
        <v>19910303</v>
      </c>
      <c r="D805" t="s">
        <v>29</v>
      </c>
      <c r="E805" t="s">
        <v>1669</v>
      </c>
      <c r="G805" t="s">
        <v>1165</v>
      </c>
      <c r="L805" s="7" t="str">
        <f>HYPERLINK("https://test.ictv.global/id/TN19980765","TN19980765@TEST")</f>
        <v>TN19980765@TEST</v>
      </c>
      <c r="M805" s="7" t="str">
        <f>HYPERLINK("https://test.ictv.global/id/ICTV19910303","ICTV19910303@TEST")</f>
        <v>ICTV19910303@TEST</v>
      </c>
      <c r="N805" s="7" t="str">
        <f>HYPERLINK("https://ictv.global/id/TN19980765","TN19980765@prod")</f>
        <v>TN19980765@prod</v>
      </c>
      <c r="O805" s="7" t="str">
        <f>HYPERLINK("https://ictv.global/id/ICTV19910303","ICTV19910303@prod")</f>
        <v>ICTV19910303@prod</v>
      </c>
    </row>
    <row r="806" spans="1:15" x14ac:dyDescent="0.2">
      <c r="A806">
        <v>17</v>
      </c>
      <c r="B806">
        <v>19980767</v>
      </c>
      <c r="C806">
        <v>19810184</v>
      </c>
      <c r="D806" t="s">
        <v>29</v>
      </c>
      <c r="E806" t="s">
        <v>114</v>
      </c>
      <c r="G806" t="s">
        <v>33</v>
      </c>
      <c r="H806" t="s">
        <v>394</v>
      </c>
      <c r="I806" t="s">
        <v>29</v>
      </c>
      <c r="J806">
        <v>19990521</v>
      </c>
      <c r="K806">
        <v>19990521</v>
      </c>
      <c r="L806" s="7" t="str">
        <f>HYPERLINK("https://test.ictv.global/id/TN19980767","TN19980767@TEST")</f>
        <v>TN19980767@TEST</v>
      </c>
      <c r="M806" s="7" t="str">
        <f>HYPERLINK("https://test.ictv.global/id/ICTV19810184","ICTV19810184@TEST")</f>
        <v>ICTV19810184@TEST</v>
      </c>
      <c r="N806" s="7" t="str">
        <f>HYPERLINK("https://ictv.global/id/TN19980767","TN19980767@prod")</f>
        <v>TN19980767@prod</v>
      </c>
      <c r="O806" s="7" t="str">
        <f>HYPERLINK("https://ictv.global/id/ICTV19810184","ICTV19810184@prod")</f>
        <v>ICTV19810184@prod</v>
      </c>
    </row>
    <row r="807" spans="1:15" x14ac:dyDescent="0.2">
      <c r="A807">
        <v>17</v>
      </c>
      <c r="B807">
        <v>19980769</v>
      </c>
      <c r="C807">
        <v>19810186</v>
      </c>
      <c r="D807" t="s">
        <v>29</v>
      </c>
      <c r="E807" t="s">
        <v>116</v>
      </c>
      <c r="G807" t="s">
        <v>1165</v>
      </c>
      <c r="L807" s="7" t="str">
        <f>HYPERLINK("https://test.ictv.global/id/TN19980769","TN19980769@TEST")</f>
        <v>TN19980769@TEST</v>
      </c>
      <c r="M807" s="7" t="str">
        <f>HYPERLINK("https://test.ictv.global/id/ICTV19810186","ICTV19810186@TEST")</f>
        <v>ICTV19810186@TEST</v>
      </c>
      <c r="N807" s="7" t="str">
        <f>HYPERLINK("https://ictv.global/id/TN19980769","TN19980769@prod")</f>
        <v>TN19980769@prod</v>
      </c>
      <c r="O807" s="7" t="str">
        <f>HYPERLINK("https://ictv.global/id/ICTV19810186","ICTV19810186@prod")</f>
        <v>ICTV19810186@prod</v>
      </c>
    </row>
    <row r="808" spans="1:15" x14ac:dyDescent="0.2">
      <c r="A808">
        <v>17</v>
      </c>
      <c r="B808">
        <v>19980770</v>
      </c>
      <c r="C808">
        <v>19810187</v>
      </c>
      <c r="D808" t="s">
        <v>29</v>
      </c>
      <c r="E808" t="s">
        <v>117</v>
      </c>
      <c r="G808" t="s">
        <v>1165</v>
      </c>
      <c r="L808" s="7" t="str">
        <f>HYPERLINK("https://test.ictv.global/id/TN19980770","TN19980770@TEST")</f>
        <v>TN19980770@TEST</v>
      </c>
      <c r="M808" s="7" t="str">
        <f>HYPERLINK("https://test.ictv.global/id/ICTV19810187","ICTV19810187@TEST")</f>
        <v>ICTV19810187@TEST</v>
      </c>
      <c r="N808" s="7" t="str">
        <f>HYPERLINK("https://ictv.global/id/TN19980770","TN19980770@prod")</f>
        <v>TN19980770@prod</v>
      </c>
      <c r="O808" s="7" t="str">
        <f>HYPERLINK("https://ictv.global/id/ICTV19810187","ICTV19810187@prod")</f>
        <v>ICTV19810187@prod</v>
      </c>
    </row>
    <row r="809" spans="1:15" x14ac:dyDescent="0.2">
      <c r="A809">
        <v>17</v>
      </c>
      <c r="B809">
        <v>19980771</v>
      </c>
      <c r="C809">
        <v>19810188</v>
      </c>
      <c r="D809" t="s">
        <v>29</v>
      </c>
      <c r="E809" t="s">
        <v>118</v>
      </c>
      <c r="G809" t="s">
        <v>1165</v>
      </c>
      <c r="L809" s="7" t="str">
        <f>HYPERLINK("https://test.ictv.global/id/TN19980771","TN19980771@TEST")</f>
        <v>TN19980771@TEST</v>
      </c>
      <c r="M809" s="7" t="str">
        <f>HYPERLINK("https://test.ictv.global/id/ICTV19810188","ICTV19810188@TEST")</f>
        <v>ICTV19810188@TEST</v>
      </c>
      <c r="N809" s="7" t="str">
        <f>HYPERLINK("https://ictv.global/id/TN19980771","TN19980771@prod")</f>
        <v>TN19980771@prod</v>
      </c>
      <c r="O809" s="7" t="str">
        <f>HYPERLINK("https://ictv.global/id/ICTV19810188","ICTV19810188@prod")</f>
        <v>ICTV19810188@prod</v>
      </c>
    </row>
    <row r="810" spans="1:15" x14ac:dyDescent="0.2">
      <c r="A810">
        <v>17</v>
      </c>
      <c r="B810">
        <v>19980772</v>
      </c>
      <c r="C810">
        <v>19810189</v>
      </c>
      <c r="D810" t="s">
        <v>29</v>
      </c>
      <c r="E810" t="s">
        <v>119</v>
      </c>
      <c r="G810" t="s">
        <v>1165</v>
      </c>
      <c r="L810" s="7" t="str">
        <f>HYPERLINK("https://test.ictv.global/id/TN19980772","TN19980772@TEST")</f>
        <v>TN19980772@TEST</v>
      </c>
      <c r="M810" s="7" t="str">
        <f>HYPERLINK("https://test.ictv.global/id/ICTV19810189","ICTV19810189@TEST")</f>
        <v>ICTV19810189@TEST</v>
      </c>
      <c r="N810" s="7" t="str">
        <f>HYPERLINK("https://ictv.global/id/TN19980772","TN19980772@prod")</f>
        <v>TN19980772@prod</v>
      </c>
      <c r="O810" s="7" t="str">
        <f>HYPERLINK("https://ictv.global/id/ICTV19810189","ICTV19810189@prod")</f>
        <v>ICTV19810189@prod</v>
      </c>
    </row>
    <row r="811" spans="1:15" x14ac:dyDescent="0.2">
      <c r="A811">
        <v>17</v>
      </c>
      <c r="B811">
        <v>19980773</v>
      </c>
      <c r="C811">
        <v>19810190</v>
      </c>
      <c r="D811" t="s">
        <v>29</v>
      </c>
      <c r="E811" t="s">
        <v>120</v>
      </c>
      <c r="G811" t="s">
        <v>1165</v>
      </c>
      <c r="L811" s="7" t="str">
        <f>HYPERLINK("https://test.ictv.global/id/TN19980773","TN19980773@TEST")</f>
        <v>TN19980773@TEST</v>
      </c>
      <c r="M811" s="7" t="str">
        <f>HYPERLINK("https://test.ictv.global/id/ICTV19810190","ICTV19810190@TEST")</f>
        <v>ICTV19810190@TEST</v>
      </c>
      <c r="N811" s="7" t="str">
        <f>HYPERLINK("https://ictv.global/id/TN19980773","TN19980773@prod")</f>
        <v>TN19980773@prod</v>
      </c>
      <c r="O811" s="7" t="str">
        <f>HYPERLINK("https://ictv.global/id/ICTV19810190","ICTV19810190@prod")</f>
        <v>ICTV19810190@prod</v>
      </c>
    </row>
    <row r="812" spans="1:15" x14ac:dyDescent="0.2">
      <c r="A812">
        <v>17</v>
      </c>
      <c r="B812">
        <v>19980774</v>
      </c>
      <c r="C812">
        <v>19810191</v>
      </c>
      <c r="D812" t="s">
        <v>29</v>
      </c>
      <c r="E812" t="s">
        <v>121</v>
      </c>
      <c r="G812" t="s">
        <v>31</v>
      </c>
      <c r="H812" t="s">
        <v>395</v>
      </c>
      <c r="I812" t="s">
        <v>29</v>
      </c>
      <c r="J812">
        <v>19990516</v>
      </c>
      <c r="K812">
        <v>19990516</v>
      </c>
      <c r="L812" s="7" t="str">
        <f>HYPERLINK("https://test.ictv.global/id/TN19980774","TN19980774@TEST")</f>
        <v>TN19980774@TEST</v>
      </c>
      <c r="M812" s="7" t="str">
        <f>HYPERLINK("https://test.ictv.global/id/ICTV19810191","ICTV19810191@TEST")</f>
        <v>ICTV19810191@TEST</v>
      </c>
      <c r="N812" s="7" t="str">
        <f>HYPERLINK("https://ictv.global/id/TN19980774","TN19980774@prod")</f>
        <v>TN19980774@prod</v>
      </c>
      <c r="O812" s="7" t="str">
        <f>HYPERLINK("https://ictv.global/id/ICTV19810191","ICTV19810191@prod")</f>
        <v>ICTV19810191@prod</v>
      </c>
    </row>
    <row r="813" spans="1:15" x14ac:dyDescent="0.2">
      <c r="A813">
        <v>17</v>
      </c>
      <c r="B813">
        <v>19980775</v>
      </c>
      <c r="C813">
        <v>19760117</v>
      </c>
      <c r="D813" t="s">
        <v>29</v>
      </c>
      <c r="E813" t="s">
        <v>396</v>
      </c>
      <c r="G813" t="s">
        <v>33</v>
      </c>
      <c r="H813" t="s">
        <v>397</v>
      </c>
      <c r="I813" t="s">
        <v>29</v>
      </c>
      <c r="J813">
        <v>19990511</v>
      </c>
      <c r="K813">
        <v>19990511</v>
      </c>
      <c r="L813" s="7" t="str">
        <f>HYPERLINK("https://test.ictv.global/id/TN19980775","TN19980775@TEST")</f>
        <v>TN19980775@TEST</v>
      </c>
      <c r="M813" s="7" t="str">
        <f>HYPERLINK("https://test.ictv.global/id/ICTV19760117","ICTV19760117@TEST")</f>
        <v>ICTV19760117@TEST</v>
      </c>
      <c r="N813" s="7" t="str">
        <f>HYPERLINK("https://ictv.global/id/TN19980775","TN19980775@prod")</f>
        <v>TN19980775@prod</v>
      </c>
      <c r="O813" s="7" t="str">
        <f>HYPERLINK("https://ictv.global/id/ICTV19760117","ICTV19760117@prod")</f>
        <v>ICTV19760117@prod</v>
      </c>
    </row>
    <row r="814" spans="1:15" x14ac:dyDescent="0.2">
      <c r="A814">
        <v>17</v>
      </c>
      <c r="B814">
        <v>19980776</v>
      </c>
      <c r="C814">
        <v>19910315</v>
      </c>
      <c r="D814" t="s">
        <v>29</v>
      </c>
      <c r="E814" t="s">
        <v>398</v>
      </c>
      <c r="G814" t="s">
        <v>33</v>
      </c>
      <c r="H814" t="s">
        <v>397</v>
      </c>
      <c r="I814" t="s">
        <v>29</v>
      </c>
      <c r="J814">
        <v>19990511</v>
      </c>
      <c r="K814">
        <v>19990511</v>
      </c>
      <c r="L814" s="7" t="str">
        <f>HYPERLINK("https://test.ictv.global/id/TN19980776","TN19980776@TEST")</f>
        <v>TN19980776@TEST</v>
      </c>
      <c r="M814" s="7" t="str">
        <f>HYPERLINK("https://test.ictv.global/id/ICTV19910315","ICTV19910315@TEST")</f>
        <v>ICTV19910315@TEST</v>
      </c>
      <c r="N814" s="7" t="str">
        <f>HYPERLINK("https://ictv.global/id/TN19980776","TN19980776@prod")</f>
        <v>TN19980776@prod</v>
      </c>
      <c r="O814" s="7" t="str">
        <f>HYPERLINK("https://ictv.global/id/ICTV19910315","ICTV19910315@prod")</f>
        <v>ICTV19910315@prod</v>
      </c>
    </row>
    <row r="815" spans="1:15" x14ac:dyDescent="0.2">
      <c r="A815">
        <v>17</v>
      </c>
      <c r="B815">
        <v>19980777</v>
      </c>
      <c r="C815">
        <v>19810193</v>
      </c>
      <c r="D815" t="s">
        <v>29</v>
      </c>
      <c r="E815" t="s">
        <v>1670</v>
      </c>
      <c r="G815" t="s">
        <v>1165</v>
      </c>
      <c r="L815" s="7" t="str">
        <f>HYPERLINK("https://test.ictv.global/id/TN19980777","TN19980777@TEST")</f>
        <v>TN19980777@TEST</v>
      </c>
      <c r="M815" s="7" t="str">
        <f>HYPERLINK("https://test.ictv.global/id/ICTV19810193","ICTV19810193@TEST")</f>
        <v>ICTV19810193@TEST</v>
      </c>
      <c r="N815" s="7" t="str">
        <f>HYPERLINK("https://ictv.global/id/TN19980777","TN19980777@prod")</f>
        <v>TN19980777@prod</v>
      </c>
      <c r="O815" s="7" t="str">
        <f>HYPERLINK("https://ictv.global/id/ICTV19810193","ICTV19810193@prod")</f>
        <v>ICTV19810193@prod</v>
      </c>
    </row>
    <row r="816" spans="1:15" x14ac:dyDescent="0.2">
      <c r="A816">
        <v>17</v>
      </c>
      <c r="B816">
        <v>19980779</v>
      </c>
      <c r="C816">
        <v>19710071</v>
      </c>
      <c r="D816" t="s">
        <v>29</v>
      </c>
      <c r="E816" t="s">
        <v>399</v>
      </c>
      <c r="G816" t="s">
        <v>31</v>
      </c>
      <c r="H816" t="s">
        <v>395</v>
      </c>
      <c r="I816" t="s">
        <v>29</v>
      </c>
      <c r="J816">
        <v>19990516</v>
      </c>
      <c r="K816">
        <v>19990516</v>
      </c>
      <c r="L816" s="7" t="str">
        <f>HYPERLINK("https://test.ictv.global/id/TN19980779","TN19980779@TEST")</f>
        <v>TN19980779@TEST</v>
      </c>
      <c r="M816" s="7" t="str">
        <f>HYPERLINK("https://test.ictv.global/id/ICTV19710071","ICTV19710071@TEST")</f>
        <v>ICTV19710071@TEST</v>
      </c>
      <c r="N816" s="7" t="str">
        <f>HYPERLINK("https://ictv.global/id/TN19980779","TN19980779@prod")</f>
        <v>TN19980779@prod</v>
      </c>
      <c r="O816" s="7" t="str">
        <f>HYPERLINK("https://ictv.global/id/ICTV19710071","ICTV19710071@prod")</f>
        <v>ICTV19710071@prod</v>
      </c>
    </row>
    <row r="817" spans="1:15" x14ac:dyDescent="0.2">
      <c r="A817">
        <v>17</v>
      </c>
      <c r="B817">
        <v>19980780</v>
      </c>
      <c r="C817">
        <v>19810196</v>
      </c>
      <c r="D817" t="s">
        <v>29</v>
      </c>
      <c r="E817" t="s">
        <v>123</v>
      </c>
      <c r="G817" t="s">
        <v>33</v>
      </c>
      <c r="H817" t="s">
        <v>400</v>
      </c>
      <c r="I817" t="s">
        <v>29</v>
      </c>
      <c r="J817">
        <v>19990517</v>
      </c>
      <c r="K817">
        <v>19990517</v>
      </c>
      <c r="L817" s="7" t="str">
        <f>HYPERLINK("https://test.ictv.global/id/TN19980780","TN19980780@TEST")</f>
        <v>TN19980780@TEST</v>
      </c>
      <c r="M817" s="7" t="str">
        <f>HYPERLINK("https://test.ictv.global/id/ICTV19810196","ICTV19810196@TEST")</f>
        <v>ICTV19810196@TEST</v>
      </c>
      <c r="N817" s="7" t="str">
        <f>HYPERLINK("https://ictv.global/id/TN19980780","TN19980780@prod")</f>
        <v>TN19980780@prod</v>
      </c>
      <c r="O817" s="7" t="str">
        <f>HYPERLINK("https://ictv.global/id/ICTV19810196","ICTV19810196@prod")</f>
        <v>ICTV19810196@prod</v>
      </c>
    </row>
    <row r="818" spans="1:15" x14ac:dyDescent="0.2">
      <c r="A818">
        <v>17</v>
      </c>
      <c r="B818">
        <v>19980781</v>
      </c>
      <c r="C818">
        <v>19810197</v>
      </c>
      <c r="D818" t="s">
        <v>29</v>
      </c>
      <c r="E818" t="s">
        <v>124</v>
      </c>
      <c r="G818" t="s">
        <v>33</v>
      </c>
      <c r="H818" t="s">
        <v>401</v>
      </c>
      <c r="I818" t="s">
        <v>29</v>
      </c>
      <c r="J818">
        <v>19990515</v>
      </c>
      <c r="K818">
        <v>19990515</v>
      </c>
      <c r="L818" s="7" t="str">
        <f>HYPERLINK("https://test.ictv.global/id/TN19980781","TN19980781@TEST")</f>
        <v>TN19980781@TEST</v>
      </c>
      <c r="M818" s="7" t="str">
        <f>HYPERLINK("https://test.ictv.global/id/ICTV19810197","ICTV19810197@TEST")</f>
        <v>ICTV19810197@TEST</v>
      </c>
      <c r="N818" s="7" t="str">
        <f>HYPERLINK("https://ictv.global/id/TN19980781","TN19980781@prod")</f>
        <v>TN19980781@prod</v>
      </c>
      <c r="O818" s="7" t="str">
        <f>HYPERLINK("https://ictv.global/id/ICTV19810197","ICTV19810197@prod")</f>
        <v>ICTV19810197@prod</v>
      </c>
    </row>
    <row r="819" spans="1:15" x14ac:dyDescent="0.2">
      <c r="A819">
        <v>17</v>
      </c>
      <c r="B819">
        <v>19980782</v>
      </c>
      <c r="C819">
        <v>19810198</v>
      </c>
      <c r="D819" t="s">
        <v>29</v>
      </c>
      <c r="E819" t="s">
        <v>125</v>
      </c>
      <c r="G819" t="s">
        <v>33</v>
      </c>
      <c r="H819" t="s">
        <v>402</v>
      </c>
      <c r="I819" t="s">
        <v>29</v>
      </c>
      <c r="J819">
        <v>19990514</v>
      </c>
      <c r="K819">
        <v>19990514</v>
      </c>
      <c r="L819" s="7" t="str">
        <f>HYPERLINK("https://test.ictv.global/id/TN19980782","TN19980782@TEST")</f>
        <v>TN19980782@TEST</v>
      </c>
      <c r="M819" s="7" t="str">
        <f>HYPERLINK("https://test.ictv.global/id/ICTV19810198","ICTV19810198@TEST")</f>
        <v>ICTV19810198@TEST</v>
      </c>
      <c r="N819" s="7" t="str">
        <f>HYPERLINK("https://ictv.global/id/TN19980782","TN19980782@prod")</f>
        <v>TN19980782@prod</v>
      </c>
      <c r="O819" s="7" t="str">
        <f>HYPERLINK("https://ictv.global/id/ICTV19810198","ICTV19810198@prod")</f>
        <v>ICTV19810198@prod</v>
      </c>
    </row>
    <row r="820" spans="1:15" x14ac:dyDescent="0.2">
      <c r="A820">
        <v>17</v>
      </c>
      <c r="B820">
        <v>19980783</v>
      </c>
      <c r="C820">
        <v>19810199</v>
      </c>
      <c r="D820" t="s">
        <v>29</v>
      </c>
      <c r="E820" t="s">
        <v>126</v>
      </c>
      <c r="G820" t="s">
        <v>33</v>
      </c>
      <c r="H820" t="s">
        <v>400</v>
      </c>
      <c r="I820" t="s">
        <v>29</v>
      </c>
      <c r="J820">
        <v>19990517</v>
      </c>
      <c r="K820">
        <v>19990517</v>
      </c>
      <c r="L820" s="7" t="str">
        <f>HYPERLINK("https://test.ictv.global/id/TN19980783","TN19980783@TEST")</f>
        <v>TN19980783@TEST</v>
      </c>
      <c r="M820" s="7" t="str">
        <f>HYPERLINK("https://test.ictv.global/id/ICTV19810199","ICTV19810199@TEST")</f>
        <v>ICTV19810199@TEST</v>
      </c>
      <c r="N820" s="7" t="str">
        <f>HYPERLINK("https://ictv.global/id/TN19980783","TN19980783@prod")</f>
        <v>TN19980783@prod</v>
      </c>
      <c r="O820" s="7" t="str">
        <f>HYPERLINK("https://ictv.global/id/ICTV19810199","ICTV19810199@prod")</f>
        <v>ICTV19810199@prod</v>
      </c>
    </row>
    <row r="821" spans="1:15" x14ac:dyDescent="0.2">
      <c r="A821">
        <v>17</v>
      </c>
      <c r="B821">
        <v>19980784</v>
      </c>
      <c r="C821">
        <v>19810200</v>
      </c>
      <c r="D821" t="s">
        <v>29</v>
      </c>
      <c r="E821" t="s">
        <v>127</v>
      </c>
      <c r="G821" t="s">
        <v>33</v>
      </c>
      <c r="H821" t="s">
        <v>401</v>
      </c>
      <c r="I821" t="s">
        <v>29</v>
      </c>
      <c r="J821">
        <v>19990515</v>
      </c>
      <c r="K821">
        <v>19990515</v>
      </c>
      <c r="L821" s="7" t="str">
        <f>HYPERLINK("https://test.ictv.global/id/TN19980784","TN19980784@TEST")</f>
        <v>TN19980784@TEST</v>
      </c>
      <c r="M821" s="7" t="str">
        <f>HYPERLINK("https://test.ictv.global/id/ICTV19810200","ICTV19810200@TEST")</f>
        <v>ICTV19810200@TEST</v>
      </c>
      <c r="N821" s="7" t="str">
        <f>HYPERLINK("https://ictv.global/id/TN19980784","TN19980784@prod")</f>
        <v>TN19980784@prod</v>
      </c>
      <c r="O821" s="7" t="str">
        <f>HYPERLINK("https://ictv.global/id/ICTV19810200","ICTV19810200@prod")</f>
        <v>ICTV19810200@prod</v>
      </c>
    </row>
    <row r="822" spans="1:15" x14ac:dyDescent="0.2">
      <c r="A822">
        <v>17</v>
      </c>
      <c r="B822">
        <v>19980785</v>
      </c>
      <c r="C822">
        <v>19810201</v>
      </c>
      <c r="D822" t="s">
        <v>29</v>
      </c>
      <c r="E822" t="s">
        <v>128</v>
      </c>
      <c r="G822" t="s">
        <v>33</v>
      </c>
      <c r="H822" t="s">
        <v>400</v>
      </c>
      <c r="I822" t="s">
        <v>29</v>
      </c>
      <c r="J822">
        <v>19990517</v>
      </c>
      <c r="K822">
        <v>19990517</v>
      </c>
      <c r="L822" s="7" t="str">
        <f>HYPERLINK("https://test.ictv.global/id/TN19980785","TN19980785@TEST")</f>
        <v>TN19980785@TEST</v>
      </c>
      <c r="M822" s="7" t="str">
        <f>HYPERLINK("https://test.ictv.global/id/ICTV19810201","ICTV19810201@TEST")</f>
        <v>ICTV19810201@TEST</v>
      </c>
      <c r="N822" s="7" t="str">
        <f>HYPERLINK("https://ictv.global/id/TN19980785","TN19980785@prod")</f>
        <v>TN19980785@prod</v>
      </c>
      <c r="O822" s="7" t="str">
        <f>HYPERLINK("https://ictv.global/id/ICTV19810201","ICTV19810201@prod")</f>
        <v>ICTV19810201@prod</v>
      </c>
    </row>
    <row r="823" spans="1:15" x14ac:dyDescent="0.2">
      <c r="A823">
        <v>17</v>
      </c>
      <c r="B823">
        <v>19980786</v>
      </c>
      <c r="C823">
        <v>19810202</v>
      </c>
      <c r="D823" t="s">
        <v>29</v>
      </c>
      <c r="E823" t="s">
        <v>129</v>
      </c>
      <c r="G823" t="s">
        <v>33</v>
      </c>
      <c r="H823" t="s">
        <v>401</v>
      </c>
      <c r="I823" t="s">
        <v>29</v>
      </c>
      <c r="J823">
        <v>19990515</v>
      </c>
      <c r="K823">
        <v>19990515</v>
      </c>
      <c r="L823" s="7" t="str">
        <f>HYPERLINK("https://test.ictv.global/id/TN19980786","TN19980786@TEST")</f>
        <v>TN19980786@TEST</v>
      </c>
      <c r="M823" s="7" t="str">
        <f>HYPERLINK("https://test.ictv.global/id/ICTV19810202","ICTV19810202@TEST")</f>
        <v>ICTV19810202@TEST</v>
      </c>
      <c r="N823" s="7" t="str">
        <f>HYPERLINK("https://ictv.global/id/TN19980786","TN19980786@prod")</f>
        <v>TN19980786@prod</v>
      </c>
      <c r="O823" s="7" t="str">
        <f>HYPERLINK("https://ictv.global/id/ICTV19810202","ICTV19810202@prod")</f>
        <v>ICTV19810202@prod</v>
      </c>
    </row>
    <row r="824" spans="1:15" x14ac:dyDescent="0.2">
      <c r="A824">
        <v>17</v>
      </c>
      <c r="B824">
        <v>19980787</v>
      </c>
      <c r="C824">
        <v>19810203</v>
      </c>
      <c r="D824" t="s">
        <v>29</v>
      </c>
      <c r="E824" t="s">
        <v>130</v>
      </c>
      <c r="G824" t="s">
        <v>33</v>
      </c>
      <c r="H824" t="s">
        <v>400</v>
      </c>
      <c r="I824" t="s">
        <v>29</v>
      </c>
      <c r="J824">
        <v>19990517</v>
      </c>
      <c r="K824">
        <v>19990517</v>
      </c>
      <c r="L824" s="7" t="str">
        <f>HYPERLINK("https://test.ictv.global/id/TN19980787","TN19980787@TEST")</f>
        <v>TN19980787@TEST</v>
      </c>
      <c r="M824" s="7" t="str">
        <f>HYPERLINK("https://test.ictv.global/id/ICTV19810203","ICTV19810203@TEST")</f>
        <v>ICTV19810203@TEST</v>
      </c>
      <c r="N824" s="7" t="str">
        <f>HYPERLINK("https://ictv.global/id/TN19980787","TN19980787@prod")</f>
        <v>TN19980787@prod</v>
      </c>
      <c r="O824" s="7" t="str">
        <f>HYPERLINK("https://ictv.global/id/ICTV19810203","ICTV19810203@prod")</f>
        <v>ICTV19810203@prod</v>
      </c>
    </row>
    <row r="825" spans="1:15" x14ac:dyDescent="0.2">
      <c r="A825">
        <v>17</v>
      </c>
      <c r="B825">
        <v>19980788</v>
      </c>
      <c r="C825">
        <v>19810204</v>
      </c>
      <c r="D825" t="s">
        <v>29</v>
      </c>
      <c r="E825" t="s">
        <v>131</v>
      </c>
      <c r="G825" t="s">
        <v>33</v>
      </c>
      <c r="H825" t="s">
        <v>402</v>
      </c>
      <c r="I825" t="s">
        <v>29</v>
      </c>
      <c r="J825">
        <v>19990514</v>
      </c>
      <c r="K825">
        <v>19990514</v>
      </c>
      <c r="L825" s="7" t="str">
        <f>HYPERLINK("https://test.ictv.global/id/TN19980788","TN19980788@TEST")</f>
        <v>TN19980788@TEST</v>
      </c>
      <c r="M825" s="7" t="str">
        <f>HYPERLINK("https://test.ictv.global/id/ICTV19810204","ICTV19810204@TEST")</f>
        <v>ICTV19810204@TEST</v>
      </c>
      <c r="N825" s="7" t="str">
        <f>HYPERLINK("https://ictv.global/id/TN19980788","TN19980788@prod")</f>
        <v>TN19980788@prod</v>
      </c>
      <c r="O825" s="7" t="str">
        <f>HYPERLINK("https://ictv.global/id/ICTV19810204","ICTV19810204@prod")</f>
        <v>ICTV19810204@prod</v>
      </c>
    </row>
    <row r="826" spans="1:15" x14ac:dyDescent="0.2">
      <c r="A826">
        <v>17</v>
      </c>
      <c r="B826">
        <v>19980789</v>
      </c>
      <c r="C826">
        <v>19810205</v>
      </c>
      <c r="D826" t="s">
        <v>29</v>
      </c>
      <c r="E826" t="s">
        <v>132</v>
      </c>
      <c r="G826" t="s">
        <v>33</v>
      </c>
      <c r="H826" t="s">
        <v>400</v>
      </c>
      <c r="I826" t="s">
        <v>29</v>
      </c>
      <c r="J826">
        <v>19990517</v>
      </c>
      <c r="K826">
        <v>19990517</v>
      </c>
      <c r="L826" s="7" t="str">
        <f>HYPERLINK("https://test.ictv.global/id/TN19980789","TN19980789@TEST")</f>
        <v>TN19980789@TEST</v>
      </c>
      <c r="M826" s="7" t="str">
        <f>HYPERLINK("https://test.ictv.global/id/ICTV19810205","ICTV19810205@TEST")</f>
        <v>ICTV19810205@TEST</v>
      </c>
      <c r="N826" s="7" t="str">
        <f>HYPERLINK("https://ictv.global/id/TN19980789","TN19980789@prod")</f>
        <v>TN19980789@prod</v>
      </c>
      <c r="O826" s="7" t="str">
        <f>HYPERLINK("https://ictv.global/id/ICTV19810205","ICTV19810205@prod")</f>
        <v>ICTV19810205@prod</v>
      </c>
    </row>
    <row r="827" spans="1:15" x14ac:dyDescent="0.2">
      <c r="A827">
        <v>17</v>
      </c>
      <c r="B827">
        <v>19980790</v>
      </c>
      <c r="C827">
        <v>19760115</v>
      </c>
      <c r="D827" t="s">
        <v>29</v>
      </c>
      <c r="E827" t="s">
        <v>403</v>
      </c>
      <c r="G827" t="s">
        <v>33</v>
      </c>
      <c r="H827" t="s">
        <v>395</v>
      </c>
      <c r="I827" t="s">
        <v>29</v>
      </c>
      <c r="J827">
        <v>19990516</v>
      </c>
      <c r="K827">
        <v>19990516</v>
      </c>
      <c r="L827" s="7" t="str">
        <f>HYPERLINK("https://test.ictv.global/id/TN19980790","TN19980790@TEST")</f>
        <v>TN19980790@TEST</v>
      </c>
      <c r="M827" s="7" t="str">
        <f>HYPERLINK("https://test.ictv.global/id/ICTV19760115","ICTV19760115@TEST")</f>
        <v>ICTV19760115@TEST</v>
      </c>
      <c r="N827" s="7" t="str">
        <f>HYPERLINK("https://ictv.global/id/TN19980790","TN19980790@prod")</f>
        <v>TN19980790@prod</v>
      </c>
      <c r="O827" s="7" t="str">
        <f>HYPERLINK("https://ictv.global/id/ICTV19760115","ICTV19760115@prod")</f>
        <v>ICTV19760115@prod</v>
      </c>
    </row>
    <row r="828" spans="1:15" x14ac:dyDescent="0.2">
      <c r="A828">
        <v>17</v>
      </c>
      <c r="B828">
        <v>19980791</v>
      </c>
      <c r="C828">
        <v>19810207</v>
      </c>
      <c r="D828" t="s">
        <v>29</v>
      </c>
      <c r="E828" t="s">
        <v>133</v>
      </c>
      <c r="G828" t="s">
        <v>33</v>
      </c>
      <c r="H828" t="s">
        <v>400</v>
      </c>
      <c r="I828" t="s">
        <v>29</v>
      </c>
      <c r="J828">
        <v>19990517</v>
      </c>
      <c r="K828">
        <v>19990517</v>
      </c>
      <c r="L828" s="7" t="str">
        <f>HYPERLINK("https://test.ictv.global/id/TN19980791","TN19980791@TEST")</f>
        <v>TN19980791@TEST</v>
      </c>
      <c r="M828" s="7" t="str">
        <f>HYPERLINK("https://test.ictv.global/id/ICTV19810207","ICTV19810207@TEST")</f>
        <v>ICTV19810207@TEST</v>
      </c>
      <c r="N828" s="7" t="str">
        <f>HYPERLINK("https://ictv.global/id/TN19980791","TN19980791@prod")</f>
        <v>TN19980791@prod</v>
      </c>
      <c r="O828" s="7" t="str">
        <f>HYPERLINK("https://ictv.global/id/ICTV19810207","ICTV19810207@prod")</f>
        <v>ICTV19810207@prod</v>
      </c>
    </row>
    <row r="829" spans="1:15" x14ac:dyDescent="0.2">
      <c r="A829">
        <v>17</v>
      </c>
      <c r="B829">
        <v>19980792</v>
      </c>
      <c r="C829">
        <v>19810208</v>
      </c>
      <c r="D829" t="s">
        <v>29</v>
      </c>
      <c r="E829" t="s">
        <v>134</v>
      </c>
      <c r="G829" t="s">
        <v>33</v>
      </c>
      <c r="H829" t="s">
        <v>401</v>
      </c>
      <c r="I829" t="s">
        <v>29</v>
      </c>
      <c r="J829">
        <v>19990515</v>
      </c>
      <c r="K829">
        <v>19990515</v>
      </c>
      <c r="L829" s="7" t="str">
        <f>HYPERLINK("https://test.ictv.global/id/TN19980792","TN19980792@TEST")</f>
        <v>TN19980792@TEST</v>
      </c>
      <c r="M829" s="7" t="str">
        <f>HYPERLINK("https://test.ictv.global/id/ICTV19810208","ICTV19810208@TEST")</f>
        <v>ICTV19810208@TEST</v>
      </c>
      <c r="N829" s="7" t="str">
        <f>HYPERLINK("https://ictv.global/id/TN19980792","TN19980792@prod")</f>
        <v>TN19980792@prod</v>
      </c>
      <c r="O829" s="7" t="str">
        <f>HYPERLINK("https://ictv.global/id/ICTV19810208","ICTV19810208@prod")</f>
        <v>ICTV19810208@prod</v>
      </c>
    </row>
    <row r="830" spans="1:15" x14ac:dyDescent="0.2">
      <c r="A830">
        <v>17</v>
      </c>
      <c r="B830">
        <v>19980793</v>
      </c>
      <c r="C830">
        <v>19810209</v>
      </c>
      <c r="D830" t="s">
        <v>29</v>
      </c>
      <c r="E830" t="s">
        <v>135</v>
      </c>
      <c r="G830" t="s">
        <v>33</v>
      </c>
      <c r="H830" t="s">
        <v>400</v>
      </c>
      <c r="I830" t="s">
        <v>29</v>
      </c>
      <c r="J830">
        <v>19990517</v>
      </c>
      <c r="K830">
        <v>19990517</v>
      </c>
      <c r="L830" s="7" t="str">
        <f>HYPERLINK("https://test.ictv.global/id/TN19980793","TN19980793@TEST")</f>
        <v>TN19980793@TEST</v>
      </c>
      <c r="M830" s="7" t="str">
        <f>HYPERLINK("https://test.ictv.global/id/ICTV19810209","ICTV19810209@TEST")</f>
        <v>ICTV19810209@TEST</v>
      </c>
      <c r="N830" s="7" t="str">
        <f>HYPERLINK("https://ictv.global/id/TN19980793","TN19980793@prod")</f>
        <v>TN19980793@prod</v>
      </c>
      <c r="O830" s="7" t="str">
        <f>HYPERLINK("https://ictv.global/id/ICTV19810209","ICTV19810209@prod")</f>
        <v>ICTV19810209@prod</v>
      </c>
    </row>
    <row r="831" spans="1:15" x14ac:dyDescent="0.2">
      <c r="A831">
        <v>17</v>
      </c>
      <c r="B831">
        <v>19980794</v>
      </c>
      <c r="C831">
        <v>19810210</v>
      </c>
      <c r="D831" t="s">
        <v>29</v>
      </c>
      <c r="E831" t="s">
        <v>136</v>
      </c>
      <c r="G831" t="s">
        <v>33</v>
      </c>
      <c r="H831" t="s">
        <v>400</v>
      </c>
      <c r="I831" t="s">
        <v>29</v>
      </c>
      <c r="J831">
        <v>19990517</v>
      </c>
      <c r="K831">
        <v>19990517</v>
      </c>
      <c r="L831" s="7" t="str">
        <f>HYPERLINK("https://test.ictv.global/id/TN19980794","TN19980794@TEST")</f>
        <v>TN19980794@TEST</v>
      </c>
      <c r="M831" s="7" t="str">
        <f>HYPERLINK("https://test.ictv.global/id/ICTV19810210","ICTV19810210@TEST")</f>
        <v>ICTV19810210@TEST</v>
      </c>
      <c r="N831" s="7" t="str">
        <f>HYPERLINK("https://ictv.global/id/TN19980794","TN19980794@prod")</f>
        <v>TN19980794@prod</v>
      </c>
      <c r="O831" s="7" t="str">
        <f>HYPERLINK("https://ictv.global/id/ICTV19810210","ICTV19810210@prod")</f>
        <v>ICTV19810210@prod</v>
      </c>
    </row>
    <row r="832" spans="1:15" x14ac:dyDescent="0.2">
      <c r="A832">
        <v>17</v>
      </c>
      <c r="B832">
        <v>19980795</v>
      </c>
      <c r="C832">
        <v>19810211</v>
      </c>
      <c r="D832" t="s">
        <v>29</v>
      </c>
      <c r="E832" t="s">
        <v>137</v>
      </c>
      <c r="G832" t="s">
        <v>33</v>
      </c>
      <c r="H832" t="s">
        <v>400</v>
      </c>
      <c r="I832" t="s">
        <v>29</v>
      </c>
      <c r="J832">
        <v>19990517</v>
      </c>
      <c r="K832">
        <v>19990517</v>
      </c>
      <c r="L832" s="7" t="str">
        <f>HYPERLINK("https://test.ictv.global/id/TN19980795","TN19980795@TEST")</f>
        <v>TN19980795@TEST</v>
      </c>
      <c r="M832" s="7" t="str">
        <f>HYPERLINK("https://test.ictv.global/id/ICTV19810211","ICTV19810211@TEST")</f>
        <v>ICTV19810211@TEST</v>
      </c>
      <c r="N832" s="7" t="str">
        <f>HYPERLINK("https://ictv.global/id/TN19980795","TN19980795@prod")</f>
        <v>TN19980795@prod</v>
      </c>
      <c r="O832" s="7" t="str">
        <f>HYPERLINK("https://ictv.global/id/ICTV19810211","ICTV19810211@prod")</f>
        <v>ICTV19810211@prod</v>
      </c>
    </row>
    <row r="833" spans="1:15" x14ac:dyDescent="0.2">
      <c r="A833">
        <v>17</v>
      </c>
      <c r="B833">
        <v>19980796</v>
      </c>
      <c r="C833">
        <v>19810212</v>
      </c>
      <c r="D833" t="s">
        <v>29</v>
      </c>
      <c r="E833" t="s">
        <v>138</v>
      </c>
      <c r="G833" t="s">
        <v>33</v>
      </c>
      <c r="H833" t="s">
        <v>400</v>
      </c>
      <c r="I833" t="s">
        <v>29</v>
      </c>
      <c r="J833">
        <v>19990517</v>
      </c>
      <c r="K833">
        <v>19990517</v>
      </c>
      <c r="L833" s="7" t="str">
        <f>HYPERLINK("https://test.ictv.global/id/TN19980796","TN19980796@TEST")</f>
        <v>TN19980796@TEST</v>
      </c>
      <c r="M833" s="7" t="str">
        <f>HYPERLINK("https://test.ictv.global/id/ICTV19810212","ICTV19810212@TEST")</f>
        <v>ICTV19810212@TEST</v>
      </c>
      <c r="N833" s="7" t="str">
        <f>HYPERLINK("https://ictv.global/id/TN19980796","TN19980796@prod")</f>
        <v>TN19980796@prod</v>
      </c>
      <c r="O833" s="7" t="str">
        <f>HYPERLINK("https://ictv.global/id/ICTV19810212","ICTV19810212@prod")</f>
        <v>ICTV19810212@prod</v>
      </c>
    </row>
    <row r="834" spans="1:15" x14ac:dyDescent="0.2">
      <c r="A834">
        <v>17</v>
      </c>
      <c r="B834">
        <v>19980797</v>
      </c>
      <c r="C834">
        <v>19810213</v>
      </c>
      <c r="D834" t="s">
        <v>29</v>
      </c>
      <c r="E834" t="s">
        <v>139</v>
      </c>
      <c r="G834" t="s">
        <v>33</v>
      </c>
      <c r="H834" t="s">
        <v>400</v>
      </c>
      <c r="I834" t="s">
        <v>29</v>
      </c>
      <c r="J834">
        <v>19990517</v>
      </c>
      <c r="K834">
        <v>19990517</v>
      </c>
      <c r="L834" s="7" t="str">
        <f>HYPERLINK("https://test.ictv.global/id/TN19980797","TN19980797@TEST")</f>
        <v>TN19980797@TEST</v>
      </c>
      <c r="M834" s="7" t="str">
        <f>HYPERLINK("https://test.ictv.global/id/ICTV19810213","ICTV19810213@TEST")</f>
        <v>ICTV19810213@TEST</v>
      </c>
      <c r="N834" s="7" t="str">
        <f>HYPERLINK("https://ictv.global/id/TN19980797","TN19980797@prod")</f>
        <v>TN19980797@prod</v>
      </c>
      <c r="O834" s="7" t="str">
        <f>HYPERLINK("https://ictv.global/id/ICTV19810213","ICTV19810213@prod")</f>
        <v>ICTV19810213@prod</v>
      </c>
    </row>
    <row r="835" spans="1:15" x14ac:dyDescent="0.2">
      <c r="A835">
        <v>17</v>
      </c>
      <c r="B835">
        <v>19980798</v>
      </c>
      <c r="C835">
        <v>19810214</v>
      </c>
      <c r="D835" t="s">
        <v>29</v>
      </c>
      <c r="E835" t="s">
        <v>140</v>
      </c>
      <c r="G835" t="s">
        <v>33</v>
      </c>
      <c r="H835" t="s">
        <v>400</v>
      </c>
      <c r="I835" t="s">
        <v>29</v>
      </c>
      <c r="J835">
        <v>19990517</v>
      </c>
      <c r="K835">
        <v>19990517</v>
      </c>
      <c r="L835" s="7" t="str">
        <f>HYPERLINK("https://test.ictv.global/id/TN19980798","TN19980798@TEST")</f>
        <v>TN19980798@TEST</v>
      </c>
      <c r="M835" s="7" t="str">
        <f>HYPERLINK("https://test.ictv.global/id/ICTV19810214","ICTV19810214@TEST")</f>
        <v>ICTV19810214@TEST</v>
      </c>
      <c r="N835" s="7" t="str">
        <f>HYPERLINK("https://ictv.global/id/TN19980798","TN19980798@prod")</f>
        <v>TN19980798@prod</v>
      </c>
      <c r="O835" s="7" t="str">
        <f>HYPERLINK("https://ictv.global/id/ICTV19810214","ICTV19810214@prod")</f>
        <v>ICTV19810214@prod</v>
      </c>
    </row>
    <row r="836" spans="1:15" x14ac:dyDescent="0.2">
      <c r="A836">
        <v>17</v>
      </c>
      <c r="B836">
        <v>19980799</v>
      </c>
      <c r="C836">
        <v>19810215</v>
      </c>
      <c r="D836" t="s">
        <v>29</v>
      </c>
      <c r="E836" t="s">
        <v>141</v>
      </c>
      <c r="G836" t="s">
        <v>33</v>
      </c>
      <c r="H836" t="s">
        <v>400</v>
      </c>
      <c r="I836" t="s">
        <v>29</v>
      </c>
      <c r="J836">
        <v>19990517</v>
      </c>
      <c r="K836">
        <v>19990517</v>
      </c>
      <c r="L836" s="7" t="str">
        <f>HYPERLINK("https://test.ictv.global/id/TN19980799","TN19980799@TEST")</f>
        <v>TN19980799@TEST</v>
      </c>
      <c r="M836" s="7" t="str">
        <f>HYPERLINK("https://test.ictv.global/id/ICTV19810215","ICTV19810215@TEST")</f>
        <v>ICTV19810215@TEST</v>
      </c>
      <c r="N836" s="7" t="str">
        <f>HYPERLINK("https://ictv.global/id/TN19980799","TN19980799@prod")</f>
        <v>TN19980799@prod</v>
      </c>
      <c r="O836" s="7" t="str">
        <f>HYPERLINK("https://ictv.global/id/ICTV19810215","ICTV19810215@prod")</f>
        <v>ICTV19810215@prod</v>
      </c>
    </row>
    <row r="837" spans="1:15" x14ac:dyDescent="0.2">
      <c r="A837">
        <v>17</v>
      </c>
      <c r="B837">
        <v>19980800</v>
      </c>
      <c r="C837">
        <v>19810216</v>
      </c>
      <c r="D837" t="s">
        <v>29</v>
      </c>
      <c r="E837" t="s">
        <v>142</v>
      </c>
      <c r="G837" t="s">
        <v>33</v>
      </c>
      <c r="H837" t="s">
        <v>400</v>
      </c>
      <c r="I837" t="s">
        <v>29</v>
      </c>
      <c r="J837">
        <v>19990517</v>
      </c>
      <c r="K837">
        <v>19990517</v>
      </c>
      <c r="L837" s="7" t="str">
        <f>HYPERLINK("https://test.ictv.global/id/TN19980800","TN19980800@TEST")</f>
        <v>TN19980800@TEST</v>
      </c>
      <c r="M837" s="7" t="str">
        <f>HYPERLINK("https://test.ictv.global/id/ICTV19810216","ICTV19810216@TEST")</f>
        <v>ICTV19810216@TEST</v>
      </c>
      <c r="N837" s="7" t="str">
        <f>HYPERLINK("https://ictv.global/id/TN19980800","TN19980800@prod")</f>
        <v>TN19980800@prod</v>
      </c>
      <c r="O837" s="7" t="str">
        <f>HYPERLINK("https://ictv.global/id/ICTV19810216","ICTV19810216@prod")</f>
        <v>ICTV19810216@prod</v>
      </c>
    </row>
    <row r="838" spans="1:15" x14ac:dyDescent="0.2">
      <c r="A838">
        <v>17</v>
      </c>
      <c r="B838">
        <v>19980801</v>
      </c>
      <c r="C838">
        <v>19810217</v>
      </c>
      <c r="D838" t="s">
        <v>29</v>
      </c>
      <c r="E838" t="s">
        <v>143</v>
      </c>
      <c r="G838" t="s">
        <v>33</v>
      </c>
      <c r="H838" t="s">
        <v>401</v>
      </c>
      <c r="I838" t="s">
        <v>29</v>
      </c>
      <c r="J838">
        <v>19990515</v>
      </c>
      <c r="K838">
        <v>19990515</v>
      </c>
      <c r="L838" s="7" t="str">
        <f>HYPERLINK("https://test.ictv.global/id/TN19980801","TN19980801@TEST")</f>
        <v>TN19980801@TEST</v>
      </c>
      <c r="M838" s="7" t="str">
        <f>HYPERLINK("https://test.ictv.global/id/ICTV19810217","ICTV19810217@TEST")</f>
        <v>ICTV19810217@TEST</v>
      </c>
      <c r="N838" s="7" t="str">
        <f>HYPERLINK("https://ictv.global/id/TN19980801","TN19980801@prod")</f>
        <v>TN19980801@prod</v>
      </c>
      <c r="O838" s="7" t="str">
        <f>HYPERLINK("https://ictv.global/id/ICTV19810217","ICTV19810217@prod")</f>
        <v>ICTV19810217@prod</v>
      </c>
    </row>
    <row r="839" spans="1:15" x14ac:dyDescent="0.2">
      <c r="A839">
        <v>17</v>
      </c>
      <c r="B839">
        <v>19980802</v>
      </c>
      <c r="C839">
        <v>19810218</v>
      </c>
      <c r="D839" t="s">
        <v>29</v>
      </c>
      <c r="E839" t="s">
        <v>144</v>
      </c>
      <c r="G839" t="s">
        <v>33</v>
      </c>
      <c r="H839" t="s">
        <v>400</v>
      </c>
      <c r="I839" t="s">
        <v>29</v>
      </c>
      <c r="J839">
        <v>19990517</v>
      </c>
      <c r="K839">
        <v>19990517</v>
      </c>
      <c r="L839" s="7" t="str">
        <f>HYPERLINK("https://test.ictv.global/id/TN19980802","TN19980802@TEST")</f>
        <v>TN19980802@TEST</v>
      </c>
      <c r="M839" s="7" t="str">
        <f>HYPERLINK("https://test.ictv.global/id/ICTV19810218","ICTV19810218@TEST")</f>
        <v>ICTV19810218@TEST</v>
      </c>
      <c r="N839" s="7" t="str">
        <f>HYPERLINK("https://ictv.global/id/TN19980802","TN19980802@prod")</f>
        <v>TN19980802@prod</v>
      </c>
      <c r="O839" s="7" t="str">
        <f>HYPERLINK("https://ictv.global/id/ICTV19810218","ICTV19810218@prod")</f>
        <v>ICTV19810218@prod</v>
      </c>
    </row>
    <row r="840" spans="1:15" x14ac:dyDescent="0.2">
      <c r="A840">
        <v>17</v>
      </c>
      <c r="B840">
        <v>19980803</v>
      </c>
      <c r="C840">
        <v>19810219</v>
      </c>
      <c r="D840" t="s">
        <v>29</v>
      </c>
      <c r="E840" t="s">
        <v>145</v>
      </c>
      <c r="G840" t="s">
        <v>33</v>
      </c>
      <c r="H840" t="s">
        <v>402</v>
      </c>
      <c r="I840" t="s">
        <v>29</v>
      </c>
      <c r="J840">
        <v>19990514</v>
      </c>
      <c r="K840">
        <v>19990514</v>
      </c>
      <c r="L840" s="7" t="str">
        <f>HYPERLINK("https://test.ictv.global/id/TN19980803","TN19980803@TEST")</f>
        <v>TN19980803@TEST</v>
      </c>
      <c r="M840" s="7" t="str">
        <f>HYPERLINK("https://test.ictv.global/id/ICTV19810219","ICTV19810219@TEST")</f>
        <v>ICTV19810219@TEST</v>
      </c>
      <c r="N840" s="7" t="str">
        <f>HYPERLINK("https://ictv.global/id/TN19980803","TN19980803@prod")</f>
        <v>TN19980803@prod</v>
      </c>
      <c r="O840" s="7" t="str">
        <f>HYPERLINK("https://ictv.global/id/ICTV19810219","ICTV19810219@prod")</f>
        <v>ICTV19810219@prod</v>
      </c>
    </row>
    <row r="841" spans="1:15" x14ac:dyDescent="0.2">
      <c r="A841">
        <v>17</v>
      </c>
      <c r="B841">
        <v>19980804</v>
      </c>
      <c r="C841">
        <v>19810220</v>
      </c>
      <c r="D841" t="s">
        <v>29</v>
      </c>
      <c r="E841" t="s">
        <v>146</v>
      </c>
      <c r="G841" t="s">
        <v>33</v>
      </c>
      <c r="H841" t="s">
        <v>400</v>
      </c>
      <c r="I841" t="s">
        <v>29</v>
      </c>
      <c r="J841">
        <v>19990517</v>
      </c>
      <c r="K841">
        <v>19990517</v>
      </c>
      <c r="L841" s="7" t="str">
        <f>HYPERLINK("https://test.ictv.global/id/TN19980804","TN19980804@TEST")</f>
        <v>TN19980804@TEST</v>
      </c>
      <c r="M841" s="7" t="str">
        <f>HYPERLINK("https://test.ictv.global/id/ICTV19810220","ICTV19810220@TEST")</f>
        <v>ICTV19810220@TEST</v>
      </c>
      <c r="N841" s="7" t="str">
        <f>HYPERLINK("https://ictv.global/id/TN19980804","TN19980804@prod")</f>
        <v>TN19980804@prod</v>
      </c>
      <c r="O841" s="7" t="str">
        <f>HYPERLINK("https://ictv.global/id/ICTV19810220","ICTV19810220@prod")</f>
        <v>ICTV19810220@prod</v>
      </c>
    </row>
    <row r="842" spans="1:15" x14ac:dyDescent="0.2">
      <c r="A842">
        <v>17</v>
      </c>
      <c r="B842">
        <v>19980805</v>
      </c>
      <c r="C842">
        <v>19810221</v>
      </c>
      <c r="D842" t="s">
        <v>29</v>
      </c>
      <c r="E842" t="s">
        <v>147</v>
      </c>
      <c r="G842" t="s">
        <v>33</v>
      </c>
      <c r="H842" t="s">
        <v>400</v>
      </c>
      <c r="I842" t="s">
        <v>29</v>
      </c>
      <c r="J842">
        <v>19990517</v>
      </c>
      <c r="K842">
        <v>19990517</v>
      </c>
      <c r="L842" s="7" t="str">
        <f>HYPERLINK("https://test.ictv.global/id/TN19980805","TN19980805@TEST")</f>
        <v>TN19980805@TEST</v>
      </c>
      <c r="M842" s="7" t="str">
        <f>HYPERLINK("https://test.ictv.global/id/ICTV19810221","ICTV19810221@TEST")</f>
        <v>ICTV19810221@TEST</v>
      </c>
      <c r="N842" s="7" t="str">
        <f>HYPERLINK("https://ictv.global/id/TN19980805","TN19980805@prod")</f>
        <v>TN19980805@prod</v>
      </c>
      <c r="O842" s="7" t="str">
        <f>HYPERLINK("https://ictv.global/id/ICTV19810221","ICTV19810221@prod")</f>
        <v>ICTV19810221@prod</v>
      </c>
    </row>
    <row r="843" spans="1:15" x14ac:dyDescent="0.2">
      <c r="A843">
        <v>17</v>
      </c>
      <c r="B843">
        <v>19980806</v>
      </c>
      <c r="C843">
        <v>19810222</v>
      </c>
      <c r="D843" t="s">
        <v>29</v>
      </c>
      <c r="E843" t="s">
        <v>404</v>
      </c>
      <c r="G843" t="s">
        <v>33</v>
      </c>
      <c r="H843" t="s">
        <v>401</v>
      </c>
      <c r="I843" t="s">
        <v>29</v>
      </c>
      <c r="J843">
        <v>19990515</v>
      </c>
      <c r="K843">
        <v>19990515</v>
      </c>
      <c r="L843" s="7" t="str">
        <f>HYPERLINK("https://test.ictv.global/id/TN19980806","TN19980806@TEST")</f>
        <v>TN19980806@TEST</v>
      </c>
      <c r="M843" s="7" t="str">
        <f>HYPERLINK("https://test.ictv.global/id/ICTV19810222","ICTV19810222@TEST")</f>
        <v>ICTV19810222@TEST</v>
      </c>
      <c r="N843" s="7" t="str">
        <f>HYPERLINK("https://ictv.global/id/TN19980806","TN19980806@prod")</f>
        <v>TN19980806@prod</v>
      </c>
      <c r="O843" s="7" t="str">
        <f>HYPERLINK("https://ictv.global/id/ICTV19810222","ICTV19810222@prod")</f>
        <v>ICTV19810222@prod</v>
      </c>
    </row>
    <row r="844" spans="1:15" x14ac:dyDescent="0.2">
      <c r="A844">
        <v>17</v>
      </c>
      <c r="B844">
        <v>19980807</v>
      </c>
      <c r="C844">
        <v>19910346</v>
      </c>
      <c r="D844" t="s">
        <v>29</v>
      </c>
      <c r="E844" t="s">
        <v>405</v>
      </c>
      <c r="G844" t="s">
        <v>33</v>
      </c>
      <c r="H844" t="s">
        <v>401</v>
      </c>
      <c r="I844" t="s">
        <v>29</v>
      </c>
      <c r="J844">
        <v>19990515</v>
      </c>
      <c r="K844">
        <v>19990515</v>
      </c>
      <c r="L844" s="7" t="str">
        <f>HYPERLINK("https://test.ictv.global/id/TN19980807","TN19980807@TEST")</f>
        <v>TN19980807@TEST</v>
      </c>
      <c r="M844" s="7" t="str">
        <f>HYPERLINK("https://test.ictv.global/id/ICTV19910346","ICTV19910346@TEST")</f>
        <v>ICTV19910346@TEST</v>
      </c>
      <c r="N844" s="7" t="str">
        <f>HYPERLINK("https://ictv.global/id/TN19980807","TN19980807@prod")</f>
        <v>TN19980807@prod</v>
      </c>
      <c r="O844" s="7" t="str">
        <f>HYPERLINK("https://ictv.global/id/ICTV19910346","ICTV19910346@prod")</f>
        <v>ICTV19910346@prod</v>
      </c>
    </row>
    <row r="845" spans="1:15" x14ac:dyDescent="0.2">
      <c r="A845">
        <v>17</v>
      </c>
      <c r="B845">
        <v>19980808</v>
      </c>
      <c r="C845">
        <v>19910347</v>
      </c>
      <c r="D845" t="s">
        <v>29</v>
      </c>
      <c r="E845" t="s">
        <v>406</v>
      </c>
      <c r="G845" t="s">
        <v>33</v>
      </c>
      <c r="H845" t="s">
        <v>400</v>
      </c>
      <c r="I845" t="s">
        <v>29</v>
      </c>
      <c r="J845">
        <v>19990517</v>
      </c>
      <c r="K845">
        <v>19990517</v>
      </c>
      <c r="L845" s="7" t="str">
        <f>HYPERLINK("https://test.ictv.global/id/TN19980808","TN19980808@TEST")</f>
        <v>TN19980808@TEST</v>
      </c>
      <c r="M845" s="7" t="str">
        <f>HYPERLINK("https://test.ictv.global/id/ICTV19910347","ICTV19910347@TEST")</f>
        <v>ICTV19910347@TEST</v>
      </c>
      <c r="N845" s="7" t="str">
        <f>HYPERLINK("https://ictv.global/id/TN19980808","TN19980808@prod")</f>
        <v>TN19980808@prod</v>
      </c>
      <c r="O845" s="7" t="str">
        <f>HYPERLINK("https://ictv.global/id/ICTV19910347","ICTV19910347@prod")</f>
        <v>ICTV19910347@prod</v>
      </c>
    </row>
    <row r="846" spans="1:15" x14ac:dyDescent="0.2">
      <c r="A846">
        <v>17</v>
      </c>
      <c r="B846">
        <v>19980809</v>
      </c>
      <c r="C846">
        <v>19910348</v>
      </c>
      <c r="D846" t="s">
        <v>29</v>
      </c>
      <c r="E846" t="s">
        <v>407</v>
      </c>
      <c r="G846" t="s">
        <v>33</v>
      </c>
      <c r="H846" t="s">
        <v>400</v>
      </c>
      <c r="I846" t="s">
        <v>29</v>
      </c>
      <c r="J846">
        <v>19990517</v>
      </c>
      <c r="K846">
        <v>19990517</v>
      </c>
      <c r="L846" s="7" t="str">
        <f>HYPERLINK("https://test.ictv.global/id/TN19980809","TN19980809@TEST")</f>
        <v>TN19980809@TEST</v>
      </c>
      <c r="M846" s="7" t="str">
        <f>HYPERLINK("https://test.ictv.global/id/ICTV19910348","ICTV19910348@TEST")</f>
        <v>ICTV19910348@TEST</v>
      </c>
      <c r="N846" s="7" t="str">
        <f>HYPERLINK("https://ictv.global/id/TN19980809","TN19980809@prod")</f>
        <v>TN19980809@prod</v>
      </c>
      <c r="O846" s="7" t="str">
        <f>HYPERLINK("https://ictv.global/id/ICTV19910348","ICTV19910348@prod")</f>
        <v>ICTV19910348@prod</v>
      </c>
    </row>
    <row r="847" spans="1:15" x14ac:dyDescent="0.2">
      <c r="A847">
        <v>17</v>
      </c>
      <c r="B847">
        <v>19980810</v>
      </c>
      <c r="C847">
        <v>19910349</v>
      </c>
      <c r="D847" t="s">
        <v>29</v>
      </c>
      <c r="E847" t="s">
        <v>408</v>
      </c>
      <c r="G847" t="s">
        <v>33</v>
      </c>
      <c r="H847" t="s">
        <v>400</v>
      </c>
      <c r="I847" t="s">
        <v>29</v>
      </c>
      <c r="J847">
        <v>19990517</v>
      </c>
      <c r="K847">
        <v>19990517</v>
      </c>
      <c r="L847" s="7" t="str">
        <f>HYPERLINK("https://test.ictv.global/id/TN19980810","TN19980810@TEST")</f>
        <v>TN19980810@TEST</v>
      </c>
      <c r="M847" s="7" t="str">
        <f>HYPERLINK("https://test.ictv.global/id/ICTV19910349","ICTV19910349@TEST")</f>
        <v>ICTV19910349@TEST</v>
      </c>
      <c r="N847" s="7" t="str">
        <f>HYPERLINK("https://ictv.global/id/TN19980810","TN19980810@prod")</f>
        <v>TN19980810@prod</v>
      </c>
      <c r="O847" s="7" t="str">
        <f>HYPERLINK("https://ictv.global/id/ICTV19910349","ICTV19910349@prod")</f>
        <v>ICTV19910349@prod</v>
      </c>
    </row>
    <row r="848" spans="1:15" x14ac:dyDescent="0.2">
      <c r="A848">
        <v>17</v>
      </c>
      <c r="B848">
        <v>19980811</v>
      </c>
      <c r="C848">
        <v>19910350</v>
      </c>
      <c r="D848" t="s">
        <v>29</v>
      </c>
      <c r="E848" t="s">
        <v>409</v>
      </c>
      <c r="G848" t="s">
        <v>33</v>
      </c>
      <c r="H848" t="s">
        <v>400</v>
      </c>
      <c r="I848" t="s">
        <v>29</v>
      </c>
      <c r="J848">
        <v>19990517</v>
      </c>
      <c r="K848">
        <v>19990517</v>
      </c>
      <c r="L848" s="7" t="str">
        <f>HYPERLINK("https://test.ictv.global/id/TN19980811","TN19980811@TEST")</f>
        <v>TN19980811@TEST</v>
      </c>
      <c r="M848" s="7" t="str">
        <f>HYPERLINK("https://test.ictv.global/id/ICTV19910350","ICTV19910350@TEST")</f>
        <v>ICTV19910350@TEST</v>
      </c>
      <c r="N848" s="7" t="str">
        <f>HYPERLINK("https://ictv.global/id/TN19980811","TN19980811@prod")</f>
        <v>TN19980811@prod</v>
      </c>
      <c r="O848" s="7" t="str">
        <f>HYPERLINK("https://ictv.global/id/ICTV19910350","ICTV19910350@prod")</f>
        <v>ICTV19910350@prod</v>
      </c>
    </row>
    <row r="849" spans="1:15" x14ac:dyDescent="0.2">
      <c r="A849">
        <v>17</v>
      </c>
      <c r="B849">
        <v>19980812</v>
      </c>
      <c r="C849">
        <v>19810223</v>
      </c>
      <c r="D849" t="s">
        <v>29</v>
      </c>
      <c r="E849" t="s">
        <v>148</v>
      </c>
      <c r="G849" t="s">
        <v>33</v>
      </c>
      <c r="H849" t="s">
        <v>410</v>
      </c>
      <c r="I849" t="s">
        <v>29</v>
      </c>
      <c r="J849">
        <v>19990518</v>
      </c>
      <c r="K849">
        <v>19990518</v>
      </c>
      <c r="L849" s="7" t="str">
        <f>HYPERLINK("https://test.ictv.global/id/TN19980812","TN19980812@TEST")</f>
        <v>TN19980812@TEST</v>
      </c>
      <c r="M849" s="7" t="str">
        <f>HYPERLINK("https://test.ictv.global/id/ICTV19810223","ICTV19810223@TEST")</f>
        <v>ICTV19810223@TEST</v>
      </c>
      <c r="N849" s="7" t="str">
        <f>HYPERLINK("https://ictv.global/id/TN19980812","TN19980812@prod")</f>
        <v>TN19980812@prod</v>
      </c>
      <c r="O849" s="7" t="str">
        <f>HYPERLINK("https://ictv.global/id/ICTV19810223","ICTV19810223@prod")</f>
        <v>ICTV19810223@prod</v>
      </c>
    </row>
    <row r="850" spans="1:15" x14ac:dyDescent="0.2">
      <c r="A850">
        <v>17</v>
      </c>
      <c r="B850">
        <v>19980813</v>
      </c>
      <c r="C850">
        <v>19910352</v>
      </c>
      <c r="D850" t="s">
        <v>29</v>
      </c>
      <c r="E850" t="s">
        <v>411</v>
      </c>
      <c r="G850" t="s">
        <v>33</v>
      </c>
      <c r="H850" t="s">
        <v>412</v>
      </c>
      <c r="I850" t="s">
        <v>29</v>
      </c>
      <c r="J850">
        <v>19990519</v>
      </c>
      <c r="K850">
        <v>19990519</v>
      </c>
      <c r="L850" s="7" t="str">
        <f>HYPERLINK("https://test.ictv.global/id/TN19980813","TN19980813@TEST")</f>
        <v>TN19980813@TEST</v>
      </c>
      <c r="M850" s="7" t="str">
        <f>HYPERLINK("https://test.ictv.global/id/ICTV19910352","ICTV19910352@TEST")</f>
        <v>ICTV19910352@TEST</v>
      </c>
      <c r="N850" s="7" t="str">
        <f>HYPERLINK("https://ictv.global/id/TN19980813","TN19980813@prod")</f>
        <v>TN19980813@prod</v>
      </c>
      <c r="O850" s="7" t="str">
        <f>HYPERLINK("https://ictv.global/id/ICTV19910352","ICTV19910352@prod")</f>
        <v>ICTV19910352@prod</v>
      </c>
    </row>
    <row r="851" spans="1:15" x14ac:dyDescent="0.2">
      <c r="A851">
        <v>17</v>
      </c>
      <c r="B851">
        <v>19980814</v>
      </c>
      <c r="C851">
        <v>19910353</v>
      </c>
      <c r="D851" t="s">
        <v>29</v>
      </c>
      <c r="E851" t="s">
        <v>413</v>
      </c>
      <c r="G851" t="s">
        <v>33</v>
      </c>
      <c r="H851" t="s">
        <v>412</v>
      </c>
      <c r="I851" t="s">
        <v>29</v>
      </c>
      <c r="J851">
        <v>19990519</v>
      </c>
      <c r="K851">
        <v>19990519</v>
      </c>
      <c r="L851" s="7" t="str">
        <f>HYPERLINK("https://test.ictv.global/id/TN19980814","TN19980814@TEST")</f>
        <v>TN19980814@TEST</v>
      </c>
      <c r="M851" s="7" t="str">
        <f>HYPERLINK("https://test.ictv.global/id/ICTV19910353","ICTV19910353@TEST")</f>
        <v>ICTV19910353@TEST</v>
      </c>
      <c r="N851" s="7" t="str">
        <f>HYPERLINK("https://ictv.global/id/TN19980814","TN19980814@prod")</f>
        <v>TN19980814@prod</v>
      </c>
      <c r="O851" s="7" t="str">
        <f>HYPERLINK("https://ictv.global/id/ICTV19910353","ICTV19910353@prod")</f>
        <v>ICTV19910353@prod</v>
      </c>
    </row>
    <row r="852" spans="1:15" x14ac:dyDescent="0.2">
      <c r="A852">
        <v>17</v>
      </c>
      <c r="B852">
        <v>19980815</v>
      </c>
      <c r="C852">
        <v>19910354</v>
      </c>
      <c r="D852" t="s">
        <v>29</v>
      </c>
      <c r="E852" t="s">
        <v>414</v>
      </c>
      <c r="G852" t="s">
        <v>33</v>
      </c>
      <c r="H852" t="s">
        <v>400</v>
      </c>
      <c r="I852" t="s">
        <v>29</v>
      </c>
      <c r="J852">
        <v>19990517</v>
      </c>
      <c r="K852">
        <v>19990517</v>
      </c>
      <c r="L852" s="7" t="str">
        <f>HYPERLINK("https://test.ictv.global/id/TN19980815","TN19980815@TEST")</f>
        <v>TN19980815@TEST</v>
      </c>
      <c r="M852" s="7" t="str">
        <f>HYPERLINK("https://test.ictv.global/id/ICTV19910354","ICTV19910354@TEST")</f>
        <v>ICTV19910354@TEST</v>
      </c>
      <c r="N852" s="7" t="str">
        <f>HYPERLINK("https://ictv.global/id/TN19980815","TN19980815@prod")</f>
        <v>TN19980815@prod</v>
      </c>
      <c r="O852" s="7" t="str">
        <f>HYPERLINK("https://ictv.global/id/ICTV19910354","ICTV19910354@prod")</f>
        <v>ICTV19910354@prod</v>
      </c>
    </row>
    <row r="853" spans="1:15" x14ac:dyDescent="0.2">
      <c r="A853">
        <v>17</v>
      </c>
      <c r="B853">
        <v>19980816</v>
      </c>
      <c r="C853">
        <v>19910355</v>
      </c>
      <c r="D853" t="s">
        <v>29</v>
      </c>
      <c r="E853" t="s">
        <v>415</v>
      </c>
      <c r="G853" t="s">
        <v>33</v>
      </c>
      <c r="H853" t="s">
        <v>400</v>
      </c>
      <c r="I853" t="s">
        <v>29</v>
      </c>
      <c r="J853">
        <v>19990517</v>
      </c>
      <c r="K853">
        <v>19990517</v>
      </c>
      <c r="L853" s="7" t="str">
        <f>HYPERLINK("https://test.ictv.global/id/TN19980816","TN19980816@TEST")</f>
        <v>TN19980816@TEST</v>
      </c>
      <c r="M853" s="7" t="str">
        <f>HYPERLINK("https://test.ictv.global/id/ICTV19910355","ICTV19910355@TEST")</f>
        <v>ICTV19910355@TEST</v>
      </c>
      <c r="N853" s="7" t="str">
        <f>HYPERLINK("https://ictv.global/id/TN19980816","TN19980816@prod")</f>
        <v>TN19980816@prod</v>
      </c>
      <c r="O853" s="7" t="str">
        <f>HYPERLINK("https://ictv.global/id/ICTV19910355","ICTV19910355@prod")</f>
        <v>ICTV19910355@prod</v>
      </c>
    </row>
    <row r="854" spans="1:15" x14ac:dyDescent="0.2">
      <c r="A854">
        <v>17</v>
      </c>
      <c r="B854">
        <v>19980817</v>
      </c>
      <c r="C854">
        <v>19910356</v>
      </c>
      <c r="D854" t="s">
        <v>29</v>
      </c>
      <c r="E854" t="s">
        <v>416</v>
      </c>
      <c r="G854" t="s">
        <v>33</v>
      </c>
      <c r="H854" t="s">
        <v>400</v>
      </c>
      <c r="I854" t="s">
        <v>29</v>
      </c>
      <c r="J854">
        <v>19990517</v>
      </c>
      <c r="K854">
        <v>19990517</v>
      </c>
      <c r="L854" s="7" t="str">
        <f>HYPERLINK("https://test.ictv.global/id/TN19980817","TN19980817@TEST")</f>
        <v>TN19980817@TEST</v>
      </c>
      <c r="M854" s="7" t="str">
        <f>HYPERLINK("https://test.ictv.global/id/ICTV19910356","ICTV19910356@TEST")</f>
        <v>ICTV19910356@TEST</v>
      </c>
      <c r="N854" s="7" t="str">
        <f>HYPERLINK("https://ictv.global/id/TN19980817","TN19980817@prod")</f>
        <v>TN19980817@prod</v>
      </c>
      <c r="O854" s="7" t="str">
        <f>HYPERLINK("https://ictv.global/id/ICTV19910356","ICTV19910356@prod")</f>
        <v>ICTV19910356@prod</v>
      </c>
    </row>
    <row r="855" spans="1:15" x14ac:dyDescent="0.2">
      <c r="A855">
        <v>17</v>
      </c>
      <c r="B855">
        <v>19980818</v>
      </c>
      <c r="C855">
        <v>19910357</v>
      </c>
      <c r="D855" t="s">
        <v>29</v>
      </c>
      <c r="E855" t="s">
        <v>417</v>
      </c>
      <c r="G855" t="s">
        <v>33</v>
      </c>
      <c r="H855" t="s">
        <v>400</v>
      </c>
      <c r="I855" t="s">
        <v>29</v>
      </c>
      <c r="J855">
        <v>19990517</v>
      </c>
      <c r="K855">
        <v>19990517</v>
      </c>
      <c r="L855" s="7" t="str">
        <f>HYPERLINK("https://test.ictv.global/id/TN19980818","TN19980818@TEST")</f>
        <v>TN19980818@TEST</v>
      </c>
      <c r="M855" s="7" t="str">
        <f>HYPERLINK("https://test.ictv.global/id/ICTV19910357","ICTV19910357@TEST")</f>
        <v>ICTV19910357@TEST</v>
      </c>
      <c r="N855" s="7" t="str">
        <f>HYPERLINK("https://ictv.global/id/TN19980818","TN19980818@prod")</f>
        <v>TN19980818@prod</v>
      </c>
      <c r="O855" s="7" t="str">
        <f>HYPERLINK("https://ictv.global/id/ICTV19910357","ICTV19910357@prod")</f>
        <v>ICTV19910357@prod</v>
      </c>
    </row>
    <row r="856" spans="1:15" x14ac:dyDescent="0.2">
      <c r="A856">
        <v>17</v>
      </c>
      <c r="B856">
        <v>19980819</v>
      </c>
      <c r="C856">
        <v>19910358</v>
      </c>
      <c r="D856" t="s">
        <v>29</v>
      </c>
      <c r="E856" t="s">
        <v>418</v>
      </c>
      <c r="G856" t="s">
        <v>33</v>
      </c>
      <c r="H856" t="s">
        <v>400</v>
      </c>
      <c r="I856" t="s">
        <v>29</v>
      </c>
      <c r="J856">
        <v>19990517</v>
      </c>
      <c r="K856">
        <v>19990517</v>
      </c>
      <c r="L856" s="7" t="str">
        <f>HYPERLINK("https://test.ictv.global/id/TN19980819","TN19980819@TEST")</f>
        <v>TN19980819@TEST</v>
      </c>
      <c r="M856" s="7" t="str">
        <f>HYPERLINK("https://test.ictv.global/id/ICTV19910358","ICTV19910358@TEST")</f>
        <v>ICTV19910358@TEST</v>
      </c>
      <c r="N856" s="7" t="str">
        <f>HYPERLINK("https://ictv.global/id/TN19980819","TN19980819@prod")</f>
        <v>TN19980819@prod</v>
      </c>
      <c r="O856" s="7" t="str">
        <f>HYPERLINK("https://ictv.global/id/ICTV19910358","ICTV19910358@prod")</f>
        <v>ICTV19910358@prod</v>
      </c>
    </row>
    <row r="857" spans="1:15" x14ac:dyDescent="0.2">
      <c r="A857">
        <v>17</v>
      </c>
      <c r="B857">
        <v>19980820</v>
      </c>
      <c r="C857">
        <v>19910359</v>
      </c>
      <c r="D857" t="s">
        <v>29</v>
      </c>
      <c r="E857" t="s">
        <v>419</v>
      </c>
      <c r="G857" t="s">
        <v>33</v>
      </c>
      <c r="H857" t="s">
        <v>400</v>
      </c>
      <c r="I857" t="s">
        <v>29</v>
      </c>
      <c r="J857">
        <v>19990517</v>
      </c>
      <c r="K857">
        <v>19990517</v>
      </c>
      <c r="L857" s="7" t="str">
        <f>HYPERLINK("https://test.ictv.global/id/TN19980820","TN19980820@TEST")</f>
        <v>TN19980820@TEST</v>
      </c>
      <c r="M857" s="7" t="str">
        <f>HYPERLINK("https://test.ictv.global/id/ICTV19910359","ICTV19910359@TEST")</f>
        <v>ICTV19910359@TEST</v>
      </c>
      <c r="N857" s="7" t="str">
        <f>HYPERLINK("https://ictv.global/id/TN19980820","TN19980820@prod")</f>
        <v>TN19980820@prod</v>
      </c>
      <c r="O857" s="7" t="str">
        <f>HYPERLINK("https://ictv.global/id/ICTV19910359","ICTV19910359@prod")</f>
        <v>ICTV19910359@prod</v>
      </c>
    </row>
    <row r="858" spans="1:15" x14ac:dyDescent="0.2">
      <c r="A858">
        <v>17</v>
      </c>
      <c r="B858">
        <v>19980821</v>
      </c>
      <c r="C858">
        <v>19810224</v>
      </c>
      <c r="D858" t="s">
        <v>29</v>
      </c>
      <c r="E858" t="s">
        <v>149</v>
      </c>
      <c r="G858" t="s">
        <v>31</v>
      </c>
      <c r="H858" t="s">
        <v>395</v>
      </c>
      <c r="I858" t="s">
        <v>29</v>
      </c>
      <c r="J858">
        <v>19990516</v>
      </c>
      <c r="K858">
        <v>19990516</v>
      </c>
      <c r="L858" s="7" t="str">
        <f>HYPERLINK("https://test.ictv.global/id/TN19980821","TN19980821@TEST")</f>
        <v>TN19980821@TEST</v>
      </c>
      <c r="M858" s="7" t="str">
        <f>HYPERLINK("https://test.ictv.global/id/ICTV19810224","ICTV19810224@TEST")</f>
        <v>ICTV19810224@TEST</v>
      </c>
      <c r="N858" s="7" t="str">
        <f>HYPERLINK("https://ictv.global/id/TN19980821","TN19980821@prod")</f>
        <v>TN19980821@prod</v>
      </c>
      <c r="O858" s="7" t="str">
        <f>HYPERLINK("https://ictv.global/id/ICTV19810224","ICTV19810224@prod")</f>
        <v>ICTV19810224@prod</v>
      </c>
    </row>
    <row r="859" spans="1:15" x14ac:dyDescent="0.2">
      <c r="A859">
        <v>17</v>
      </c>
      <c r="B859">
        <v>19980822</v>
      </c>
      <c r="C859">
        <v>19810225</v>
      </c>
      <c r="D859" t="s">
        <v>29</v>
      </c>
      <c r="E859" t="s">
        <v>150</v>
      </c>
      <c r="G859" t="s">
        <v>31</v>
      </c>
      <c r="H859" t="s">
        <v>395</v>
      </c>
      <c r="I859" t="s">
        <v>29</v>
      </c>
      <c r="J859">
        <v>19990516</v>
      </c>
      <c r="K859">
        <v>19990516</v>
      </c>
      <c r="L859" s="7" t="str">
        <f>HYPERLINK("https://test.ictv.global/id/TN19980822","TN19980822@TEST")</f>
        <v>TN19980822@TEST</v>
      </c>
      <c r="M859" s="7" t="str">
        <f>HYPERLINK("https://test.ictv.global/id/ICTV19810225","ICTV19810225@TEST")</f>
        <v>ICTV19810225@TEST</v>
      </c>
      <c r="N859" s="7" t="str">
        <f>HYPERLINK("https://ictv.global/id/TN19980822","TN19980822@prod")</f>
        <v>TN19980822@prod</v>
      </c>
      <c r="O859" s="7" t="str">
        <f>HYPERLINK("https://ictv.global/id/ICTV19810225","ICTV19810225@prod")</f>
        <v>ICTV19810225@prod</v>
      </c>
    </row>
    <row r="860" spans="1:15" x14ac:dyDescent="0.2">
      <c r="A860">
        <v>17</v>
      </c>
      <c r="B860">
        <v>19980823</v>
      </c>
      <c r="C860">
        <v>19810226</v>
      </c>
      <c r="D860" t="s">
        <v>29</v>
      </c>
      <c r="E860" t="s">
        <v>151</v>
      </c>
      <c r="G860" t="s">
        <v>33</v>
      </c>
      <c r="H860" t="s">
        <v>401</v>
      </c>
      <c r="I860" t="s">
        <v>29</v>
      </c>
      <c r="J860">
        <v>19990515</v>
      </c>
      <c r="K860">
        <v>19990515</v>
      </c>
      <c r="L860" s="7" t="str">
        <f>HYPERLINK("https://test.ictv.global/id/TN19980823","TN19980823@TEST")</f>
        <v>TN19980823@TEST</v>
      </c>
      <c r="M860" s="7" t="str">
        <f>HYPERLINK("https://test.ictv.global/id/ICTV19810226","ICTV19810226@TEST")</f>
        <v>ICTV19810226@TEST</v>
      </c>
      <c r="N860" s="7" t="str">
        <f>HYPERLINK("https://ictv.global/id/TN19980823","TN19980823@prod")</f>
        <v>TN19980823@prod</v>
      </c>
      <c r="O860" s="7" t="str">
        <f>HYPERLINK("https://ictv.global/id/ICTV19810226","ICTV19810226@prod")</f>
        <v>ICTV19810226@prod</v>
      </c>
    </row>
    <row r="861" spans="1:15" x14ac:dyDescent="0.2">
      <c r="A861">
        <v>17</v>
      </c>
      <c r="B861">
        <v>19980824</v>
      </c>
      <c r="C861">
        <v>19810227</v>
      </c>
      <c r="D861" t="s">
        <v>29</v>
      </c>
      <c r="E861" t="s">
        <v>152</v>
      </c>
      <c r="G861" t="s">
        <v>33</v>
      </c>
      <c r="H861" t="s">
        <v>400</v>
      </c>
      <c r="I861" t="s">
        <v>29</v>
      </c>
      <c r="J861">
        <v>19990517</v>
      </c>
      <c r="K861">
        <v>19990517</v>
      </c>
      <c r="L861" s="7" t="str">
        <f>HYPERLINK("https://test.ictv.global/id/TN19980824","TN19980824@TEST")</f>
        <v>TN19980824@TEST</v>
      </c>
      <c r="M861" s="7" t="str">
        <f>HYPERLINK("https://test.ictv.global/id/ICTV19810227","ICTV19810227@TEST")</f>
        <v>ICTV19810227@TEST</v>
      </c>
      <c r="N861" s="7" t="str">
        <f>HYPERLINK("https://ictv.global/id/TN19980824","TN19980824@prod")</f>
        <v>TN19980824@prod</v>
      </c>
      <c r="O861" s="7" t="str">
        <f>HYPERLINK("https://ictv.global/id/ICTV19810227","ICTV19810227@prod")</f>
        <v>ICTV19810227@prod</v>
      </c>
    </row>
    <row r="862" spans="1:15" x14ac:dyDescent="0.2">
      <c r="A862">
        <v>17</v>
      </c>
      <c r="B862">
        <v>19980825</v>
      </c>
      <c r="C862">
        <v>19810228</v>
      </c>
      <c r="D862" t="s">
        <v>29</v>
      </c>
      <c r="E862" t="s">
        <v>153</v>
      </c>
      <c r="G862" t="s">
        <v>33</v>
      </c>
      <c r="H862" t="s">
        <v>400</v>
      </c>
      <c r="I862" t="s">
        <v>29</v>
      </c>
      <c r="J862">
        <v>19990517</v>
      </c>
      <c r="K862">
        <v>19990517</v>
      </c>
      <c r="L862" s="7" t="str">
        <f>HYPERLINK("https://test.ictv.global/id/TN19980825","TN19980825@TEST")</f>
        <v>TN19980825@TEST</v>
      </c>
      <c r="M862" s="7" t="str">
        <f>HYPERLINK("https://test.ictv.global/id/ICTV19810228","ICTV19810228@TEST")</f>
        <v>ICTV19810228@TEST</v>
      </c>
      <c r="N862" s="7" t="str">
        <f>HYPERLINK("https://ictv.global/id/TN19980825","TN19980825@prod")</f>
        <v>TN19980825@prod</v>
      </c>
      <c r="O862" s="7" t="str">
        <f>HYPERLINK("https://ictv.global/id/ICTV19810228","ICTV19810228@prod")</f>
        <v>ICTV19810228@prod</v>
      </c>
    </row>
    <row r="863" spans="1:15" x14ac:dyDescent="0.2">
      <c r="A863">
        <v>17</v>
      </c>
      <c r="B863">
        <v>19980827</v>
      </c>
      <c r="C863">
        <v>19910366</v>
      </c>
      <c r="D863" t="s">
        <v>29</v>
      </c>
      <c r="E863" t="s">
        <v>1671</v>
      </c>
      <c r="G863" t="s">
        <v>1165</v>
      </c>
      <c r="L863" s="7" t="str">
        <f>HYPERLINK("https://test.ictv.global/id/TN19980827","TN19980827@TEST")</f>
        <v>TN19980827@TEST</v>
      </c>
      <c r="M863" s="7" t="str">
        <f>HYPERLINK("https://test.ictv.global/id/ICTV19910366","ICTV19910366@TEST")</f>
        <v>ICTV19910366@TEST</v>
      </c>
      <c r="N863" s="7" t="str">
        <f>HYPERLINK("https://ictv.global/id/TN19980827","TN19980827@prod")</f>
        <v>TN19980827@prod</v>
      </c>
      <c r="O863" s="7" t="str">
        <f>HYPERLINK("https://ictv.global/id/ICTV19910366","ICTV19910366@prod")</f>
        <v>ICTV19910366@prod</v>
      </c>
    </row>
    <row r="864" spans="1:15" x14ac:dyDescent="0.2">
      <c r="A864">
        <v>17</v>
      </c>
      <c r="B864">
        <v>19980829</v>
      </c>
      <c r="C864">
        <v>19810231</v>
      </c>
      <c r="D864" t="s">
        <v>29</v>
      </c>
      <c r="E864" t="s">
        <v>156</v>
      </c>
      <c r="G864" t="s">
        <v>33</v>
      </c>
      <c r="H864" t="s">
        <v>394</v>
      </c>
      <c r="I864" t="s">
        <v>29</v>
      </c>
      <c r="J864">
        <v>19990521</v>
      </c>
      <c r="K864">
        <v>19990521</v>
      </c>
      <c r="L864" s="7" t="str">
        <f>HYPERLINK("https://test.ictv.global/id/TN19980829","TN19980829@TEST")</f>
        <v>TN19980829@TEST</v>
      </c>
      <c r="M864" s="7" t="str">
        <f>HYPERLINK("https://test.ictv.global/id/ICTV19810231","ICTV19810231@TEST")</f>
        <v>ICTV19810231@TEST</v>
      </c>
      <c r="N864" s="7" t="str">
        <f>HYPERLINK("https://ictv.global/id/TN19980829","TN19980829@prod")</f>
        <v>TN19980829@prod</v>
      </c>
      <c r="O864" s="7" t="str">
        <f>HYPERLINK("https://ictv.global/id/ICTV19810231","ICTV19810231@prod")</f>
        <v>ICTV19810231@prod</v>
      </c>
    </row>
    <row r="865" spans="1:15" x14ac:dyDescent="0.2">
      <c r="A865">
        <v>17</v>
      </c>
      <c r="B865">
        <v>19980830</v>
      </c>
      <c r="C865">
        <v>19810232</v>
      </c>
      <c r="D865" t="s">
        <v>29</v>
      </c>
      <c r="E865" t="s">
        <v>157</v>
      </c>
      <c r="G865" t="s">
        <v>33</v>
      </c>
      <c r="H865" t="s">
        <v>394</v>
      </c>
      <c r="I865" t="s">
        <v>29</v>
      </c>
      <c r="J865">
        <v>19990521</v>
      </c>
      <c r="K865">
        <v>19990521</v>
      </c>
      <c r="L865" s="7" t="str">
        <f>HYPERLINK("https://test.ictv.global/id/TN19980830","TN19980830@TEST")</f>
        <v>TN19980830@TEST</v>
      </c>
      <c r="M865" s="7" t="str">
        <f>HYPERLINK("https://test.ictv.global/id/ICTV19810232","ICTV19810232@TEST")</f>
        <v>ICTV19810232@TEST</v>
      </c>
      <c r="N865" s="7" t="str">
        <f>HYPERLINK("https://ictv.global/id/TN19980830","TN19980830@prod")</f>
        <v>TN19980830@prod</v>
      </c>
      <c r="O865" s="7" t="str">
        <f>HYPERLINK("https://ictv.global/id/ICTV19810232","ICTV19810232@prod")</f>
        <v>ICTV19810232@prod</v>
      </c>
    </row>
    <row r="866" spans="1:15" x14ac:dyDescent="0.2">
      <c r="A866">
        <v>17</v>
      </c>
      <c r="B866">
        <v>19980831</v>
      </c>
      <c r="C866">
        <v>19810233</v>
      </c>
      <c r="D866" t="s">
        <v>29</v>
      </c>
      <c r="E866" t="s">
        <v>158</v>
      </c>
      <c r="G866" t="s">
        <v>33</v>
      </c>
      <c r="H866" t="s">
        <v>394</v>
      </c>
      <c r="I866" t="s">
        <v>29</v>
      </c>
      <c r="J866">
        <v>19990521</v>
      </c>
      <c r="K866">
        <v>19990521</v>
      </c>
      <c r="L866" s="7" t="str">
        <f>HYPERLINK("https://test.ictv.global/id/TN19980831","TN19980831@TEST")</f>
        <v>TN19980831@TEST</v>
      </c>
      <c r="M866" s="7" t="str">
        <f>HYPERLINK("https://test.ictv.global/id/ICTV19810233","ICTV19810233@TEST")</f>
        <v>ICTV19810233@TEST</v>
      </c>
      <c r="N866" s="7" t="str">
        <f>HYPERLINK("https://ictv.global/id/TN19980831","TN19980831@prod")</f>
        <v>TN19980831@prod</v>
      </c>
      <c r="O866" s="7" t="str">
        <f>HYPERLINK("https://ictv.global/id/ICTV19810233","ICTV19810233@prod")</f>
        <v>ICTV19810233@prod</v>
      </c>
    </row>
    <row r="867" spans="1:15" x14ac:dyDescent="0.2">
      <c r="A867">
        <v>17</v>
      </c>
      <c r="B867">
        <v>19980832</v>
      </c>
      <c r="C867">
        <v>19810234</v>
      </c>
      <c r="D867" t="s">
        <v>29</v>
      </c>
      <c r="E867" t="s">
        <v>159</v>
      </c>
      <c r="G867" t="s">
        <v>33</v>
      </c>
      <c r="H867" t="s">
        <v>394</v>
      </c>
      <c r="I867" t="s">
        <v>29</v>
      </c>
      <c r="J867">
        <v>19990521</v>
      </c>
      <c r="K867">
        <v>19990521</v>
      </c>
      <c r="L867" s="7" t="str">
        <f>HYPERLINK("https://test.ictv.global/id/TN19980832","TN19980832@TEST")</f>
        <v>TN19980832@TEST</v>
      </c>
      <c r="M867" s="7" t="str">
        <f>HYPERLINK("https://test.ictv.global/id/ICTV19810234","ICTV19810234@TEST")</f>
        <v>ICTV19810234@TEST</v>
      </c>
      <c r="N867" s="7" t="str">
        <f>HYPERLINK("https://ictv.global/id/TN19980832","TN19980832@prod")</f>
        <v>TN19980832@prod</v>
      </c>
      <c r="O867" s="7" t="str">
        <f>HYPERLINK("https://ictv.global/id/ICTV19810234","ICTV19810234@prod")</f>
        <v>ICTV19810234@prod</v>
      </c>
    </row>
    <row r="868" spans="1:15" x14ac:dyDescent="0.2">
      <c r="A868">
        <v>17</v>
      </c>
      <c r="B868">
        <v>19980833</v>
      </c>
      <c r="C868">
        <v>19910372</v>
      </c>
      <c r="D868" t="s">
        <v>29</v>
      </c>
      <c r="E868" t="s">
        <v>1672</v>
      </c>
      <c r="G868" t="s">
        <v>1165</v>
      </c>
      <c r="L868" s="7" t="str">
        <f>HYPERLINK("https://test.ictv.global/id/TN19980833","TN19980833@TEST")</f>
        <v>TN19980833@TEST</v>
      </c>
      <c r="M868" s="7" t="str">
        <f>HYPERLINK("https://test.ictv.global/id/ICTV19910372","ICTV19910372@TEST")</f>
        <v>ICTV19910372@TEST</v>
      </c>
      <c r="N868" s="7" t="str">
        <f>HYPERLINK("https://ictv.global/id/TN19980833","TN19980833@prod")</f>
        <v>TN19980833@prod</v>
      </c>
      <c r="O868" s="7" t="str">
        <f>HYPERLINK("https://ictv.global/id/ICTV19910372","ICTV19910372@prod")</f>
        <v>ICTV19910372@prod</v>
      </c>
    </row>
    <row r="869" spans="1:15" x14ac:dyDescent="0.2">
      <c r="A869">
        <v>17</v>
      </c>
      <c r="B869">
        <v>19980834</v>
      </c>
      <c r="C869">
        <v>19810235</v>
      </c>
      <c r="D869" t="s">
        <v>29</v>
      </c>
      <c r="E869" t="s">
        <v>161</v>
      </c>
      <c r="G869" t="s">
        <v>33</v>
      </c>
      <c r="H869" t="s">
        <v>420</v>
      </c>
      <c r="I869" t="s">
        <v>29</v>
      </c>
      <c r="J869">
        <v>19990523</v>
      </c>
      <c r="K869">
        <v>19990523</v>
      </c>
      <c r="L869" s="7" t="str">
        <f>HYPERLINK("https://test.ictv.global/id/TN19980834","TN19980834@TEST")</f>
        <v>TN19980834@TEST</v>
      </c>
      <c r="M869" s="7" t="str">
        <f>HYPERLINK("https://test.ictv.global/id/ICTV19810235","ICTV19810235@TEST")</f>
        <v>ICTV19810235@TEST</v>
      </c>
      <c r="N869" s="7" t="str">
        <f>HYPERLINK("https://ictv.global/id/TN19980834","TN19980834@prod")</f>
        <v>TN19980834@prod</v>
      </c>
      <c r="O869" s="7" t="str">
        <f>HYPERLINK("https://ictv.global/id/ICTV19810235","ICTV19810235@prod")</f>
        <v>ICTV19810235@prod</v>
      </c>
    </row>
    <row r="870" spans="1:15" x14ac:dyDescent="0.2">
      <c r="A870">
        <v>17</v>
      </c>
      <c r="B870">
        <v>19980835</v>
      </c>
      <c r="C870">
        <v>19810236</v>
      </c>
      <c r="D870" t="s">
        <v>29</v>
      </c>
      <c r="E870" t="s">
        <v>162</v>
      </c>
      <c r="G870" t="s">
        <v>33</v>
      </c>
      <c r="H870" t="s">
        <v>420</v>
      </c>
      <c r="I870" t="s">
        <v>29</v>
      </c>
      <c r="J870">
        <v>19990523</v>
      </c>
      <c r="K870">
        <v>19990523</v>
      </c>
      <c r="L870" s="7" t="str">
        <f>HYPERLINK("https://test.ictv.global/id/TN19980835","TN19980835@TEST")</f>
        <v>TN19980835@TEST</v>
      </c>
      <c r="M870" s="7" t="str">
        <f>HYPERLINK("https://test.ictv.global/id/ICTV19810236","ICTV19810236@TEST")</f>
        <v>ICTV19810236@TEST</v>
      </c>
      <c r="N870" s="7" t="str">
        <f>HYPERLINK("https://ictv.global/id/TN19980835","TN19980835@prod")</f>
        <v>TN19980835@prod</v>
      </c>
      <c r="O870" s="7" t="str">
        <f>HYPERLINK("https://ictv.global/id/ICTV19810236","ICTV19810236@prod")</f>
        <v>ICTV19810236@prod</v>
      </c>
    </row>
    <row r="871" spans="1:15" x14ac:dyDescent="0.2">
      <c r="A871">
        <v>17</v>
      </c>
      <c r="B871">
        <v>19980836</v>
      </c>
      <c r="C871">
        <v>19810237</v>
      </c>
      <c r="D871" t="s">
        <v>29</v>
      </c>
      <c r="E871" t="s">
        <v>163</v>
      </c>
      <c r="G871" t="s">
        <v>33</v>
      </c>
      <c r="H871" t="s">
        <v>420</v>
      </c>
      <c r="I871" t="s">
        <v>29</v>
      </c>
      <c r="J871">
        <v>19990523</v>
      </c>
      <c r="K871">
        <v>19990523</v>
      </c>
      <c r="L871" s="7" t="str">
        <f>HYPERLINK("https://test.ictv.global/id/TN19980836","TN19980836@TEST")</f>
        <v>TN19980836@TEST</v>
      </c>
      <c r="M871" s="7" t="str">
        <f>HYPERLINK("https://test.ictv.global/id/ICTV19810237","ICTV19810237@TEST")</f>
        <v>ICTV19810237@TEST</v>
      </c>
      <c r="N871" s="7" t="str">
        <f>HYPERLINK("https://ictv.global/id/TN19980836","TN19980836@prod")</f>
        <v>TN19980836@prod</v>
      </c>
      <c r="O871" s="7" t="str">
        <f>HYPERLINK("https://ictv.global/id/ICTV19810237","ICTV19810237@prod")</f>
        <v>ICTV19810237@prod</v>
      </c>
    </row>
    <row r="872" spans="1:15" x14ac:dyDescent="0.2">
      <c r="A872">
        <v>17</v>
      </c>
      <c r="B872">
        <v>19980839</v>
      </c>
      <c r="C872">
        <v>19950452</v>
      </c>
      <c r="D872" t="s">
        <v>29</v>
      </c>
      <c r="E872" t="s">
        <v>1673</v>
      </c>
      <c r="G872" t="s">
        <v>1165</v>
      </c>
      <c r="L872" s="7" t="str">
        <f>HYPERLINK("https://test.ictv.global/id/TN19980839","TN19980839@TEST")</f>
        <v>TN19980839@TEST</v>
      </c>
      <c r="M872" s="7" t="str">
        <f>HYPERLINK("https://test.ictv.global/id/ICTV19950452","ICTV19950452@TEST")</f>
        <v>ICTV19950452@TEST</v>
      </c>
      <c r="N872" s="7" t="str">
        <f>HYPERLINK("https://ictv.global/id/TN19980839","TN19980839@prod")</f>
        <v>TN19980839@prod</v>
      </c>
      <c r="O872" s="7" t="str">
        <f>HYPERLINK("https://ictv.global/id/ICTV19950452","ICTV19950452@prod")</f>
        <v>ICTV19950452@prod</v>
      </c>
    </row>
    <row r="873" spans="1:15" x14ac:dyDescent="0.2">
      <c r="A873">
        <v>17</v>
      </c>
      <c r="B873">
        <v>19980840</v>
      </c>
      <c r="C873">
        <v>19910377</v>
      </c>
      <c r="D873" t="s">
        <v>29</v>
      </c>
      <c r="E873" t="s">
        <v>1674</v>
      </c>
      <c r="G873" t="s">
        <v>1165</v>
      </c>
      <c r="L873" s="7" t="str">
        <f>HYPERLINK("https://test.ictv.global/id/TN19980840","TN19980840@TEST")</f>
        <v>TN19980840@TEST</v>
      </c>
      <c r="M873" s="7" t="str">
        <f>HYPERLINK("https://test.ictv.global/id/ICTV19910377","ICTV19910377@TEST")</f>
        <v>ICTV19910377@TEST</v>
      </c>
      <c r="N873" s="7" t="str">
        <f>HYPERLINK("https://ictv.global/id/TN19980840","TN19980840@prod")</f>
        <v>TN19980840@prod</v>
      </c>
      <c r="O873" s="7" t="str">
        <f>HYPERLINK("https://ictv.global/id/ICTV19910377","ICTV19910377@prod")</f>
        <v>ICTV19910377@prod</v>
      </c>
    </row>
    <row r="874" spans="1:15" x14ac:dyDescent="0.2">
      <c r="A874">
        <v>17</v>
      </c>
      <c r="B874">
        <v>19980841</v>
      </c>
      <c r="C874">
        <v>19910378</v>
      </c>
      <c r="D874" t="s">
        <v>29</v>
      </c>
      <c r="E874" t="s">
        <v>421</v>
      </c>
      <c r="G874" t="s">
        <v>33</v>
      </c>
      <c r="H874" t="s">
        <v>402</v>
      </c>
      <c r="I874" t="s">
        <v>29</v>
      </c>
      <c r="J874">
        <v>19990514</v>
      </c>
      <c r="K874">
        <v>19990514</v>
      </c>
      <c r="L874" s="7" t="str">
        <f>HYPERLINK("https://test.ictv.global/id/TN19980841","TN19980841@TEST")</f>
        <v>TN19980841@TEST</v>
      </c>
      <c r="M874" s="7" t="str">
        <f>HYPERLINK("https://test.ictv.global/id/ICTV19910378","ICTV19910378@TEST")</f>
        <v>ICTV19910378@TEST</v>
      </c>
      <c r="N874" s="7" t="str">
        <f>HYPERLINK("https://ictv.global/id/TN19980841","TN19980841@prod")</f>
        <v>TN19980841@prod</v>
      </c>
      <c r="O874" s="7" t="str">
        <f>HYPERLINK("https://ictv.global/id/ICTV19910378","ICTV19910378@prod")</f>
        <v>ICTV19910378@prod</v>
      </c>
    </row>
    <row r="875" spans="1:15" x14ac:dyDescent="0.2">
      <c r="A875">
        <v>17</v>
      </c>
      <c r="B875">
        <v>19980842</v>
      </c>
      <c r="C875">
        <v>19910379</v>
      </c>
      <c r="D875" t="s">
        <v>29</v>
      </c>
      <c r="E875" t="s">
        <v>422</v>
      </c>
      <c r="G875" t="s">
        <v>33</v>
      </c>
      <c r="H875" t="s">
        <v>402</v>
      </c>
      <c r="I875" t="s">
        <v>29</v>
      </c>
      <c r="J875">
        <v>19990514</v>
      </c>
      <c r="K875">
        <v>19990514</v>
      </c>
      <c r="L875" s="7" t="str">
        <f>HYPERLINK("https://test.ictv.global/id/TN19980842","TN19980842@TEST")</f>
        <v>TN19980842@TEST</v>
      </c>
      <c r="M875" s="7" t="str">
        <f>HYPERLINK("https://test.ictv.global/id/ICTV19910379","ICTV19910379@TEST")</f>
        <v>ICTV19910379@TEST</v>
      </c>
      <c r="N875" s="7" t="str">
        <f>HYPERLINK("https://ictv.global/id/TN19980842","TN19980842@prod")</f>
        <v>TN19980842@prod</v>
      </c>
      <c r="O875" s="7" t="str">
        <f>HYPERLINK("https://ictv.global/id/ICTV19910379","ICTV19910379@prod")</f>
        <v>ICTV19910379@prod</v>
      </c>
    </row>
    <row r="876" spans="1:15" x14ac:dyDescent="0.2">
      <c r="A876">
        <v>17</v>
      </c>
      <c r="B876">
        <v>19980843</v>
      </c>
      <c r="C876">
        <v>19910380</v>
      </c>
      <c r="D876" t="s">
        <v>29</v>
      </c>
      <c r="E876" t="s">
        <v>1675</v>
      </c>
      <c r="G876" t="s">
        <v>1165</v>
      </c>
      <c r="L876" s="7" t="str">
        <f>HYPERLINK("https://test.ictv.global/id/TN19980843","TN19980843@TEST")</f>
        <v>TN19980843@TEST</v>
      </c>
      <c r="M876" s="7" t="str">
        <f>HYPERLINK("https://test.ictv.global/id/ICTV19910380","ICTV19910380@TEST")</f>
        <v>ICTV19910380@TEST</v>
      </c>
      <c r="N876" s="7" t="str">
        <f>HYPERLINK("https://ictv.global/id/TN19980843","TN19980843@prod")</f>
        <v>TN19980843@prod</v>
      </c>
      <c r="O876" s="7" t="str">
        <f>HYPERLINK("https://ictv.global/id/ICTV19910380","ICTV19910380@prod")</f>
        <v>ICTV19910380@prod</v>
      </c>
    </row>
    <row r="877" spans="1:15" x14ac:dyDescent="0.2">
      <c r="A877">
        <v>17</v>
      </c>
      <c r="B877">
        <v>19980844</v>
      </c>
      <c r="C877">
        <v>19910381</v>
      </c>
      <c r="D877" t="s">
        <v>29</v>
      </c>
      <c r="E877" t="s">
        <v>423</v>
      </c>
      <c r="G877" t="s">
        <v>31</v>
      </c>
      <c r="H877" t="s">
        <v>395</v>
      </c>
      <c r="I877" t="s">
        <v>29</v>
      </c>
      <c r="J877">
        <v>19990516</v>
      </c>
      <c r="K877">
        <v>19990516</v>
      </c>
      <c r="L877" s="7" t="str">
        <f>HYPERLINK("https://test.ictv.global/id/TN19980844","TN19980844@TEST")</f>
        <v>TN19980844@TEST</v>
      </c>
      <c r="M877" s="7" t="str">
        <f>HYPERLINK("https://test.ictv.global/id/ICTV19910381","ICTV19910381@TEST")</f>
        <v>ICTV19910381@TEST</v>
      </c>
      <c r="N877" s="7" t="str">
        <f>HYPERLINK("https://ictv.global/id/TN19980844","TN19980844@prod")</f>
        <v>TN19980844@prod</v>
      </c>
      <c r="O877" s="7" t="str">
        <f>HYPERLINK("https://ictv.global/id/ICTV19910381","ICTV19910381@prod")</f>
        <v>ICTV19910381@prod</v>
      </c>
    </row>
    <row r="878" spans="1:15" x14ac:dyDescent="0.2">
      <c r="A878">
        <v>17</v>
      </c>
      <c r="B878">
        <v>19980845</v>
      </c>
      <c r="C878">
        <v>19910382</v>
      </c>
      <c r="D878" t="s">
        <v>29</v>
      </c>
      <c r="E878" t="s">
        <v>424</v>
      </c>
      <c r="G878" t="s">
        <v>33</v>
      </c>
      <c r="H878" t="s">
        <v>402</v>
      </c>
      <c r="I878" t="s">
        <v>29</v>
      </c>
      <c r="J878">
        <v>19990514</v>
      </c>
      <c r="K878">
        <v>19990514</v>
      </c>
      <c r="L878" s="7" t="str">
        <f>HYPERLINK("https://test.ictv.global/id/TN19980845","TN19980845@TEST")</f>
        <v>TN19980845@TEST</v>
      </c>
      <c r="M878" s="7" t="str">
        <f>HYPERLINK("https://test.ictv.global/id/ICTV19910382","ICTV19910382@TEST")</f>
        <v>ICTV19910382@TEST</v>
      </c>
      <c r="N878" s="7" t="str">
        <f>HYPERLINK("https://ictv.global/id/TN19980845","TN19980845@prod")</f>
        <v>TN19980845@prod</v>
      </c>
      <c r="O878" s="7" t="str">
        <f>HYPERLINK("https://ictv.global/id/ICTV19910382","ICTV19910382@prod")</f>
        <v>ICTV19910382@prod</v>
      </c>
    </row>
    <row r="879" spans="1:15" x14ac:dyDescent="0.2">
      <c r="A879">
        <v>17</v>
      </c>
      <c r="B879">
        <v>19980846</v>
      </c>
      <c r="C879">
        <v>19910383</v>
      </c>
      <c r="D879" t="s">
        <v>29</v>
      </c>
      <c r="E879" t="s">
        <v>1676</v>
      </c>
      <c r="G879" t="s">
        <v>1165</v>
      </c>
      <c r="L879" s="7" t="str">
        <f>HYPERLINK("https://test.ictv.global/id/TN19980846","TN19980846@TEST")</f>
        <v>TN19980846@TEST</v>
      </c>
      <c r="M879" s="7" t="str">
        <f>HYPERLINK("https://test.ictv.global/id/ICTV19910383","ICTV19910383@TEST")</f>
        <v>ICTV19910383@TEST</v>
      </c>
      <c r="N879" s="7" t="str">
        <f>HYPERLINK("https://ictv.global/id/TN19980846","TN19980846@prod")</f>
        <v>TN19980846@prod</v>
      </c>
      <c r="O879" s="7" t="str">
        <f>HYPERLINK("https://ictv.global/id/ICTV19910383","ICTV19910383@prod")</f>
        <v>ICTV19910383@prod</v>
      </c>
    </row>
    <row r="880" spans="1:15" x14ac:dyDescent="0.2">
      <c r="A880">
        <v>17</v>
      </c>
      <c r="B880">
        <v>19980847</v>
      </c>
      <c r="C880">
        <v>19910384</v>
      </c>
      <c r="D880" t="s">
        <v>29</v>
      </c>
      <c r="E880" t="s">
        <v>425</v>
      </c>
      <c r="G880" t="s">
        <v>33</v>
      </c>
      <c r="H880" t="s">
        <v>412</v>
      </c>
      <c r="I880" t="s">
        <v>29</v>
      </c>
      <c r="J880">
        <v>19990519</v>
      </c>
      <c r="K880">
        <v>19990519</v>
      </c>
      <c r="L880" s="7" t="str">
        <f>HYPERLINK("https://test.ictv.global/id/TN19980847","TN19980847@TEST")</f>
        <v>TN19980847@TEST</v>
      </c>
      <c r="M880" s="7" t="str">
        <f>HYPERLINK("https://test.ictv.global/id/ICTV19910384","ICTV19910384@TEST")</f>
        <v>ICTV19910384@TEST</v>
      </c>
      <c r="N880" s="7" t="str">
        <f>HYPERLINK("https://ictv.global/id/TN19980847","TN19980847@prod")</f>
        <v>TN19980847@prod</v>
      </c>
      <c r="O880" s="7" t="str">
        <f>HYPERLINK("https://ictv.global/id/ICTV19910384","ICTV19910384@prod")</f>
        <v>ICTV19910384@prod</v>
      </c>
    </row>
    <row r="881" spans="1:15" x14ac:dyDescent="0.2">
      <c r="A881">
        <v>17</v>
      </c>
      <c r="B881">
        <v>19980848</v>
      </c>
      <c r="C881">
        <v>19910385</v>
      </c>
      <c r="D881" t="s">
        <v>29</v>
      </c>
      <c r="E881" t="s">
        <v>1677</v>
      </c>
      <c r="G881" t="s">
        <v>1165</v>
      </c>
      <c r="L881" s="7" t="str">
        <f>HYPERLINK("https://test.ictv.global/id/TN19980848","TN19980848@TEST")</f>
        <v>TN19980848@TEST</v>
      </c>
      <c r="M881" s="7" t="str">
        <f>HYPERLINK("https://test.ictv.global/id/ICTV19910385","ICTV19910385@TEST")</f>
        <v>ICTV19910385@TEST</v>
      </c>
      <c r="N881" s="7" t="str">
        <f>HYPERLINK("https://ictv.global/id/TN19980848","TN19980848@prod")</f>
        <v>TN19980848@prod</v>
      </c>
      <c r="O881" s="7" t="str">
        <f>HYPERLINK("https://ictv.global/id/ICTV19910385","ICTV19910385@prod")</f>
        <v>ICTV19910385@prod</v>
      </c>
    </row>
    <row r="882" spans="1:15" x14ac:dyDescent="0.2">
      <c r="A882">
        <v>17</v>
      </c>
      <c r="B882">
        <v>19980849</v>
      </c>
      <c r="C882">
        <v>19910386</v>
      </c>
      <c r="D882" t="s">
        <v>29</v>
      </c>
      <c r="E882" t="s">
        <v>1678</v>
      </c>
      <c r="G882" t="s">
        <v>1165</v>
      </c>
      <c r="L882" s="7" t="str">
        <f>HYPERLINK("https://test.ictv.global/id/TN19980849","TN19980849@TEST")</f>
        <v>TN19980849@TEST</v>
      </c>
      <c r="M882" s="7" t="str">
        <f>HYPERLINK("https://test.ictv.global/id/ICTV19910386","ICTV19910386@TEST")</f>
        <v>ICTV19910386@TEST</v>
      </c>
      <c r="N882" s="7" t="str">
        <f>HYPERLINK("https://ictv.global/id/TN19980849","TN19980849@prod")</f>
        <v>TN19980849@prod</v>
      </c>
      <c r="O882" s="7" t="str">
        <f>HYPERLINK("https://ictv.global/id/ICTV19910386","ICTV19910386@prod")</f>
        <v>ICTV19910386@prod</v>
      </c>
    </row>
    <row r="883" spans="1:15" x14ac:dyDescent="0.2">
      <c r="A883">
        <v>17</v>
      </c>
      <c r="B883">
        <v>19980850</v>
      </c>
      <c r="C883">
        <v>19910387</v>
      </c>
      <c r="D883" t="s">
        <v>29</v>
      </c>
      <c r="E883" t="s">
        <v>426</v>
      </c>
      <c r="G883" t="s">
        <v>33</v>
      </c>
      <c r="H883" t="s">
        <v>412</v>
      </c>
      <c r="I883" t="s">
        <v>29</v>
      </c>
      <c r="J883">
        <v>19990519</v>
      </c>
      <c r="K883">
        <v>19990519</v>
      </c>
      <c r="L883" s="7" t="str">
        <f>HYPERLINK("https://test.ictv.global/id/TN19980850","TN19980850@TEST")</f>
        <v>TN19980850@TEST</v>
      </c>
      <c r="M883" s="7" t="str">
        <f>HYPERLINK("https://test.ictv.global/id/ICTV19910387","ICTV19910387@TEST")</f>
        <v>ICTV19910387@TEST</v>
      </c>
      <c r="N883" s="7" t="str">
        <f>HYPERLINK("https://ictv.global/id/TN19980850","TN19980850@prod")</f>
        <v>TN19980850@prod</v>
      </c>
      <c r="O883" s="7" t="str">
        <f>HYPERLINK("https://ictv.global/id/ICTV19910387","ICTV19910387@prod")</f>
        <v>ICTV19910387@prod</v>
      </c>
    </row>
    <row r="884" spans="1:15" x14ac:dyDescent="0.2">
      <c r="A884">
        <v>17</v>
      </c>
      <c r="B884">
        <v>19980851</v>
      </c>
      <c r="C884">
        <v>19910388</v>
      </c>
      <c r="D884" t="s">
        <v>29</v>
      </c>
      <c r="E884" t="s">
        <v>427</v>
      </c>
      <c r="G884" t="s">
        <v>33</v>
      </c>
      <c r="H884" t="s">
        <v>402</v>
      </c>
      <c r="I884" t="s">
        <v>29</v>
      </c>
      <c r="J884">
        <v>19990514</v>
      </c>
      <c r="K884">
        <v>19990514</v>
      </c>
      <c r="L884" s="7" t="str">
        <f>HYPERLINK("https://test.ictv.global/id/TN19980851","TN19980851@TEST")</f>
        <v>TN19980851@TEST</v>
      </c>
      <c r="M884" s="7" t="str">
        <f>HYPERLINK("https://test.ictv.global/id/ICTV19910388","ICTV19910388@TEST")</f>
        <v>ICTV19910388@TEST</v>
      </c>
      <c r="N884" s="7" t="str">
        <f>HYPERLINK("https://ictv.global/id/TN19980851","TN19980851@prod")</f>
        <v>TN19980851@prod</v>
      </c>
      <c r="O884" s="7" t="str">
        <f>HYPERLINK("https://ictv.global/id/ICTV19910388","ICTV19910388@prod")</f>
        <v>ICTV19910388@prod</v>
      </c>
    </row>
    <row r="885" spans="1:15" x14ac:dyDescent="0.2">
      <c r="A885">
        <v>17</v>
      </c>
      <c r="B885">
        <v>19980852</v>
      </c>
      <c r="C885">
        <v>19910389</v>
      </c>
      <c r="D885" t="s">
        <v>29</v>
      </c>
      <c r="E885" t="s">
        <v>1679</v>
      </c>
      <c r="G885" t="s">
        <v>1165</v>
      </c>
      <c r="L885" s="7" t="str">
        <f>HYPERLINK("https://test.ictv.global/id/TN19980852","TN19980852@TEST")</f>
        <v>TN19980852@TEST</v>
      </c>
      <c r="M885" s="7" t="str">
        <f>HYPERLINK("https://test.ictv.global/id/ICTV19910389","ICTV19910389@TEST")</f>
        <v>ICTV19910389@TEST</v>
      </c>
      <c r="N885" s="7" t="str">
        <f>HYPERLINK("https://ictv.global/id/TN19980852","TN19980852@prod")</f>
        <v>TN19980852@prod</v>
      </c>
      <c r="O885" s="7" t="str">
        <f>HYPERLINK("https://ictv.global/id/ICTV19910389","ICTV19910389@prod")</f>
        <v>ICTV19910389@prod</v>
      </c>
    </row>
    <row r="886" spans="1:15" x14ac:dyDescent="0.2">
      <c r="A886">
        <v>17</v>
      </c>
      <c r="B886">
        <v>19980853</v>
      </c>
      <c r="C886">
        <v>19910390</v>
      </c>
      <c r="D886" t="s">
        <v>29</v>
      </c>
      <c r="E886" t="s">
        <v>428</v>
      </c>
      <c r="G886" t="s">
        <v>33</v>
      </c>
      <c r="H886" t="s">
        <v>401</v>
      </c>
      <c r="I886" t="s">
        <v>29</v>
      </c>
      <c r="J886">
        <v>19990515</v>
      </c>
      <c r="K886">
        <v>19990515</v>
      </c>
      <c r="L886" s="7" t="str">
        <f>HYPERLINK("https://test.ictv.global/id/TN19980853","TN19980853@TEST")</f>
        <v>TN19980853@TEST</v>
      </c>
      <c r="M886" s="7" t="str">
        <f>HYPERLINK("https://test.ictv.global/id/ICTV19910390","ICTV19910390@TEST")</f>
        <v>ICTV19910390@TEST</v>
      </c>
      <c r="N886" s="7" t="str">
        <f>HYPERLINK("https://ictv.global/id/TN19980853","TN19980853@prod")</f>
        <v>TN19980853@prod</v>
      </c>
      <c r="O886" s="7" t="str">
        <f>HYPERLINK("https://ictv.global/id/ICTV19910390","ICTV19910390@prod")</f>
        <v>ICTV19910390@prod</v>
      </c>
    </row>
    <row r="887" spans="1:15" x14ac:dyDescent="0.2">
      <c r="A887">
        <v>17</v>
      </c>
      <c r="B887">
        <v>19980854</v>
      </c>
      <c r="C887">
        <v>19910391</v>
      </c>
      <c r="D887" t="s">
        <v>29</v>
      </c>
      <c r="E887" t="s">
        <v>429</v>
      </c>
      <c r="G887" t="s">
        <v>33</v>
      </c>
      <c r="H887" t="s">
        <v>410</v>
      </c>
      <c r="I887" t="s">
        <v>29</v>
      </c>
      <c r="J887">
        <v>19990518</v>
      </c>
      <c r="K887">
        <v>19990518</v>
      </c>
      <c r="L887" s="7" t="str">
        <f>HYPERLINK("https://test.ictv.global/id/TN19980854","TN19980854@TEST")</f>
        <v>TN19980854@TEST</v>
      </c>
      <c r="M887" s="7" t="str">
        <f>HYPERLINK("https://test.ictv.global/id/ICTV19910391","ICTV19910391@TEST")</f>
        <v>ICTV19910391@TEST</v>
      </c>
      <c r="N887" s="7" t="str">
        <f>HYPERLINK("https://ictv.global/id/TN19980854","TN19980854@prod")</f>
        <v>TN19980854@prod</v>
      </c>
      <c r="O887" s="7" t="str">
        <f>HYPERLINK("https://ictv.global/id/ICTV19910391","ICTV19910391@prod")</f>
        <v>ICTV19910391@prod</v>
      </c>
    </row>
    <row r="888" spans="1:15" x14ac:dyDescent="0.2">
      <c r="A888">
        <v>17</v>
      </c>
      <c r="B888">
        <v>19980855</v>
      </c>
      <c r="C888">
        <v>19910392</v>
      </c>
      <c r="D888" t="s">
        <v>29</v>
      </c>
      <c r="E888" t="s">
        <v>430</v>
      </c>
      <c r="G888" t="s">
        <v>33</v>
      </c>
      <c r="H888" t="s">
        <v>410</v>
      </c>
      <c r="I888" t="s">
        <v>29</v>
      </c>
      <c r="J888">
        <v>19990518</v>
      </c>
      <c r="K888">
        <v>19990518</v>
      </c>
      <c r="L888" s="7" t="str">
        <f>HYPERLINK("https://test.ictv.global/id/TN19980855","TN19980855@TEST")</f>
        <v>TN19980855@TEST</v>
      </c>
      <c r="M888" s="7" t="str">
        <f>HYPERLINK("https://test.ictv.global/id/ICTV19910392","ICTV19910392@TEST")</f>
        <v>ICTV19910392@TEST</v>
      </c>
      <c r="N888" s="7" t="str">
        <f>HYPERLINK("https://ictv.global/id/TN19980855","TN19980855@prod")</f>
        <v>TN19980855@prod</v>
      </c>
      <c r="O888" s="7" t="str">
        <f>HYPERLINK("https://ictv.global/id/ICTV19910392","ICTV19910392@prod")</f>
        <v>ICTV19910392@prod</v>
      </c>
    </row>
    <row r="889" spans="1:15" x14ac:dyDescent="0.2">
      <c r="A889">
        <v>17</v>
      </c>
      <c r="B889">
        <v>19980856</v>
      </c>
      <c r="C889">
        <v>19910393</v>
      </c>
      <c r="D889" t="s">
        <v>29</v>
      </c>
      <c r="E889" t="s">
        <v>431</v>
      </c>
      <c r="G889" t="s">
        <v>33</v>
      </c>
      <c r="H889" t="s">
        <v>410</v>
      </c>
      <c r="I889" t="s">
        <v>29</v>
      </c>
      <c r="J889">
        <v>19990518</v>
      </c>
      <c r="K889">
        <v>19990518</v>
      </c>
      <c r="L889" s="7" t="str">
        <f>HYPERLINK("https://test.ictv.global/id/TN19980856","TN19980856@TEST")</f>
        <v>TN19980856@TEST</v>
      </c>
      <c r="M889" s="7" t="str">
        <f>HYPERLINK("https://test.ictv.global/id/ICTV19910393","ICTV19910393@TEST")</f>
        <v>ICTV19910393@TEST</v>
      </c>
      <c r="N889" s="7" t="str">
        <f>HYPERLINK("https://ictv.global/id/TN19980856","TN19980856@prod")</f>
        <v>TN19980856@prod</v>
      </c>
      <c r="O889" s="7" t="str">
        <f>HYPERLINK("https://ictv.global/id/ICTV19910393","ICTV19910393@prod")</f>
        <v>ICTV19910393@prod</v>
      </c>
    </row>
    <row r="890" spans="1:15" x14ac:dyDescent="0.2">
      <c r="A890">
        <v>17</v>
      </c>
      <c r="B890">
        <v>19980857</v>
      </c>
      <c r="C890">
        <v>19910394</v>
      </c>
      <c r="D890" t="s">
        <v>29</v>
      </c>
      <c r="E890" t="s">
        <v>432</v>
      </c>
      <c r="G890" t="s">
        <v>33</v>
      </c>
      <c r="H890" t="s">
        <v>410</v>
      </c>
      <c r="I890" t="s">
        <v>29</v>
      </c>
      <c r="J890">
        <v>19990518</v>
      </c>
      <c r="K890">
        <v>19990518</v>
      </c>
      <c r="L890" s="7" t="str">
        <f>HYPERLINK("https://test.ictv.global/id/TN19980857","TN19980857@TEST")</f>
        <v>TN19980857@TEST</v>
      </c>
      <c r="M890" s="7" t="str">
        <f>HYPERLINK("https://test.ictv.global/id/ICTV19910394","ICTV19910394@TEST")</f>
        <v>ICTV19910394@TEST</v>
      </c>
      <c r="N890" s="7" t="str">
        <f>HYPERLINK("https://ictv.global/id/TN19980857","TN19980857@prod")</f>
        <v>TN19980857@prod</v>
      </c>
      <c r="O890" s="7" t="str">
        <f>HYPERLINK("https://ictv.global/id/ICTV19910394","ICTV19910394@prod")</f>
        <v>ICTV19910394@prod</v>
      </c>
    </row>
    <row r="891" spans="1:15" x14ac:dyDescent="0.2">
      <c r="A891">
        <v>17</v>
      </c>
      <c r="B891">
        <v>19980858</v>
      </c>
      <c r="C891">
        <v>19910395</v>
      </c>
      <c r="D891" t="s">
        <v>29</v>
      </c>
      <c r="E891" t="s">
        <v>1680</v>
      </c>
      <c r="G891" t="s">
        <v>1165</v>
      </c>
      <c r="L891" s="7" t="str">
        <f>HYPERLINK("https://test.ictv.global/id/TN19980858","TN19980858@TEST")</f>
        <v>TN19980858@TEST</v>
      </c>
      <c r="M891" s="7" t="str">
        <f>HYPERLINK("https://test.ictv.global/id/ICTV19910395","ICTV19910395@TEST")</f>
        <v>ICTV19910395@TEST</v>
      </c>
      <c r="N891" s="7" t="str">
        <f>HYPERLINK("https://ictv.global/id/TN19980858","TN19980858@prod")</f>
        <v>TN19980858@prod</v>
      </c>
      <c r="O891" s="7" t="str">
        <f>HYPERLINK("https://ictv.global/id/ICTV19910395","ICTV19910395@prod")</f>
        <v>ICTV19910395@prod</v>
      </c>
    </row>
    <row r="892" spans="1:15" x14ac:dyDescent="0.2">
      <c r="A892">
        <v>17</v>
      </c>
      <c r="B892">
        <v>19980859</v>
      </c>
      <c r="C892">
        <v>19910396</v>
      </c>
      <c r="D892" t="s">
        <v>29</v>
      </c>
      <c r="E892" t="s">
        <v>1681</v>
      </c>
      <c r="G892" t="s">
        <v>1165</v>
      </c>
      <c r="L892" s="7" t="str">
        <f>HYPERLINK("https://test.ictv.global/id/TN19980859","TN19980859@TEST")</f>
        <v>TN19980859@TEST</v>
      </c>
      <c r="M892" s="7" t="str">
        <f>HYPERLINK("https://test.ictv.global/id/ICTV19910396","ICTV19910396@TEST")</f>
        <v>ICTV19910396@TEST</v>
      </c>
      <c r="N892" s="7" t="str">
        <f>HYPERLINK("https://ictv.global/id/TN19980859","TN19980859@prod")</f>
        <v>TN19980859@prod</v>
      </c>
      <c r="O892" s="7" t="str">
        <f>HYPERLINK("https://ictv.global/id/ICTV19910396","ICTV19910396@prod")</f>
        <v>ICTV19910396@prod</v>
      </c>
    </row>
    <row r="893" spans="1:15" x14ac:dyDescent="0.2">
      <c r="A893">
        <v>17</v>
      </c>
      <c r="B893">
        <v>19980860</v>
      </c>
      <c r="C893">
        <v>19910397</v>
      </c>
      <c r="D893" t="s">
        <v>29</v>
      </c>
      <c r="E893" t="s">
        <v>433</v>
      </c>
      <c r="G893" t="s">
        <v>33</v>
      </c>
      <c r="H893" t="s">
        <v>402</v>
      </c>
      <c r="I893" t="s">
        <v>29</v>
      </c>
      <c r="J893">
        <v>19990514</v>
      </c>
      <c r="K893">
        <v>19990514</v>
      </c>
      <c r="L893" s="7" t="str">
        <f>HYPERLINK("https://test.ictv.global/id/TN19980860","TN19980860@TEST")</f>
        <v>TN19980860@TEST</v>
      </c>
      <c r="M893" s="7" t="str">
        <f>HYPERLINK("https://test.ictv.global/id/ICTV19910397","ICTV19910397@TEST")</f>
        <v>ICTV19910397@TEST</v>
      </c>
      <c r="N893" s="7" t="str">
        <f>HYPERLINK("https://ictv.global/id/TN19980860","TN19980860@prod")</f>
        <v>TN19980860@prod</v>
      </c>
      <c r="O893" s="7" t="str">
        <f>HYPERLINK("https://ictv.global/id/ICTV19910397","ICTV19910397@prod")</f>
        <v>ICTV19910397@prod</v>
      </c>
    </row>
    <row r="894" spans="1:15" x14ac:dyDescent="0.2">
      <c r="A894">
        <v>17</v>
      </c>
      <c r="B894">
        <v>19980861</v>
      </c>
      <c r="C894">
        <v>19910398</v>
      </c>
      <c r="D894" t="s">
        <v>29</v>
      </c>
      <c r="E894" t="s">
        <v>434</v>
      </c>
      <c r="G894" t="s">
        <v>33</v>
      </c>
      <c r="H894" t="s">
        <v>402</v>
      </c>
      <c r="I894" t="s">
        <v>29</v>
      </c>
      <c r="J894">
        <v>19990514</v>
      </c>
      <c r="K894">
        <v>19990514</v>
      </c>
      <c r="L894" s="7" t="str">
        <f>HYPERLINK("https://test.ictv.global/id/TN19980861","TN19980861@TEST")</f>
        <v>TN19980861@TEST</v>
      </c>
      <c r="M894" s="7" t="str">
        <f>HYPERLINK("https://test.ictv.global/id/ICTV19910398","ICTV19910398@TEST")</f>
        <v>ICTV19910398@TEST</v>
      </c>
      <c r="N894" s="7" t="str">
        <f>HYPERLINK("https://ictv.global/id/TN19980861","TN19980861@prod")</f>
        <v>TN19980861@prod</v>
      </c>
      <c r="O894" s="7" t="str">
        <f>HYPERLINK("https://ictv.global/id/ICTV19910398","ICTV19910398@prod")</f>
        <v>ICTV19910398@prod</v>
      </c>
    </row>
    <row r="895" spans="1:15" x14ac:dyDescent="0.2">
      <c r="A895">
        <v>17</v>
      </c>
      <c r="B895">
        <v>19980862</v>
      </c>
      <c r="C895">
        <v>19910399</v>
      </c>
      <c r="D895" t="s">
        <v>29</v>
      </c>
      <c r="E895" t="s">
        <v>1682</v>
      </c>
      <c r="G895" t="s">
        <v>1165</v>
      </c>
      <c r="L895" s="7" t="str">
        <f>HYPERLINK("https://test.ictv.global/id/TN19980862","TN19980862@TEST")</f>
        <v>TN19980862@TEST</v>
      </c>
      <c r="M895" s="7" t="str">
        <f>HYPERLINK("https://test.ictv.global/id/ICTV19910399","ICTV19910399@TEST")</f>
        <v>ICTV19910399@TEST</v>
      </c>
      <c r="N895" s="7" t="str">
        <f>HYPERLINK("https://ictv.global/id/TN19980862","TN19980862@prod")</f>
        <v>TN19980862@prod</v>
      </c>
      <c r="O895" s="7" t="str">
        <f>HYPERLINK("https://ictv.global/id/ICTV19910399","ICTV19910399@prod")</f>
        <v>ICTV19910399@prod</v>
      </c>
    </row>
    <row r="896" spans="1:15" x14ac:dyDescent="0.2">
      <c r="A896">
        <v>17</v>
      </c>
      <c r="B896">
        <v>19980863</v>
      </c>
      <c r="C896">
        <v>19910400</v>
      </c>
      <c r="D896" t="s">
        <v>29</v>
      </c>
      <c r="E896" t="s">
        <v>435</v>
      </c>
      <c r="G896" t="s">
        <v>33</v>
      </c>
      <c r="H896" t="s">
        <v>402</v>
      </c>
      <c r="I896" t="s">
        <v>29</v>
      </c>
      <c r="J896">
        <v>19990514</v>
      </c>
      <c r="K896">
        <v>19990514</v>
      </c>
      <c r="L896" s="7" t="str">
        <f>HYPERLINK("https://test.ictv.global/id/TN19980863","TN19980863@TEST")</f>
        <v>TN19980863@TEST</v>
      </c>
      <c r="M896" s="7" t="str">
        <f>HYPERLINK("https://test.ictv.global/id/ICTV19910400","ICTV19910400@TEST")</f>
        <v>ICTV19910400@TEST</v>
      </c>
      <c r="N896" s="7" t="str">
        <f>HYPERLINK("https://ictv.global/id/TN19980863","TN19980863@prod")</f>
        <v>TN19980863@prod</v>
      </c>
      <c r="O896" s="7" t="str">
        <f>HYPERLINK("https://ictv.global/id/ICTV19910400","ICTV19910400@prod")</f>
        <v>ICTV19910400@prod</v>
      </c>
    </row>
    <row r="897" spans="1:15" x14ac:dyDescent="0.2">
      <c r="A897">
        <v>17</v>
      </c>
      <c r="B897">
        <v>19980864</v>
      </c>
      <c r="C897">
        <v>19910401</v>
      </c>
      <c r="D897" t="s">
        <v>29</v>
      </c>
      <c r="E897" t="s">
        <v>1683</v>
      </c>
      <c r="G897" t="s">
        <v>1165</v>
      </c>
      <c r="L897" s="7" t="str">
        <f>HYPERLINK("https://test.ictv.global/id/TN19980864","TN19980864@TEST")</f>
        <v>TN19980864@TEST</v>
      </c>
      <c r="M897" s="7" t="str">
        <f>HYPERLINK("https://test.ictv.global/id/ICTV19910401","ICTV19910401@TEST")</f>
        <v>ICTV19910401@TEST</v>
      </c>
      <c r="N897" s="7" t="str">
        <f>HYPERLINK("https://ictv.global/id/TN19980864","TN19980864@prod")</f>
        <v>TN19980864@prod</v>
      </c>
      <c r="O897" s="7" t="str">
        <f>HYPERLINK("https://ictv.global/id/ICTV19910401","ICTV19910401@prod")</f>
        <v>ICTV19910401@prod</v>
      </c>
    </row>
    <row r="898" spans="1:15" x14ac:dyDescent="0.2">
      <c r="A898">
        <v>17</v>
      </c>
      <c r="B898">
        <v>19980865</v>
      </c>
      <c r="C898">
        <v>19910402</v>
      </c>
      <c r="D898" t="s">
        <v>29</v>
      </c>
      <c r="E898" t="s">
        <v>1684</v>
      </c>
      <c r="G898" t="s">
        <v>1165</v>
      </c>
      <c r="L898" s="7" t="str">
        <f>HYPERLINK("https://test.ictv.global/id/TN19980865","TN19980865@TEST")</f>
        <v>TN19980865@TEST</v>
      </c>
      <c r="M898" s="7" t="str">
        <f>HYPERLINK("https://test.ictv.global/id/ICTV19910402","ICTV19910402@TEST")</f>
        <v>ICTV19910402@TEST</v>
      </c>
      <c r="N898" s="7" t="str">
        <f>HYPERLINK("https://ictv.global/id/TN19980865","TN19980865@prod")</f>
        <v>TN19980865@prod</v>
      </c>
      <c r="O898" s="7" t="str">
        <f>HYPERLINK("https://ictv.global/id/ICTV19910402","ICTV19910402@prod")</f>
        <v>ICTV19910402@prod</v>
      </c>
    </row>
    <row r="899" spans="1:15" x14ac:dyDescent="0.2">
      <c r="A899">
        <v>17</v>
      </c>
      <c r="B899">
        <v>19980866</v>
      </c>
      <c r="C899">
        <v>19910403</v>
      </c>
      <c r="D899" t="s">
        <v>29</v>
      </c>
      <c r="E899" t="s">
        <v>436</v>
      </c>
      <c r="G899" t="s">
        <v>33</v>
      </c>
      <c r="H899" t="s">
        <v>402</v>
      </c>
      <c r="I899" t="s">
        <v>29</v>
      </c>
      <c r="J899">
        <v>19990514</v>
      </c>
      <c r="K899">
        <v>19990514</v>
      </c>
      <c r="L899" s="7" t="str">
        <f>HYPERLINK("https://test.ictv.global/id/TN19980866","TN19980866@TEST")</f>
        <v>TN19980866@TEST</v>
      </c>
      <c r="M899" s="7" t="str">
        <f>HYPERLINK("https://test.ictv.global/id/ICTV19910403","ICTV19910403@TEST")</f>
        <v>ICTV19910403@TEST</v>
      </c>
      <c r="N899" s="7" t="str">
        <f>HYPERLINK("https://ictv.global/id/TN19980866","TN19980866@prod")</f>
        <v>TN19980866@prod</v>
      </c>
      <c r="O899" s="7" t="str">
        <f>HYPERLINK("https://ictv.global/id/ICTV19910403","ICTV19910403@prod")</f>
        <v>ICTV19910403@prod</v>
      </c>
    </row>
    <row r="900" spans="1:15" x14ac:dyDescent="0.2">
      <c r="A900">
        <v>17</v>
      </c>
      <c r="B900">
        <v>19980884</v>
      </c>
      <c r="C900">
        <v>19980884</v>
      </c>
      <c r="D900" t="s">
        <v>29</v>
      </c>
      <c r="E900" t="s">
        <v>1685</v>
      </c>
      <c r="G900" t="s">
        <v>1165</v>
      </c>
      <c r="L900" s="7" t="str">
        <f>HYPERLINK("https://test.ictv.global/id/TN19980884","TN19980884@TEST")</f>
        <v>TN19980884@TEST</v>
      </c>
      <c r="M900" s="7" t="str">
        <f>HYPERLINK("https://test.ictv.global/id/ICTV19980884","ICTV19980884@TEST")</f>
        <v>ICTV19980884@TEST</v>
      </c>
      <c r="N900" s="7" t="str">
        <f>HYPERLINK("https://ictv.global/id/TN19980884","TN19980884@prod")</f>
        <v>TN19980884@prod</v>
      </c>
      <c r="O900" s="7" t="str">
        <f>HYPERLINK("https://ictv.global/id/ICTV19980884","ICTV19980884@prod")</f>
        <v>ICTV19980884@prod</v>
      </c>
    </row>
    <row r="901" spans="1:15" x14ac:dyDescent="0.2">
      <c r="A901">
        <v>17</v>
      </c>
      <c r="B901">
        <v>19980889</v>
      </c>
      <c r="C901">
        <v>19950497</v>
      </c>
      <c r="D901" t="s">
        <v>29</v>
      </c>
      <c r="E901" t="s">
        <v>437</v>
      </c>
      <c r="G901" t="s">
        <v>33</v>
      </c>
      <c r="H901" t="s">
        <v>438</v>
      </c>
      <c r="I901" t="s">
        <v>29</v>
      </c>
      <c r="J901">
        <v>19990551</v>
      </c>
      <c r="K901">
        <v>19990551</v>
      </c>
      <c r="L901" s="7" t="str">
        <f>HYPERLINK("https://test.ictv.global/id/TN19980889","TN19980889@TEST")</f>
        <v>TN19980889@TEST</v>
      </c>
      <c r="M901" s="7" t="str">
        <f>HYPERLINK("https://test.ictv.global/id/ICTV19950497","ICTV19950497@TEST")</f>
        <v>ICTV19950497@TEST</v>
      </c>
      <c r="N901" s="7" t="str">
        <f>HYPERLINK("https://ictv.global/id/TN19980889","TN19980889@prod")</f>
        <v>TN19980889@prod</v>
      </c>
      <c r="O901" s="7" t="str">
        <f>HYPERLINK("https://ictv.global/id/ICTV19950497","ICTV19950497@prod")</f>
        <v>ICTV19950497@prod</v>
      </c>
    </row>
    <row r="902" spans="1:15" x14ac:dyDescent="0.2">
      <c r="A902">
        <v>17</v>
      </c>
      <c r="B902">
        <v>19980890</v>
      </c>
      <c r="C902">
        <v>19950498</v>
      </c>
      <c r="D902" t="s">
        <v>29</v>
      </c>
      <c r="E902" t="s">
        <v>439</v>
      </c>
      <c r="G902" t="s">
        <v>33</v>
      </c>
      <c r="H902" t="s">
        <v>438</v>
      </c>
      <c r="I902" t="s">
        <v>29</v>
      </c>
      <c r="J902">
        <v>19990551</v>
      </c>
      <c r="K902">
        <v>19990551</v>
      </c>
      <c r="L902" s="7" t="str">
        <f>HYPERLINK("https://test.ictv.global/id/TN19980890","TN19980890@TEST")</f>
        <v>TN19980890@TEST</v>
      </c>
      <c r="M902" s="7" t="str">
        <f>HYPERLINK("https://test.ictv.global/id/ICTV19950498","ICTV19950498@TEST")</f>
        <v>ICTV19950498@TEST</v>
      </c>
      <c r="N902" s="7" t="str">
        <f>HYPERLINK("https://ictv.global/id/TN19980890","TN19980890@prod")</f>
        <v>TN19980890@prod</v>
      </c>
      <c r="O902" s="7" t="str">
        <f>HYPERLINK("https://ictv.global/id/ICTV19950498","ICTV19950498@prod")</f>
        <v>ICTV19950498@prod</v>
      </c>
    </row>
    <row r="903" spans="1:15" x14ac:dyDescent="0.2">
      <c r="A903">
        <v>17</v>
      </c>
      <c r="B903">
        <v>19980892</v>
      </c>
      <c r="C903">
        <v>19950500</v>
      </c>
      <c r="D903" t="s">
        <v>29</v>
      </c>
      <c r="E903" t="s">
        <v>440</v>
      </c>
      <c r="G903" t="s">
        <v>33</v>
      </c>
      <c r="H903" t="s">
        <v>441</v>
      </c>
      <c r="I903" t="s">
        <v>29</v>
      </c>
      <c r="J903">
        <v>19990554</v>
      </c>
      <c r="K903">
        <v>19990554</v>
      </c>
      <c r="L903" s="7" t="str">
        <f>HYPERLINK("https://test.ictv.global/id/TN19980892","TN19980892@TEST")</f>
        <v>TN19980892@TEST</v>
      </c>
      <c r="M903" s="7" t="str">
        <f>HYPERLINK("https://test.ictv.global/id/ICTV19950500","ICTV19950500@TEST")</f>
        <v>ICTV19950500@TEST</v>
      </c>
      <c r="N903" s="7" t="str">
        <f>HYPERLINK("https://ictv.global/id/TN19980892","TN19980892@prod")</f>
        <v>TN19980892@prod</v>
      </c>
      <c r="O903" s="7" t="str">
        <f>HYPERLINK("https://ictv.global/id/ICTV19950500","ICTV19950500@prod")</f>
        <v>ICTV19950500@prod</v>
      </c>
    </row>
    <row r="904" spans="1:15" x14ac:dyDescent="0.2">
      <c r="A904">
        <v>17</v>
      </c>
      <c r="B904">
        <v>19980893</v>
      </c>
      <c r="C904">
        <v>19950501</v>
      </c>
      <c r="D904" t="s">
        <v>29</v>
      </c>
      <c r="E904" t="s">
        <v>442</v>
      </c>
      <c r="G904" t="s">
        <v>31</v>
      </c>
      <c r="H904" t="s">
        <v>441</v>
      </c>
      <c r="I904" t="s">
        <v>29</v>
      </c>
      <c r="J904">
        <v>19990554</v>
      </c>
      <c r="K904">
        <v>19990554</v>
      </c>
      <c r="L904" s="7" t="str">
        <f>HYPERLINK("https://test.ictv.global/id/TN19980893","TN19980893@TEST")</f>
        <v>TN19980893@TEST</v>
      </c>
      <c r="M904" s="7" t="str">
        <f>HYPERLINK("https://test.ictv.global/id/ICTV19950501","ICTV19950501@TEST")</f>
        <v>ICTV19950501@TEST</v>
      </c>
      <c r="N904" s="7" t="str">
        <f>HYPERLINK("https://ictv.global/id/TN19980893","TN19980893@prod")</f>
        <v>TN19980893@prod</v>
      </c>
      <c r="O904" s="7" t="str">
        <f>HYPERLINK("https://ictv.global/id/ICTV19950501","ICTV19950501@prod")</f>
        <v>ICTV19950501@prod</v>
      </c>
    </row>
    <row r="905" spans="1:15" x14ac:dyDescent="0.2">
      <c r="A905">
        <v>17</v>
      </c>
      <c r="B905">
        <v>19980894</v>
      </c>
      <c r="C905">
        <v>19950502</v>
      </c>
      <c r="D905" t="s">
        <v>29</v>
      </c>
      <c r="E905" t="s">
        <v>443</v>
      </c>
      <c r="G905" t="s">
        <v>31</v>
      </c>
      <c r="H905" t="s">
        <v>441</v>
      </c>
      <c r="I905" t="s">
        <v>29</v>
      </c>
      <c r="J905">
        <v>19990554</v>
      </c>
      <c r="K905">
        <v>19990554</v>
      </c>
      <c r="L905" s="7" t="str">
        <f>HYPERLINK("https://test.ictv.global/id/TN19980894","TN19980894@TEST")</f>
        <v>TN19980894@TEST</v>
      </c>
      <c r="M905" s="7" t="str">
        <f>HYPERLINK("https://test.ictv.global/id/ICTV19950502","ICTV19950502@TEST")</f>
        <v>ICTV19950502@TEST</v>
      </c>
      <c r="N905" s="7" t="str">
        <f>HYPERLINK("https://ictv.global/id/TN19980894","TN19980894@prod")</f>
        <v>TN19980894@prod</v>
      </c>
      <c r="O905" s="7" t="str">
        <f>HYPERLINK("https://ictv.global/id/ICTV19950502","ICTV19950502@prod")</f>
        <v>ICTV19950502@prod</v>
      </c>
    </row>
    <row r="906" spans="1:15" x14ac:dyDescent="0.2">
      <c r="A906">
        <v>17</v>
      </c>
      <c r="B906">
        <v>19980895</v>
      </c>
      <c r="C906">
        <v>19950503</v>
      </c>
      <c r="D906" t="s">
        <v>29</v>
      </c>
      <c r="E906" t="s">
        <v>444</v>
      </c>
      <c r="G906" t="s">
        <v>31</v>
      </c>
      <c r="H906" t="s">
        <v>441</v>
      </c>
      <c r="I906" t="s">
        <v>29</v>
      </c>
      <c r="J906">
        <v>19990554</v>
      </c>
      <c r="K906">
        <v>19990554</v>
      </c>
      <c r="L906" s="7" t="str">
        <f>HYPERLINK("https://test.ictv.global/id/TN19980895","TN19980895@TEST")</f>
        <v>TN19980895@TEST</v>
      </c>
      <c r="M906" s="7" t="str">
        <f>HYPERLINK("https://test.ictv.global/id/ICTV19950503","ICTV19950503@TEST")</f>
        <v>ICTV19950503@TEST</v>
      </c>
      <c r="N906" s="7" t="str">
        <f>HYPERLINK("https://ictv.global/id/TN19980895","TN19980895@prod")</f>
        <v>TN19980895@prod</v>
      </c>
      <c r="O906" s="7" t="str">
        <f>HYPERLINK("https://ictv.global/id/ICTV19950503","ICTV19950503@prod")</f>
        <v>ICTV19950503@prod</v>
      </c>
    </row>
    <row r="907" spans="1:15" x14ac:dyDescent="0.2">
      <c r="A907">
        <v>17</v>
      </c>
      <c r="B907">
        <v>19980896</v>
      </c>
      <c r="C907">
        <v>19950504</v>
      </c>
      <c r="D907" t="s">
        <v>29</v>
      </c>
      <c r="E907" t="s">
        <v>445</v>
      </c>
      <c r="G907" t="s">
        <v>31</v>
      </c>
      <c r="H907" t="s">
        <v>441</v>
      </c>
      <c r="I907" t="s">
        <v>29</v>
      </c>
      <c r="J907">
        <v>19990554</v>
      </c>
      <c r="K907">
        <v>19990554</v>
      </c>
      <c r="L907" s="7" t="str">
        <f>HYPERLINK("https://test.ictv.global/id/TN19980896","TN19980896@TEST")</f>
        <v>TN19980896@TEST</v>
      </c>
      <c r="M907" s="7" t="str">
        <f>HYPERLINK("https://test.ictv.global/id/ICTV19950504","ICTV19950504@TEST")</f>
        <v>ICTV19950504@TEST</v>
      </c>
      <c r="N907" s="7" t="str">
        <f>HYPERLINK("https://ictv.global/id/TN19980896","TN19980896@prod")</f>
        <v>TN19980896@prod</v>
      </c>
      <c r="O907" s="7" t="str">
        <f>HYPERLINK("https://ictv.global/id/ICTV19950504","ICTV19950504@prod")</f>
        <v>ICTV19950504@prod</v>
      </c>
    </row>
    <row r="908" spans="1:15" x14ac:dyDescent="0.2">
      <c r="A908">
        <v>17</v>
      </c>
      <c r="B908">
        <v>19980902</v>
      </c>
      <c r="C908">
        <v>19990561</v>
      </c>
      <c r="D908" t="s">
        <v>29</v>
      </c>
      <c r="E908" t="s">
        <v>446</v>
      </c>
      <c r="G908" t="s">
        <v>33</v>
      </c>
      <c r="H908" t="s">
        <v>446</v>
      </c>
      <c r="I908" t="s">
        <v>29</v>
      </c>
      <c r="J908">
        <v>19990561</v>
      </c>
      <c r="K908">
        <v>19990561</v>
      </c>
      <c r="L908" s="7" t="str">
        <f>HYPERLINK("https://test.ictv.global/id/TN19980902","TN19980902@TEST")</f>
        <v>TN19980902@TEST</v>
      </c>
      <c r="M908" s="7" t="str">
        <f>HYPERLINK("https://test.ictv.global/id/ICTV19990561","ICTV19990561@TEST")</f>
        <v>ICTV19990561@TEST</v>
      </c>
      <c r="N908" s="7" t="str">
        <f>HYPERLINK("https://ictv.global/id/TN19980902","TN19980902@prod")</f>
        <v>TN19980902@prod</v>
      </c>
      <c r="O908" s="7" t="str">
        <f>HYPERLINK("https://ictv.global/id/ICTV19990561","ICTV19990561@prod")</f>
        <v>ICTV19990561@prod</v>
      </c>
    </row>
    <row r="909" spans="1:15" x14ac:dyDescent="0.2">
      <c r="A909">
        <v>17</v>
      </c>
      <c r="B909">
        <v>19980904</v>
      </c>
      <c r="C909">
        <v>19910420</v>
      </c>
      <c r="D909" t="s">
        <v>29</v>
      </c>
      <c r="E909" t="s">
        <v>447</v>
      </c>
      <c r="G909" t="s">
        <v>33</v>
      </c>
      <c r="H909" t="s">
        <v>446</v>
      </c>
      <c r="I909" t="s">
        <v>29</v>
      </c>
      <c r="J909">
        <v>19990561</v>
      </c>
      <c r="K909">
        <v>19990561</v>
      </c>
      <c r="L909" s="7" t="str">
        <f>HYPERLINK("https://test.ictv.global/id/TN19980904","TN19980904@TEST")</f>
        <v>TN19980904@TEST</v>
      </c>
      <c r="M909" s="7" t="str">
        <f>HYPERLINK("https://test.ictv.global/id/ICTV19910420","ICTV19910420@TEST")</f>
        <v>ICTV19910420@TEST</v>
      </c>
      <c r="N909" s="7" t="str">
        <f>HYPERLINK("https://ictv.global/id/TN19980904","TN19980904@prod")</f>
        <v>TN19980904@prod</v>
      </c>
      <c r="O909" s="7" t="str">
        <f>HYPERLINK("https://ictv.global/id/ICTV19910420","ICTV19910420@prod")</f>
        <v>ICTV19910420@prod</v>
      </c>
    </row>
    <row r="910" spans="1:15" x14ac:dyDescent="0.2">
      <c r="A910">
        <v>17</v>
      </c>
      <c r="B910">
        <v>19980908</v>
      </c>
      <c r="C910">
        <v>19990567</v>
      </c>
      <c r="D910" t="s">
        <v>29</v>
      </c>
      <c r="E910" t="s">
        <v>448</v>
      </c>
      <c r="G910" t="s">
        <v>33</v>
      </c>
      <c r="H910" t="s">
        <v>448</v>
      </c>
      <c r="I910" t="s">
        <v>29</v>
      </c>
      <c r="J910">
        <v>19990567</v>
      </c>
      <c r="K910">
        <v>19990567</v>
      </c>
      <c r="L910" s="7" t="str">
        <f>HYPERLINK("https://test.ictv.global/id/TN19980908","TN19980908@TEST")</f>
        <v>TN19980908@TEST</v>
      </c>
      <c r="M910" s="7" t="str">
        <f>HYPERLINK("https://test.ictv.global/id/ICTV19990567","ICTV19990567@TEST")</f>
        <v>ICTV19990567@TEST</v>
      </c>
      <c r="N910" s="7" t="str">
        <f>HYPERLINK("https://ictv.global/id/TN19980908","TN19980908@prod")</f>
        <v>TN19980908@prod</v>
      </c>
      <c r="O910" s="7" t="str">
        <f>HYPERLINK("https://ictv.global/id/ICTV19990567","ICTV19990567@prod")</f>
        <v>ICTV19990567@prod</v>
      </c>
    </row>
    <row r="911" spans="1:15" x14ac:dyDescent="0.2">
      <c r="A911">
        <v>17</v>
      </c>
      <c r="B911">
        <v>19980911</v>
      </c>
      <c r="C911">
        <v>19950516</v>
      </c>
      <c r="D911" t="s">
        <v>29</v>
      </c>
      <c r="E911" t="s">
        <v>449</v>
      </c>
      <c r="G911" t="s">
        <v>31</v>
      </c>
      <c r="H911" t="s">
        <v>448</v>
      </c>
      <c r="I911" t="s">
        <v>29</v>
      </c>
      <c r="J911">
        <v>19990567</v>
      </c>
      <c r="K911">
        <v>19990567</v>
      </c>
      <c r="L911" s="7" t="str">
        <f>HYPERLINK("https://test.ictv.global/id/TN19980911","TN19980911@TEST")</f>
        <v>TN19980911@TEST</v>
      </c>
      <c r="M911" s="7" t="str">
        <f>HYPERLINK("https://test.ictv.global/id/ICTV19950516","ICTV19950516@TEST")</f>
        <v>ICTV19950516@TEST</v>
      </c>
      <c r="N911" s="7" t="str">
        <f>HYPERLINK("https://ictv.global/id/TN19980911","TN19980911@prod")</f>
        <v>TN19980911@prod</v>
      </c>
      <c r="O911" s="7" t="str">
        <f>HYPERLINK("https://ictv.global/id/ICTV19950516","ICTV19950516@prod")</f>
        <v>ICTV19950516@prod</v>
      </c>
    </row>
    <row r="912" spans="1:15" x14ac:dyDescent="0.2">
      <c r="A912">
        <v>17</v>
      </c>
      <c r="B912">
        <v>19980916</v>
      </c>
      <c r="C912">
        <v>19950521</v>
      </c>
      <c r="D912" t="s">
        <v>29</v>
      </c>
      <c r="E912" t="s">
        <v>1686</v>
      </c>
      <c r="G912" t="s">
        <v>1165</v>
      </c>
      <c r="L912" s="7" t="str">
        <f>HYPERLINK("https://test.ictv.global/id/TN19980916","TN19980916@TEST")</f>
        <v>TN19980916@TEST</v>
      </c>
      <c r="M912" s="7" t="str">
        <f>HYPERLINK("https://test.ictv.global/id/ICTV19950521","ICTV19950521@TEST")</f>
        <v>ICTV19950521@TEST</v>
      </c>
      <c r="N912" s="7" t="str">
        <f>HYPERLINK("https://ictv.global/id/TN19980916","TN19980916@prod")</f>
        <v>TN19980916@prod</v>
      </c>
      <c r="O912" s="7" t="str">
        <f>HYPERLINK("https://ictv.global/id/ICTV19950521","ICTV19950521@prod")</f>
        <v>ICTV19950521@prod</v>
      </c>
    </row>
    <row r="913" spans="1:15" x14ac:dyDescent="0.2">
      <c r="A913">
        <v>17</v>
      </c>
      <c r="B913">
        <v>19980917</v>
      </c>
      <c r="C913">
        <v>19950522</v>
      </c>
      <c r="D913" t="s">
        <v>29</v>
      </c>
      <c r="E913" t="s">
        <v>450</v>
      </c>
      <c r="G913" t="s">
        <v>31</v>
      </c>
      <c r="H913" t="s">
        <v>448</v>
      </c>
      <c r="I913" t="s">
        <v>29</v>
      </c>
      <c r="J913">
        <v>19990567</v>
      </c>
      <c r="K913">
        <v>19990567</v>
      </c>
      <c r="L913" s="7" t="str">
        <f>HYPERLINK("https://test.ictv.global/id/TN19980917","TN19980917@TEST")</f>
        <v>TN19980917@TEST</v>
      </c>
      <c r="M913" s="7" t="str">
        <f>HYPERLINK("https://test.ictv.global/id/ICTV19950522","ICTV19950522@TEST")</f>
        <v>ICTV19950522@TEST</v>
      </c>
      <c r="N913" s="7" t="str">
        <f>HYPERLINK("https://ictv.global/id/TN19980917","TN19980917@prod")</f>
        <v>TN19980917@prod</v>
      </c>
      <c r="O913" s="7" t="str">
        <f>HYPERLINK("https://ictv.global/id/ICTV19950522","ICTV19950522@prod")</f>
        <v>ICTV19950522@prod</v>
      </c>
    </row>
    <row r="914" spans="1:15" x14ac:dyDescent="0.2">
      <c r="A914">
        <v>17</v>
      </c>
      <c r="B914">
        <v>19980920</v>
      </c>
      <c r="C914">
        <v>19950525</v>
      </c>
      <c r="D914" t="s">
        <v>29</v>
      </c>
      <c r="E914" t="s">
        <v>451</v>
      </c>
      <c r="G914" t="s">
        <v>31</v>
      </c>
      <c r="H914" t="s">
        <v>448</v>
      </c>
      <c r="I914" t="s">
        <v>29</v>
      </c>
      <c r="J914">
        <v>19990567</v>
      </c>
      <c r="K914">
        <v>19990567</v>
      </c>
      <c r="L914" s="7" t="str">
        <f>HYPERLINK("https://test.ictv.global/id/TN19980920","TN19980920@TEST")</f>
        <v>TN19980920@TEST</v>
      </c>
      <c r="M914" s="7" t="str">
        <f>HYPERLINK("https://test.ictv.global/id/ICTV19950525","ICTV19950525@TEST")</f>
        <v>ICTV19950525@TEST</v>
      </c>
      <c r="N914" s="7" t="str">
        <f>HYPERLINK("https://ictv.global/id/TN19980920","TN19980920@prod")</f>
        <v>TN19980920@prod</v>
      </c>
      <c r="O914" s="7" t="str">
        <f>HYPERLINK("https://ictv.global/id/ICTV19950525","ICTV19950525@prod")</f>
        <v>ICTV19950525@prod</v>
      </c>
    </row>
    <row r="915" spans="1:15" x14ac:dyDescent="0.2">
      <c r="A915">
        <v>17</v>
      </c>
      <c r="B915">
        <v>19980953</v>
      </c>
      <c r="C915">
        <v>19910437</v>
      </c>
      <c r="D915" t="s">
        <v>29</v>
      </c>
      <c r="E915" t="s">
        <v>452</v>
      </c>
      <c r="G915" t="s">
        <v>33</v>
      </c>
      <c r="H915" t="s">
        <v>453</v>
      </c>
      <c r="I915" t="s">
        <v>29</v>
      </c>
      <c r="J915">
        <v>19990639</v>
      </c>
      <c r="K915">
        <v>19990639</v>
      </c>
      <c r="L915" s="7" t="str">
        <f>HYPERLINK("https://test.ictv.global/id/TN19980953","TN19980953@TEST")</f>
        <v>TN19980953@TEST</v>
      </c>
      <c r="M915" s="7" t="str">
        <f>HYPERLINK("https://test.ictv.global/id/ICTV19910437","ICTV19910437@TEST")</f>
        <v>ICTV19910437@TEST</v>
      </c>
      <c r="N915" s="7" t="str">
        <f>HYPERLINK("https://ictv.global/id/TN19980953","TN19980953@prod")</f>
        <v>TN19980953@prod</v>
      </c>
      <c r="O915" s="7" t="str">
        <f>HYPERLINK("https://ictv.global/id/ICTV19910437","ICTV19910437@prod")</f>
        <v>ICTV19910437@prod</v>
      </c>
    </row>
    <row r="916" spans="1:15" x14ac:dyDescent="0.2">
      <c r="A916">
        <v>17</v>
      </c>
      <c r="B916">
        <v>19980954</v>
      </c>
      <c r="C916">
        <v>19910438</v>
      </c>
      <c r="D916" t="s">
        <v>29</v>
      </c>
      <c r="E916" t="s">
        <v>454</v>
      </c>
      <c r="G916" t="s">
        <v>33</v>
      </c>
      <c r="H916" t="s">
        <v>455</v>
      </c>
      <c r="I916" t="s">
        <v>29</v>
      </c>
      <c r="J916">
        <v>19990613</v>
      </c>
      <c r="K916">
        <v>19990613</v>
      </c>
      <c r="L916" s="7" t="str">
        <f>HYPERLINK("https://test.ictv.global/id/TN19980954","TN19980954@TEST")</f>
        <v>TN19980954@TEST</v>
      </c>
      <c r="M916" s="7" t="str">
        <f>HYPERLINK("https://test.ictv.global/id/ICTV19910438","ICTV19910438@TEST")</f>
        <v>ICTV19910438@TEST</v>
      </c>
      <c r="N916" s="7" t="str">
        <f>HYPERLINK("https://ictv.global/id/TN19980954","TN19980954@prod")</f>
        <v>TN19980954@prod</v>
      </c>
      <c r="O916" s="7" t="str">
        <f>HYPERLINK("https://ictv.global/id/ICTV19910438","ICTV19910438@prod")</f>
        <v>ICTV19910438@prod</v>
      </c>
    </row>
    <row r="917" spans="1:15" x14ac:dyDescent="0.2">
      <c r="A917">
        <v>17</v>
      </c>
      <c r="B917">
        <v>19980955</v>
      </c>
      <c r="C917">
        <v>19910439</v>
      </c>
      <c r="D917" t="s">
        <v>29</v>
      </c>
      <c r="E917" t="s">
        <v>456</v>
      </c>
      <c r="G917" t="s">
        <v>33</v>
      </c>
      <c r="H917" t="s">
        <v>457</v>
      </c>
      <c r="I917" t="s">
        <v>29</v>
      </c>
      <c r="J917">
        <v>19990630</v>
      </c>
      <c r="K917">
        <v>19990630</v>
      </c>
      <c r="L917" s="7" t="str">
        <f>HYPERLINK("https://test.ictv.global/id/TN19980955","TN19980955@TEST")</f>
        <v>TN19980955@TEST</v>
      </c>
      <c r="M917" s="7" t="str">
        <f>HYPERLINK("https://test.ictv.global/id/ICTV19910439","ICTV19910439@TEST")</f>
        <v>ICTV19910439@TEST</v>
      </c>
      <c r="N917" s="7" t="str">
        <f>HYPERLINK("https://ictv.global/id/TN19980955","TN19980955@prod")</f>
        <v>TN19980955@prod</v>
      </c>
      <c r="O917" s="7" t="str">
        <f>HYPERLINK("https://ictv.global/id/ICTV19910439","ICTV19910439@prod")</f>
        <v>ICTV19910439@prod</v>
      </c>
    </row>
    <row r="918" spans="1:15" x14ac:dyDescent="0.2">
      <c r="A918">
        <v>17</v>
      </c>
      <c r="B918">
        <v>19980956</v>
      </c>
      <c r="C918">
        <v>19910440</v>
      </c>
      <c r="D918" t="s">
        <v>29</v>
      </c>
      <c r="E918" t="s">
        <v>458</v>
      </c>
      <c r="G918" t="s">
        <v>33</v>
      </c>
      <c r="H918" t="s">
        <v>455</v>
      </c>
      <c r="I918" t="s">
        <v>29</v>
      </c>
      <c r="J918">
        <v>19990613</v>
      </c>
      <c r="K918">
        <v>19990613</v>
      </c>
      <c r="L918" s="7" t="str">
        <f>HYPERLINK("https://test.ictv.global/id/TN19980956","TN19980956@TEST")</f>
        <v>TN19980956@TEST</v>
      </c>
      <c r="M918" s="7" t="str">
        <f>HYPERLINK("https://test.ictv.global/id/ICTV19910440","ICTV19910440@TEST")</f>
        <v>ICTV19910440@TEST</v>
      </c>
      <c r="N918" s="7" t="str">
        <f>HYPERLINK("https://ictv.global/id/TN19980956","TN19980956@prod")</f>
        <v>TN19980956@prod</v>
      </c>
      <c r="O918" s="7" t="str">
        <f>HYPERLINK("https://ictv.global/id/ICTV19910440","ICTV19910440@prod")</f>
        <v>ICTV19910440@prod</v>
      </c>
    </row>
    <row r="919" spans="1:15" x14ac:dyDescent="0.2">
      <c r="A919">
        <v>17</v>
      </c>
      <c r="B919">
        <v>19980957</v>
      </c>
      <c r="C919">
        <v>19910441</v>
      </c>
      <c r="D919" t="s">
        <v>29</v>
      </c>
      <c r="E919" t="s">
        <v>459</v>
      </c>
      <c r="G919" t="s">
        <v>33</v>
      </c>
      <c r="H919" t="s">
        <v>460</v>
      </c>
      <c r="I919" t="s">
        <v>29</v>
      </c>
      <c r="J919">
        <v>19990646</v>
      </c>
      <c r="K919">
        <v>19990646</v>
      </c>
      <c r="L919" s="7" t="str">
        <f>HYPERLINK("https://test.ictv.global/id/TN19980957","TN19980957@TEST")</f>
        <v>TN19980957@TEST</v>
      </c>
      <c r="M919" s="7" t="str">
        <f>HYPERLINK("https://test.ictv.global/id/ICTV19910441","ICTV19910441@TEST")</f>
        <v>ICTV19910441@TEST</v>
      </c>
      <c r="N919" s="7" t="str">
        <f>HYPERLINK("https://ictv.global/id/TN19980957","TN19980957@prod")</f>
        <v>TN19980957@prod</v>
      </c>
      <c r="O919" s="7" t="str">
        <f>HYPERLINK("https://ictv.global/id/ICTV19910441","ICTV19910441@prod")</f>
        <v>ICTV19910441@prod</v>
      </c>
    </row>
    <row r="920" spans="1:15" x14ac:dyDescent="0.2">
      <c r="A920">
        <v>17</v>
      </c>
      <c r="B920">
        <v>19980958</v>
      </c>
      <c r="C920">
        <v>19990611</v>
      </c>
      <c r="D920" t="s">
        <v>29</v>
      </c>
      <c r="E920" t="s">
        <v>461</v>
      </c>
      <c r="G920" t="s">
        <v>33</v>
      </c>
      <c r="H920" t="s">
        <v>461</v>
      </c>
      <c r="I920" t="s">
        <v>29</v>
      </c>
      <c r="J920">
        <v>19990611</v>
      </c>
      <c r="K920">
        <v>19990611</v>
      </c>
      <c r="L920" s="7" t="str">
        <f>HYPERLINK("https://test.ictv.global/id/TN19980958","TN19980958@TEST")</f>
        <v>TN19980958@TEST</v>
      </c>
      <c r="M920" s="7" t="str">
        <f>HYPERLINK("https://test.ictv.global/id/ICTV19990611","ICTV19990611@TEST")</f>
        <v>ICTV19990611@TEST</v>
      </c>
      <c r="N920" s="7" t="str">
        <f>HYPERLINK("https://ictv.global/id/TN19980958","TN19980958@prod")</f>
        <v>TN19980958@prod</v>
      </c>
      <c r="O920" s="7" t="str">
        <f>HYPERLINK("https://ictv.global/id/ICTV19990611","ICTV19990611@prod")</f>
        <v>ICTV19990611@prod</v>
      </c>
    </row>
    <row r="921" spans="1:15" x14ac:dyDescent="0.2">
      <c r="A921">
        <v>17</v>
      </c>
      <c r="B921">
        <v>19980959</v>
      </c>
      <c r="C921">
        <v>19910443</v>
      </c>
      <c r="D921" t="s">
        <v>29</v>
      </c>
      <c r="E921" t="s">
        <v>462</v>
      </c>
      <c r="G921" t="s">
        <v>31</v>
      </c>
      <c r="H921" t="s">
        <v>463</v>
      </c>
      <c r="I921" t="s">
        <v>29</v>
      </c>
      <c r="J921">
        <v>19990622</v>
      </c>
      <c r="K921">
        <v>19990622</v>
      </c>
      <c r="L921" s="7" t="str">
        <f>HYPERLINK("https://test.ictv.global/id/TN19980959","TN19980959@TEST")</f>
        <v>TN19980959@TEST</v>
      </c>
      <c r="M921" s="7" t="str">
        <f>HYPERLINK("https://test.ictv.global/id/ICTV19910443","ICTV19910443@TEST")</f>
        <v>ICTV19910443@TEST</v>
      </c>
      <c r="N921" s="7" t="str">
        <f>HYPERLINK("https://ictv.global/id/TN19980959","TN19980959@prod")</f>
        <v>TN19980959@prod</v>
      </c>
      <c r="O921" s="7" t="str">
        <f>HYPERLINK("https://ictv.global/id/ICTV19910443","ICTV19910443@prod")</f>
        <v>ICTV19910443@prod</v>
      </c>
    </row>
    <row r="922" spans="1:15" x14ac:dyDescent="0.2">
      <c r="A922">
        <v>17</v>
      </c>
      <c r="B922">
        <v>19980960</v>
      </c>
      <c r="C922">
        <v>19910444</v>
      </c>
      <c r="D922" t="s">
        <v>29</v>
      </c>
      <c r="E922" t="s">
        <v>464</v>
      </c>
      <c r="G922" t="s">
        <v>33</v>
      </c>
      <c r="H922" t="s">
        <v>465</v>
      </c>
      <c r="I922" t="s">
        <v>29</v>
      </c>
      <c r="J922">
        <v>19990625</v>
      </c>
      <c r="K922">
        <v>19990625</v>
      </c>
      <c r="L922" s="7" t="str">
        <f>HYPERLINK("https://test.ictv.global/id/TN19980960","TN19980960@TEST")</f>
        <v>TN19980960@TEST</v>
      </c>
      <c r="M922" s="7" t="str">
        <f>HYPERLINK("https://test.ictv.global/id/ICTV19910444","ICTV19910444@TEST")</f>
        <v>ICTV19910444@TEST</v>
      </c>
      <c r="N922" s="7" t="str">
        <f>HYPERLINK("https://ictv.global/id/TN19980960","TN19980960@prod")</f>
        <v>TN19980960@prod</v>
      </c>
      <c r="O922" s="7" t="str">
        <f>HYPERLINK("https://ictv.global/id/ICTV19910444","ICTV19910444@prod")</f>
        <v>ICTV19910444@prod</v>
      </c>
    </row>
    <row r="923" spans="1:15" x14ac:dyDescent="0.2">
      <c r="A923">
        <v>17</v>
      </c>
      <c r="B923">
        <v>19980961</v>
      </c>
      <c r="C923">
        <v>19760139</v>
      </c>
      <c r="D923" t="s">
        <v>29</v>
      </c>
      <c r="E923" t="s">
        <v>466</v>
      </c>
      <c r="G923" t="s">
        <v>33</v>
      </c>
      <c r="H923" t="s">
        <v>467</v>
      </c>
      <c r="I923" t="s">
        <v>29</v>
      </c>
      <c r="J923">
        <v>19990649</v>
      </c>
      <c r="K923">
        <v>19990649</v>
      </c>
      <c r="L923" s="7" t="str">
        <f>HYPERLINK("https://test.ictv.global/id/TN19980961","TN19980961@TEST")</f>
        <v>TN19980961@TEST</v>
      </c>
      <c r="M923" s="7" t="str">
        <f>HYPERLINK("https://test.ictv.global/id/ICTV19760139","ICTV19760139@TEST")</f>
        <v>ICTV19760139@TEST</v>
      </c>
      <c r="N923" s="7" t="str">
        <f>HYPERLINK("https://ictv.global/id/TN19980961","TN19980961@prod")</f>
        <v>TN19980961@prod</v>
      </c>
      <c r="O923" s="7" t="str">
        <f>HYPERLINK("https://ictv.global/id/ICTV19760139","ICTV19760139@prod")</f>
        <v>ICTV19760139@prod</v>
      </c>
    </row>
    <row r="924" spans="1:15" x14ac:dyDescent="0.2">
      <c r="A924">
        <v>17</v>
      </c>
      <c r="B924">
        <v>19980962</v>
      </c>
      <c r="C924">
        <v>19990612</v>
      </c>
      <c r="D924" t="s">
        <v>29</v>
      </c>
      <c r="E924" t="s">
        <v>468</v>
      </c>
      <c r="G924" t="s">
        <v>33</v>
      </c>
      <c r="H924" t="s">
        <v>468</v>
      </c>
      <c r="I924" t="s">
        <v>29</v>
      </c>
      <c r="J924">
        <v>19990612</v>
      </c>
      <c r="K924">
        <v>19990612</v>
      </c>
      <c r="L924" s="7" t="str">
        <f>HYPERLINK("https://test.ictv.global/id/TN19980962","TN19980962@TEST")</f>
        <v>TN19980962@TEST</v>
      </c>
      <c r="M924" s="7" t="str">
        <f>HYPERLINK("https://test.ictv.global/id/ICTV19990612","ICTV19990612@TEST")</f>
        <v>ICTV19990612@TEST</v>
      </c>
      <c r="N924" s="7" t="str">
        <f>HYPERLINK("https://ictv.global/id/TN19980962","TN19980962@prod")</f>
        <v>TN19980962@prod</v>
      </c>
      <c r="O924" s="7" t="str">
        <f>HYPERLINK("https://ictv.global/id/ICTV19990612","ICTV19990612@prod")</f>
        <v>ICTV19990612@prod</v>
      </c>
    </row>
    <row r="925" spans="1:15" x14ac:dyDescent="0.2">
      <c r="A925">
        <v>17</v>
      </c>
      <c r="B925">
        <v>19980963</v>
      </c>
      <c r="C925">
        <v>19990613</v>
      </c>
      <c r="D925" t="s">
        <v>29</v>
      </c>
      <c r="E925" t="s">
        <v>455</v>
      </c>
      <c r="G925" t="s">
        <v>33</v>
      </c>
      <c r="H925" t="s">
        <v>455</v>
      </c>
      <c r="I925" t="s">
        <v>29</v>
      </c>
      <c r="J925">
        <v>19990613</v>
      </c>
      <c r="K925">
        <v>19990613</v>
      </c>
      <c r="L925" s="7" t="str">
        <f>HYPERLINK("https://test.ictv.global/id/TN19980963","TN19980963@TEST")</f>
        <v>TN19980963@TEST</v>
      </c>
      <c r="M925" s="7" t="str">
        <f>HYPERLINK("https://test.ictv.global/id/ICTV19990613","ICTV19990613@TEST")</f>
        <v>ICTV19990613@TEST</v>
      </c>
      <c r="N925" s="7" t="str">
        <f>HYPERLINK("https://ictv.global/id/TN19980963","TN19980963@prod")</f>
        <v>TN19980963@prod</v>
      </c>
      <c r="O925" s="7" t="str">
        <f>HYPERLINK("https://ictv.global/id/ICTV19990613","ICTV19990613@prod")</f>
        <v>ICTV19990613@prod</v>
      </c>
    </row>
    <row r="926" spans="1:15" x14ac:dyDescent="0.2">
      <c r="A926">
        <v>17</v>
      </c>
      <c r="B926">
        <v>19980964</v>
      </c>
      <c r="C926">
        <v>19820261</v>
      </c>
      <c r="D926" t="s">
        <v>29</v>
      </c>
      <c r="E926" t="s">
        <v>469</v>
      </c>
      <c r="G926" t="s">
        <v>33</v>
      </c>
      <c r="H926" t="s">
        <v>470</v>
      </c>
      <c r="I926" t="s">
        <v>29</v>
      </c>
      <c r="J926">
        <v>19990632</v>
      </c>
      <c r="K926">
        <v>19990632</v>
      </c>
      <c r="L926" s="7" t="str">
        <f>HYPERLINK("https://test.ictv.global/id/TN19980964","TN19980964@TEST")</f>
        <v>TN19980964@TEST</v>
      </c>
      <c r="M926" s="7" t="str">
        <f>HYPERLINK("https://test.ictv.global/id/ICTV19820261","ICTV19820261@TEST")</f>
        <v>ICTV19820261@TEST</v>
      </c>
      <c r="N926" s="7" t="str">
        <f>HYPERLINK("https://ictv.global/id/TN19980964","TN19980964@prod")</f>
        <v>TN19980964@prod</v>
      </c>
      <c r="O926" s="7" t="str">
        <f>HYPERLINK("https://ictv.global/id/ICTV19820261","ICTV19820261@prod")</f>
        <v>ICTV19820261@prod</v>
      </c>
    </row>
    <row r="927" spans="1:15" x14ac:dyDescent="0.2">
      <c r="A927">
        <v>17</v>
      </c>
      <c r="B927">
        <v>19980965</v>
      </c>
      <c r="C927">
        <v>19760141</v>
      </c>
      <c r="D927" t="s">
        <v>29</v>
      </c>
      <c r="E927" t="s">
        <v>471</v>
      </c>
      <c r="G927" t="s">
        <v>33</v>
      </c>
      <c r="H927" t="s">
        <v>472</v>
      </c>
      <c r="I927" t="s">
        <v>29</v>
      </c>
      <c r="J927">
        <v>19990656</v>
      </c>
      <c r="K927">
        <v>19990656</v>
      </c>
      <c r="L927" s="7" t="str">
        <f>HYPERLINK("https://test.ictv.global/id/TN19980965","TN19980965@TEST")</f>
        <v>TN19980965@TEST</v>
      </c>
      <c r="M927" s="7" t="str">
        <f>HYPERLINK("https://test.ictv.global/id/ICTV19760141","ICTV19760141@TEST")</f>
        <v>ICTV19760141@TEST</v>
      </c>
      <c r="N927" s="7" t="str">
        <f>HYPERLINK("https://ictv.global/id/TN19980965","TN19980965@prod")</f>
        <v>TN19980965@prod</v>
      </c>
      <c r="O927" s="7" t="str">
        <f>HYPERLINK("https://ictv.global/id/ICTV19760141","ICTV19760141@prod")</f>
        <v>ICTV19760141@prod</v>
      </c>
    </row>
    <row r="928" spans="1:15" x14ac:dyDescent="0.2">
      <c r="A928">
        <v>17</v>
      </c>
      <c r="B928">
        <v>19980966</v>
      </c>
      <c r="C928">
        <v>19990614</v>
      </c>
      <c r="D928" t="s">
        <v>29</v>
      </c>
      <c r="E928" t="s">
        <v>473</v>
      </c>
      <c r="G928" t="s">
        <v>33</v>
      </c>
      <c r="H928" t="s">
        <v>473</v>
      </c>
      <c r="I928" t="s">
        <v>29</v>
      </c>
      <c r="J928">
        <v>19990614</v>
      </c>
      <c r="K928">
        <v>19990614</v>
      </c>
      <c r="L928" s="7" t="str">
        <f>HYPERLINK("https://test.ictv.global/id/TN19980966","TN19980966@TEST")</f>
        <v>TN19980966@TEST</v>
      </c>
      <c r="M928" s="7" t="str">
        <f>HYPERLINK("https://test.ictv.global/id/ICTV19990614","ICTV19990614@TEST")</f>
        <v>ICTV19990614@TEST</v>
      </c>
      <c r="N928" s="7" t="str">
        <f>HYPERLINK("https://ictv.global/id/TN19980966","TN19980966@prod")</f>
        <v>TN19980966@prod</v>
      </c>
      <c r="O928" s="7" t="str">
        <f>HYPERLINK("https://ictv.global/id/ICTV19990614","ICTV19990614@prod")</f>
        <v>ICTV19990614@prod</v>
      </c>
    </row>
    <row r="929" spans="1:15" x14ac:dyDescent="0.2">
      <c r="A929">
        <v>17</v>
      </c>
      <c r="B929">
        <v>19980967</v>
      </c>
      <c r="C929">
        <v>19990615</v>
      </c>
      <c r="D929" t="s">
        <v>29</v>
      </c>
      <c r="E929" t="s">
        <v>474</v>
      </c>
      <c r="G929" t="s">
        <v>33</v>
      </c>
      <c r="H929" t="s">
        <v>474</v>
      </c>
      <c r="I929" t="s">
        <v>29</v>
      </c>
      <c r="J929">
        <v>19990615</v>
      </c>
      <c r="K929">
        <v>19990615</v>
      </c>
      <c r="L929" s="7" t="str">
        <f>HYPERLINK("https://test.ictv.global/id/TN19980967","TN19980967@TEST")</f>
        <v>TN19980967@TEST</v>
      </c>
      <c r="M929" s="7" t="str">
        <f>HYPERLINK("https://test.ictv.global/id/ICTV19990615","ICTV19990615@TEST")</f>
        <v>ICTV19990615@TEST</v>
      </c>
      <c r="N929" s="7" t="str">
        <f>HYPERLINK("https://ictv.global/id/TN19980967","TN19980967@prod")</f>
        <v>TN19980967@prod</v>
      </c>
      <c r="O929" s="7" t="str">
        <f>HYPERLINK("https://ictv.global/id/ICTV19990615","ICTV19990615@prod")</f>
        <v>ICTV19990615@prod</v>
      </c>
    </row>
    <row r="930" spans="1:15" x14ac:dyDescent="0.2">
      <c r="A930">
        <v>17</v>
      </c>
      <c r="B930">
        <v>19980968</v>
      </c>
      <c r="C930">
        <v>19760142</v>
      </c>
      <c r="D930" t="s">
        <v>29</v>
      </c>
      <c r="E930" t="s">
        <v>475</v>
      </c>
      <c r="G930" t="s">
        <v>33</v>
      </c>
      <c r="H930" t="s">
        <v>476</v>
      </c>
      <c r="I930" t="s">
        <v>29</v>
      </c>
      <c r="J930">
        <v>19990627</v>
      </c>
      <c r="K930">
        <v>19990627</v>
      </c>
      <c r="L930" s="7" t="str">
        <f>HYPERLINK("https://test.ictv.global/id/TN19980968","TN19980968@TEST")</f>
        <v>TN19980968@TEST</v>
      </c>
      <c r="M930" s="7" t="str">
        <f>HYPERLINK("https://test.ictv.global/id/ICTV19760142","ICTV19760142@TEST")</f>
        <v>ICTV19760142@TEST</v>
      </c>
      <c r="N930" s="7" t="str">
        <f>HYPERLINK("https://ictv.global/id/TN19980968","TN19980968@prod")</f>
        <v>TN19980968@prod</v>
      </c>
      <c r="O930" s="7" t="str">
        <f>HYPERLINK("https://ictv.global/id/ICTV19760142","ICTV19760142@prod")</f>
        <v>ICTV19760142@prod</v>
      </c>
    </row>
    <row r="931" spans="1:15" x14ac:dyDescent="0.2">
      <c r="A931">
        <v>17</v>
      </c>
      <c r="B931">
        <v>19980969</v>
      </c>
      <c r="C931">
        <v>19910453</v>
      </c>
      <c r="D931" t="s">
        <v>29</v>
      </c>
      <c r="E931" t="s">
        <v>477</v>
      </c>
      <c r="G931" t="s">
        <v>33</v>
      </c>
      <c r="H931" t="s">
        <v>460</v>
      </c>
      <c r="I931" t="s">
        <v>29</v>
      </c>
      <c r="J931">
        <v>19990646</v>
      </c>
      <c r="K931">
        <v>19990646</v>
      </c>
      <c r="L931" s="7" t="str">
        <f>HYPERLINK("https://test.ictv.global/id/TN19980969","TN19980969@TEST")</f>
        <v>TN19980969@TEST</v>
      </c>
      <c r="M931" s="7" t="str">
        <f>HYPERLINK("https://test.ictv.global/id/ICTV19910453","ICTV19910453@TEST")</f>
        <v>ICTV19910453@TEST</v>
      </c>
      <c r="N931" s="7" t="str">
        <f>HYPERLINK("https://ictv.global/id/TN19980969","TN19980969@prod")</f>
        <v>TN19980969@prod</v>
      </c>
      <c r="O931" s="7" t="str">
        <f>HYPERLINK("https://ictv.global/id/ICTV19910453","ICTV19910453@prod")</f>
        <v>ICTV19910453@prod</v>
      </c>
    </row>
    <row r="932" spans="1:15" x14ac:dyDescent="0.2">
      <c r="A932">
        <v>17</v>
      </c>
      <c r="B932">
        <v>19980970</v>
      </c>
      <c r="C932">
        <v>19760143</v>
      </c>
      <c r="D932" t="s">
        <v>29</v>
      </c>
      <c r="E932" t="s">
        <v>478</v>
      </c>
      <c r="G932" t="s">
        <v>33</v>
      </c>
      <c r="H932" t="s">
        <v>479</v>
      </c>
      <c r="I932" t="s">
        <v>29</v>
      </c>
      <c r="J932">
        <v>19990652</v>
      </c>
      <c r="K932">
        <v>19990652</v>
      </c>
      <c r="L932" s="7" t="str">
        <f>HYPERLINK("https://test.ictv.global/id/TN19980970","TN19980970@TEST")</f>
        <v>TN19980970@TEST</v>
      </c>
      <c r="M932" s="7" t="str">
        <f>HYPERLINK("https://test.ictv.global/id/ICTV19760143","ICTV19760143@TEST")</f>
        <v>ICTV19760143@TEST</v>
      </c>
      <c r="N932" s="7" t="str">
        <f>HYPERLINK("https://ictv.global/id/TN19980970","TN19980970@prod")</f>
        <v>TN19980970@prod</v>
      </c>
      <c r="O932" s="7" t="str">
        <f>HYPERLINK("https://ictv.global/id/ICTV19760143","ICTV19760143@prod")</f>
        <v>ICTV19760143@prod</v>
      </c>
    </row>
    <row r="933" spans="1:15" x14ac:dyDescent="0.2">
      <c r="A933">
        <v>17</v>
      </c>
      <c r="B933">
        <v>19980971</v>
      </c>
      <c r="C933">
        <v>19990616</v>
      </c>
      <c r="D933" t="s">
        <v>29</v>
      </c>
      <c r="E933" t="s">
        <v>480</v>
      </c>
      <c r="G933" t="s">
        <v>33</v>
      </c>
      <c r="H933" t="s">
        <v>480</v>
      </c>
      <c r="I933" t="s">
        <v>29</v>
      </c>
      <c r="J933">
        <v>19990616</v>
      </c>
      <c r="K933">
        <v>19990616</v>
      </c>
      <c r="L933" s="7" t="str">
        <f>HYPERLINK("https://test.ictv.global/id/TN19980971","TN19980971@TEST")</f>
        <v>TN19980971@TEST</v>
      </c>
      <c r="M933" s="7" t="str">
        <f>HYPERLINK("https://test.ictv.global/id/ICTV19990616","ICTV19990616@TEST")</f>
        <v>ICTV19990616@TEST</v>
      </c>
      <c r="N933" s="7" t="str">
        <f>HYPERLINK("https://ictv.global/id/TN19980971","TN19980971@prod")</f>
        <v>TN19980971@prod</v>
      </c>
      <c r="O933" s="7" t="str">
        <f>HYPERLINK("https://ictv.global/id/ICTV19990616","ICTV19990616@prod")</f>
        <v>ICTV19990616@prod</v>
      </c>
    </row>
    <row r="934" spans="1:15" x14ac:dyDescent="0.2">
      <c r="A934">
        <v>17</v>
      </c>
      <c r="B934">
        <v>19980972</v>
      </c>
      <c r="C934">
        <v>19760144</v>
      </c>
      <c r="D934" t="s">
        <v>29</v>
      </c>
      <c r="E934" t="s">
        <v>481</v>
      </c>
      <c r="G934" t="s">
        <v>31</v>
      </c>
      <c r="H934" t="s">
        <v>463</v>
      </c>
      <c r="I934" t="s">
        <v>29</v>
      </c>
      <c r="J934">
        <v>19990622</v>
      </c>
      <c r="K934">
        <v>19990622</v>
      </c>
      <c r="L934" s="7" t="str">
        <f>HYPERLINK("https://test.ictv.global/id/TN19980972","TN19980972@TEST")</f>
        <v>TN19980972@TEST</v>
      </c>
      <c r="M934" s="7" t="str">
        <f>HYPERLINK("https://test.ictv.global/id/ICTV19760144","ICTV19760144@TEST")</f>
        <v>ICTV19760144@TEST</v>
      </c>
      <c r="N934" s="7" t="str">
        <f>HYPERLINK("https://ictv.global/id/TN19980972","TN19980972@prod")</f>
        <v>TN19980972@prod</v>
      </c>
      <c r="O934" s="7" t="str">
        <f>HYPERLINK("https://ictv.global/id/ICTV19760144","ICTV19760144@prod")</f>
        <v>ICTV19760144@prod</v>
      </c>
    </row>
    <row r="935" spans="1:15" x14ac:dyDescent="0.2">
      <c r="A935">
        <v>17</v>
      </c>
      <c r="B935">
        <v>19980974</v>
      </c>
      <c r="C935">
        <v>19910458</v>
      </c>
      <c r="D935" t="s">
        <v>29</v>
      </c>
      <c r="E935" t="s">
        <v>482</v>
      </c>
      <c r="G935" t="s">
        <v>33</v>
      </c>
      <c r="H935" t="s">
        <v>472</v>
      </c>
      <c r="I935" t="s">
        <v>29</v>
      </c>
      <c r="J935">
        <v>19990656</v>
      </c>
      <c r="K935">
        <v>19990656</v>
      </c>
      <c r="L935" s="7" t="str">
        <f>HYPERLINK("https://test.ictv.global/id/TN19980974","TN19980974@TEST")</f>
        <v>TN19980974@TEST</v>
      </c>
      <c r="M935" s="7" t="str">
        <f>HYPERLINK("https://test.ictv.global/id/ICTV19910458","ICTV19910458@TEST")</f>
        <v>ICTV19910458@TEST</v>
      </c>
      <c r="N935" s="7" t="str">
        <f>HYPERLINK("https://ictv.global/id/TN19980974","TN19980974@prod")</f>
        <v>TN19980974@prod</v>
      </c>
      <c r="O935" s="7" t="str">
        <f>HYPERLINK("https://ictv.global/id/ICTV19910458","ICTV19910458@prod")</f>
        <v>ICTV19910458@prod</v>
      </c>
    </row>
    <row r="936" spans="1:15" x14ac:dyDescent="0.2">
      <c r="A936">
        <v>17</v>
      </c>
      <c r="B936">
        <v>19980976</v>
      </c>
      <c r="C936">
        <v>19820271</v>
      </c>
      <c r="D936" t="s">
        <v>29</v>
      </c>
      <c r="E936" t="s">
        <v>483</v>
      </c>
      <c r="G936" t="s">
        <v>33</v>
      </c>
      <c r="H936" t="s">
        <v>484</v>
      </c>
      <c r="I936" t="s">
        <v>29</v>
      </c>
      <c r="J936">
        <v>19990623</v>
      </c>
      <c r="K936">
        <v>19990623</v>
      </c>
      <c r="L936" s="7" t="str">
        <f>HYPERLINK("https://test.ictv.global/id/TN19980976","TN19980976@TEST")</f>
        <v>TN19980976@TEST</v>
      </c>
      <c r="M936" s="7" t="str">
        <f>HYPERLINK("https://test.ictv.global/id/ICTV19820271","ICTV19820271@TEST")</f>
        <v>ICTV19820271@TEST</v>
      </c>
      <c r="N936" s="7" t="str">
        <f>HYPERLINK("https://ictv.global/id/TN19980976","TN19980976@prod")</f>
        <v>TN19980976@prod</v>
      </c>
      <c r="O936" s="7" t="str">
        <f>HYPERLINK("https://ictv.global/id/ICTV19820271","ICTV19820271@prod")</f>
        <v>ICTV19820271@prod</v>
      </c>
    </row>
    <row r="937" spans="1:15" x14ac:dyDescent="0.2">
      <c r="A937">
        <v>17</v>
      </c>
      <c r="B937">
        <v>19980977</v>
      </c>
      <c r="C937">
        <v>19990619</v>
      </c>
      <c r="D937" t="s">
        <v>29</v>
      </c>
      <c r="E937" t="s">
        <v>485</v>
      </c>
      <c r="G937" t="s">
        <v>33</v>
      </c>
      <c r="H937" t="s">
        <v>485</v>
      </c>
      <c r="I937" t="s">
        <v>29</v>
      </c>
      <c r="J937">
        <v>19990619</v>
      </c>
      <c r="K937">
        <v>19990619</v>
      </c>
      <c r="L937" s="7" t="str">
        <f>HYPERLINK("https://test.ictv.global/id/TN19980977","TN19980977@TEST")</f>
        <v>TN19980977@TEST</v>
      </c>
      <c r="M937" s="7" t="str">
        <f>HYPERLINK("https://test.ictv.global/id/ICTV19990619","ICTV19990619@TEST")</f>
        <v>ICTV19990619@TEST</v>
      </c>
      <c r="N937" s="7" t="str">
        <f>HYPERLINK("https://ictv.global/id/TN19980977","TN19980977@prod")</f>
        <v>TN19980977@prod</v>
      </c>
      <c r="O937" s="7" t="str">
        <f>HYPERLINK("https://ictv.global/id/ICTV19990619","ICTV19990619@prod")</f>
        <v>ICTV19990619@prod</v>
      </c>
    </row>
    <row r="938" spans="1:15" x14ac:dyDescent="0.2">
      <c r="A938">
        <v>17</v>
      </c>
      <c r="B938">
        <v>19980979</v>
      </c>
      <c r="C938">
        <v>19760147</v>
      </c>
      <c r="D938" t="s">
        <v>29</v>
      </c>
      <c r="E938" t="s">
        <v>486</v>
      </c>
      <c r="G938" t="s">
        <v>31</v>
      </c>
      <c r="H938" t="s">
        <v>463</v>
      </c>
      <c r="I938" t="s">
        <v>29</v>
      </c>
      <c r="J938">
        <v>19990622</v>
      </c>
      <c r="K938">
        <v>19990622</v>
      </c>
      <c r="L938" s="7" t="str">
        <f>HYPERLINK("https://test.ictv.global/id/TN19980979","TN19980979@TEST")</f>
        <v>TN19980979@TEST</v>
      </c>
      <c r="M938" s="7" t="str">
        <f>HYPERLINK("https://test.ictv.global/id/ICTV19760147","ICTV19760147@TEST")</f>
        <v>ICTV19760147@TEST</v>
      </c>
      <c r="N938" s="7" t="str">
        <f>HYPERLINK("https://ictv.global/id/TN19980979","TN19980979@prod")</f>
        <v>TN19980979@prod</v>
      </c>
      <c r="O938" s="7" t="str">
        <f>HYPERLINK("https://ictv.global/id/ICTV19760147","ICTV19760147@prod")</f>
        <v>ICTV19760147@prod</v>
      </c>
    </row>
    <row r="939" spans="1:15" x14ac:dyDescent="0.2">
      <c r="A939">
        <v>17</v>
      </c>
      <c r="B939">
        <v>19980980</v>
      </c>
      <c r="C939">
        <v>19820275</v>
      </c>
      <c r="D939" t="s">
        <v>29</v>
      </c>
      <c r="E939" t="s">
        <v>487</v>
      </c>
      <c r="G939" t="s">
        <v>33</v>
      </c>
      <c r="H939" t="s">
        <v>488</v>
      </c>
      <c r="I939" t="s">
        <v>29</v>
      </c>
      <c r="J939">
        <v>19990643</v>
      </c>
      <c r="K939">
        <v>19990643</v>
      </c>
      <c r="L939" s="7" t="str">
        <f>HYPERLINK("https://test.ictv.global/id/TN19980980","TN19980980@TEST")</f>
        <v>TN19980980@TEST</v>
      </c>
      <c r="M939" s="7" t="str">
        <f>HYPERLINK("https://test.ictv.global/id/ICTV19820275","ICTV19820275@TEST")</f>
        <v>ICTV19820275@TEST</v>
      </c>
      <c r="N939" s="7" t="str">
        <f>HYPERLINK("https://ictv.global/id/TN19980980","TN19980980@prod")</f>
        <v>TN19980980@prod</v>
      </c>
      <c r="O939" s="7" t="str">
        <f>HYPERLINK("https://ictv.global/id/ICTV19820275","ICTV19820275@prod")</f>
        <v>ICTV19820275@prod</v>
      </c>
    </row>
    <row r="940" spans="1:15" x14ac:dyDescent="0.2">
      <c r="A940">
        <v>17</v>
      </c>
      <c r="B940">
        <v>19980981</v>
      </c>
      <c r="C940">
        <v>19790273</v>
      </c>
      <c r="D940" t="s">
        <v>29</v>
      </c>
      <c r="E940" t="s">
        <v>489</v>
      </c>
      <c r="G940" t="s">
        <v>33</v>
      </c>
      <c r="H940" t="s">
        <v>474</v>
      </c>
      <c r="I940" t="s">
        <v>29</v>
      </c>
      <c r="J940">
        <v>19990615</v>
      </c>
      <c r="K940">
        <v>19990615</v>
      </c>
      <c r="L940" s="7" t="str">
        <f>HYPERLINK("https://test.ictv.global/id/TN19980981","TN19980981@TEST")</f>
        <v>TN19980981@TEST</v>
      </c>
      <c r="M940" s="7" t="str">
        <f>HYPERLINK("https://test.ictv.global/id/ICTV19790273","ICTV19790273@TEST")</f>
        <v>ICTV19790273@TEST</v>
      </c>
      <c r="N940" s="7" t="str">
        <f>HYPERLINK("https://ictv.global/id/TN19980981","TN19980981@prod")</f>
        <v>TN19980981@prod</v>
      </c>
      <c r="O940" s="7" t="str">
        <f>HYPERLINK("https://ictv.global/id/ICTV19790273","ICTV19790273@prod")</f>
        <v>ICTV19790273@prod</v>
      </c>
    </row>
    <row r="941" spans="1:15" x14ac:dyDescent="0.2">
      <c r="A941">
        <v>17</v>
      </c>
      <c r="B941">
        <v>19980983</v>
      </c>
      <c r="C941">
        <v>19910467</v>
      </c>
      <c r="D941" t="s">
        <v>29</v>
      </c>
      <c r="E941" t="s">
        <v>490</v>
      </c>
      <c r="G941" t="s">
        <v>31</v>
      </c>
      <c r="H941" t="s">
        <v>463</v>
      </c>
      <c r="I941" t="s">
        <v>29</v>
      </c>
      <c r="J941">
        <v>19990622</v>
      </c>
      <c r="K941">
        <v>19990622</v>
      </c>
      <c r="L941" s="7" t="str">
        <f>HYPERLINK("https://test.ictv.global/id/TN19980983","TN19980983@TEST")</f>
        <v>TN19980983@TEST</v>
      </c>
      <c r="M941" s="7" t="str">
        <f>HYPERLINK("https://test.ictv.global/id/ICTV19910467","ICTV19910467@TEST")</f>
        <v>ICTV19910467@TEST</v>
      </c>
      <c r="N941" s="7" t="str">
        <f>HYPERLINK("https://ictv.global/id/TN19980983","TN19980983@prod")</f>
        <v>TN19980983@prod</v>
      </c>
      <c r="O941" s="7" t="str">
        <f>HYPERLINK("https://ictv.global/id/ICTV19910467","ICTV19910467@prod")</f>
        <v>ICTV19910467@prod</v>
      </c>
    </row>
    <row r="942" spans="1:15" x14ac:dyDescent="0.2">
      <c r="A942">
        <v>17</v>
      </c>
      <c r="B942">
        <v>19980984</v>
      </c>
      <c r="C942">
        <v>19910468</v>
      </c>
      <c r="D942" t="s">
        <v>29</v>
      </c>
      <c r="E942" t="s">
        <v>491</v>
      </c>
      <c r="G942" t="s">
        <v>33</v>
      </c>
      <c r="H942" t="s">
        <v>476</v>
      </c>
      <c r="I942" t="s">
        <v>29</v>
      </c>
      <c r="J942">
        <v>19990627</v>
      </c>
      <c r="K942">
        <v>19990627</v>
      </c>
      <c r="L942" s="7" t="str">
        <f>HYPERLINK("https://test.ictv.global/id/TN19980984","TN19980984@TEST")</f>
        <v>TN19980984@TEST</v>
      </c>
      <c r="M942" s="7" t="str">
        <f>HYPERLINK("https://test.ictv.global/id/ICTV19910468","ICTV19910468@TEST")</f>
        <v>ICTV19910468@TEST</v>
      </c>
      <c r="N942" s="7" t="str">
        <f>HYPERLINK("https://ictv.global/id/TN19980984","TN19980984@prod")</f>
        <v>TN19980984@prod</v>
      </c>
      <c r="O942" s="7" t="str">
        <f>HYPERLINK("https://ictv.global/id/ICTV19910468","ICTV19910468@prod")</f>
        <v>ICTV19910468@prod</v>
      </c>
    </row>
    <row r="943" spans="1:15" x14ac:dyDescent="0.2">
      <c r="A943">
        <v>17</v>
      </c>
      <c r="B943">
        <v>19980985</v>
      </c>
      <c r="C943">
        <v>19910469</v>
      </c>
      <c r="D943" t="s">
        <v>29</v>
      </c>
      <c r="E943" t="s">
        <v>1687</v>
      </c>
      <c r="G943" t="s">
        <v>1165</v>
      </c>
      <c r="L943" s="7" t="str">
        <f>HYPERLINK("https://test.ictv.global/id/TN19980985","TN19980985@TEST")</f>
        <v>TN19980985@TEST</v>
      </c>
      <c r="M943" s="7" t="str">
        <f>HYPERLINK("https://test.ictv.global/id/ICTV19910469","ICTV19910469@TEST")</f>
        <v>ICTV19910469@TEST</v>
      </c>
      <c r="N943" s="7" t="str">
        <f>HYPERLINK("https://ictv.global/id/TN19980985","TN19980985@prod")</f>
        <v>TN19980985@prod</v>
      </c>
      <c r="O943" s="7" t="str">
        <f>HYPERLINK("https://ictv.global/id/ICTV19910469","ICTV19910469@prod")</f>
        <v>ICTV19910469@prod</v>
      </c>
    </row>
    <row r="944" spans="1:15" x14ac:dyDescent="0.2">
      <c r="A944">
        <v>17</v>
      </c>
      <c r="B944">
        <v>19980986</v>
      </c>
      <c r="C944">
        <v>19990622</v>
      </c>
      <c r="D944" t="s">
        <v>29</v>
      </c>
      <c r="E944" t="s">
        <v>463</v>
      </c>
      <c r="G944" t="s">
        <v>33</v>
      </c>
      <c r="H944" t="s">
        <v>463</v>
      </c>
      <c r="I944" t="s">
        <v>29</v>
      </c>
      <c r="J944">
        <v>19990622</v>
      </c>
      <c r="K944">
        <v>19990622</v>
      </c>
      <c r="L944" s="7" t="str">
        <f>HYPERLINK("https://test.ictv.global/id/TN19980986","TN19980986@TEST")</f>
        <v>TN19980986@TEST</v>
      </c>
      <c r="M944" s="7" t="str">
        <f>HYPERLINK("https://test.ictv.global/id/ICTV19990622","ICTV19990622@TEST")</f>
        <v>ICTV19990622@TEST</v>
      </c>
      <c r="N944" s="7" t="str">
        <f>HYPERLINK("https://ictv.global/id/TN19980986","TN19980986@prod")</f>
        <v>TN19980986@prod</v>
      </c>
      <c r="O944" s="7" t="str">
        <f>HYPERLINK("https://ictv.global/id/ICTV19990622","ICTV19990622@prod")</f>
        <v>ICTV19990622@prod</v>
      </c>
    </row>
    <row r="945" spans="1:15" x14ac:dyDescent="0.2">
      <c r="A945">
        <v>17</v>
      </c>
      <c r="B945">
        <v>19980987</v>
      </c>
      <c r="C945">
        <v>19990623</v>
      </c>
      <c r="D945" t="s">
        <v>29</v>
      </c>
      <c r="E945" t="s">
        <v>484</v>
      </c>
      <c r="G945" t="s">
        <v>33</v>
      </c>
      <c r="H945" t="s">
        <v>484</v>
      </c>
      <c r="I945" t="s">
        <v>29</v>
      </c>
      <c r="J945">
        <v>19990623</v>
      </c>
      <c r="K945">
        <v>19990623</v>
      </c>
      <c r="L945" s="7" t="str">
        <f>HYPERLINK("https://test.ictv.global/id/TN19980987","TN19980987@TEST")</f>
        <v>TN19980987@TEST</v>
      </c>
      <c r="M945" s="7" t="str">
        <f>HYPERLINK("https://test.ictv.global/id/ICTV19990623","ICTV19990623@TEST")</f>
        <v>ICTV19990623@TEST</v>
      </c>
      <c r="N945" s="7" t="str">
        <f>HYPERLINK("https://ictv.global/id/TN19980987","TN19980987@prod")</f>
        <v>TN19980987@prod</v>
      </c>
      <c r="O945" s="7" t="str">
        <f>HYPERLINK("https://ictv.global/id/ICTV19990623","ICTV19990623@prod")</f>
        <v>ICTV19990623@prod</v>
      </c>
    </row>
    <row r="946" spans="1:15" x14ac:dyDescent="0.2">
      <c r="A946">
        <v>17</v>
      </c>
      <c r="B946">
        <v>19980988</v>
      </c>
      <c r="C946">
        <v>19760152</v>
      </c>
      <c r="D946" t="s">
        <v>29</v>
      </c>
      <c r="E946" t="s">
        <v>492</v>
      </c>
      <c r="G946" t="s">
        <v>33</v>
      </c>
      <c r="H946" t="s">
        <v>493</v>
      </c>
      <c r="I946" t="s">
        <v>29</v>
      </c>
      <c r="J946">
        <v>19990638</v>
      </c>
      <c r="K946">
        <v>19990638</v>
      </c>
      <c r="L946" s="7" t="str">
        <f>HYPERLINK("https://test.ictv.global/id/TN19980988","TN19980988@TEST")</f>
        <v>TN19980988@TEST</v>
      </c>
      <c r="M946" s="7" t="str">
        <f>HYPERLINK("https://test.ictv.global/id/ICTV19760152","ICTV19760152@TEST")</f>
        <v>ICTV19760152@TEST</v>
      </c>
      <c r="N946" s="7" t="str">
        <f>HYPERLINK("https://ictv.global/id/TN19980988","TN19980988@prod")</f>
        <v>TN19980988@prod</v>
      </c>
      <c r="O946" s="7" t="str">
        <f>HYPERLINK("https://ictv.global/id/ICTV19760152","ICTV19760152@prod")</f>
        <v>ICTV19760152@prod</v>
      </c>
    </row>
    <row r="947" spans="1:15" x14ac:dyDescent="0.2">
      <c r="A947">
        <v>17</v>
      </c>
      <c r="B947">
        <v>19980989</v>
      </c>
      <c r="C947">
        <v>19990624</v>
      </c>
      <c r="D947" t="s">
        <v>29</v>
      </c>
      <c r="E947" t="s">
        <v>494</v>
      </c>
      <c r="G947" t="s">
        <v>33</v>
      </c>
      <c r="H947" t="s">
        <v>494</v>
      </c>
      <c r="I947" t="s">
        <v>29</v>
      </c>
      <c r="J947">
        <v>19990624</v>
      </c>
      <c r="K947">
        <v>19990624</v>
      </c>
      <c r="L947" s="7" t="str">
        <f>HYPERLINK("https://test.ictv.global/id/TN19980989","TN19980989@TEST")</f>
        <v>TN19980989@TEST</v>
      </c>
      <c r="M947" s="7" t="str">
        <f>HYPERLINK("https://test.ictv.global/id/ICTV19990624","ICTV19990624@TEST")</f>
        <v>ICTV19990624@TEST</v>
      </c>
      <c r="N947" s="7" t="str">
        <f>HYPERLINK("https://ictv.global/id/TN19980989","TN19980989@prod")</f>
        <v>TN19980989@prod</v>
      </c>
      <c r="O947" s="7" t="str">
        <f>HYPERLINK("https://ictv.global/id/ICTV19990624","ICTV19990624@prod")</f>
        <v>ICTV19990624@prod</v>
      </c>
    </row>
    <row r="948" spans="1:15" x14ac:dyDescent="0.2">
      <c r="A948">
        <v>17</v>
      </c>
      <c r="B948">
        <v>19980990</v>
      </c>
      <c r="C948">
        <v>19760154</v>
      </c>
      <c r="D948" t="s">
        <v>29</v>
      </c>
      <c r="E948" t="s">
        <v>495</v>
      </c>
      <c r="G948" t="s">
        <v>31</v>
      </c>
      <c r="H948" t="s">
        <v>463</v>
      </c>
      <c r="I948" t="s">
        <v>29</v>
      </c>
      <c r="J948">
        <v>19990622</v>
      </c>
      <c r="K948">
        <v>19990622</v>
      </c>
      <c r="L948" s="7" t="str">
        <f>HYPERLINK("https://test.ictv.global/id/TN19980990","TN19980990@TEST")</f>
        <v>TN19980990@TEST</v>
      </c>
      <c r="M948" s="7" t="str">
        <f>HYPERLINK("https://test.ictv.global/id/ICTV19760154","ICTV19760154@TEST")</f>
        <v>ICTV19760154@TEST</v>
      </c>
      <c r="N948" s="7" t="str">
        <f>HYPERLINK("https://ictv.global/id/TN19980990","TN19980990@prod")</f>
        <v>TN19980990@prod</v>
      </c>
      <c r="O948" s="7" t="str">
        <f>HYPERLINK("https://ictv.global/id/ICTV19760154","ICTV19760154@prod")</f>
        <v>ICTV19760154@prod</v>
      </c>
    </row>
    <row r="949" spans="1:15" x14ac:dyDescent="0.2">
      <c r="A949">
        <v>17</v>
      </c>
      <c r="B949">
        <v>19980991</v>
      </c>
      <c r="C949">
        <v>19990625</v>
      </c>
      <c r="D949" t="s">
        <v>29</v>
      </c>
      <c r="E949" t="s">
        <v>465</v>
      </c>
      <c r="G949" t="s">
        <v>33</v>
      </c>
      <c r="H949" t="s">
        <v>465</v>
      </c>
      <c r="I949" t="s">
        <v>29</v>
      </c>
      <c r="J949">
        <v>19990625</v>
      </c>
      <c r="K949">
        <v>19990625</v>
      </c>
      <c r="L949" s="7" t="str">
        <f>HYPERLINK("https://test.ictv.global/id/TN19980991","TN19980991@TEST")</f>
        <v>TN19980991@TEST</v>
      </c>
      <c r="M949" s="7" t="str">
        <f>HYPERLINK("https://test.ictv.global/id/ICTV19990625","ICTV19990625@TEST")</f>
        <v>ICTV19990625@TEST</v>
      </c>
      <c r="N949" s="7" t="str">
        <f>HYPERLINK("https://ictv.global/id/TN19980991","TN19980991@prod")</f>
        <v>TN19980991@prod</v>
      </c>
      <c r="O949" s="7" t="str">
        <f>HYPERLINK("https://ictv.global/id/ICTV19990625","ICTV19990625@prod")</f>
        <v>ICTV19990625@prod</v>
      </c>
    </row>
    <row r="950" spans="1:15" x14ac:dyDescent="0.2">
      <c r="A950">
        <v>17</v>
      </c>
      <c r="B950">
        <v>19980992</v>
      </c>
      <c r="C950">
        <v>19910476</v>
      </c>
      <c r="D950" t="s">
        <v>29</v>
      </c>
      <c r="E950" t="s">
        <v>496</v>
      </c>
      <c r="G950" t="s">
        <v>33</v>
      </c>
      <c r="H950" t="s">
        <v>485</v>
      </c>
      <c r="I950" t="s">
        <v>29</v>
      </c>
      <c r="J950">
        <v>19990619</v>
      </c>
      <c r="K950">
        <v>19990619</v>
      </c>
      <c r="L950" s="7" t="str">
        <f>HYPERLINK("https://test.ictv.global/id/TN19980992","TN19980992@TEST")</f>
        <v>TN19980992@TEST</v>
      </c>
      <c r="M950" s="7" t="str">
        <f>HYPERLINK("https://test.ictv.global/id/ICTV19910476","ICTV19910476@TEST")</f>
        <v>ICTV19910476@TEST</v>
      </c>
      <c r="N950" s="7" t="str">
        <f>HYPERLINK("https://ictv.global/id/TN19980992","TN19980992@prod")</f>
        <v>TN19980992@prod</v>
      </c>
      <c r="O950" s="7" t="str">
        <f>HYPERLINK("https://ictv.global/id/ICTV19910476","ICTV19910476@prod")</f>
        <v>ICTV19910476@prod</v>
      </c>
    </row>
    <row r="951" spans="1:15" x14ac:dyDescent="0.2">
      <c r="A951">
        <v>17</v>
      </c>
      <c r="B951">
        <v>19980994</v>
      </c>
      <c r="C951">
        <v>19990627</v>
      </c>
      <c r="D951" t="s">
        <v>29</v>
      </c>
      <c r="E951" t="s">
        <v>476</v>
      </c>
      <c r="G951" t="s">
        <v>33</v>
      </c>
      <c r="H951" t="s">
        <v>476</v>
      </c>
      <c r="I951" t="s">
        <v>29</v>
      </c>
      <c r="J951">
        <v>19990627</v>
      </c>
      <c r="K951">
        <v>19990627</v>
      </c>
      <c r="L951" s="7" t="str">
        <f>HYPERLINK("https://test.ictv.global/id/TN19980994","TN19980994@TEST")</f>
        <v>TN19980994@TEST</v>
      </c>
      <c r="M951" s="7" t="str">
        <f>HYPERLINK("https://test.ictv.global/id/ICTV19990627","ICTV19990627@TEST")</f>
        <v>ICTV19990627@TEST</v>
      </c>
      <c r="N951" s="7" t="str">
        <f>HYPERLINK("https://ictv.global/id/TN19980994","TN19980994@prod")</f>
        <v>TN19980994@prod</v>
      </c>
      <c r="O951" s="7" t="str">
        <f>HYPERLINK("https://ictv.global/id/ICTV19990627","ICTV19990627@prod")</f>
        <v>ICTV19990627@prod</v>
      </c>
    </row>
    <row r="952" spans="1:15" x14ac:dyDescent="0.2">
      <c r="A952">
        <v>17</v>
      </c>
      <c r="B952">
        <v>19980996</v>
      </c>
      <c r="C952">
        <v>19910480</v>
      </c>
      <c r="D952" t="s">
        <v>29</v>
      </c>
      <c r="E952" t="s">
        <v>497</v>
      </c>
      <c r="G952" t="s">
        <v>31</v>
      </c>
      <c r="H952" t="s">
        <v>463</v>
      </c>
      <c r="I952" t="s">
        <v>29</v>
      </c>
      <c r="J952">
        <v>19990622</v>
      </c>
      <c r="K952">
        <v>19990622</v>
      </c>
      <c r="L952" s="7" t="str">
        <f>HYPERLINK("https://test.ictv.global/id/TN19980996","TN19980996@TEST")</f>
        <v>TN19980996@TEST</v>
      </c>
      <c r="M952" s="7" t="str">
        <f>HYPERLINK("https://test.ictv.global/id/ICTV19910480","ICTV19910480@TEST")</f>
        <v>ICTV19910480@TEST</v>
      </c>
      <c r="N952" s="7" t="str">
        <f>HYPERLINK("https://ictv.global/id/TN19980996","TN19980996@prod")</f>
        <v>TN19980996@prod</v>
      </c>
      <c r="O952" s="7" t="str">
        <f>HYPERLINK("https://ictv.global/id/ICTV19910480","ICTV19910480@prod")</f>
        <v>ICTV19910480@prod</v>
      </c>
    </row>
    <row r="953" spans="1:15" x14ac:dyDescent="0.2">
      <c r="A953">
        <v>17</v>
      </c>
      <c r="B953">
        <v>19980997</v>
      </c>
      <c r="C953">
        <v>19910481</v>
      </c>
      <c r="D953" t="s">
        <v>29</v>
      </c>
      <c r="E953" t="s">
        <v>498</v>
      </c>
      <c r="G953" t="s">
        <v>33</v>
      </c>
      <c r="H953" t="s">
        <v>499</v>
      </c>
      <c r="I953" t="s">
        <v>29</v>
      </c>
      <c r="J953">
        <v>19990651</v>
      </c>
      <c r="K953">
        <v>19990651</v>
      </c>
      <c r="L953" s="7" t="str">
        <f>HYPERLINK("https://test.ictv.global/id/TN19980997","TN19980997@TEST")</f>
        <v>TN19980997@TEST</v>
      </c>
      <c r="M953" s="7" t="str">
        <f>HYPERLINK("https://test.ictv.global/id/ICTV19910481","ICTV19910481@TEST")</f>
        <v>ICTV19910481@TEST</v>
      </c>
      <c r="N953" s="7" t="str">
        <f>HYPERLINK("https://ictv.global/id/TN19980997","TN19980997@prod")</f>
        <v>TN19980997@prod</v>
      </c>
      <c r="O953" s="7" t="str">
        <f>HYPERLINK("https://ictv.global/id/ICTV19910481","ICTV19910481@prod")</f>
        <v>ICTV19910481@prod</v>
      </c>
    </row>
    <row r="954" spans="1:15" x14ac:dyDescent="0.2">
      <c r="A954">
        <v>17</v>
      </c>
      <c r="B954">
        <v>19980998</v>
      </c>
      <c r="C954">
        <v>19910482</v>
      </c>
      <c r="D954" t="s">
        <v>29</v>
      </c>
      <c r="E954" t="s">
        <v>500</v>
      </c>
      <c r="G954" t="s">
        <v>33</v>
      </c>
      <c r="H954" t="s">
        <v>473</v>
      </c>
      <c r="I954" t="s">
        <v>29</v>
      </c>
      <c r="J954">
        <v>19990614</v>
      </c>
      <c r="K954">
        <v>19990614</v>
      </c>
      <c r="L954" s="7" t="str">
        <f>HYPERLINK("https://test.ictv.global/id/TN19980998","TN19980998@TEST")</f>
        <v>TN19980998@TEST</v>
      </c>
      <c r="M954" s="7" t="str">
        <f>HYPERLINK("https://test.ictv.global/id/ICTV19910482","ICTV19910482@TEST")</f>
        <v>ICTV19910482@TEST</v>
      </c>
      <c r="N954" s="7" t="str">
        <f>HYPERLINK("https://ictv.global/id/TN19980998","TN19980998@prod")</f>
        <v>TN19980998@prod</v>
      </c>
      <c r="O954" s="7" t="str">
        <f>HYPERLINK("https://ictv.global/id/ICTV19910482","ICTV19910482@prod")</f>
        <v>ICTV19910482@prod</v>
      </c>
    </row>
    <row r="955" spans="1:15" x14ac:dyDescent="0.2">
      <c r="A955">
        <v>17</v>
      </c>
      <c r="B955">
        <v>19980999</v>
      </c>
      <c r="C955">
        <v>19910483</v>
      </c>
      <c r="D955" t="s">
        <v>29</v>
      </c>
      <c r="E955" t="s">
        <v>501</v>
      </c>
      <c r="G955" t="s">
        <v>33</v>
      </c>
      <c r="H955" t="s">
        <v>499</v>
      </c>
      <c r="I955" t="s">
        <v>29</v>
      </c>
      <c r="J955">
        <v>19990651</v>
      </c>
      <c r="K955">
        <v>19990651</v>
      </c>
      <c r="L955" s="7" t="str">
        <f>HYPERLINK("https://test.ictv.global/id/TN19980999","TN19980999@TEST")</f>
        <v>TN19980999@TEST</v>
      </c>
      <c r="M955" s="7" t="str">
        <f>HYPERLINK("https://test.ictv.global/id/ICTV19910483","ICTV19910483@TEST")</f>
        <v>ICTV19910483@TEST</v>
      </c>
      <c r="N955" s="7" t="str">
        <f>HYPERLINK("https://ictv.global/id/TN19980999","TN19980999@prod")</f>
        <v>TN19980999@prod</v>
      </c>
      <c r="O955" s="7" t="str">
        <f>HYPERLINK("https://ictv.global/id/ICTV19910483","ICTV19910483@prod")</f>
        <v>ICTV19910483@prod</v>
      </c>
    </row>
    <row r="956" spans="1:15" x14ac:dyDescent="0.2">
      <c r="A956">
        <v>17</v>
      </c>
      <c r="B956">
        <v>19981000</v>
      </c>
      <c r="C956">
        <v>19910484</v>
      </c>
      <c r="D956" t="s">
        <v>29</v>
      </c>
      <c r="E956" t="s">
        <v>502</v>
      </c>
      <c r="G956" t="s">
        <v>33</v>
      </c>
      <c r="H956" t="s">
        <v>473</v>
      </c>
      <c r="I956" t="s">
        <v>29</v>
      </c>
      <c r="J956">
        <v>19990614</v>
      </c>
      <c r="K956">
        <v>19990614</v>
      </c>
      <c r="L956" s="7" t="str">
        <f>HYPERLINK("https://test.ictv.global/id/TN19981000","TN19981000@TEST")</f>
        <v>TN19981000@TEST</v>
      </c>
      <c r="M956" s="7" t="str">
        <f>HYPERLINK("https://test.ictv.global/id/ICTV19910484","ICTV19910484@TEST")</f>
        <v>ICTV19910484@TEST</v>
      </c>
      <c r="N956" s="7" t="str">
        <f>HYPERLINK("https://ictv.global/id/TN19981000","TN19981000@prod")</f>
        <v>TN19981000@prod</v>
      </c>
      <c r="O956" s="7" t="str">
        <f>HYPERLINK("https://ictv.global/id/ICTV19910484","ICTV19910484@prod")</f>
        <v>ICTV19910484@prod</v>
      </c>
    </row>
    <row r="957" spans="1:15" x14ac:dyDescent="0.2">
      <c r="A957">
        <v>17</v>
      </c>
      <c r="B957">
        <v>19981001</v>
      </c>
      <c r="C957">
        <v>19910485</v>
      </c>
      <c r="D957" t="s">
        <v>29</v>
      </c>
      <c r="E957" t="s">
        <v>503</v>
      </c>
      <c r="G957" t="s">
        <v>33</v>
      </c>
      <c r="H957" t="s">
        <v>488</v>
      </c>
      <c r="I957" t="s">
        <v>29</v>
      </c>
      <c r="J957">
        <v>19990643</v>
      </c>
      <c r="K957">
        <v>19990643</v>
      </c>
      <c r="L957" s="7" t="str">
        <f>HYPERLINK("https://test.ictv.global/id/TN19981001","TN19981001@TEST")</f>
        <v>TN19981001@TEST</v>
      </c>
      <c r="M957" s="7" t="str">
        <f>HYPERLINK("https://test.ictv.global/id/ICTV19910485","ICTV19910485@TEST")</f>
        <v>ICTV19910485@TEST</v>
      </c>
      <c r="N957" s="7" t="str">
        <f>HYPERLINK("https://ictv.global/id/TN19981001","TN19981001@prod")</f>
        <v>TN19981001@prod</v>
      </c>
      <c r="O957" s="7" t="str">
        <f>HYPERLINK("https://ictv.global/id/ICTV19910485","ICTV19910485@prod")</f>
        <v>ICTV19910485@prod</v>
      </c>
    </row>
    <row r="958" spans="1:15" x14ac:dyDescent="0.2">
      <c r="A958">
        <v>17</v>
      </c>
      <c r="B958">
        <v>19981002</v>
      </c>
      <c r="C958">
        <v>19820288</v>
      </c>
      <c r="D958" t="s">
        <v>29</v>
      </c>
      <c r="E958" t="s">
        <v>504</v>
      </c>
      <c r="G958" t="s">
        <v>33</v>
      </c>
      <c r="H958" t="s">
        <v>505</v>
      </c>
      <c r="I958" t="s">
        <v>29</v>
      </c>
      <c r="J958">
        <v>19990647</v>
      </c>
      <c r="K958">
        <v>19990647</v>
      </c>
      <c r="L958" s="7" t="str">
        <f>HYPERLINK("https://test.ictv.global/id/TN19981002","TN19981002@TEST")</f>
        <v>TN19981002@TEST</v>
      </c>
      <c r="M958" s="7" t="str">
        <f>HYPERLINK("https://test.ictv.global/id/ICTV19820288","ICTV19820288@TEST")</f>
        <v>ICTV19820288@TEST</v>
      </c>
      <c r="N958" s="7" t="str">
        <f>HYPERLINK("https://ictv.global/id/TN19981002","TN19981002@prod")</f>
        <v>TN19981002@prod</v>
      </c>
      <c r="O958" s="7" t="str">
        <f>HYPERLINK("https://ictv.global/id/ICTV19820288","ICTV19820288@prod")</f>
        <v>ICTV19820288@prod</v>
      </c>
    </row>
    <row r="959" spans="1:15" x14ac:dyDescent="0.2">
      <c r="A959">
        <v>17</v>
      </c>
      <c r="B959">
        <v>19981003</v>
      </c>
      <c r="C959">
        <v>19910487</v>
      </c>
      <c r="D959" t="s">
        <v>29</v>
      </c>
      <c r="E959" t="s">
        <v>506</v>
      </c>
      <c r="G959" t="s">
        <v>33</v>
      </c>
      <c r="H959" t="s">
        <v>507</v>
      </c>
      <c r="I959" t="s">
        <v>29</v>
      </c>
      <c r="J959">
        <v>19990642</v>
      </c>
      <c r="K959">
        <v>19990642</v>
      </c>
      <c r="L959" s="7" t="str">
        <f>HYPERLINK("https://test.ictv.global/id/TN19981003","TN19981003@TEST")</f>
        <v>TN19981003@TEST</v>
      </c>
      <c r="M959" s="7" t="str">
        <f>HYPERLINK("https://test.ictv.global/id/ICTV19910487","ICTV19910487@TEST")</f>
        <v>ICTV19910487@TEST</v>
      </c>
      <c r="N959" s="7" t="str">
        <f>HYPERLINK("https://ictv.global/id/TN19981003","TN19981003@prod")</f>
        <v>TN19981003@prod</v>
      </c>
      <c r="O959" s="7" t="str">
        <f>HYPERLINK("https://ictv.global/id/ICTV19910487","ICTV19910487@prod")</f>
        <v>ICTV19910487@prod</v>
      </c>
    </row>
    <row r="960" spans="1:15" x14ac:dyDescent="0.2">
      <c r="A960">
        <v>17</v>
      </c>
      <c r="B960">
        <v>19981005</v>
      </c>
      <c r="C960">
        <v>19910489</v>
      </c>
      <c r="D960" t="s">
        <v>29</v>
      </c>
      <c r="E960" t="s">
        <v>508</v>
      </c>
      <c r="G960" t="s">
        <v>33</v>
      </c>
      <c r="H960" t="s">
        <v>509</v>
      </c>
      <c r="I960" t="s">
        <v>29</v>
      </c>
      <c r="J960">
        <v>19990645</v>
      </c>
      <c r="K960">
        <v>19990645</v>
      </c>
      <c r="L960" s="7" t="str">
        <f>HYPERLINK("https://test.ictv.global/id/TN19981005","TN19981005@TEST")</f>
        <v>TN19981005@TEST</v>
      </c>
      <c r="M960" s="7" t="str">
        <f>HYPERLINK("https://test.ictv.global/id/ICTV19910489","ICTV19910489@TEST")</f>
        <v>ICTV19910489@TEST</v>
      </c>
      <c r="N960" s="7" t="str">
        <f>HYPERLINK("https://ictv.global/id/TN19981005","TN19981005@prod")</f>
        <v>TN19981005@prod</v>
      </c>
      <c r="O960" s="7" t="str">
        <f>HYPERLINK("https://ictv.global/id/ICTV19910489","ICTV19910489@prod")</f>
        <v>ICTV19910489@prod</v>
      </c>
    </row>
    <row r="961" spans="1:15" x14ac:dyDescent="0.2">
      <c r="A961">
        <v>17</v>
      </c>
      <c r="B961">
        <v>19981006</v>
      </c>
      <c r="C961">
        <v>19910490</v>
      </c>
      <c r="D961" t="s">
        <v>29</v>
      </c>
      <c r="E961" t="s">
        <v>510</v>
      </c>
      <c r="G961" t="s">
        <v>31</v>
      </c>
      <c r="H961" t="s">
        <v>463</v>
      </c>
      <c r="I961" t="s">
        <v>29</v>
      </c>
      <c r="J961">
        <v>19990622</v>
      </c>
      <c r="K961">
        <v>19990622</v>
      </c>
      <c r="L961" s="7" t="str">
        <f>HYPERLINK("https://test.ictv.global/id/TN19981006","TN19981006@TEST")</f>
        <v>TN19981006@TEST</v>
      </c>
      <c r="M961" s="7" t="str">
        <f>HYPERLINK("https://test.ictv.global/id/ICTV19910490","ICTV19910490@TEST")</f>
        <v>ICTV19910490@TEST</v>
      </c>
      <c r="N961" s="7" t="str">
        <f>HYPERLINK("https://ictv.global/id/TN19981006","TN19981006@prod")</f>
        <v>TN19981006@prod</v>
      </c>
      <c r="O961" s="7" t="str">
        <f>HYPERLINK("https://ictv.global/id/ICTV19910490","ICTV19910490@prod")</f>
        <v>ICTV19910490@prod</v>
      </c>
    </row>
    <row r="962" spans="1:15" x14ac:dyDescent="0.2">
      <c r="A962">
        <v>17</v>
      </c>
      <c r="B962">
        <v>19981007</v>
      </c>
      <c r="C962">
        <v>19990630</v>
      </c>
      <c r="D962" t="s">
        <v>29</v>
      </c>
      <c r="E962" t="s">
        <v>457</v>
      </c>
      <c r="G962" t="s">
        <v>33</v>
      </c>
      <c r="H962" t="s">
        <v>457</v>
      </c>
      <c r="I962" t="s">
        <v>29</v>
      </c>
      <c r="J962">
        <v>19990630</v>
      </c>
      <c r="K962">
        <v>19990630</v>
      </c>
      <c r="L962" s="7" t="str">
        <f>HYPERLINK("https://test.ictv.global/id/TN19981007","TN19981007@TEST")</f>
        <v>TN19981007@TEST</v>
      </c>
      <c r="M962" s="7" t="str">
        <f>HYPERLINK("https://test.ictv.global/id/ICTV19990630","ICTV19990630@TEST")</f>
        <v>ICTV19990630@TEST</v>
      </c>
      <c r="N962" s="7" t="str">
        <f>HYPERLINK("https://ictv.global/id/TN19981007","TN19981007@prod")</f>
        <v>TN19981007@prod</v>
      </c>
      <c r="O962" s="7" t="str">
        <f>HYPERLINK("https://ictv.global/id/ICTV19990630","ICTV19990630@prod")</f>
        <v>ICTV19990630@prod</v>
      </c>
    </row>
    <row r="963" spans="1:15" x14ac:dyDescent="0.2">
      <c r="A963">
        <v>17</v>
      </c>
      <c r="B963">
        <v>19981008</v>
      </c>
      <c r="C963">
        <v>19760161</v>
      </c>
      <c r="D963" t="s">
        <v>29</v>
      </c>
      <c r="E963" t="s">
        <v>511</v>
      </c>
      <c r="G963" t="s">
        <v>31</v>
      </c>
      <c r="H963" t="s">
        <v>463</v>
      </c>
      <c r="I963" t="s">
        <v>29</v>
      </c>
      <c r="J963">
        <v>19990622</v>
      </c>
      <c r="K963">
        <v>19990622</v>
      </c>
      <c r="L963" s="7" t="str">
        <f>HYPERLINK("https://test.ictv.global/id/TN19981008","TN19981008@TEST")</f>
        <v>TN19981008@TEST</v>
      </c>
      <c r="M963" s="7" t="str">
        <f>HYPERLINK("https://test.ictv.global/id/ICTV19760161","ICTV19760161@TEST")</f>
        <v>ICTV19760161@TEST</v>
      </c>
      <c r="N963" s="7" t="str">
        <f>HYPERLINK("https://ictv.global/id/TN19981008","TN19981008@prod")</f>
        <v>TN19981008@prod</v>
      </c>
      <c r="O963" s="7" t="str">
        <f>HYPERLINK("https://ictv.global/id/ICTV19760161","ICTV19760161@prod")</f>
        <v>ICTV19760161@prod</v>
      </c>
    </row>
    <row r="964" spans="1:15" x14ac:dyDescent="0.2">
      <c r="A964">
        <v>17</v>
      </c>
      <c r="B964">
        <v>19981009</v>
      </c>
      <c r="C964">
        <v>19910493</v>
      </c>
      <c r="D964" t="s">
        <v>29</v>
      </c>
      <c r="E964" t="s">
        <v>512</v>
      </c>
      <c r="G964" t="s">
        <v>33</v>
      </c>
      <c r="H964" t="s">
        <v>484</v>
      </c>
      <c r="I964" t="s">
        <v>29</v>
      </c>
      <c r="J964">
        <v>19990623</v>
      </c>
      <c r="K964">
        <v>19990623</v>
      </c>
      <c r="L964" s="7" t="str">
        <f>HYPERLINK("https://test.ictv.global/id/TN19981009","TN19981009@TEST")</f>
        <v>TN19981009@TEST</v>
      </c>
      <c r="M964" s="7" t="str">
        <f>HYPERLINK("https://test.ictv.global/id/ICTV19910493","ICTV19910493@TEST")</f>
        <v>ICTV19910493@TEST</v>
      </c>
      <c r="N964" s="7" t="str">
        <f>HYPERLINK("https://ictv.global/id/TN19981009","TN19981009@prod")</f>
        <v>TN19981009@prod</v>
      </c>
      <c r="O964" s="7" t="str">
        <f>HYPERLINK("https://ictv.global/id/ICTV19910493","ICTV19910493@prod")</f>
        <v>ICTV19910493@prod</v>
      </c>
    </row>
    <row r="965" spans="1:15" x14ac:dyDescent="0.2">
      <c r="A965">
        <v>17</v>
      </c>
      <c r="B965">
        <v>19981010</v>
      </c>
      <c r="C965">
        <v>19910494</v>
      </c>
      <c r="D965" t="s">
        <v>29</v>
      </c>
      <c r="E965" t="s">
        <v>513</v>
      </c>
      <c r="G965" t="s">
        <v>33</v>
      </c>
      <c r="H965" t="s">
        <v>514</v>
      </c>
      <c r="I965" t="s">
        <v>29</v>
      </c>
      <c r="J965">
        <v>19990631</v>
      </c>
      <c r="K965">
        <v>19990631</v>
      </c>
      <c r="L965" s="7" t="str">
        <f>HYPERLINK("https://test.ictv.global/id/TN19981010","TN19981010@TEST")</f>
        <v>TN19981010@TEST</v>
      </c>
      <c r="M965" s="7" t="str">
        <f>HYPERLINK("https://test.ictv.global/id/ICTV19910494","ICTV19910494@TEST")</f>
        <v>ICTV19910494@TEST</v>
      </c>
      <c r="N965" s="7" t="str">
        <f>HYPERLINK("https://ictv.global/id/TN19981010","TN19981010@prod")</f>
        <v>TN19981010@prod</v>
      </c>
      <c r="O965" s="7" t="str">
        <f>HYPERLINK("https://ictv.global/id/ICTV19910494","ICTV19910494@prod")</f>
        <v>ICTV19910494@prod</v>
      </c>
    </row>
    <row r="966" spans="1:15" x14ac:dyDescent="0.2">
      <c r="A966">
        <v>17</v>
      </c>
      <c r="B966">
        <v>19981011</v>
      </c>
      <c r="C966">
        <v>19990631</v>
      </c>
      <c r="D966" t="s">
        <v>29</v>
      </c>
      <c r="E966" t="s">
        <v>514</v>
      </c>
      <c r="G966" t="s">
        <v>33</v>
      </c>
      <c r="H966" t="s">
        <v>514</v>
      </c>
      <c r="I966" t="s">
        <v>29</v>
      </c>
      <c r="J966">
        <v>19990631</v>
      </c>
      <c r="K966">
        <v>19990631</v>
      </c>
      <c r="L966" s="7" t="str">
        <f>HYPERLINK("https://test.ictv.global/id/TN19981011","TN19981011@TEST")</f>
        <v>TN19981011@TEST</v>
      </c>
      <c r="M966" s="7" t="str">
        <f>HYPERLINK("https://test.ictv.global/id/ICTV19990631","ICTV19990631@TEST")</f>
        <v>ICTV19990631@TEST</v>
      </c>
      <c r="N966" s="7" t="str">
        <f>HYPERLINK("https://ictv.global/id/TN19981011","TN19981011@prod")</f>
        <v>TN19981011@prod</v>
      </c>
      <c r="O966" s="7" t="str">
        <f>HYPERLINK("https://ictv.global/id/ICTV19990631","ICTV19990631@prod")</f>
        <v>ICTV19990631@prod</v>
      </c>
    </row>
    <row r="967" spans="1:15" x14ac:dyDescent="0.2">
      <c r="A967">
        <v>17</v>
      </c>
      <c r="B967">
        <v>19981012</v>
      </c>
      <c r="C967">
        <v>19990632</v>
      </c>
      <c r="D967" t="s">
        <v>29</v>
      </c>
      <c r="E967" t="s">
        <v>470</v>
      </c>
      <c r="G967" t="s">
        <v>33</v>
      </c>
      <c r="H967" t="s">
        <v>470</v>
      </c>
      <c r="I967" t="s">
        <v>29</v>
      </c>
      <c r="J967">
        <v>19990632</v>
      </c>
      <c r="K967">
        <v>19990632</v>
      </c>
      <c r="L967" s="7" t="str">
        <f>HYPERLINK("https://test.ictv.global/id/TN19981012","TN19981012@TEST")</f>
        <v>TN19981012@TEST</v>
      </c>
      <c r="M967" s="7" t="str">
        <f>HYPERLINK("https://test.ictv.global/id/ICTV19990632","ICTV19990632@TEST")</f>
        <v>ICTV19990632@TEST</v>
      </c>
      <c r="N967" s="7" t="str">
        <f>HYPERLINK("https://ictv.global/id/TN19981012","TN19981012@prod")</f>
        <v>TN19981012@prod</v>
      </c>
      <c r="O967" s="7" t="str">
        <f>HYPERLINK("https://ictv.global/id/ICTV19990632","ICTV19990632@prod")</f>
        <v>ICTV19990632@prod</v>
      </c>
    </row>
    <row r="968" spans="1:15" x14ac:dyDescent="0.2">
      <c r="A968">
        <v>17</v>
      </c>
      <c r="B968">
        <v>19981013</v>
      </c>
      <c r="C968">
        <v>19760164</v>
      </c>
      <c r="D968" t="s">
        <v>29</v>
      </c>
      <c r="E968" t="s">
        <v>515</v>
      </c>
      <c r="G968" t="s">
        <v>33</v>
      </c>
      <c r="H968" t="s">
        <v>485</v>
      </c>
      <c r="I968" t="s">
        <v>29</v>
      </c>
      <c r="J968">
        <v>19990619</v>
      </c>
      <c r="K968">
        <v>19990619</v>
      </c>
      <c r="L968" s="7" t="str">
        <f>HYPERLINK("https://test.ictv.global/id/TN19981013","TN19981013@TEST")</f>
        <v>TN19981013@TEST</v>
      </c>
      <c r="M968" s="7" t="str">
        <f>HYPERLINK("https://test.ictv.global/id/ICTV19760164","ICTV19760164@TEST")</f>
        <v>ICTV19760164@TEST</v>
      </c>
      <c r="N968" s="7" t="str">
        <f>HYPERLINK("https://ictv.global/id/TN19981013","TN19981013@prod")</f>
        <v>TN19981013@prod</v>
      </c>
      <c r="O968" s="7" t="str">
        <f>HYPERLINK("https://ictv.global/id/ICTV19760164","ICTV19760164@prod")</f>
        <v>ICTV19760164@prod</v>
      </c>
    </row>
    <row r="969" spans="1:15" x14ac:dyDescent="0.2">
      <c r="A969">
        <v>17</v>
      </c>
      <c r="B969">
        <v>19981015</v>
      </c>
      <c r="C969">
        <v>19760166</v>
      </c>
      <c r="D969" t="s">
        <v>29</v>
      </c>
      <c r="E969" t="s">
        <v>516</v>
      </c>
      <c r="G969" t="s">
        <v>33</v>
      </c>
      <c r="H969" t="s">
        <v>453</v>
      </c>
      <c r="I969" t="s">
        <v>29</v>
      </c>
      <c r="J969">
        <v>19990639</v>
      </c>
      <c r="K969">
        <v>19990639</v>
      </c>
      <c r="L969" s="7" t="str">
        <f>HYPERLINK("https://test.ictv.global/id/TN19981015","TN19981015@TEST")</f>
        <v>TN19981015@TEST</v>
      </c>
      <c r="M969" s="7" t="str">
        <f>HYPERLINK("https://test.ictv.global/id/ICTV19760166","ICTV19760166@TEST")</f>
        <v>ICTV19760166@TEST</v>
      </c>
      <c r="N969" s="7" t="str">
        <f>HYPERLINK("https://ictv.global/id/TN19981015","TN19981015@prod")</f>
        <v>TN19981015@prod</v>
      </c>
      <c r="O969" s="7" t="str">
        <f>HYPERLINK("https://ictv.global/id/ICTV19760166","ICTV19760166@prod")</f>
        <v>ICTV19760166@prod</v>
      </c>
    </row>
    <row r="970" spans="1:15" x14ac:dyDescent="0.2">
      <c r="A970">
        <v>17</v>
      </c>
      <c r="B970">
        <v>19981016</v>
      </c>
      <c r="C970">
        <v>19910500</v>
      </c>
      <c r="D970" t="s">
        <v>29</v>
      </c>
      <c r="E970" t="s">
        <v>517</v>
      </c>
      <c r="G970" t="s">
        <v>33</v>
      </c>
      <c r="H970" t="s">
        <v>499</v>
      </c>
      <c r="I970" t="s">
        <v>29</v>
      </c>
      <c r="J970">
        <v>19990651</v>
      </c>
      <c r="K970">
        <v>19990651</v>
      </c>
      <c r="L970" s="7" t="str">
        <f>HYPERLINK("https://test.ictv.global/id/TN19981016","TN19981016@TEST")</f>
        <v>TN19981016@TEST</v>
      </c>
      <c r="M970" s="7" t="str">
        <f>HYPERLINK("https://test.ictv.global/id/ICTV19910500","ICTV19910500@TEST")</f>
        <v>ICTV19910500@TEST</v>
      </c>
      <c r="N970" s="7" t="str">
        <f>HYPERLINK("https://ictv.global/id/TN19981016","TN19981016@prod")</f>
        <v>TN19981016@prod</v>
      </c>
      <c r="O970" s="7" t="str">
        <f>HYPERLINK("https://ictv.global/id/ICTV19910500","ICTV19910500@prod")</f>
        <v>ICTV19910500@prod</v>
      </c>
    </row>
    <row r="971" spans="1:15" x14ac:dyDescent="0.2">
      <c r="A971">
        <v>17</v>
      </c>
      <c r="B971">
        <v>19981017</v>
      </c>
      <c r="C971">
        <v>19910501</v>
      </c>
      <c r="D971" t="s">
        <v>29</v>
      </c>
      <c r="E971" t="s">
        <v>518</v>
      </c>
      <c r="G971" t="s">
        <v>31</v>
      </c>
      <c r="H971" t="s">
        <v>463</v>
      </c>
      <c r="I971" t="s">
        <v>29</v>
      </c>
      <c r="J971">
        <v>19990622</v>
      </c>
      <c r="K971">
        <v>19990622</v>
      </c>
      <c r="L971" s="7" t="str">
        <f>HYPERLINK("https://test.ictv.global/id/TN19981017","TN19981017@TEST")</f>
        <v>TN19981017@TEST</v>
      </c>
      <c r="M971" s="7" t="str">
        <f>HYPERLINK("https://test.ictv.global/id/ICTV19910501","ICTV19910501@TEST")</f>
        <v>ICTV19910501@TEST</v>
      </c>
      <c r="N971" s="7" t="str">
        <f>HYPERLINK("https://ictv.global/id/TN19981017","TN19981017@prod")</f>
        <v>TN19981017@prod</v>
      </c>
      <c r="O971" s="7" t="str">
        <f>HYPERLINK("https://ictv.global/id/ICTV19910501","ICTV19910501@prod")</f>
        <v>ICTV19910501@prod</v>
      </c>
    </row>
    <row r="972" spans="1:15" x14ac:dyDescent="0.2">
      <c r="A972">
        <v>17</v>
      </c>
      <c r="B972">
        <v>19981018</v>
      </c>
      <c r="C972">
        <v>19760167</v>
      </c>
      <c r="D972" t="s">
        <v>29</v>
      </c>
      <c r="E972" t="s">
        <v>519</v>
      </c>
      <c r="G972" t="s">
        <v>31</v>
      </c>
      <c r="H972" t="s">
        <v>463</v>
      </c>
      <c r="I972" t="s">
        <v>29</v>
      </c>
      <c r="J972">
        <v>19990622</v>
      </c>
      <c r="K972">
        <v>19990622</v>
      </c>
      <c r="L972" s="7" t="str">
        <f>HYPERLINK("https://test.ictv.global/id/TN19981018","TN19981018@TEST")</f>
        <v>TN19981018@TEST</v>
      </c>
      <c r="M972" s="7" t="str">
        <f>HYPERLINK("https://test.ictv.global/id/ICTV19760167","ICTV19760167@TEST")</f>
        <v>ICTV19760167@TEST</v>
      </c>
      <c r="N972" s="7" t="str">
        <f>HYPERLINK("https://ictv.global/id/TN19981018","TN19981018@prod")</f>
        <v>TN19981018@prod</v>
      </c>
      <c r="O972" s="7" t="str">
        <f>HYPERLINK("https://ictv.global/id/ICTV19760167","ICTV19760167@prod")</f>
        <v>ICTV19760167@prod</v>
      </c>
    </row>
    <row r="973" spans="1:15" x14ac:dyDescent="0.2">
      <c r="A973">
        <v>17</v>
      </c>
      <c r="B973">
        <v>19981019</v>
      </c>
      <c r="C973">
        <v>19760168</v>
      </c>
      <c r="D973" t="s">
        <v>29</v>
      </c>
      <c r="E973" t="s">
        <v>520</v>
      </c>
      <c r="G973" t="s">
        <v>33</v>
      </c>
      <c r="H973" t="s">
        <v>493</v>
      </c>
      <c r="I973" t="s">
        <v>29</v>
      </c>
      <c r="J973">
        <v>19990638</v>
      </c>
      <c r="K973">
        <v>19990638</v>
      </c>
      <c r="L973" s="7" t="str">
        <f>HYPERLINK("https://test.ictv.global/id/TN19981019","TN19981019@TEST")</f>
        <v>TN19981019@TEST</v>
      </c>
      <c r="M973" s="7" t="str">
        <f>HYPERLINK("https://test.ictv.global/id/ICTV19760168","ICTV19760168@TEST")</f>
        <v>ICTV19760168@TEST</v>
      </c>
      <c r="N973" s="7" t="str">
        <f>HYPERLINK("https://ictv.global/id/TN19981019","TN19981019@prod")</f>
        <v>TN19981019@prod</v>
      </c>
      <c r="O973" s="7" t="str">
        <f>HYPERLINK("https://ictv.global/id/ICTV19760168","ICTV19760168@prod")</f>
        <v>ICTV19760168@prod</v>
      </c>
    </row>
    <row r="974" spans="1:15" x14ac:dyDescent="0.2">
      <c r="A974">
        <v>17</v>
      </c>
      <c r="B974">
        <v>19981020</v>
      </c>
      <c r="C974">
        <v>19820298</v>
      </c>
      <c r="D974" t="s">
        <v>29</v>
      </c>
      <c r="E974" t="s">
        <v>521</v>
      </c>
      <c r="G974" t="s">
        <v>33</v>
      </c>
      <c r="H974" t="s">
        <v>493</v>
      </c>
      <c r="I974" t="s">
        <v>29</v>
      </c>
      <c r="J974">
        <v>19990638</v>
      </c>
      <c r="K974">
        <v>19990638</v>
      </c>
      <c r="L974" s="7" t="str">
        <f>HYPERLINK("https://test.ictv.global/id/TN19981020","TN19981020@TEST")</f>
        <v>TN19981020@TEST</v>
      </c>
      <c r="M974" s="7" t="str">
        <f>HYPERLINK("https://test.ictv.global/id/ICTV19820298","ICTV19820298@TEST")</f>
        <v>ICTV19820298@TEST</v>
      </c>
      <c r="N974" s="7" t="str">
        <f>HYPERLINK("https://ictv.global/id/TN19981020","TN19981020@prod")</f>
        <v>TN19981020@prod</v>
      </c>
      <c r="O974" s="7" t="str">
        <f>HYPERLINK("https://ictv.global/id/ICTV19820298","ICTV19820298@prod")</f>
        <v>ICTV19820298@prod</v>
      </c>
    </row>
    <row r="975" spans="1:15" x14ac:dyDescent="0.2">
      <c r="A975">
        <v>17</v>
      </c>
      <c r="B975">
        <v>19981021</v>
      </c>
      <c r="C975">
        <v>19760169</v>
      </c>
      <c r="D975" t="s">
        <v>29</v>
      </c>
      <c r="E975" t="s">
        <v>522</v>
      </c>
      <c r="G975" t="s">
        <v>33</v>
      </c>
      <c r="H975" t="s">
        <v>465</v>
      </c>
      <c r="I975" t="s">
        <v>29</v>
      </c>
      <c r="J975">
        <v>19990625</v>
      </c>
      <c r="K975">
        <v>19990625</v>
      </c>
      <c r="L975" s="7" t="str">
        <f>HYPERLINK("https://test.ictv.global/id/TN19981021","TN19981021@TEST")</f>
        <v>TN19981021@TEST</v>
      </c>
      <c r="M975" s="7" t="str">
        <f>HYPERLINK("https://test.ictv.global/id/ICTV19760169","ICTV19760169@TEST")</f>
        <v>ICTV19760169@TEST</v>
      </c>
      <c r="N975" s="7" t="str">
        <f>HYPERLINK("https://ictv.global/id/TN19981021","TN19981021@prod")</f>
        <v>TN19981021@prod</v>
      </c>
      <c r="O975" s="7" t="str">
        <f>HYPERLINK("https://ictv.global/id/ICTV19760169","ICTV19760169@prod")</f>
        <v>ICTV19760169@prod</v>
      </c>
    </row>
    <row r="976" spans="1:15" x14ac:dyDescent="0.2">
      <c r="A976">
        <v>17</v>
      </c>
      <c r="B976">
        <v>19981022</v>
      </c>
      <c r="C976">
        <v>19760170</v>
      </c>
      <c r="D976" t="s">
        <v>29</v>
      </c>
      <c r="E976" t="s">
        <v>523</v>
      </c>
      <c r="G976" t="s">
        <v>33</v>
      </c>
      <c r="H976" t="s">
        <v>524</v>
      </c>
      <c r="I976" t="s">
        <v>29</v>
      </c>
      <c r="J976">
        <v>19990644</v>
      </c>
      <c r="K976">
        <v>19990644</v>
      </c>
      <c r="L976" s="7" t="str">
        <f>HYPERLINK("https://test.ictv.global/id/TN19981022","TN19981022@TEST")</f>
        <v>TN19981022@TEST</v>
      </c>
      <c r="M976" s="7" t="str">
        <f>HYPERLINK("https://test.ictv.global/id/ICTV19760170","ICTV19760170@TEST")</f>
        <v>ICTV19760170@TEST</v>
      </c>
      <c r="N976" s="7" t="str">
        <f>HYPERLINK("https://ictv.global/id/TN19981022","TN19981022@prod")</f>
        <v>TN19981022@prod</v>
      </c>
      <c r="O976" s="7" t="str">
        <f>HYPERLINK("https://ictv.global/id/ICTV19760170","ICTV19760170@prod")</f>
        <v>ICTV19760170@prod</v>
      </c>
    </row>
    <row r="977" spans="1:15" x14ac:dyDescent="0.2">
      <c r="A977">
        <v>17</v>
      </c>
      <c r="B977">
        <v>19981023</v>
      </c>
      <c r="C977">
        <v>19820301</v>
      </c>
      <c r="D977" t="s">
        <v>29</v>
      </c>
      <c r="E977" t="s">
        <v>525</v>
      </c>
      <c r="G977" t="s">
        <v>33</v>
      </c>
      <c r="H977" t="s">
        <v>485</v>
      </c>
      <c r="I977" t="s">
        <v>29</v>
      </c>
      <c r="J977">
        <v>19990619</v>
      </c>
      <c r="K977">
        <v>19990619</v>
      </c>
      <c r="L977" s="7" t="str">
        <f>HYPERLINK("https://test.ictv.global/id/TN19981023","TN19981023@TEST")</f>
        <v>TN19981023@TEST</v>
      </c>
      <c r="M977" s="7" t="str">
        <f>HYPERLINK("https://test.ictv.global/id/ICTV19820301","ICTV19820301@TEST")</f>
        <v>ICTV19820301@TEST</v>
      </c>
      <c r="N977" s="7" t="str">
        <f>HYPERLINK("https://ictv.global/id/TN19981023","TN19981023@prod")</f>
        <v>TN19981023@prod</v>
      </c>
      <c r="O977" s="7" t="str">
        <f>HYPERLINK("https://ictv.global/id/ICTV19820301","ICTV19820301@prod")</f>
        <v>ICTV19820301@prod</v>
      </c>
    </row>
    <row r="978" spans="1:15" x14ac:dyDescent="0.2">
      <c r="A978">
        <v>17</v>
      </c>
      <c r="B978">
        <v>19981024</v>
      </c>
      <c r="C978">
        <v>19760171</v>
      </c>
      <c r="D978" t="s">
        <v>29</v>
      </c>
      <c r="E978" t="s">
        <v>526</v>
      </c>
      <c r="G978" t="s">
        <v>33</v>
      </c>
      <c r="H978" t="s">
        <v>465</v>
      </c>
      <c r="I978" t="s">
        <v>29</v>
      </c>
      <c r="J978">
        <v>19990625</v>
      </c>
      <c r="K978">
        <v>19990625</v>
      </c>
      <c r="L978" s="7" t="str">
        <f>HYPERLINK("https://test.ictv.global/id/TN19981024","TN19981024@TEST")</f>
        <v>TN19981024@TEST</v>
      </c>
      <c r="M978" s="7" t="str">
        <f>HYPERLINK("https://test.ictv.global/id/ICTV19760171","ICTV19760171@TEST")</f>
        <v>ICTV19760171@TEST</v>
      </c>
      <c r="N978" s="7" t="str">
        <f>HYPERLINK("https://ictv.global/id/TN19981024","TN19981024@prod")</f>
        <v>TN19981024@prod</v>
      </c>
      <c r="O978" s="7" t="str">
        <f>HYPERLINK("https://ictv.global/id/ICTV19760171","ICTV19760171@prod")</f>
        <v>ICTV19760171@prod</v>
      </c>
    </row>
    <row r="979" spans="1:15" x14ac:dyDescent="0.2">
      <c r="A979">
        <v>17</v>
      </c>
      <c r="B979">
        <v>19981025</v>
      </c>
      <c r="C979">
        <v>19760173</v>
      </c>
      <c r="D979" t="s">
        <v>29</v>
      </c>
      <c r="E979" t="s">
        <v>527</v>
      </c>
      <c r="G979" t="s">
        <v>33</v>
      </c>
      <c r="H979" t="s">
        <v>484</v>
      </c>
      <c r="I979" t="s">
        <v>29</v>
      </c>
      <c r="J979">
        <v>19990623</v>
      </c>
      <c r="K979">
        <v>19990623</v>
      </c>
      <c r="L979" s="7" t="str">
        <f>HYPERLINK("https://test.ictv.global/id/TN19981025","TN19981025@TEST")</f>
        <v>TN19981025@TEST</v>
      </c>
      <c r="M979" s="7" t="str">
        <f>HYPERLINK("https://test.ictv.global/id/ICTV19760173","ICTV19760173@TEST")</f>
        <v>ICTV19760173@TEST</v>
      </c>
      <c r="N979" s="7" t="str">
        <f>HYPERLINK("https://ictv.global/id/TN19981025","TN19981025@prod")</f>
        <v>TN19981025@prod</v>
      </c>
      <c r="O979" s="7" t="str">
        <f>HYPERLINK("https://ictv.global/id/ICTV19760173","ICTV19760173@prod")</f>
        <v>ICTV19760173@prod</v>
      </c>
    </row>
    <row r="980" spans="1:15" x14ac:dyDescent="0.2">
      <c r="A980">
        <v>17</v>
      </c>
      <c r="B980">
        <v>19981026</v>
      </c>
      <c r="C980">
        <v>19790213</v>
      </c>
      <c r="D980" t="s">
        <v>29</v>
      </c>
      <c r="E980" t="s">
        <v>528</v>
      </c>
      <c r="G980" t="s">
        <v>33</v>
      </c>
      <c r="H980" t="s">
        <v>467</v>
      </c>
      <c r="I980" t="s">
        <v>29</v>
      </c>
      <c r="J980">
        <v>19990649</v>
      </c>
      <c r="K980">
        <v>19990649</v>
      </c>
      <c r="L980" s="7" t="str">
        <f>HYPERLINK("https://test.ictv.global/id/TN19981026","TN19981026@TEST")</f>
        <v>TN19981026@TEST</v>
      </c>
      <c r="M980" s="7" t="str">
        <f>HYPERLINK("https://test.ictv.global/id/ICTV19790213","ICTV19790213@TEST")</f>
        <v>ICTV19790213@TEST</v>
      </c>
      <c r="N980" s="7" t="str">
        <f>HYPERLINK("https://ictv.global/id/TN19981026","TN19981026@prod")</f>
        <v>TN19981026@prod</v>
      </c>
      <c r="O980" s="7" t="str">
        <f>HYPERLINK("https://ictv.global/id/ICTV19790213","ICTV19790213@prod")</f>
        <v>ICTV19790213@prod</v>
      </c>
    </row>
    <row r="981" spans="1:15" x14ac:dyDescent="0.2">
      <c r="A981">
        <v>17</v>
      </c>
      <c r="B981">
        <v>19981028</v>
      </c>
      <c r="C981">
        <v>19910513</v>
      </c>
      <c r="D981" t="s">
        <v>29</v>
      </c>
      <c r="E981" t="s">
        <v>529</v>
      </c>
      <c r="G981" t="s">
        <v>33</v>
      </c>
      <c r="H981" t="s">
        <v>480</v>
      </c>
      <c r="I981" t="s">
        <v>29</v>
      </c>
      <c r="J981">
        <v>19990616</v>
      </c>
      <c r="K981">
        <v>19990616</v>
      </c>
      <c r="L981" s="7" t="str">
        <f>HYPERLINK("https://test.ictv.global/id/TN19981028","TN19981028@TEST")</f>
        <v>TN19981028@TEST</v>
      </c>
      <c r="M981" s="7" t="str">
        <f>HYPERLINK("https://test.ictv.global/id/ICTV19910513","ICTV19910513@TEST")</f>
        <v>ICTV19910513@TEST</v>
      </c>
      <c r="N981" s="7" t="str">
        <f>HYPERLINK("https://ictv.global/id/TN19981028","TN19981028@prod")</f>
        <v>TN19981028@prod</v>
      </c>
      <c r="O981" s="7" t="str">
        <f>HYPERLINK("https://ictv.global/id/ICTV19910513","ICTV19910513@prod")</f>
        <v>ICTV19910513@prod</v>
      </c>
    </row>
    <row r="982" spans="1:15" x14ac:dyDescent="0.2">
      <c r="A982">
        <v>17</v>
      </c>
      <c r="B982">
        <v>19981029</v>
      </c>
      <c r="C982">
        <v>19760177</v>
      </c>
      <c r="D982" t="s">
        <v>29</v>
      </c>
      <c r="E982" t="s">
        <v>530</v>
      </c>
      <c r="G982" t="s">
        <v>33</v>
      </c>
      <c r="H982" t="s">
        <v>465</v>
      </c>
      <c r="I982" t="s">
        <v>29</v>
      </c>
      <c r="J982">
        <v>19990625</v>
      </c>
      <c r="K982">
        <v>19990625</v>
      </c>
      <c r="L982" s="7" t="str">
        <f>HYPERLINK("https://test.ictv.global/id/TN19981029","TN19981029@TEST")</f>
        <v>TN19981029@TEST</v>
      </c>
      <c r="M982" s="7" t="str">
        <f>HYPERLINK("https://test.ictv.global/id/ICTV19760177","ICTV19760177@TEST")</f>
        <v>ICTV19760177@TEST</v>
      </c>
      <c r="N982" s="7" t="str">
        <f>HYPERLINK("https://ictv.global/id/TN19981029","TN19981029@prod")</f>
        <v>TN19981029@prod</v>
      </c>
      <c r="O982" s="7" t="str">
        <f>HYPERLINK("https://ictv.global/id/ICTV19760177","ICTV19760177@prod")</f>
        <v>ICTV19760177@prod</v>
      </c>
    </row>
    <row r="983" spans="1:15" x14ac:dyDescent="0.2">
      <c r="A983">
        <v>17</v>
      </c>
      <c r="B983">
        <v>19981030</v>
      </c>
      <c r="C983">
        <v>19990635</v>
      </c>
      <c r="D983" t="s">
        <v>29</v>
      </c>
      <c r="E983" t="s">
        <v>531</v>
      </c>
      <c r="G983" t="s">
        <v>33</v>
      </c>
      <c r="H983" t="s">
        <v>531</v>
      </c>
      <c r="I983" t="s">
        <v>29</v>
      </c>
      <c r="J983">
        <v>19990635</v>
      </c>
      <c r="K983">
        <v>19990635</v>
      </c>
      <c r="L983" s="7" t="str">
        <f>HYPERLINK("https://test.ictv.global/id/TN19981030","TN19981030@TEST")</f>
        <v>TN19981030@TEST</v>
      </c>
      <c r="M983" s="7" t="str">
        <f>HYPERLINK("https://test.ictv.global/id/ICTV19990635","ICTV19990635@TEST")</f>
        <v>ICTV19990635@TEST</v>
      </c>
      <c r="N983" s="7" t="str">
        <f>HYPERLINK("https://ictv.global/id/TN19981030","TN19981030@prod")</f>
        <v>TN19981030@prod</v>
      </c>
      <c r="O983" s="7" t="str">
        <f>HYPERLINK("https://ictv.global/id/ICTV19990635","ICTV19990635@prod")</f>
        <v>ICTV19990635@prod</v>
      </c>
    </row>
    <row r="984" spans="1:15" x14ac:dyDescent="0.2">
      <c r="A984">
        <v>17</v>
      </c>
      <c r="B984">
        <v>19981031</v>
      </c>
      <c r="C984">
        <v>19760179</v>
      </c>
      <c r="D984" t="s">
        <v>29</v>
      </c>
      <c r="E984" t="s">
        <v>532</v>
      </c>
      <c r="G984" t="s">
        <v>33</v>
      </c>
      <c r="H984" t="s">
        <v>465</v>
      </c>
      <c r="I984" t="s">
        <v>29</v>
      </c>
      <c r="J984">
        <v>19990625</v>
      </c>
      <c r="K984">
        <v>19990625</v>
      </c>
      <c r="L984" s="7" t="str">
        <f>HYPERLINK("https://test.ictv.global/id/TN19981031","TN19981031@TEST")</f>
        <v>TN19981031@TEST</v>
      </c>
      <c r="M984" s="7" t="str">
        <f>HYPERLINK("https://test.ictv.global/id/ICTV19760179","ICTV19760179@TEST")</f>
        <v>ICTV19760179@TEST</v>
      </c>
      <c r="N984" s="7" t="str">
        <f>HYPERLINK("https://ictv.global/id/TN19981031","TN19981031@prod")</f>
        <v>TN19981031@prod</v>
      </c>
      <c r="O984" s="7" t="str">
        <f>HYPERLINK("https://ictv.global/id/ICTV19760179","ICTV19760179@prod")</f>
        <v>ICTV19760179@prod</v>
      </c>
    </row>
    <row r="985" spans="1:15" x14ac:dyDescent="0.2">
      <c r="A985">
        <v>17</v>
      </c>
      <c r="B985">
        <v>19981032</v>
      </c>
      <c r="C985">
        <v>19910517</v>
      </c>
      <c r="D985" t="s">
        <v>29</v>
      </c>
      <c r="E985" t="s">
        <v>533</v>
      </c>
      <c r="G985" t="s">
        <v>33</v>
      </c>
      <c r="H985" t="s">
        <v>473</v>
      </c>
      <c r="I985" t="s">
        <v>29</v>
      </c>
      <c r="J985">
        <v>19990614</v>
      </c>
      <c r="K985">
        <v>19990614</v>
      </c>
      <c r="L985" s="7" t="str">
        <f>HYPERLINK("https://test.ictv.global/id/TN19981032","TN19981032@TEST")</f>
        <v>TN19981032@TEST</v>
      </c>
      <c r="M985" s="7" t="str">
        <f>HYPERLINK("https://test.ictv.global/id/ICTV19910517","ICTV19910517@TEST")</f>
        <v>ICTV19910517@TEST</v>
      </c>
      <c r="N985" s="7" t="str">
        <f>HYPERLINK("https://ictv.global/id/TN19981032","TN19981032@prod")</f>
        <v>TN19981032@prod</v>
      </c>
      <c r="O985" s="7" t="str">
        <f>HYPERLINK("https://ictv.global/id/ICTV19910517","ICTV19910517@prod")</f>
        <v>ICTV19910517@prod</v>
      </c>
    </row>
    <row r="986" spans="1:15" x14ac:dyDescent="0.2">
      <c r="A986">
        <v>17</v>
      </c>
      <c r="B986">
        <v>19981033</v>
      </c>
      <c r="C986">
        <v>19910519</v>
      </c>
      <c r="D986" t="s">
        <v>29</v>
      </c>
      <c r="E986" t="s">
        <v>534</v>
      </c>
      <c r="G986" t="s">
        <v>33</v>
      </c>
      <c r="H986" t="s">
        <v>535</v>
      </c>
      <c r="I986" t="s">
        <v>29</v>
      </c>
      <c r="J986">
        <v>19990655</v>
      </c>
      <c r="K986">
        <v>19990655</v>
      </c>
      <c r="L986" s="7" t="str">
        <f>HYPERLINK("https://test.ictv.global/id/TN19981033","TN19981033@TEST")</f>
        <v>TN19981033@TEST</v>
      </c>
      <c r="M986" s="7" t="str">
        <f>HYPERLINK("https://test.ictv.global/id/ICTV19910519","ICTV19910519@TEST")</f>
        <v>ICTV19910519@TEST</v>
      </c>
      <c r="N986" s="7" t="str">
        <f>HYPERLINK("https://ictv.global/id/TN19981033","TN19981033@prod")</f>
        <v>TN19981033@prod</v>
      </c>
      <c r="O986" s="7" t="str">
        <f>HYPERLINK("https://ictv.global/id/ICTV19910519","ICTV19910519@prod")</f>
        <v>ICTV19910519@prod</v>
      </c>
    </row>
    <row r="987" spans="1:15" x14ac:dyDescent="0.2">
      <c r="A987">
        <v>17</v>
      </c>
      <c r="B987">
        <v>19981034</v>
      </c>
      <c r="C987">
        <v>19760180</v>
      </c>
      <c r="D987" t="s">
        <v>29</v>
      </c>
      <c r="E987" t="s">
        <v>536</v>
      </c>
      <c r="G987" t="s">
        <v>31</v>
      </c>
      <c r="H987" t="s">
        <v>463</v>
      </c>
      <c r="I987" t="s">
        <v>29</v>
      </c>
      <c r="J987">
        <v>19990622</v>
      </c>
      <c r="K987">
        <v>19990622</v>
      </c>
      <c r="L987" s="7" t="str">
        <f>HYPERLINK("https://test.ictv.global/id/TN19981034","TN19981034@TEST")</f>
        <v>TN19981034@TEST</v>
      </c>
      <c r="M987" s="7" t="str">
        <f>HYPERLINK("https://test.ictv.global/id/ICTV19760180","ICTV19760180@TEST")</f>
        <v>ICTV19760180@TEST</v>
      </c>
      <c r="N987" s="7" t="str">
        <f>HYPERLINK("https://ictv.global/id/TN19981034","TN19981034@prod")</f>
        <v>TN19981034@prod</v>
      </c>
      <c r="O987" s="7" t="str">
        <f>HYPERLINK("https://ictv.global/id/ICTV19760180","ICTV19760180@prod")</f>
        <v>ICTV19760180@prod</v>
      </c>
    </row>
    <row r="988" spans="1:15" x14ac:dyDescent="0.2">
      <c r="A988">
        <v>17</v>
      </c>
      <c r="B988">
        <v>19981035</v>
      </c>
      <c r="C988">
        <v>19790219</v>
      </c>
      <c r="D988" t="s">
        <v>29</v>
      </c>
      <c r="E988" t="s">
        <v>537</v>
      </c>
      <c r="G988" t="s">
        <v>33</v>
      </c>
      <c r="H988" t="s">
        <v>473</v>
      </c>
      <c r="I988" t="s">
        <v>29</v>
      </c>
      <c r="J988">
        <v>19990614</v>
      </c>
      <c r="K988">
        <v>19990614</v>
      </c>
      <c r="L988" s="7" t="str">
        <f>HYPERLINK("https://test.ictv.global/id/TN19981035","TN19981035@TEST")</f>
        <v>TN19981035@TEST</v>
      </c>
      <c r="M988" s="7" t="str">
        <f>HYPERLINK("https://test.ictv.global/id/ICTV19790219","ICTV19790219@TEST")</f>
        <v>ICTV19790219@TEST</v>
      </c>
      <c r="N988" s="7" t="str">
        <f>HYPERLINK("https://ictv.global/id/TN19981035","TN19981035@prod")</f>
        <v>TN19981035@prod</v>
      </c>
      <c r="O988" s="7" t="str">
        <f>HYPERLINK("https://ictv.global/id/ICTV19790219","ICTV19790219@prod")</f>
        <v>ICTV19790219@prod</v>
      </c>
    </row>
    <row r="989" spans="1:15" x14ac:dyDescent="0.2">
      <c r="A989">
        <v>17</v>
      </c>
      <c r="B989">
        <v>19981036</v>
      </c>
      <c r="C989">
        <v>19910522</v>
      </c>
      <c r="D989" t="s">
        <v>29</v>
      </c>
      <c r="E989" t="s">
        <v>538</v>
      </c>
      <c r="G989" t="s">
        <v>33</v>
      </c>
      <c r="H989" t="s">
        <v>472</v>
      </c>
      <c r="I989" t="s">
        <v>29</v>
      </c>
      <c r="J989">
        <v>19990656</v>
      </c>
      <c r="K989">
        <v>19990656</v>
      </c>
      <c r="L989" s="7" t="str">
        <f>HYPERLINK("https://test.ictv.global/id/TN19981036","TN19981036@TEST")</f>
        <v>TN19981036@TEST</v>
      </c>
      <c r="M989" s="7" t="str">
        <f>HYPERLINK("https://test.ictv.global/id/ICTV19910522","ICTV19910522@TEST")</f>
        <v>ICTV19910522@TEST</v>
      </c>
      <c r="N989" s="7" t="str">
        <f>HYPERLINK("https://ictv.global/id/TN19981036","TN19981036@prod")</f>
        <v>TN19981036@prod</v>
      </c>
      <c r="O989" s="7" t="str">
        <f>HYPERLINK("https://ictv.global/id/ICTV19910522","ICTV19910522@prod")</f>
        <v>ICTV19910522@prod</v>
      </c>
    </row>
    <row r="990" spans="1:15" x14ac:dyDescent="0.2">
      <c r="A990">
        <v>17</v>
      </c>
      <c r="B990">
        <v>19981038</v>
      </c>
      <c r="C990">
        <v>19760182</v>
      </c>
      <c r="D990" t="s">
        <v>29</v>
      </c>
      <c r="E990" t="s">
        <v>539</v>
      </c>
      <c r="G990" t="s">
        <v>31</v>
      </c>
      <c r="H990" t="s">
        <v>463</v>
      </c>
      <c r="I990" t="s">
        <v>29</v>
      </c>
      <c r="J990">
        <v>19990622</v>
      </c>
      <c r="K990">
        <v>19990622</v>
      </c>
      <c r="L990" s="7" t="str">
        <f>HYPERLINK("https://test.ictv.global/id/TN19981038","TN19981038@TEST")</f>
        <v>TN19981038@TEST</v>
      </c>
      <c r="M990" s="7" t="str">
        <f>HYPERLINK("https://test.ictv.global/id/ICTV19760182","ICTV19760182@TEST")</f>
        <v>ICTV19760182@TEST</v>
      </c>
      <c r="N990" s="7" t="str">
        <f>HYPERLINK("https://ictv.global/id/TN19981038","TN19981038@prod")</f>
        <v>TN19981038@prod</v>
      </c>
      <c r="O990" s="7" t="str">
        <f>HYPERLINK("https://ictv.global/id/ICTV19760182","ICTV19760182@prod")</f>
        <v>ICTV19760182@prod</v>
      </c>
    </row>
    <row r="991" spans="1:15" x14ac:dyDescent="0.2">
      <c r="A991">
        <v>17</v>
      </c>
      <c r="B991">
        <v>19981039</v>
      </c>
      <c r="C991">
        <v>19760183</v>
      </c>
      <c r="D991" t="s">
        <v>29</v>
      </c>
      <c r="E991" t="s">
        <v>540</v>
      </c>
      <c r="G991" t="s">
        <v>33</v>
      </c>
      <c r="H991" t="s">
        <v>470</v>
      </c>
      <c r="I991" t="s">
        <v>29</v>
      </c>
      <c r="J991">
        <v>19990632</v>
      </c>
      <c r="K991">
        <v>19990632</v>
      </c>
      <c r="L991" s="7" t="str">
        <f>HYPERLINK("https://test.ictv.global/id/TN19981039","TN19981039@TEST")</f>
        <v>TN19981039@TEST</v>
      </c>
      <c r="M991" s="7" t="str">
        <f>HYPERLINK("https://test.ictv.global/id/ICTV19760183","ICTV19760183@TEST")</f>
        <v>ICTV19760183@TEST</v>
      </c>
      <c r="N991" s="7" t="str">
        <f>HYPERLINK("https://ictv.global/id/TN19981039","TN19981039@prod")</f>
        <v>TN19981039@prod</v>
      </c>
      <c r="O991" s="7" t="str">
        <f>HYPERLINK("https://ictv.global/id/ICTV19760183","ICTV19760183@prod")</f>
        <v>ICTV19760183@prod</v>
      </c>
    </row>
    <row r="992" spans="1:15" x14ac:dyDescent="0.2">
      <c r="A992">
        <v>17</v>
      </c>
      <c r="B992">
        <v>19981041</v>
      </c>
      <c r="C992">
        <v>19990638</v>
      </c>
      <c r="D992" t="s">
        <v>29</v>
      </c>
      <c r="E992" t="s">
        <v>493</v>
      </c>
      <c r="G992" t="s">
        <v>33</v>
      </c>
      <c r="H992" t="s">
        <v>493</v>
      </c>
      <c r="I992" t="s">
        <v>29</v>
      </c>
      <c r="J992">
        <v>19990638</v>
      </c>
      <c r="K992">
        <v>19990638</v>
      </c>
      <c r="L992" s="7" t="str">
        <f>HYPERLINK("https://test.ictv.global/id/TN19981041","TN19981041@TEST")</f>
        <v>TN19981041@TEST</v>
      </c>
      <c r="M992" s="7" t="str">
        <f>HYPERLINK("https://test.ictv.global/id/ICTV19990638","ICTV19990638@TEST")</f>
        <v>ICTV19990638@TEST</v>
      </c>
      <c r="N992" s="7" t="str">
        <f>HYPERLINK("https://ictv.global/id/TN19981041","TN19981041@prod")</f>
        <v>TN19981041@prod</v>
      </c>
      <c r="O992" s="7" t="str">
        <f>HYPERLINK("https://ictv.global/id/ICTV19990638","ICTV19990638@prod")</f>
        <v>ICTV19990638@prod</v>
      </c>
    </row>
    <row r="993" spans="1:15" x14ac:dyDescent="0.2">
      <c r="A993">
        <v>17</v>
      </c>
      <c r="B993">
        <v>19981042</v>
      </c>
      <c r="C993">
        <v>19990639</v>
      </c>
      <c r="D993" t="s">
        <v>29</v>
      </c>
      <c r="E993" t="s">
        <v>453</v>
      </c>
      <c r="G993" t="s">
        <v>33</v>
      </c>
      <c r="H993" t="s">
        <v>453</v>
      </c>
      <c r="I993" t="s">
        <v>29</v>
      </c>
      <c r="J993">
        <v>19990639</v>
      </c>
      <c r="K993">
        <v>19990639</v>
      </c>
      <c r="L993" s="7" t="str">
        <f>HYPERLINK("https://test.ictv.global/id/TN19981042","TN19981042@TEST")</f>
        <v>TN19981042@TEST</v>
      </c>
      <c r="M993" s="7" t="str">
        <f>HYPERLINK("https://test.ictv.global/id/ICTV19990639","ICTV19990639@TEST")</f>
        <v>ICTV19990639@TEST</v>
      </c>
      <c r="N993" s="7" t="str">
        <f>HYPERLINK("https://ictv.global/id/TN19981042","TN19981042@prod")</f>
        <v>TN19981042@prod</v>
      </c>
      <c r="O993" s="7" t="str">
        <f>HYPERLINK("https://ictv.global/id/ICTV19990639","ICTV19990639@prod")</f>
        <v>ICTV19990639@prod</v>
      </c>
    </row>
    <row r="994" spans="1:15" x14ac:dyDescent="0.2">
      <c r="A994">
        <v>17</v>
      </c>
      <c r="B994">
        <v>19981043</v>
      </c>
      <c r="C994">
        <v>19760187</v>
      </c>
      <c r="D994" t="s">
        <v>29</v>
      </c>
      <c r="E994" t="s">
        <v>541</v>
      </c>
      <c r="G994" t="s">
        <v>33</v>
      </c>
      <c r="H994" t="s">
        <v>479</v>
      </c>
      <c r="I994" t="s">
        <v>29</v>
      </c>
      <c r="J994">
        <v>19990652</v>
      </c>
      <c r="K994">
        <v>19990652</v>
      </c>
      <c r="L994" s="7" t="str">
        <f>HYPERLINK("https://test.ictv.global/id/TN19981043","TN19981043@TEST")</f>
        <v>TN19981043@TEST</v>
      </c>
      <c r="M994" s="7" t="str">
        <f>HYPERLINK("https://test.ictv.global/id/ICTV19760187","ICTV19760187@TEST")</f>
        <v>ICTV19760187@TEST</v>
      </c>
      <c r="N994" s="7" t="str">
        <f>HYPERLINK("https://ictv.global/id/TN19981043","TN19981043@prod")</f>
        <v>TN19981043@prod</v>
      </c>
      <c r="O994" s="7" t="str">
        <f>HYPERLINK("https://ictv.global/id/ICTV19760187","ICTV19760187@prod")</f>
        <v>ICTV19760187@prod</v>
      </c>
    </row>
    <row r="995" spans="1:15" x14ac:dyDescent="0.2">
      <c r="A995">
        <v>17</v>
      </c>
      <c r="B995">
        <v>19981044</v>
      </c>
      <c r="C995">
        <v>19910530</v>
      </c>
      <c r="D995" t="s">
        <v>29</v>
      </c>
      <c r="E995" t="s">
        <v>542</v>
      </c>
      <c r="G995" t="s">
        <v>31</v>
      </c>
      <c r="H995" t="s">
        <v>463</v>
      </c>
      <c r="I995" t="s">
        <v>29</v>
      </c>
      <c r="J995">
        <v>19990622</v>
      </c>
      <c r="K995">
        <v>19990622</v>
      </c>
      <c r="L995" s="7" t="str">
        <f>HYPERLINK("https://test.ictv.global/id/TN19981044","TN19981044@TEST")</f>
        <v>TN19981044@TEST</v>
      </c>
      <c r="M995" s="7" t="str">
        <f>HYPERLINK("https://test.ictv.global/id/ICTV19910530","ICTV19910530@TEST")</f>
        <v>ICTV19910530@TEST</v>
      </c>
      <c r="N995" s="7" t="str">
        <f>HYPERLINK("https://ictv.global/id/TN19981044","TN19981044@prod")</f>
        <v>TN19981044@prod</v>
      </c>
      <c r="O995" s="7" t="str">
        <f>HYPERLINK("https://ictv.global/id/ICTV19910530","ICTV19910530@prod")</f>
        <v>ICTV19910530@prod</v>
      </c>
    </row>
    <row r="996" spans="1:15" x14ac:dyDescent="0.2">
      <c r="A996">
        <v>17</v>
      </c>
      <c r="B996">
        <v>19981045</v>
      </c>
      <c r="C996">
        <v>19760188</v>
      </c>
      <c r="D996" t="s">
        <v>29</v>
      </c>
      <c r="E996" t="s">
        <v>543</v>
      </c>
      <c r="G996" t="s">
        <v>33</v>
      </c>
      <c r="H996" t="s">
        <v>465</v>
      </c>
      <c r="I996" t="s">
        <v>29</v>
      </c>
      <c r="J996">
        <v>19990625</v>
      </c>
      <c r="K996">
        <v>19990625</v>
      </c>
      <c r="L996" s="7" t="str">
        <f>HYPERLINK("https://test.ictv.global/id/TN19981045","TN19981045@TEST")</f>
        <v>TN19981045@TEST</v>
      </c>
      <c r="M996" s="7" t="str">
        <f>HYPERLINK("https://test.ictv.global/id/ICTV19760188","ICTV19760188@TEST")</f>
        <v>ICTV19760188@TEST</v>
      </c>
      <c r="N996" s="7" t="str">
        <f>HYPERLINK("https://ictv.global/id/TN19981045","TN19981045@prod")</f>
        <v>TN19981045@prod</v>
      </c>
      <c r="O996" s="7" t="str">
        <f>HYPERLINK("https://ictv.global/id/ICTV19760188","ICTV19760188@prod")</f>
        <v>ICTV19760188@prod</v>
      </c>
    </row>
    <row r="997" spans="1:15" x14ac:dyDescent="0.2">
      <c r="A997">
        <v>17</v>
      </c>
      <c r="B997">
        <v>19981046</v>
      </c>
      <c r="C997">
        <v>19760189</v>
      </c>
      <c r="D997" t="s">
        <v>29</v>
      </c>
      <c r="E997" t="s">
        <v>544</v>
      </c>
      <c r="G997" t="s">
        <v>33</v>
      </c>
      <c r="H997" t="s">
        <v>493</v>
      </c>
      <c r="I997" t="s">
        <v>29</v>
      </c>
      <c r="J997">
        <v>19990638</v>
      </c>
      <c r="K997">
        <v>19990638</v>
      </c>
      <c r="L997" s="7" t="str">
        <f>HYPERLINK("https://test.ictv.global/id/TN19981046","TN19981046@TEST")</f>
        <v>TN19981046@TEST</v>
      </c>
      <c r="M997" s="7" t="str">
        <f>HYPERLINK("https://test.ictv.global/id/ICTV19760189","ICTV19760189@TEST")</f>
        <v>ICTV19760189@TEST</v>
      </c>
      <c r="N997" s="7" t="str">
        <f>HYPERLINK("https://ictv.global/id/TN19981046","TN19981046@prod")</f>
        <v>TN19981046@prod</v>
      </c>
      <c r="O997" s="7" t="str">
        <f>HYPERLINK("https://ictv.global/id/ICTV19760189","ICTV19760189@prod")</f>
        <v>ICTV19760189@prod</v>
      </c>
    </row>
    <row r="998" spans="1:15" x14ac:dyDescent="0.2">
      <c r="A998">
        <v>17</v>
      </c>
      <c r="B998">
        <v>19981047</v>
      </c>
      <c r="C998">
        <v>19990640</v>
      </c>
      <c r="D998" t="s">
        <v>29</v>
      </c>
      <c r="E998" t="s">
        <v>545</v>
      </c>
      <c r="G998" t="s">
        <v>33</v>
      </c>
      <c r="H998" t="s">
        <v>545</v>
      </c>
      <c r="I998" t="s">
        <v>29</v>
      </c>
      <c r="J998">
        <v>19990640</v>
      </c>
      <c r="K998">
        <v>19990640</v>
      </c>
      <c r="L998" s="7" t="str">
        <f>HYPERLINK("https://test.ictv.global/id/TN19981047","TN19981047@TEST")</f>
        <v>TN19981047@TEST</v>
      </c>
      <c r="M998" s="7" t="str">
        <f>HYPERLINK("https://test.ictv.global/id/ICTV19990640","ICTV19990640@TEST")</f>
        <v>ICTV19990640@TEST</v>
      </c>
      <c r="N998" s="7" t="str">
        <f>HYPERLINK("https://ictv.global/id/TN19981047","TN19981047@prod")</f>
        <v>TN19981047@prod</v>
      </c>
      <c r="O998" s="7" t="str">
        <f>HYPERLINK("https://ictv.global/id/ICTV19990640","ICTV19990640@prod")</f>
        <v>ICTV19990640@prod</v>
      </c>
    </row>
    <row r="999" spans="1:15" x14ac:dyDescent="0.2">
      <c r="A999">
        <v>17</v>
      </c>
      <c r="B999">
        <v>19981048</v>
      </c>
      <c r="C999">
        <v>19760191</v>
      </c>
      <c r="D999" t="s">
        <v>29</v>
      </c>
      <c r="E999" t="s">
        <v>546</v>
      </c>
      <c r="G999" t="s">
        <v>33</v>
      </c>
      <c r="H999" t="s">
        <v>485</v>
      </c>
      <c r="I999" t="s">
        <v>29</v>
      </c>
      <c r="J999">
        <v>19990619</v>
      </c>
      <c r="K999">
        <v>19990619</v>
      </c>
      <c r="L999" s="7" t="str">
        <f>HYPERLINK("https://test.ictv.global/id/TN19981048","TN19981048@TEST")</f>
        <v>TN19981048@TEST</v>
      </c>
      <c r="M999" s="7" t="str">
        <f>HYPERLINK("https://test.ictv.global/id/ICTV19760191","ICTV19760191@TEST")</f>
        <v>ICTV19760191@TEST</v>
      </c>
      <c r="N999" s="7" t="str">
        <f>HYPERLINK("https://ictv.global/id/TN19981048","TN19981048@prod")</f>
        <v>TN19981048@prod</v>
      </c>
      <c r="O999" s="7" t="str">
        <f>HYPERLINK("https://ictv.global/id/ICTV19760191","ICTV19760191@prod")</f>
        <v>ICTV19760191@prod</v>
      </c>
    </row>
    <row r="1000" spans="1:15" x14ac:dyDescent="0.2">
      <c r="A1000">
        <v>17</v>
      </c>
      <c r="B1000">
        <v>19981049</v>
      </c>
      <c r="C1000">
        <v>19760192</v>
      </c>
      <c r="D1000" t="s">
        <v>29</v>
      </c>
      <c r="E1000" t="s">
        <v>547</v>
      </c>
      <c r="G1000" t="s">
        <v>33</v>
      </c>
      <c r="H1000" t="s">
        <v>470</v>
      </c>
      <c r="I1000" t="s">
        <v>29</v>
      </c>
      <c r="J1000">
        <v>19990632</v>
      </c>
      <c r="K1000">
        <v>19990632</v>
      </c>
      <c r="L1000" s="7" t="str">
        <f>HYPERLINK("https://test.ictv.global/id/TN19981049","TN19981049@TEST")</f>
        <v>TN19981049@TEST</v>
      </c>
      <c r="M1000" s="7" t="str">
        <f>HYPERLINK("https://test.ictv.global/id/ICTV19760192","ICTV19760192@TEST")</f>
        <v>ICTV19760192@TEST</v>
      </c>
      <c r="N1000" s="7" t="str">
        <f>HYPERLINK("https://ictv.global/id/TN19981049","TN19981049@prod")</f>
        <v>TN19981049@prod</v>
      </c>
      <c r="O1000" s="7" t="str">
        <f>HYPERLINK("https://ictv.global/id/ICTV19760192","ICTV19760192@prod")</f>
        <v>ICTV19760192@prod</v>
      </c>
    </row>
    <row r="1001" spans="1:15" x14ac:dyDescent="0.2">
      <c r="A1001">
        <v>17</v>
      </c>
      <c r="B1001">
        <v>19981050</v>
      </c>
      <c r="C1001">
        <v>19760193</v>
      </c>
      <c r="D1001" t="s">
        <v>29</v>
      </c>
      <c r="E1001" t="s">
        <v>548</v>
      </c>
      <c r="G1001" t="s">
        <v>33</v>
      </c>
      <c r="H1001" t="s">
        <v>461</v>
      </c>
      <c r="I1001" t="s">
        <v>29</v>
      </c>
      <c r="J1001">
        <v>19990611</v>
      </c>
      <c r="K1001">
        <v>19990611</v>
      </c>
      <c r="L1001" s="7" t="str">
        <f>HYPERLINK("https://test.ictv.global/id/TN19981050","TN19981050@TEST")</f>
        <v>TN19981050@TEST</v>
      </c>
      <c r="M1001" s="7" t="str">
        <f>HYPERLINK("https://test.ictv.global/id/ICTV19760193","ICTV19760193@TEST")</f>
        <v>ICTV19760193@TEST</v>
      </c>
      <c r="N1001" s="7" t="str">
        <f>HYPERLINK("https://ictv.global/id/TN19981050","TN19981050@prod")</f>
        <v>TN19981050@prod</v>
      </c>
      <c r="O1001" s="7" t="str">
        <f>HYPERLINK("https://ictv.global/id/ICTV19760193","ICTV19760193@prod")</f>
        <v>ICTV19760193@prod</v>
      </c>
    </row>
    <row r="1002" spans="1:15" x14ac:dyDescent="0.2">
      <c r="A1002">
        <v>17</v>
      </c>
      <c r="B1002">
        <v>19981051</v>
      </c>
      <c r="C1002">
        <v>19760194</v>
      </c>
      <c r="D1002" t="s">
        <v>29</v>
      </c>
      <c r="E1002" t="s">
        <v>549</v>
      </c>
      <c r="G1002" t="s">
        <v>33</v>
      </c>
      <c r="H1002" t="s">
        <v>453</v>
      </c>
      <c r="I1002" t="s">
        <v>29</v>
      </c>
      <c r="J1002">
        <v>19990639</v>
      </c>
      <c r="K1002">
        <v>19990639</v>
      </c>
      <c r="L1002" s="7" t="str">
        <f>HYPERLINK("https://test.ictv.global/id/TN19981051","TN19981051@TEST")</f>
        <v>TN19981051@TEST</v>
      </c>
      <c r="M1002" s="7" t="str">
        <f>HYPERLINK("https://test.ictv.global/id/ICTV19760194","ICTV19760194@TEST")</f>
        <v>ICTV19760194@TEST</v>
      </c>
      <c r="N1002" s="7" t="str">
        <f>HYPERLINK("https://ictv.global/id/TN19981051","TN19981051@prod")</f>
        <v>TN19981051@prod</v>
      </c>
      <c r="O1002" s="7" t="str">
        <f>HYPERLINK("https://ictv.global/id/ICTV19760194","ICTV19760194@prod")</f>
        <v>ICTV19760194@prod</v>
      </c>
    </row>
    <row r="1003" spans="1:15" x14ac:dyDescent="0.2">
      <c r="A1003">
        <v>17</v>
      </c>
      <c r="B1003">
        <v>19981052</v>
      </c>
      <c r="C1003">
        <v>19760195</v>
      </c>
      <c r="D1003" t="s">
        <v>29</v>
      </c>
      <c r="E1003" t="s">
        <v>550</v>
      </c>
      <c r="G1003" t="s">
        <v>33</v>
      </c>
      <c r="H1003" t="s">
        <v>453</v>
      </c>
      <c r="I1003" t="s">
        <v>29</v>
      </c>
      <c r="J1003">
        <v>19990639</v>
      </c>
      <c r="K1003">
        <v>19990639</v>
      </c>
      <c r="L1003" s="7" t="str">
        <f>HYPERLINK("https://test.ictv.global/id/TN19981052","TN19981052@TEST")</f>
        <v>TN19981052@TEST</v>
      </c>
      <c r="M1003" s="7" t="str">
        <f>HYPERLINK("https://test.ictv.global/id/ICTV19760195","ICTV19760195@TEST")</f>
        <v>ICTV19760195@TEST</v>
      </c>
      <c r="N1003" s="7" t="str">
        <f>HYPERLINK("https://ictv.global/id/TN19981052","TN19981052@prod")</f>
        <v>TN19981052@prod</v>
      </c>
      <c r="O1003" s="7" t="str">
        <f>HYPERLINK("https://ictv.global/id/ICTV19760195","ICTV19760195@prod")</f>
        <v>ICTV19760195@prod</v>
      </c>
    </row>
    <row r="1004" spans="1:15" x14ac:dyDescent="0.2">
      <c r="A1004">
        <v>17</v>
      </c>
      <c r="B1004">
        <v>19981053</v>
      </c>
      <c r="C1004">
        <v>19910540</v>
      </c>
      <c r="D1004" t="s">
        <v>29</v>
      </c>
      <c r="E1004" t="s">
        <v>551</v>
      </c>
      <c r="G1004" t="s">
        <v>31</v>
      </c>
      <c r="H1004" t="s">
        <v>463</v>
      </c>
      <c r="I1004" t="s">
        <v>29</v>
      </c>
      <c r="J1004">
        <v>19990622</v>
      </c>
      <c r="K1004">
        <v>19990622</v>
      </c>
      <c r="L1004" s="7" t="str">
        <f>HYPERLINK("https://test.ictv.global/id/TN19981053","TN19981053@TEST")</f>
        <v>TN19981053@TEST</v>
      </c>
      <c r="M1004" s="7" t="str">
        <f>HYPERLINK("https://test.ictv.global/id/ICTV19910540","ICTV19910540@TEST")</f>
        <v>ICTV19910540@TEST</v>
      </c>
      <c r="N1004" s="7" t="str">
        <f>HYPERLINK("https://ictv.global/id/TN19981053","TN19981053@prod")</f>
        <v>TN19981053@prod</v>
      </c>
      <c r="O1004" s="7" t="str">
        <f>HYPERLINK("https://ictv.global/id/ICTV19910540","ICTV19910540@prod")</f>
        <v>ICTV19910540@prod</v>
      </c>
    </row>
    <row r="1005" spans="1:15" x14ac:dyDescent="0.2">
      <c r="A1005">
        <v>17</v>
      </c>
      <c r="B1005">
        <v>19981054</v>
      </c>
      <c r="C1005">
        <v>19760196</v>
      </c>
      <c r="D1005" t="s">
        <v>29</v>
      </c>
      <c r="E1005" t="s">
        <v>552</v>
      </c>
      <c r="G1005" t="s">
        <v>33</v>
      </c>
      <c r="H1005" t="s">
        <v>480</v>
      </c>
      <c r="I1005" t="s">
        <v>29</v>
      </c>
      <c r="J1005">
        <v>19990616</v>
      </c>
      <c r="K1005">
        <v>19990616</v>
      </c>
      <c r="L1005" s="7" t="str">
        <f>HYPERLINK("https://test.ictv.global/id/TN19981054","TN19981054@TEST")</f>
        <v>TN19981054@TEST</v>
      </c>
      <c r="M1005" s="7" t="str">
        <f>HYPERLINK("https://test.ictv.global/id/ICTV19760196","ICTV19760196@TEST")</f>
        <v>ICTV19760196@TEST</v>
      </c>
      <c r="N1005" s="7" t="str">
        <f>HYPERLINK("https://ictv.global/id/TN19981054","TN19981054@prod")</f>
        <v>TN19981054@prod</v>
      </c>
      <c r="O1005" s="7" t="str">
        <f>HYPERLINK("https://ictv.global/id/ICTV19760196","ICTV19760196@prod")</f>
        <v>ICTV19760196@prod</v>
      </c>
    </row>
    <row r="1006" spans="1:15" x14ac:dyDescent="0.2">
      <c r="A1006">
        <v>17</v>
      </c>
      <c r="B1006">
        <v>19981055</v>
      </c>
      <c r="C1006">
        <v>19760197</v>
      </c>
      <c r="D1006" t="s">
        <v>29</v>
      </c>
      <c r="E1006" t="s">
        <v>553</v>
      </c>
      <c r="G1006" t="s">
        <v>31</v>
      </c>
      <c r="H1006" t="s">
        <v>463</v>
      </c>
      <c r="I1006" t="s">
        <v>29</v>
      </c>
      <c r="J1006">
        <v>19990622</v>
      </c>
      <c r="K1006">
        <v>19990622</v>
      </c>
      <c r="L1006" s="7" t="str">
        <f>HYPERLINK("https://test.ictv.global/id/TN19981055","TN19981055@TEST")</f>
        <v>TN19981055@TEST</v>
      </c>
      <c r="M1006" s="7" t="str">
        <f>HYPERLINK("https://test.ictv.global/id/ICTV19760197","ICTV19760197@TEST")</f>
        <v>ICTV19760197@TEST</v>
      </c>
      <c r="N1006" s="7" t="str">
        <f>HYPERLINK("https://ictv.global/id/TN19981055","TN19981055@prod")</f>
        <v>TN19981055@prod</v>
      </c>
      <c r="O1006" s="7" t="str">
        <f>HYPERLINK("https://ictv.global/id/ICTV19760197","ICTV19760197@prod")</f>
        <v>ICTV19760197@prod</v>
      </c>
    </row>
    <row r="1007" spans="1:15" x14ac:dyDescent="0.2">
      <c r="A1007">
        <v>17</v>
      </c>
      <c r="B1007">
        <v>19981056</v>
      </c>
      <c r="C1007">
        <v>19990642</v>
      </c>
      <c r="D1007" t="s">
        <v>29</v>
      </c>
      <c r="E1007" t="s">
        <v>507</v>
      </c>
      <c r="G1007" t="s">
        <v>33</v>
      </c>
      <c r="H1007" t="s">
        <v>507</v>
      </c>
      <c r="I1007" t="s">
        <v>29</v>
      </c>
      <c r="J1007">
        <v>19990642</v>
      </c>
      <c r="K1007">
        <v>19990642</v>
      </c>
      <c r="L1007" s="7" t="str">
        <f>HYPERLINK("https://test.ictv.global/id/TN19981056","TN19981056@TEST")</f>
        <v>TN19981056@TEST</v>
      </c>
      <c r="M1007" s="7" t="str">
        <f>HYPERLINK("https://test.ictv.global/id/ICTV19990642","ICTV19990642@TEST")</f>
        <v>ICTV19990642@TEST</v>
      </c>
      <c r="N1007" s="7" t="str">
        <f>HYPERLINK("https://ictv.global/id/TN19981056","TN19981056@prod")</f>
        <v>TN19981056@prod</v>
      </c>
      <c r="O1007" s="7" t="str">
        <f>HYPERLINK("https://ictv.global/id/ICTV19990642","ICTV19990642@prod")</f>
        <v>ICTV19990642@prod</v>
      </c>
    </row>
    <row r="1008" spans="1:15" x14ac:dyDescent="0.2">
      <c r="A1008">
        <v>17</v>
      </c>
      <c r="B1008">
        <v>19981057</v>
      </c>
      <c r="C1008">
        <v>19990643</v>
      </c>
      <c r="D1008" t="s">
        <v>29</v>
      </c>
      <c r="E1008" t="s">
        <v>488</v>
      </c>
      <c r="G1008" t="s">
        <v>33</v>
      </c>
      <c r="H1008" t="s">
        <v>488</v>
      </c>
      <c r="I1008" t="s">
        <v>29</v>
      </c>
      <c r="J1008">
        <v>19990643</v>
      </c>
      <c r="K1008">
        <v>19990643</v>
      </c>
      <c r="L1008" s="7" t="str">
        <f>HYPERLINK("https://test.ictv.global/id/TN19981057","TN19981057@TEST")</f>
        <v>TN19981057@TEST</v>
      </c>
      <c r="M1008" s="7" t="str">
        <f>HYPERLINK("https://test.ictv.global/id/ICTV19990643","ICTV19990643@TEST")</f>
        <v>ICTV19990643@TEST</v>
      </c>
      <c r="N1008" s="7" t="str">
        <f>HYPERLINK("https://ictv.global/id/TN19981057","TN19981057@prod")</f>
        <v>TN19981057@prod</v>
      </c>
      <c r="O1008" s="7" t="str">
        <f>HYPERLINK("https://ictv.global/id/ICTV19990643","ICTV19990643@prod")</f>
        <v>ICTV19990643@prod</v>
      </c>
    </row>
    <row r="1009" spans="1:15" x14ac:dyDescent="0.2">
      <c r="A1009">
        <v>17</v>
      </c>
      <c r="B1009">
        <v>19981058</v>
      </c>
      <c r="C1009">
        <v>19990644</v>
      </c>
      <c r="D1009" t="s">
        <v>29</v>
      </c>
      <c r="E1009" t="s">
        <v>524</v>
      </c>
      <c r="G1009" t="s">
        <v>33</v>
      </c>
      <c r="H1009" t="s">
        <v>524</v>
      </c>
      <c r="I1009" t="s">
        <v>29</v>
      </c>
      <c r="J1009">
        <v>19990644</v>
      </c>
      <c r="K1009">
        <v>19990644</v>
      </c>
      <c r="L1009" s="7" t="str">
        <f>HYPERLINK("https://test.ictv.global/id/TN19981058","TN19981058@TEST")</f>
        <v>TN19981058@TEST</v>
      </c>
      <c r="M1009" s="7" t="str">
        <f>HYPERLINK("https://test.ictv.global/id/ICTV19990644","ICTV19990644@TEST")</f>
        <v>ICTV19990644@TEST</v>
      </c>
      <c r="N1009" s="7" t="str">
        <f>HYPERLINK("https://ictv.global/id/TN19981058","TN19981058@prod")</f>
        <v>TN19981058@prod</v>
      </c>
      <c r="O1009" s="7" t="str">
        <f>HYPERLINK("https://ictv.global/id/ICTV19990644","ICTV19990644@prod")</f>
        <v>ICTV19990644@prod</v>
      </c>
    </row>
    <row r="1010" spans="1:15" x14ac:dyDescent="0.2">
      <c r="A1010">
        <v>17</v>
      </c>
      <c r="B1010">
        <v>19981059</v>
      </c>
      <c r="C1010">
        <v>19990645</v>
      </c>
      <c r="D1010" t="s">
        <v>29</v>
      </c>
      <c r="E1010" t="s">
        <v>509</v>
      </c>
      <c r="G1010" t="s">
        <v>33</v>
      </c>
      <c r="H1010" t="s">
        <v>509</v>
      </c>
      <c r="I1010" t="s">
        <v>29</v>
      </c>
      <c r="J1010">
        <v>19990645</v>
      </c>
      <c r="K1010">
        <v>19990645</v>
      </c>
      <c r="L1010" s="7" t="str">
        <f>HYPERLINK("https://test.ictv.global/id/TN19981059","TN19981059@TEST")</f>
        <v>TN19981059@TEST</v>
      </c>
      <c r="M1010" s="7" t="str">
        <f>HYPERLINK("https://test.ictv.global/id/ICTV19990645","ICTV19990645@TEST")</f>
        <v>ICTV19990645@TEST</v>
      </c>
      <c r="N1010" s="7" t="str">
        <f>HYPERLINK("https://ictv.global/id/TN19981059","TN19981059@prod")</f>
        <v>TN19981059@prod</v>
      </c>
      <c r="O1010" s="7" t="str">
        <f>HYPERLINK("https://ictv.global/id/ICTV19990645","ICTV19990645@prod")</f>
        <v>ICTV19990645@prod</v>
      </c>
    </row>
    <row r="1011" spans="1:15" x14ac:dyDescent="0.2">
      <c r="A1011">
        <v>17</v>
      </c>
      <c r="B1011">
        <v>19981060</v>
      </c>
      <c r="C1011">
        <v>19760200</v>
      </c>
      <c r="D1011" t="s">
        <v>29</v>
      </c>
      <c r="E1011" t="s">
        <v>554</v>
      </c>
      <c r="G1011" t="s">
        <v>33</v>
      </c>
      <c r="H1011" t="s">
        <v>476</v>
      </c>
      <c r="I1011" t="s">
        <v>29</v>
      </c>
      <c r="J1011">
        <v>19990627</v>
      </c>
      <c r="K1011">
        <v>19990627</v>
      </c>
      <c r="L1011" s="7" t="str">
        <f>HYPERLINK("https://test.ictv.global/id/TN19981060","TN19981060@TEST")</f>
        <v>TN19981060@TEST</v>
      </c>
      <c r="M1011" s="7" t="str">
        <f>HYPERLINK("https://test.ictv.global/id/ICTV19760200","ICTV19760200@TEST")</f>
        <v>ICTV19760200@TEST</v>
      </c>
      <c r="N1011" s="7" t="str">
        <f>HYPERLINK("https://ictv.global/id/TN19981060","TN19981060@prod")</f>
        <v>TN19981060@prod</v>
      </c>
      <c r="O1011" s="7" t="str">
        <f>HYPERLINK("https://ictv.global/id/ICTV19760200","ICTV19760200@prod")</f>
        <v>ICTV19760200@prod</v>
      </c>
    </row>
    <row r="1012" spans="1:15" x14ac:dyDescent="0.2">
      <c r="A1012">
        <v>17</v>
      </c>
      <c r="B1012">
        <v>19981061</v>
      </c>
      <c r="C1012">
        <v>19910548</v>
      </c>
      <c r="D1012" t="s">
        <v>29</v>
      </c>
      <c r="E1012" t="s">
        <v>555</v>
      </c>
      <c r="G1012" t="s">
        <v>33</v>
      </c>
      <c r="H1012" t="s">
        <v>488</v>
      </c>
      <c r="I1012" t="s">
        <v>29</v>
      </c>
      <c r="J1012">
        <v>19990643</v>
      </c>
      <c r="K1012">
        <v>19990643</v>
      </c>
      <c r="L1012" s="7" t="str">
        <f>HYPERLINK("https://test.ictv.global/id/TN19981061","TN19981061@TEST")</f>
        <v>TN19981061@TEST</v>
      </c>
      <c r="M1012" s="7" t="str">
        <f>HYPERLINK("https://test.ictv.global/id/ICTV19910548","ICTV19910548@TEST")</f>
        <v>ICTV19910548@TEST</v>
      </c>
      <c r="N1012" s="7" t="str">
        <f>HYPERLINK("https://ictv.global/id/TN19981061","TN19981061@prod")</f>
        <v>TN19981061@prod</v>
      </c>
      <c r="O1012" s="7" t="str">
        <f>HYPERLINK("https://ictv.global/id/ICTV19910548","ICTV19910548@prod")</f>
        <v>ICTV19910548@prod</v>
      </c>
    </row>
    <row r="1013" spans="1:15" x14ac:dyDescent="0.2">
      <c r="A1013">
        <v>17</v>
      </c>
      <c r="B1013">
        <v>19981062</v>
      </c>
      <c r="C1013">
        <v>19760201</v>
      </c>
      <c r="D1013" t="s">
        <v>29</v>
      </c>
      <c r="E1013" t="s">
        <v>556</v>
      </c>
      <c r="G1013" t="s">
        <v>33</v>
      </c>
      <c r="H1013" t="s">
        <v>460</v>
      </c>
      <c r="I1013" t="s">
        <v>29</v>
      </c>
      <c r="J1013">
        <v>19990646</v>
      </c>
      <c r="K1013">
        <v>19990646</v>
      </c>
      <c r="L1013" s="7" t="str">
        <f>HYPERLINK("https://test.ictv.global/id/TN19981062","TN19981062@TEST")</f>
        <v>TN19981062@TEST</v>
      </c>
      <c r="M1013" s="7" t="str">
        <f>HYPERLINK("https://test.ictv.global/id/ICTV19760201","ICTV19760201@TEST")</f>
        <v>ICTV19760201@TEST</v>
      </c>
      <c r="N1013" s="7" t="str">
        <f>HYPERLINK("https://ictv.global/id/TN19981062","TN19981062@prod")</f>
        <v>TN19981062@prod</v>
      </c>
      <c r="O1013" s="7" t="str">
        <f>HYPERLINK("https://ictv.global/id/ICTV19760201","ICTV19760201@prod")</f>
        <v>ICTV19760201@prod</v>
      </c>
    </row>
    <row r="1014" spans="1:15" x14ac:dyDescent="0.2">
      <c r="A1014">
        <v>17</v>
      </c>
      <c r="B1014">
        <v>19981063</v>
      </c>
      <c r="C1014">
        <v>19910550</v>
      </c>
      <c r="D1014" t="s">
        <v>29</v>
      </c>
      <c r="E1014" t="s">
        <v>557</v>
      </c>
      <c r="G1014" t="s">
        <v>33</v>
      </c>
      <c r="H1014" t="s">
        <v>545</v>
      </c>
      <c r="I1014" t="s">
        <v>29</v>
      </c>
      <c r="J1014">
        <v>19990640</v>
      </c>
      <c r="K1014">
        <v>19990640</v>
      </c>
      <c r="L1014" s="7" t="str">
        <f>HYPERLINK("https://test.ictv.global/id/TN19981063","TN19981063@TEST")</f>
        <v>TN19981063@TEST</v>
      </c>
      <c r="M1014" s="7" t="str">
        <f>HYPERLINK("https://test.ictv.global/id/ICTV19910550","ICTV19910550@TEST")</f>
        <v>ICTV19910550@TEST</v>
      </c>
      <c r="N1014" s="7" t="str">
        <f>HYPERLINK("https://ictv.global/id/TN19981063","TN19981063@prod")</f>
        <v>TN19981063@prod</v>
      </c>
      <c r="O1014" s="7" t="str">
        <f>HYPERLINK("https://ictv.global/id/ICTV19910550","ICTV19910550@prod")</f>
        <v>ICTV19910550@prod</v>
      </c>
    </row>
    <row r="1015" spans="1:15" x14ac:dyDescent="0.2">
      <c r="A1015">
        <v>17</v>
      </c>
      <c r="B1015">
        <v>19981064</v>
      </c>
      <c r="C1015">
        <v>19910551</v>
      </c>
      <c r="D1015" t="s">
        <v>29</v>
      </c>
      <c r="E1015" t="s">
        <v>1688</v>
      </c>
      <c r="G1015" t="s">
        <v>1165</v>
      </c>
      <c r="L1015" s="7" t="str">
        <f>HYPERLINK("https://test.ictv.global/id/TN19981064","TN19981064@TEST")</f>
        <v>TN19981064@TEST</v>
      </c>
      <c r="M1015" s="7" t="str">
        <f>HYPERLINK("https://test.ictv.global/id/ICTV19910551","ICTV19910551@TEST")</f>
        <v>ICTV19910551@TEST</v>
      </c>
      <c r="N1015" s="7" t="str">
        <f>HYPERLINK("https://ictv.global/id/TN19981064","TN19981064@prod")</f>
        <v>TN19981064@prod</v>
      </c>
      <c r="O1015" s="7" t="str">
        <f>HYPERLINK("https://ictv.global/id/ICTV19910551","ICTV19910551@prod")</f>
        <v>ICTV19910551@prod</v>
      </c>
    </row>
    <row r="1016" spans="1:15" x14ac:dyDescent="0.2">
      <c r="A1016">
        <v>17</v>
      </c>
      <c r="B1016">
        <v>19981065</v>
      </c>
      <c r="C1016">
        <v>19990646</v>
      </c>
      <c r="D1016" t="s">
        <v>29</v>
      </c>
      <c r="E1016" t="s">
        <v>460</v>
      </c>
      <c r="G1016" t="s">
        <v>33</v>
      </c>
      <c r="H1016" t="s">
        <v>460</v>
      </c>
      <c r="I1016" t="s">
        <v>29</v>
      </c>
      <c r="J1016">
        <v>19990646</v>
      </c>
      <c r="K1016">
        <v>19990646</v>
      </c>
      <c r="L1016" s="7" t="str">
        <f>HYPERLINK("https://test.ictv.global/id/TN19981065","TN19981065@TEST")</f>
        <v>TN19981065@TEST</v>
      </c>
      <c r="M1016" s="7" t="str">
        <f>HYPERLINK("https://test.ictv.global/id/ICTV19990646","ICTV19990646@TEST")</f>
        <v>ICTV19990646@TEST</v>
      </c>
      <c r="N1016" s="7" t="str">
        <f>HYPERLINK("https://ictv.global/id/TN19981065","TN19981065@prod")</f>
        <v>TN19981065@prod</v>
      </c>
      <c r="O1016" s="7" t="str">
        <f>HYPERLINK("https://ictv.global/id/ICTV19990646","ICTV19990646@prod")</f>
        <v>ICTV19990646@prod</v>
      </c>
    </row>
    <row r="1017" spans="1:15" x14ac:dyDescent="0.2">
      <c r="A1017">
        <v>17</v>
      </c>
      <c r="B1017">
        <v>19981066</v>
      </c>
      <c r="C1017">
        <v>19820337</v>
      </c>
      <c r="D1017" t="s">
        <v>29</v>
      </c>
      <c r="E1017" t="s">
        <v>558</v>
      </c>
      <c r="G1017" t="s">
        <v>33</v>
      </c>
      <c r="H1017" t="s">
        <v>559</v>
      </c>
      <c r="I1017" t="s">
        <v>29</v>
      </c>
      <c r="J1017">
        <v>19990648</v>
      </c>
      <c r="K1017">
        <v>19990648</v>
      </c>
      <c r="L1017" s="7" t="str">
        <f>HYPERLINK("https://test.ictv.global/id/TN19981066","TN19981066@TEST")</f>
        <v>TN19981066@TEST</v>
      </c>
      <c r="M1017" s="7" t="str">
        <f>HYPERLINK("https://test.ictv.global/id/ICTV19820337","ICTV19820337@TEST")</f>
        <v>ICTV19820337@TEST</v>
      </c>
      <c r="N1017" s="7" t="str">
        <f>HYPERLINK("https://ictv.global/id/TN19981066","TN19981066@prod")</f>
        <v>TN19981066@prod</v>
      </c>
      <c r="O1017" s="7" t="str">
        <f>HYPERLINK("https://ictv.global/id/ICTV19820337","ICTV19820337@prod")</f>
        <v>ICTV19820337@prod</v>
      </c>
    </row>
    <row r="1018" spans="1:15" x14ac:dyDescent="0.2">
      <c r="A1018">
        <v>17</v>
      </c>
      <c r="B1018">
        <v>19981067</v>
      </c>
      <c r="C1018">
        <v>19910554</v>
      </c>
      <c r="D1018" t="s">
        <v>29</v>
      </c>
      <c r="E1018" t="s">
        <v>560</v>
      </c>
      <c r="G1018" t="s">
        <v>31</v>
      </c>
      <c r="H1018" t="s">
        <v>463</v>
      </c>
      <c r="I1018" t="s">
        <v>29</v>
      </c>
      <c r="J1018">
        <v>19990622</v>
      </c>
      <c r="K1018">
        <v>19990622</v>
      </c>
      <c r="L1018" s="7" t="str">
        <f>HYPERLINK("https://test.ictv.global/id/TN19981067","TN19981067@TEST")</f>
        <v>TN19981067@TEST</v>
      </c>
      <c r="M1018" s="7" t="str">
        <f>HYPERLINK("https://test.ictv.global/id/ICTV19910554","ICTV19910554@TEST")</f>
        <v>ICTV19910554@TEST</v>
      </c>
      <c r="N1018" s="7" t="str">
        <f>HYPERLINK("https://ictv.global/id/TN19981067","TN19981067@prod")</f>
        <v>TN19981067@prod</v>
      </c>
      <c r="O1018" s="7" t="str">
        <f>HYPERLINK("https://ictv.global/id/ICTV19910554","ICTV19910554@prod")</f>
        <v>ICTV19910554@prod</v>
      </c>
    </row>
    <row r="1019" spans="1:15" x14ac:dyDescent="0.2">
      <c r="A1019">
        <v>17</v>
      </c>
      <c r="B1019">
        <v>19981068</v>
      </c>
      <c r="C1019">
        <v>19760203</v>
      </c>
      <c r="D1019" t="s">
        <v>29</v>
      </c>
      <c r="E1019" t="s">
        <v>561</v>
      </c>
      <c r="G1019" t="s">
        <v>33</v>
      </c>
      <c r="H1019" t="s">
        <v>494</v>
      </c>
      <c r="I1019" t="s">
        <v>29</v>
      </c>
      <c r="J1019">
        <v>19990624</v>
      </c>
      <c r="K1019">
        <v>19990624</v>
      </c>
      <c r="L1019" s="7" t="str">
        <f>HYPERLINK("https://test.ictv.global/id/TN19981068","TN19981068@TEST")</f>
        <v>TN19981068@TEST</v>
      </c>
      <c r="M1019" s="7" t="str">
        <f>HYPERLINK("https://test.ictv.global/id/ICTV19760203","ICTV19760203@TEST")</f>
        <v>ICTV19760203@TEST</v>
      </c>
      <c r="N1019" s="7" t="str">
        <f>HYPERLINK("https://ictv.global/id/TN19981068","TN19981068@prod")</f>
        <v>TN19981068@prod</v>
      </c>
      <c r="O1019" s="7" t="str">
        <f>HYPERLINK("https://ictv.global/id/ICTV19760203","ICTV19760203@prod")</f>
        <v>ICTV19760203@prod</v>
      </c>
    </row>
    <row r="1020" spans="1:15" x14ac:dyDescent="0.2">
      <c r="A1020">
        <v>17</v>
      </c>
      <c r="B1020">
        <v>19981069</v>
      </c>
      <c r="C1020">
        <v>19950673</v>
      </c>
      <c r="D1020" t="s">
        <v>29</v>
      </c>
      <c r="E1020" t="s">
        <v>562</v>
      </c>
      <c r="G1020" t="s">
        <v>31</v>
      </c>
      <c r="H1020" t="s">
        <v>463</v>
      </c>
      <c r="I1020" t="s">
        <v>29</v>
      </c>
      <c r="J1020">
        <v>19990622</v>
      </c>
      <c r="K1020">
        <v>19990622</v>
      </c>
      <c r="L1020" s="7" t="str">
        <f>HYPERLINK("https://test.ictv.global/id/TN19981069","TN19981069@TEST")</f>
        <v>TN19981069@TEST</v>
      </c>
      <c r="M1020" s="7" t="str">
        <f>HYPERLINK("https://test.ictv.global/id/ICTV19950673","ICTV19950673@TEST")</f>
        <v>ICTV19950673@TEST</v>
      </c>
      <c r="N1020" s="7" t="str">
        <f>HYPERLINK("https://ictv.global/id/TN19981069","TN19981069@prod")</f>
        <v>TN19981069@prod</v>
      </c>
      <c r="O1020" s="7" t="str">
        <f>HYPERLINK("https://ictv.global/id/ICTV19950673","ICTV19950673@prod")</f>
        <v>ICTV19950673@prod</v>
      </c>
    </row>
    <row r="1021" spans="1:15" x14ac:dyDescent="0.2">
      <c r="A1021">
        <v>17</v>
      </c>
      <c r="B1021">
        <v>19981070</v>
      </c>
      <c r="C1021">
        <v>19910556</v>
      </c>
      <c r="D1021" t="s">
        <v>29</v>
      </c>
      <c r="E1021" t="s">
        <v>563</v>
      </c>
      <c r="G1021" t="s">
        <v>33</v>
      </c>
      <c r="H1021" t="s">
        <v>457</v>
      </c>
      <c r="I1021" t="s">
        <v>29</v>
      </c>
      <c r="J1021">
        <v>19990630</v>
      </c>
      <c r="K1021">
        <v>19990630</v>
      </c>
      <c r="L1021" s="7" t="str">
        <f>HYPERLINK("https://test.ictv.global/id/TN19981070","TN19981070@TEST")</f>
        <v>TN19981070@TEST</v>
      </c>
      <c r="M1021" s="7" t="str">
        <f>HYPERLINK("https://test.ictv.global/id/ICTV19910556","ICTV19910556@TEST")</f>
        <v>ICTV19910556@TEST</v>
      </c>
      <c r="N1021" s="7" t="str">
        <f>HYPERLINK("https://ictv.global/id/TN19981070","TN19981070@prod")</f>
        <v>TN19981070@prod</v>
      </c>
      <c r="O1021" s="7" t="str">
        <f>HYPERLINK("https://ictv.global/id/ICTV19910556","ICTV19910556@prod")</f>
        <v>ICTV19910556@prod</v>
      </c>
    </row>
    <row r="1022" spans="1:15" x14ac:dyDescent="0.2">
      <c r="A1022">
        <v>17</v>
      </c>
      <c r="B1022">
        <v>19981071</v>
      </c>
      <c r="C1022">
        <v>19760204</v>
      </c>
      <c r="D1022" t="s">
        <v>29</v>
      </c>
      <c r="E1022" t="s">
        <v>564</v>
      </c>
      <c r="G1022" t="s">
        <v>33</v>
      </c>
      <c r="H1022" t="s">
        <v>453</v>
      </c>
      <c r="I1022" t="s">
        <v>29</v>
      </c>
      <c r="J1022">
        <v>19990639</v>
      </c>
      <c r="K1022">
        <v>19990639</v>
      </c>
      <c r="L1022" s="7" t="str">
        <f>HYPERLINK("https://test.ictv.global/id/TN19981071","TN19981071@TEST")</f>
        <v>TN19981071@TEST</v>
      </c>
      <c r="M1022" s="7" t="str">
        <f>HYPERLINK("https://test.ictv.global/id/ICTV19760204","ICTV19760204@TEST")</f>
        <v>ICTV19760204@TEST</v>
      </c>
      <c r="N1022" s="7" t="str">
        <f>HYPERLINK("https://ictv.global/id/TN19981071","TN19981071@prod")</f>
        <v>TN19981071@prod</v>
      </c>
      <c r="O1022" s="7" t="str">
        <f>HYPERLINK("https://ictv.global/id/ICTV19760204","ICTV19760204@prod")</f>
        <v>ICTV19760204@prod</v>
      </c>
    </row>
    <row r="1023" spans="1:15" x14ac:dyDescent="0.2">
      <c r="A1023">
        <v>17</v>
      </c>
      <c r="B1023">
        <v>19981072</v>
      </c>
      <c r="C1023">
        <v>19760205</v>
      </c>
      <c r="D1023" t="s">
        <v>29</v>
      </c>
      <c r="E1023" t="s">
        <v>565</v>
      </c>
      <c r="G1023" t="s">
        <v>33</v>
      </c>
      <c r="H1023" t="s">
        <v>468</v>
      </c>
      <c r="I1023" t="s">
        <v>29</v>
      </c>
      <c r="J1023">
        <v>19990612</v>
      </c>
      <c r="K1023">
        <v>19990612</v>
      </c>
      <c r="L1023" s="7" t="str">
        <f>HYPERLINK("https://test.ictv.global/id/TN19981072","TN19981072@TEST")</f>
        <v>TN19981072@TEST</v>
      </c>
      <c r="M1023" s="7" t="str">
        <f>HYPERLINK("https://test.ictv.global/id/ICTV19760205","ICTV19760205@TEST")</f>
        <v>ICTV19760205@TEST</v>
      </c>
      <c r="N1023" s="7" t="str">
        <f>HYPERLINK("https://ictv.global/id/TN19981072","TN19981072@prod")</f>
        <v>TN19981072@prod</v>
      </c>
      <c r="O1023" s="7" t="str">
        <f>HYPERLINK("https://ictv.global/id/ICTV19760205","ICTV19760205@prod")</f>
        <v>ICTV19760205@prod</v>
      </c>
    </row>
    <row r="1024" spans="1:15" x14ac:dyDescent="0.2">
      <c r="A1024">
        <v>17</v>
      </c>
      <c r="B1024">
        <v>19981073</v>
      </c>
      <c r="C1024">
        <v>19760207</v>
      </c>
      <c r="D1024" t="s">
        <v>29</v>
      </c>
      <c r="E1024" t="s">
        <v>566</v>
      </c>
      <c r="G1024" t="s">
        <v>33</v>
      </c>
      <c r="H1024" t="s">
        <v>465</v>
      </c>
      <c r="I1024" t="s">
        <v>29</v>
      </c>
      <c r="J1024">
        <v>19990625</v>
      </c>
      <c r="K1024">
        <v>19990625</v>
      </c>
      <c r="L1024" s="7" t="str">
        <f>HYPERLINK("https://test.ictv.global/id/TN19981073","TN19981073@TEST")</f>
        <v>TN19981073@TEST</v>
      </c>
      <c r="M1024" s="7" t="str">
        <f>HYPERLINK("https://test.ictv.global/id/ICTV19760207","ICTV19760207@TEST")</f>
        <v>ICTV19760207@TEST</v>
      </c>
      <c r="N1024" s="7" t="str">
        <f>HYPERLINK("https://ictv.global/id/TN19981073","TN19981073@prod")</f>
        <v>TN19981073@prod</v>
      </c>
      <c r="O1024" s="7" t="str">
        <f>HYPERLINK("https://ictv.global/id/ICTV19760207","ICTV19760207@prod")</f>
        <v>ICTV19760207@prod</v>
      </c>
    </row>
    <row r="1025" spans="1:15" x14ac:dyDescent="0.2">
      <c r="A1025">
        <v>17</v>
      </c>
      <c r="B1025">
        <v>19981074</v>
      </c>
      <c r="C1025">
        <v>19910560</v>
      </c>
      <c r="D1025" t="s">
        <v>29</v>
      </c>
      <c r="E1025" t="s">
        <v>567</v>
      </c>
      <c r="G1025" t="s">
        <v>33</v>
      </c>
      <c r="H1025" t="s">
        <v>455</v>
      </c>
      <c r="I1025" t="s">
        <v>29</v>
      </c>
      <c r="J1025">
        <v>19990613</v>
      </c>
      <c r="K1025">
        <v>19990613</v>
      </c>
      <c r="L1025" s="7" t="str">
        <f>HYPERLINK("https://test.ictv.global/id/TN19981074","TN19981074@TEST")</f>
        <v>TN19981074@TEST</v>
      </c>
      <c r="M1025" s="7" t="str">
        <f>HYPERLINK("https://test.ictv.global/id/ICTV19910560","ICTV19910560@TEST")</f>
        <v>ICTV19910560@TEST</v>
      </c>
      <c r="N1025" s="7" t="str">
        <f>HYPERLINK("https://ictv.global/id/TN19981074","TN19981074@prod")</f>
        <v>TN19981074@prod</v>
      </c>
      <c r="O1025" s="7" t="str">
        <f>HYPERLINK("https://ictv.global/id/ICTV19910560","ICTV19910560@prod")</f>
        <v>ICTV19910560@prod</v>
      </c>
    </row>
    <row r="1026" spans="1:15" x14ac:dyDescent="0.2">
      <c r="A1026">
        <v>17</v>
      </c>
      <c r="B1026">
        <v>19981075</v>
      </c>
      <c r="C1026">
        <v>19760208</v>
      </c>
      <c r="D1026" t="s">
        <v>29</v>
      </c>
      <c r="E1026" t="s">
        <v>568</v>
      </c>
      <c r="G1026" t="s">
        <v>33</v>
      </c>
      <c r="H1026" t="s">
        <v>559</v>
      </c>
      <c r="I1026" t="s">
        <v>29</v>
      </c>
      <c r="J1026">
        <v>19990648</v>
      </c>
      <c r="K1026">
        <v>19990648</v>
      </c>
      <c r="L1026" s="7" t="str">
        <f>HYPERLINK("https://test.ictv.global/id/TN19981075","TN19981075@TEST")</f>
        <v>TN19981075@TEST</v>
      </c>
      <c r="M1026" s="7" t="str">
        <f>HYPERLINK("https://test.ictv.global/id/ICTV19760208","ICTV19760208@TEST")</f>
        <v>ICTV19760208@TEST</v>
      </c>
      <c r="N1026" s="7" t="str">
        <f>HYPERLINK("https://ictv.global/id/TN19981075","TN19981075@prod")</f>
        <v>TN19981075@prod</v>
      </c>
      <c r="O1026" s="7" t="str">
        <f>HYPERLINK("https://ictv.global/id/ICTV19760208","ICTV19760208@prod")</f>
        <v>ICTV19760208@prod</v>
      </c>
    </row>
    <row r="1027" spans="1:15" x14ac:dyDescent="0.2">
      <c r="A1027">
        <v>17</v>
      </c>
      <c r="B1027">
        <v>19981076</v>
      </c>
      <c r="C1027">
        <v>19790248</v>
      </c>
      <c r="D1027" t="s">
        <v>29</v>
      </c>
      <c r="E1027" t="s">
        <v>569</v>
      </c>
      <c r="G1027" t="s">
        <v>31</v>
      </c>
      <c r="H1027" t="s">
        <v>463</v>
      </c>
      <c r="I1027" t="s">
        <v>29</v>
      </c>
      <c r="J1027">
        <v>19990622</v>
      </c>
      <c r="K1027">
        <v>19990622</v>
      </c>
      <c r="L1027" s="7" t="str">
        <f>HYPERLINK("https://test.ictv.global/id/TN19981076","TN19981076@TEST")</f>
        <v>TN19981076@TEST</v>
      </c>
      <c r="M1027" s="7" t="str">
        <f>HYPERLINK("https://test.ictv.global/id/ICTV19790248","ICTV19790248@TEST")</f>
        <v>ICTV19790248@TEST</v>
      </c>
      <c r="N1027" s="7" t="str">
        <f>HYPERLINK("https://ictv.global/id/TN19981076","TN19981076@prod")</f>
        <v>TN19981076@prod</v>
      </c>
      <c r="O1027" s="7" t="str">
        <f>HYPERLINK("https://ictv.global/id/ICTV19790248","ICTV19790248@prod")</f>
        <v>ICTV19790248@prod</v>
      </c>
    </row>
    <row r="1028" spans="1:15" x14ac:dyDescent="0.2">
      <c r="A1028">
        <v>17</v>
      </c>
      <c r="B1028">
        <v>19981077</v>
      </c>
      <c r="C1028">
        <v>19990647</v>
      </c>
      <c r="D1028" t="s">
        <v>29</v>
      </c>
      <c r="E1028" t="s">
        <v>505</v>
      </c>
      <c r="G1028" t="s">
        <v>33</v>
      </c>
      <c r="H1028" t="s">
        <v>505</v>
      </c>
      <c r="I1028" t="s">
        <v>29</v>
      </c>
      <c r="J1028">
        <v>19990647</v>
      </c>
      <c r="K1028">
        <v>19990647</v>
      </c>
      <c r="L1028" s="7" t="str">
        <f>HYPERLINK("https://test.ictv.global/id/TN19981077","TN19981077@TEST")</f>
        <v>TN19981077@TEST</v>
      </c>
      <c r="M1028" s="7" t="str">
        <f>HYPERLINK("https://test.ictv.global/id/ICTV19990647","ICTV19990647@TEST")</f>
        <v>ICTV19990647@TEST</v>
      </c>
      <c r="N1028" s="7" t="str">
        <f>HYPERLINK("https://ictv.global/id/TN19981077","TN19981077@prod")</f>
        <v>TN19981077@prod</v>
      </c>
      <c r="O1028" s="7" t="str">
        <f>HYPERLINK("https://ictv.global/id/ICTV19990647","ICTV19990647@prod")</f>
        <v>ICTV19990647@prod</v>
      </c>
    </row>
    <row r="1029" spans="1:15" x14ac:dyDescent="0.2">
      <c r="A1029">
        <v>17</v>
      </c>
      <c r="B1029">
        <v>19981078</v>
      </c>
      <c r="C1029">
        <v>19790250</v>
      </c>
      <c r="D1029" t="s">
        <v>29</v>
      </c>
      <c r="E1029" t="s">
        <v>570</v>
      </c>
      <c r="G1029" t="s">
        <v>33</v>
      </c>
      <c r="H1029" t="s">
        <v>465</v>
      </c>
      <c r="I1029" t="s">
        <v>29</v>
      </c>
      <c r="J1029">
        <v>19990625</v>
      </c>
      <c r="K1029">
        <v>19990625</v>
      </c>
      <c r="L1029" s="7" t="str">
        <f>HYPERLINK("https://test.ictv.global/id/TN19981078","TN19981078@TEST")</f>
        <v>TN19981078@TEST</v>
      </c>
      <c r="M1029" s="7" t="str">
        <f>HYPERLINK("https://test.ictv.global/id/ICTV19790250","ICTV19790250@TEST")</f>
        <v>ICTV19790250@TEST</v>
      </c>
      <c r="N1029" s="7" t="str">
        <f>HYPERLINK("https://ictv.global/id/TN19981078","TN19981078@prod")</f>
        <v>TN19981078@prod</v>
      </c>
      <c r="O1029" s="7" t="str">
        <f>HYPERLINK("https://ictv.global/id/ICTV19790250","ICTV19790250@prod")</f>
        <v>ICTV19790250@prod</v>
      </c>
    </row>
    <row r="1030" spans="1:15" x14ac:dyDescent="0.2">
      <c r="A1030">
        <v>17</v>
      </c>
      <c r="B1030">
        <v>19981079</v>
      </c>
      <c r="C1030">
        <v>19990648</v>
      </c>
      <c r="D1030" t="s">
        <v>29</v>
      </c>
      <c r="E1030" t="s">
        <v>559</v>
      </c>
      <c r="G1030" t="s">
        <v>33</v>
      </c>
      <c r="H1030" t="s">
        <v>559</v>
      </c>
      <c r="I1030" t="s">
        <v>29</v>
      </c>
      <c r="J1030">
        <v>19990648</v>
      </c>
      <c r="K1030">
        <v>19990648</v>
      </c>
      <c r="L1030" s="7" t="str">
        <f>HYPERLINK("https://test.ictv.global/id/TN19981079","TN19981079@TEST")</f>
        <v>TN19981079@TEST</v>
      </c>
      <c r="M1030" s="7" t="str">
        <f>HYPERLINK("https://test.ictv.global/id/ICTV19990648","ICTV19990648@TEST")</f>
        <v>ICTV19990648@TEST</v>
      </c>
      <c r="N1030" s="7" t="str">
        <f>HYPERLINK("https://ictv.global/id/TN19981079","TN19981079@prod")</f>
        <v>TN19981079@prod</v>
      </c>
      <c r="O1030" s="7" t="str">
        <f>HYPERLINK("https://ictv.global/id/ICTV19990648","ICTV19990648@prod")</f>
        <v>ICTV19990648@prod</v>
      </c>
    </row>
    <row r="1031" spans="1:15" x14ac:dyDescent="0.2">
      <c r="A1031">
        <v>17</v>
      </c>
      <c r="B1031">
        <v>19981080</v>
      </c>
      <c r="C1031">
        <v>19760211</v>
      </c>
      <c r="D1031" t="s">
        <v>29</v>
      </c>
      <c r="E1031" t="s">
        <v>571</v>
      </c>
      <c r="G1031" t="s">
        <v>33</v>
      </c>
      <c r="H1031" t="s">
        <v>460</v>
      </c>
      <c r="I1031" t="s">
        <v>29</v>
      </c>
      <c r="J1031">
        <v>19990646</v>
      </c>
      <c r="K1031">
        <v>19990646</v>
      </c>
      <c r="L1031" s="7" t="str">
        <f>HYPERLINK("https://test.ictv.global/id/TN19981080","TN19981080@TEST")</f>
        <v>TN19981080@TEST</v>
      </c>
      <c r="M1031" s="7" t="str">
        <f>HYPERLINK("https://test.ictv.global/id/ICTV19760211","ICTV19760211@TEST")</f>
        <v>ICTV19760211@TEST</v>
      </c>
      <c r="N1031" s="7" t="str">
        <f>HYPERLINK("https://ictv.global/id/TN19981080","TN19981080@prod")</f>
        <v>TN19981080@prod</v>
      </c>
      <c r="O1031" s="7" t="str">
        <f>HYPERLINK("https://ictv.global/id/ICTV19760211","ICTV19760211@prod")</f>
        <v>ICTV19760211@prod</v>
      </c>
    </row>
    <row r="1032" spans="1:15" x14ac:dyDescent="0.2">
      <c r="A1032">
        <v>17</v>
      </c>
      <c r="B1032">
        <v>19981081</v>
      </c>
      <c r="C1032">
        <v>19820348</v>
      </c>
      <c r="D1032" t="s">
        <v>29</v>
      </c>
      <c r="E1032" t="s">
        <v>572</v>
      </c>
      <c r="G1032" t="s">
        <v>31</v>
      </c>
      <c r="H1032" t="s">
        <v>463</v>
      </c>
      <c r="I1032" t="s">
        <v>29</v>
      </c>
      <c r="J1032">
        <v>19990622</v>
      </c>
      <c r="K1032">
        <v>19990622</v>
      </c>
      <c r="L1032" s="7" t="str">
        <f>HYPERLINK("https://test.ictv.global/id/TN19981081","TN19981081@TEST")</f>
        <v>TN19981081@TEST</v>
      </c>
      <c r="M1032" s="7" t="str">
        <f>HYPERLINK("https://test.ictv.global/id/ICTV19820348","ICTV19820348@TEST")</f>
        <v>ICTV19820348@TEST</v>
      </c>
      <c r="N1032" s="7" t="str">
        <f>HYPERLINK("https://ictv.global/id/TN19981081","TN19981081@prod")</f>
        <v>TN19981081@prod</v>
      </c>
      <c r="O1032" s="7" t="str">
        <f>HYPERLINK("https://ictv.global/id/ICTV19820348","ICTV19820348@prod")</f>
        <v>ICTV19820348@prod</v>
      </c>
    </row>
    <row r="1033" spans="1:15" x14ac:dyDescent="0.2">
      <c r="A1033">
        <v>17</v>
      </c>
      <c r="B1033">
        <v>19981082</v>
      </c>
      <c r="C1033">
        <v>19990649</v>
      </c>
      <c r="D1033" t="s">
        <v>29</v>
      </c>
      <c r="E1033" t="s">
        <v>467</v>
      </c>
      <c r="G1033" t="s">
        <v>33</v>
      </c>
      <c r="H1033" t="s">
        <v>467</v>
      </c>
      <c r="I1033" t="s">
        <v>29</v>
      </c>
      <c r="J1033">
        <v>19990649</v>
      </c>
      <c r="K1033">
        <v>19990649</v>
      </c>
      <c r="L1033" s="7" t="str">
        <f>HYPERLINK("https://test.ictv.global/id/TN19981082","TN19981082@TEST")</f>
        <v>TN19981082@TEST</v>
      </c>
      <c r="M1033" s="7" t="str">
        <f>HYPERLINK("https://test.ictv.global/id/ICTV19990649","ICTV19990649@TEST")</f>
        <v>ICTV19990649@TEST</v>
      </c>
      <c r="N1033" s="7" t="str">
        <f>HYPERLINK("https://ictv.global/id/TN19981082","TN19981082@prod")</f>
        <v>TN19981082@prod</v>
      </c>
      <c r="O1033" s="7" t="str">
        <f>HYPERLINK("https://ictv.global/id/ICTV19990649","ICTV19990649@prod")</f>
        <v>ICTV19990649@prod</v>
      </c>
    </row>
    <row r="1034" spans="1:15" x14ac:dyDescent="0.2">
      <c r="A1034">
        <v>17</v>
      </c>
      <c r="B1034">
        <v>19981084</v>
      </c>
      <c r="C1034">
        <v>19790255</v>
      </c>
      <c r="D1034" t="s">
        <v>29</v>
      </c>
      <c r="E1034" t="s">
        <v>573</v>
      </c>
      <c r="G1034" t="s">
        <v>33</v>
      </c>
      <c r="H1034" t="s">
        <v>465</v>
      </c>
      <c r="I1034" t="s">
        <v>29</v>
      </c>
      <c r="J1034">
        <v>19990625</v>
      </c>
      <c r="K1034">
        <v>19990625</v>
      </c>
      <c r="L1034" s="7" t="str">
        <f>HYPERLINK("https://test.ictv.global/id/TN19981084","TN19981084@TEST")</f>
        <v>TN19981084@TEST</v>
      </c>
      <c r="M1034" s="7" t="str">
        <f>HYPERLINK("https://test.ictv.global/id/ICTV19790255","ICTV19790255@TEST")</f>
        <v>ICTV19790255@TEST</v>
      </c>
      <c r="N1034" s="7" t="str">
        <f>HYPERLINK("https://ictv.global/id/TN19981084","TN19981084@prod")</f>
        <v>TN19981084@prod</v>
      </c>
      <c r="O1034" s="7" t="str">
        <f>HYPERLINK("https://ictv.global/id/ICTV19790255","ICTV19790255@prod")</f>
        <v>ICTV19790255@prod</v>
      </c>
    </row>
    <row r="1035" spans="1:15" x14ac:dyDescent="0.2">
      <c r="A1035">
        <v>17</v>
      </c>
      <c r="B1035">
        <v>19981085</v>
      </c>
      <c r="C1035">
        <v>19760214</v>
      </c>
      <c r="D1035" t="s">
        <v>29</v>
      </c>
      <c r="E1035" t="s">
        <v>574</v>
      </c>
      <c r="G1035" t="s">
        <v>33</v>
      </c>
      <c r="H1035" t="s">
        <v>472</v>
      </c>
      <c r="I1035" t="s">
        <v>29</v>
      </c>
      <c r="J1035">
        <v>19990656</v>
      </c>
      <c r="K1035">
        <v>19990656</v>
      </c>
      <c r="L1035" s="7" t="str">
        <f>HYPERLINK("https://test.ictv.global/id/TN19981085","TN19981085@TEST")</f>
        <v>TN19981085@TEST</v>
      </c>
      <c r="M1035" s="7" t="str">
        <f>HYPERLINK("https://test.ictv.global/id/ICTV19760214","ICTV19760214@TEST")</f>
        <v>ICTV19760214@TEST</v>
      </c>
      <c r="N1035" s="7" t="str">
        <f>HYPERLINK("https://ictv.global/id/TN19981085","TN19981085@prod")</f>
        <v>TN19981085@prod</v>
      </c>
      <c r="O1035" s="7" t="str">
        <f>HYPERLINK("https://ictv.global/id/ICTV19760214","ICTV19760214@prod")</f>
        <v>ICTV19760214@prod</v>
      </c>
    </row>
    <row r="1036" spans="1:15" x14ac:dyDescent="0.2">
      <c r="A1036">
        <v>17</v>
      </c>
      <c r="B1036">
        <v>19981086</v>
      </c>
      <c r="C1036">
        <v>19910572</v>
      </c>
      <c r="D1036" t="s">
        <v>29</v>
      </c>
      <c r="E1036" t="s">
        <v>575</v>
      </c>
      <c r="G1036" t="s">
        <v>33</v>
      </c>
      <c r="H1036" t="s">
        <v>465</v>
      </c>
      <c r="I1036" t="s">
        <v>29</v>
      </c>
      <c r="J1036">
        <v>19990625</v>
      </c>
      <c r="K1036">
        <v>19990625</v>
      </c>
      <c r="L1036" s="7" t="str">
        <f>HYPERLINK("https://test.ictv.global/id/TN19981086","TN19981086@TEST")</f>
        <v>TN19981086@TEST</v>
      </c>
      <c r="M1036" s="7" t="str">
        <f>HYPERLINK("https://test.ictv.global/id/ICTV19910572","ICTV19910572@TEST")</f>
        <v>ICTV19910572@TEST</v>
      </c>
      <c r="N1036" s="7" t="str">
        <f>HYPERLINK("https://ictv.global/id/TN19981086","TN19981086@prod")</f>
        <v>TN19981086@prod</v>
      </c>
      <c r="O1036" s="7" t="str">
        <f>HYPERLINK("https://ictv.global/id/ICTV19910572","ICTV19910572@prod")</f>
        <v>ICTV19910572@prod</v>
      </c>
    </row>
    <row r="1037" spans="1:15" x14ac:dyDescent="0.2">
      <c r="A1037">
        <v>17</v>
      </c>
      <c r="B1037">
        <v>19981087</v>
      </c>
      <c r="C1037">
        <v>19910573</v>
      </c>
      <c r="D1037" t="s">
        <v>29</v>
      </c>
      <c r="E1037" t="s">
        <v>576</v>
      </c>
      <c r="G1037" t="s">
        <v>33</v>
      </c>
      <c r="H1037" t="s">
        <v>499</v>
      </c>
      <c r="I1037" t="s">
        <v>29</v>
      </c>
      <c r="J1037">
        <v>19990651</v>
      </c>
      <c r="K1037">
        <v>19990651</v>
      </c>
      <c r="L1037" s="7" t="str">
        <f>HYPERLINK("https://test.ictv.global/id/TN19981087","TN19981087@TEST")</f>
        <v>TN19981087@TEST</v>
      </c>
      <c r="M1037" s="7" t="str">
        <f>HYPERLINK("https://test.ictv.global/id/ICTV19910573","ICTV19910573@TEST")</f>
        <v>ICTV19910573@TEST</v>
      </c>
      <c r="N1037" s="7" t="str">
        <f>HYPERLINK("https://ictv.global/id/TN19981087","TN19981087@prod")</f>
        <v>TN19981087@prod</v>
      </c>
      <c r="O1037" s="7" t="str">
        <f>HYPERLINK("https://ictv.global/id/ICTV19910573","ICTV19910573@prod")</f>
        <v>ICTV19910573@prod</v>
      </c>
    </row>
    <row r="1038" spans="1:15" x14ac:dyDescent="0.2">
      <c r="A1038">
        <v>17</v>
      </c>
      <c r="B1038">
        <v>19981088</v>
      </c>
      <c r="C1038">
        <v>19990651</v>
      </c>
      <c r="D1038" t="s">
        <v>29</v>
      </c>
      <c r="E1038" t="s">
        <v>499</v>
      </c>
      <c r="G1038" t="s">
        <v>33</v>
      </c>
      <c r="H1038" t="s">
        <v>499</v>
      </c>
      <c r="I1038" t="s">
        <v>29</v>
      </c>
      <c r="J1038">
        <v>19990651</v>
      </c>
      <c r="K1038">
        <v>19990651</v>
      </c>
      <c r="L1038" s="7" t="str">
        <f>HYPERLINK("https://test.ictv.global/id/TN19981088","TN19981088@TEST")</f>
        <v>TN19981088@TEST</v>
      </c>
      <c r="M1038" s="7" t="str">
        <f>HYPERLINK("https://test.ictv.global/id/ICTV19990651","ICTV19990651@TEST")</f>
        <v>ICTV19990651@TEST</v>
      </c>
      <c r="N1038" s="7" t="str">
        <f>HYPERLINK("https://ictv.global/id/TN19981088","TN19981088@prod")</f>
        <v>TN19981088@prod</v>
      </c>
      <c r="O1038" s="7" t="str">
        <f>HYPERLINK("https://ictv.global/id/ICTV19990651","ICTV19990651@prod")</f>
        <v>ICTV19990651@prod</v>
      </c>
    </row>
    <row r="1039" spans="1:15" x14ac:dyDescent="0.2">
      <c r="A1039">
        <v>17</v>
      </c>
      <c r="B1039">
        <v>19981089</v>
      </c>
      <c r="C1039">
        <v>19760215</v>
      </c>
      <c r="D1039" t="s">
        <v>29</v>
      </c>
      <c r="E1039" t="s">
        <v>577</v>
      </c>
      <c r="G1039" t="s">
        <v>33</v>
      </c>
      <c r="H1039" t="s">
        <v>465</v>
      </c>
      <c r="I1039" t="s">
        <v>29</v>
      </c>
      <c r="J1039">
        <v>19990625</v>
      </c>
      <c r="K1039">
        <v>19990625</v>
      </c>
      <c r="L1039" s="7" t="str">
        <f>HYPERLINK("https://test.ictv.global/id/TN19981089","TN19981089@TEST")</f>
        <v>TN19981089@TEST</v>
      </c>
      <c r="M1039" s="7" t="str">
        <f>HYPERLINK("https://test.ictv.global/id/ICTV19760215","ICTV19760215@TEST")</f>
        <v>ICTV19760215@TEST</v>
      </c>
      <c r="N1039" s="7" t="str">
        <f>HYPERLINK("https://ictv.global/id/TN19981089","TN19981089@prod")</f>
        <v>TN19981089@prod</v>
      </c>
      <c r="O1039" s="7" t="str">
        <f>HYPERLINK("https://ictv.global/id/ICTV19760215","ICTV19760215@prod")</f>
        <v>ICTV19760215@prod</v>
      </c>
    </row>
    <row r="1040" spans="1:15" x14ac:dyDescent="0.2">
      <c r="A1040">
        <v>17</v>
      </c>
      <c r="B1040">
        <v>19981090</v>
      </c>
      <c r="C1040">
        <v>19820355</v>
      </c>
      <c r="D1040" t="s">
        <v>29</v>
      </c>
      <c r="E1040" t="s">
        <v>578</v>
      </c>
      <c r="G1040" t="s">
        <v>33</v>
      </c>
      <c r="H1040" t="s">
        <v>472</v>
      </c>
      <c r="I1040" t="s">
        <v>29</v>
      </c>
      <c r="J1040">
        <v>19990656</v>
      </c>
      <c r="K1040">
        <v>19990656</v>
      </c>
      <c r="L1040" s="7" t="str">
        <f>HYPERLINK("https://test.ictv.global/id/TN19981090","TN19981090@TEST")</f>
        <v>TN19981090@TEST</v>
      </c>
      <c r="M1040" s="7" t="str">
        <f>HYPERLINK("https://test.ictv.global/id/ICTV19820355","ICTV19820355@TEST")</f>
        <v>ICTV19820355@TEST</v>
      </c>
      <c r="N1040" s="7" t="str">
        <f>HYPERLINK("https://ictv.global/id/TN19981090","TN19981090@prod")</f>
        <v>TN19981090@prod</v>
      </c>
      <c r="O1040" s="7" t="str">
        <f>HYPERLINK("https://ictv.global/id/ICTV19820355","ICTV19820355@prod")</f>
        <v>ICTV19820355@prod</v>
      </c>
    </row>
    <row r="1041" spans="1:15" x14ac:dyDescent="0.2">
      <c r="A1041">
        <v>17</v>
      </c>
      <c r="B1041">
        <v>19981091</v>
      </c>
      <c r="C1041">
        <v>19910577</v>
      </c>
      <c r="D1041" t="s">
        <v>29</v>
      </c>
      <c r="E1041" t="s">
        <v>579</v>
      </c>
      <c r="G1041" t="s">
        <v>33</v>
      </c>
      <c r="H1041" t="s">
        <v>480</v>
      </c>
      <c r="I1041" t="s">
        <v>29</v>
      </c>
      <c r="J1041">
        <v>19990616</v>
      </c>
      <c r="K1041">
        <v>19990616</v>
      </c>
      <c r="L1041" s="7" t="str">
        <f>HYPERLINK("https://test.ictv.global/id/TN19981091","TN19981091@TEST")</f>
        <v>TN19981091@TEST</v>
      </c>
      <c r="M1041" s="7" t="str">
        <f>HYPERLINK("https://test.ictv.global/id/ICTV19910577","ICTV19910577@TEST")</f>
        <v>ICTV19910577@TEST</v>
      </c>
      <c r="N1041" s="7" t="str">
        <f>HYPERLINK("https://ictv.global/id/TN19981091","TN19981091@prod")</f>
        <v>TN19981091@prod</v>
      </c>
      <c r="O1041" s="7" t="str">
        <f>HYPERLINK("https://ictv.global/id/ICTV19910577","ICTV19910577@prod")</f>
        <v>ICTV19910577@prod</v>
      </c>
    </row>
    <row r="1042" spans="1:15" x14ac:dyDescent="0.2">
      <c r="A1042">
        <v>17</v>
      </c>
      <c r="B1042">
        <v>19981092</v>
      </c>
      <c r="C1042">
        <v>19910578</v>
      </c>
      <c r="D1042" t="s">
        <v>29</v>
      </c>
      <c r="E1042" t="s">
        <v>580</v>
      </c>
      <c r="G1042" t="s">
        <v>33</v>
      </c>
      <c r="H1042" t="s">
        <v>480</v>
      </c>
      <c r="I1042" t="s">
        <v>29</v>
      </c>
      <c r="J1042">
        <v>19990616</v>
      </c>
      <c r="K1042">
        <v>19990616</v>
      </c>
      <c r="L1042" s="7" t="str">
        <f>HYPERLINK("https://test.ictv.global/id/TN19981092","TN19981092@TEST")</f>
        <v>TN19981092@TEST</v>
      </c>
      <c r="M1042" s="7" t="str">
        <f>HYPERLINK("https://test.ictv.global/id/ICTV19910578","ICTV19910578@TEST")</f>
        <v>ICTV19910578@TEST</v>
      </c>
      <c r="N1042" s="7" t="str">
        <f>HYPERLINK("https://ictv.global/id/TN19981092","TN19981092@prod")</f>
        <v>TN19981092@prod</v>
      </c>
      <c r="O1042" s="7" t="str">
        <f>HYPERLINK("https://ictv.global/id/ICTV19910578","ICTV19910578@prod")</f>
        <v>ICTV19910578@prod</v>
      </c>
    </row>
    <row r="1043" spans="1:15" x14ac:dyDescent="0.2">
      <c r="A1043">
        <v>17</v>
      </c>
      <c r="B1043">
        <v>19981093</v>
      </c>
      <c r="C1043">
        <v>19760216</v>
      </c>
      <c r="D1043" t="s">
        <v>29</v>
      </c>
      <c r="E1043" t="s">
        <v>581</v>
      </c>
      <c r="G1043" t="s">
        <v>31</v>
      </c>
      <c r="H1043" t="s">
        <v>463</v>
      </c>
      <c r="I1043" t="s">
        <v>29</v>
      </c>
      <c r="J1043">
        <v>19990622</v>
      </c>
      <c r="K1043">
        <v>19990622</v>
      </c>
      <c r="L1043" s="7" t="str">
        <f>HYPERLINK("https://test.ictv.global/id/TN19981093","TN19981093@TEST")</f>
        <v>TN19981093@TEST</v>
      </c>
      <c r="M1043" s="7" t="str">
        <f>HYPERLINK("https://test.ictv.global/id/ICTV19760216","ICTV19760216@TEST")</f>
        <v>ICTV19760216@TEST</v>
      </c>
      <c r="N1043" s="7" t="str">
        <f>HYPERLINK("https://ictv.global/id/TN19981093","TN19981093@prod")</f>
        <v>TN19981093@prod</v>
      </c>
      <c r="O1043" s="7" t="str">
        <f>HYPERLINK("https://ictv.global/id/ICTV19760216","ICTV19760216@prod")</f>
        <v>ICTV19760216@prod</v>
      </c>
    </row>
    <row r="1044" spans="1:15" x14ac:dyDescent="0.2">
      <c r="A1044">
        <v>17</v>
      </c>
      <c r="B1044">
        <v>19981094</v>
      </c>
      <c r="C1044">
        <v>19990652</v>
      </c>
      <c r="D1044" t="s">
        <v>29</v>
      </c>
      <c r="E1044" t="s">
        <v>479</v>
      </c>
      <c r="G1044" t="s">
        <v>33</v>
      </c>
      <c r="H1044" t="s">
        <v>479</v>
      </c>
      <c r="I1044" t="s">
        <v>29</v>
      </c>
      <c r="J1044">
        <v>19990652</v>
      </c>
      <c r="K1044">
        <v>19990652</v>
      </c>
      <c r="L1044" s="7" t="str">
        <f>HYPERLINK("https://test.ictv.global/id/TN19981094","TN19981094@TEST")</f>
        <v>TN19981094@TEST</v>
      </c>
      <c r="M1044" s="7" t="str">
        <f>HYPERLINK("https://test.ictv.global/id/ICTV19990652","ICTV19990652@TEST")</f>
        <v>ICTV19990652@TEST</v>
      </c>
      <c r="N1044" s="7" t="str">
        <f>HYPERLINK("https://ictv.global/id/TN19981094","TN19981094@prod")</f>
        <v>TN19981094@prod</v>
      </c>
      <c r="O1044" s="7" t="str">
        <f>HYPERLINK("https://ictv.global/id/ICTV19990652","ICTV19990652@prod")</f>
        <v>ICTV19990652@prod</v>
      </c>
    </row>
    <row r="1045" spans="1:15" x14ac:dyDescent="0.2">
      <c r="A1045">
        <v>17</v>
      </c>
      <c r="B1045">
        <v>19981097</v>
      </c>
      <c r="C1045">
        <v>19820360</v>
      </c>
      <c r="D1045" t="s">
        <v>29</v>
      </c>
      <c r="E1045" t="s">
        <v>582</v>
      </c>
      <c r="G1045" t="s">
        <v>33</v>
      </c>
      <c r="H1045" t="s">
        <v>468</v>
      </c>
      <c r="I1045" t="s">
        <v>29</v>
      </c>
      <c r="J1045">
        <v>19990612</v>
      </c>
      <c r="K1045">
        <v>19990612</v>
      </c>
      <c r="L1045" s="7" t="str">
        <f>HYPERLINK("https://test.ictv.global/id/TN19981097","TN19981097@TEST")</f>
        <v>TN19981097@TEST</v>
      </c>
      <c r="M1045" s="7" t="str">
        <f>HYPERLINK("https://test.ictv.global/id/ICTV19820360","ICTV19820360@TEST")</f>
        <v>ICTV19820360@TEST</v>
      </c>
      <c r="N1045" s="7" t="str">
        <f>HYPERLINK("https://ictv.global/id/TN19981097","TN19981097@prod")</f>
        <v>TN19981097@prod</v>
      </c>
      <c r="O1045" s="7" t="str">
        <f>HYPERLINK("https://ictv.global/id/ICTV19820360","ICTV19820360@prod")</f>
        <v>ICTV19820360@prod</v>
      </c>
    </row>
    <row r="1046" spans="1:15" x14ac:dyDescent="0.2">
      <c r="A1046">
        <v>17</v>
      </c>
      <c r="B1046">
        <v>19981098</v>
      </c>
      <c r="C1046">
        <v>19760219</v>
      </c>
      <c r="D1046" t="s">
        <v>29</v>
      </c>
      <c r="E1046" t="s">
        <v>583</v>
      </c>
      <c r="G1046" t="s">
        <v>31</v>
      </c>
      <c r="H1046" t="s">
        <v>463</v>
      </c>
      <c r="I1046" t="s">
        <v>29</v>
      </c>
      <c r="J1046">
        <v>19990622</v>
      </c>
      <c r="K1046">
        <v>19990622</v>
      </c>
      <c r="L1046" t="str">
        <f>HYPERLINK("https://test.ictv.global/id/TN19981098","TN19981098@TEST")</f>
        <v>TN19981098@TEST</v>
      </c>
      <c r="M1046" t="str">
        <f>HYPERLINK("https://test.ictv.global/id/ICTV19760219","ICTV19760219@TEST")</f>
        <v>ICTV19760219@TEST</v>
      </c>
      <c r="N1046" t="str">
        <f>HYPERLINK("https://ictv.global/id/TN19981098","TN19981098@prod")</f>
        <v>TN19981098@prod</v>
      </c>
      <c r="O1046" t="str">
        <f>HYPERLINK("https://ictv.global/id/ICTV19760219","ICTV19760219@prod")</f>
        <v>ICTV19760219@prod</v>
      </c>
    </row>
    <row r="1047" spans="1:15" x14ac:dyDescent="0.2">
      <c r="A1047">
        <v>17</v>
      </c>
      <c r="B1047">
        <v>19981099</v>
      </c>
      <c r="C1047">
        <v>19760220</v>
      </c>
      <c r="D1047" t="s">
        <v>29</v>
      </c>
      <c r="E1047" t="s">
        <v>584</v>
      </c>
      <c r="G1047" t="s">
        <v>33</v>
      </c>
      <c r="H1047" t="s">
        <v>465</v>
      </c>
      <c r="I1047" t="s">
        <v>29</v>
      </c>
      <c r="J1047">
        <v>19990625</v>
      </c>
      <c r="K1047">
        <v>19990625</v>
      </c>
      <c r="L1047" t="str">
        <f>HYPERLINK("https://test.ictv.global/id/TN19981099","TN19981099@TEST")</f>
        <v>TN19981099@TEST</v>
      </c>
      <c r="M1047" t="str">
        <f>HYPERLINK("https://test.ictv.global/id/ICTV19760220","ICTV19760220@TEST")</f>
        <v>ICTV19760220@TEST</v>
      </c>
      <c r="N1047" t="str">
        <f>HYPERLINK("https://ictv.global/id/TN19981099","TN19981099@prod")</f>
        <v>TN19981099@prod</v>
      </c>
      <c r="O1047" t="str">
        <f>HYPERLINK("https://ictv.global/id/ICTV19760220","ICTV19760220@prod")</f>
        <v>ICTV19760220@prod</v>
      </c>
    </row>
    <row r="1048" spans="1:15" x14ac:dyDescent="0.2">
      <c r="A1048">
        <v>17</v>
      </c>
      <c r="B1048">
        <v>19981100</v>
      </c>
      <c r="C1048">
        <v>19910587</v>
      </c>
      <c r="D1048" t="s">
        <v>29</v>
      </c>
      <c r="E1048" t="s">
        <v>585</v>
      </c>
      <c r="G1048" t="s">
        <v>33</v>
      </c>
      <c r="H1048" t="s">
        <v>473</v>
      </c>
      <c r="I1048" t="s">
        <v>29</v>
      </c>
      <c r="J1048">
        <v>19990614</v>
      </c>
      <c r="K1048">
        <v>19990614</v>
      </c>
      <c r="L1048" t="str">
        <f>HYPERLINK("https://test.ictv.global/id/TN19981100","TN19981100@TEST")</f>
        <v>TN19981100@TEST</v>
      </c>
      <c r="M1048" t="str">
        <f>HYPERLINK("https://test.ictv.global/id/ICTV19910587","ICTV19910587@TEST")</f>
        <v>ICTV19910587@TEST</v>
      </c>
      <c r="N1048" t="str">
        <f>HYPERLINK("https://ictv.global/id/TN19981100","TN19981100@prod")</f>
        <v>TN19981100@prod</v>
      </c>
      <c r="O1048" t="str">
        <f>HYPERLINK("https://ictv.global/id/ICTV19910587","ICTV19910587@prod")</f>
        <v>ICTV19910587@prod</v>
      </c>
    </row>
    <row r="1049" spans="1:15" x14ac:dyDescent="0.2">
      <c r="A1049">
        <v>17</v>
      </c>
      <c r="B1049">
        <v>19981101</v>
      </c>
      <c r="C1049">
        <v>19760221</v>
      </c>
      <c r="D1049" t="s">
        <v>29</v>
      </c>
      <c r="E1049" t="s">
        <v>586</v>
      </c>
      <c r="G1049" t="s">
        <v>33</v>
      </c>
      <c r="H1049" t="s">
        <v>479</v>
      </c>
      <c r="I1049" t="s">
        <v>29</v>
      </c>
      <c r="J1049">
        <v>19990652</v>
      </c>
      <c r="K1049">
        <v>19990652</v>
      </c>
      <c r="L1049" t="str">
        <f>HYPERLINK("https://test.ictv.global/id/TN19981101","TN19981101@TEST")</f>
        <v>TN19981101@TEST</v>
      </c>
      <c r="M1049" t="str">
        <f>HYPERLINK("https://test.ictv.global/id/ICTV19760221","ICTV19760221@TEST")</f>
        <v>ICTV19760221@TEST</v>
      </c>
      <c r="N1049" t="str">
        <f>HYPERLINK("https://ictv.global/id/TN19981101","TN19981101@prod")</f>
        <v>TN19981101@prod</v>
      </c>
      <c r="O1049" t="str">
        <f>HYPERLINK("https://ictv.global/id/ICTV19760221","ICTV19760221@prod")</f>
        <v>ICTV19760221@prod</v>
      </c>
    </row>
    <row r="1050" spans="1:15" x14ac:dyDescent="0.2">
      <c r="A1050">
        <v>17</v>
      </c>
      <c r="B1050">
        <v>19981102</v>
      </c>
      <c r="C1050">
        <v>19910589</v>
      </c>
      <c r="D1050" t="s">
        <v>29</v>
      </c>
      <c r="E1050" t="s">
        <v>587</v>
      </c>
      <c r="G1050" t="s">
        <v>31</v>
      </c>
      <c r="H1050" t="s">
        <v>463</v>
      </c>
      <c r="I1050" t="s">
        <v>29</v>
      </c>
      <c r="J1050">
        <v>19990622</v>
      </c>
      <c r="K1050">
        <v>19990622</v>
      </c>
      <c r="L1050" t="str">
        <f>HYPERLINK("https://test.ictv.global/id/TN19981102","TN19981102@TEST")</f>
        <v>TN19981102@TEST</v>
      </c>
      <c r="M1050" t="str">
        <f>HYPERLINK("https://test.ictv.global/id/ICTV19910589","ICTV19910589@TEST")</f>
        <v>ICTV19910589@TEST</v>
      </c>
      <c r="N1050" t="str">
        <f>HYPERLINK("https://ictv.global/id/TN19981102","TN19981102@prod")</f>
        <v>TN19981102@prod</v>
      </c>
      <c r="O1050" t="str">
        <f>HYPERLINK("https://ictv.global/id/ICTV19910589","ICTV19910589@prod")</f>
        <v>ICTV19910589@prod</v>
      </c>
    </row>
    <row r="1051" spans="1:15" x14ac:dyDescent="0.2">
      <c r="A1051">
        <v>17</v>
      </c>
      <c r="B1051">
        <v>19981103</v>
      </c>
      <c r="C1051">
        <v>19990655</v>
      </c>
      <c r="D1051" t="s">
        <v>29</v>
      </c>
      <c r="E1051" t="s">
        <v>535</v>
      </c>
      <c r="G1051" t="s">
        <v>33</v>
      </c>
      <c r="H1051" t="s">
        <v>535</v>
      </c>
      <c r="I1051" t="s">
        <v>29</v>
      </c>
      <c r="J1051">
        <v>19990655</v>
      </c>
      <c r="K1051">
        <v>19990655</v>
      </c>
      <c r="L1051" t="str">
        <f>HYPERLINK("https://test.ictv.global/id/TN19981103","TN19981103@TEST")</f>
        <v>TN19981103@TEST</v>
      </c>
      <c r="M1051" t="str">
        <f>HYPERLINK("https://test.ictv.global/id/ICTV19990655","ICTV19990655@TEST")</f>
        <v>ICTV19990655@TEST</v>
      </c>
      <c r="N1051" t="str">
        <f>HYPERLINK("https://ictv.global/id/TN19981103","TN19981103@prod")</f>
        <v>TN19981103@prod</v>
      </c>
      <c r="O1051" t="str">
        <f>HYPERLINK("https://ictv.global/id/ICTV19990655","ICTV19990655@prod")</f>
        <v>ICTV19990655@prod</v>
      </c>
    </row>
    <row r="1052" spans="1:15" x14ac:dyDescent="0.2">
      <c r="A1052">
        <v>17</v>
      </c>
      <c r="B1052">
        <v>19981104</v>
      </c>
      <c r="C1052">
        <v>19790316</v>
      </c>
      <c r="D1052" t="s">
        <v>29</v>
      </c>
      <c r="E1052" t="s">
        <v>588</v>
      </c>
      <c r="G1052" t="s">
        <v>33</v>
      </c>
      <c r="H1052" t="s">
        <v>535</v>
      </c>
      <c r="I1052" t="s">
        <v>29</v>
      </c>
      <c r="J1052">
        <v>19990655</v>
      </c>
      <c r="K1052">
        <v>19990655</v>
      </c>
      <c r="L1052" t="str">
        <f>HYPERLINK("https://test.ictv.global/id/TN19981104","TN19981104@TEST")</f>
        <v>TN19981104@TEST</v>
      </c>
      <c r="M1052" t="str">
        <f>HYPERLINK("https://test.ictv.global/id/ICTV19790316","ICTV19790316@TEST")</f>
        <v>ICTV19790316@TEST</v>
      </c>
      <c r="N1052" t="str">
        <f>HYPERLINK("https://ictv.global/id/TN19981104","TN19981104@prod")</f>
        <v>TN19981104@prod</v>
      </c>
      <c r="O1052" t="str">
        <f>HYPERLINK("https://ictv.global/id/ICTV19790316","ICTV19790316@prod")</f>
        <v>ICTV19790316@prod</v>
      </c>
    </row>
    <row r="1053" spans="1:15" x14ac:dyDescent="0.2">
      <c r="A1053">
        <v>17</v>
      </c>
      <c r="B1053">
        <v>19981105</v>
      </c>
      <c r="C1053">
        <v>19820366</v>
      </c>
      <c r="D1053" t="s">
        <v>29</v>
      </c>
      <c r="E1053" t="s">
        <v>589</v>
      </c>
      <c r="G1053" t="s">
        <v>33</v>
      </c>
      <c r="H1053" t="s">
        <v>509</v>
      </c>
      <c r="I1053" t="s">
        <v>29</v>
      </c>
      <c r="J1053">
        <v>19990645</v>
      </c>
      <c r="K1053">
        <v>19990645</v>
      </c>
      <c r="L1053" t="str">
        <f>HYPERLINK("https://test.ictv.global/id/TN19981105","TN19981105@TEST")</f>
        <v>TN19981105@TEST</v>
      </c>
      <c r="M1053" t="str">
        <f>HYPERLINK("https://test.ictv.global/id/ICTV19820366","ICTV19820366@TEST")</f>
        <v>ICTV19820366@TEST</v>
      </c>
      <c r="N1053" t="str">
        <f>HYPERLINK("https://ictv.global/id/TN19981105","TN19981105@prod")</f>
        <v>TN19981105@prod</v>
      </c>
      <c r="O1053" t="str">
        <f>HYPERLINK("https://ictv.global/id/ICTV19820366","ICTV19820366@prod")</f>
        <v>ICTV19820366@prod</v>
      </c>
    </row>
    <row r="1054" spans="1:15" x14ac:dyDescent="0.2">
      <c r="A1054">
        <v>17</v>
      </c>
      <c r="B1054">
        <v>19981106</v>
      </c>
      <c r="C1054">
        <v>19820367</v>
      </c>
      <c r="D1054" t="s">
        <v>29</v>
      </c>
      <c r="E1054" t="s">
        <v>590</v>
      </c>
      <c r="G1054" t="s">
        <v>33</v>
      </c>
      <c r="H1054" t="s">
        <v>509</v>
      </c>
      <c r="I1054" t="s">
        <v>29</v>
      </c>
      <c r="J1054">
        <v>19990645</v>
      </c>
      <c r="K1054">
        <v>19990645</v>
      </c>
      <c r="L1054" t="str">
        <f>HYPERLINK("https://test.ictv.global/id/TN19981106","TN19981106@TEST")</f>
        <v>TN19981106@TEST</v>
      </c>
      <c r="M1054" t="str">
        <f>HYPERLINK("https://test.ictv.global/id/ICTV19820367","ICTV19820367@TEST")</f>
        <v>ICTV19820367@TEST</v>
      </c>
      <c r="N1054" t="str">
        <f>HYPERLINK("https://ictv.global/id/TN19981106","TN19981106@prod")</f>
        <v>TN19981106@prod</v>
      </c>
      <c r="O1054" t="str">
        <f>HYPERLINK("https://ictv.global/id/ICTV19820367","ICTV19820367@prod")</f>
        <v>ICTV19820367@prod</v>
      </c>
    </row>
    <row r="1055" spans="1:15" x14ac:dyDescent="0.2">
      <c r="A1055">
        <v>17</v>
      </c>
      <c r="B1055">
        <v>19981107</v>
      </c>
      <c r="C1055">
        <v>19910594</v>
      </c>
      <c r="D1055" t="s">
        <v>29</v>
      </c>
      <c r="E1055" t="s">
        <v>591</v>
      </c>
      <c r="G1055" t="s">
        <v>33</v>
      </c>
      <c r="H1055" t="s">
        <v>476</v>
      </c>
      <c r="I1055" t="s">
        <v>29</v>
      </c>
      <c r="J1055">
        <v>19990627</v>
      </c>
      <c r="K1055">
        <v>19990627</v>
      </c>
      <c r="L1055" t="str">
        <f>HYPERLINK("https://test.ictv.global/id/TN19981107","TN19981107@TEST")</f>
        <v>TN19981107@TEST</v>
      </c>
      <c r="M1055" t="str">
        <f>HYPERLINK("https://test.ictv.global/id/ICTV19910594","ICTV19910594@TEST")</f>
        <v>ICTV19910594@TEST</v>
      </c>
      <c r="N1055" t="str">
        <f>HYPERLINK("https://ictv.global/id/TN19981107","TN19981107@prod")</f>
        <v>TN19981107@prod</v>
      </c>
      <c r="O1055" t="str">
        <f>HYPERLINK("https://ictv.global/id/ICTV19910594","ICTV19910594@prod")</f>
        <v>ICTV19910594@prod</v>
      </c>
    </row>
    <row r="1056" spans="1:15" x14ac:dyDescent="0.2">
      <c r="A1056">
        <v>17</v>
      </c>
      <c r="B1056">
        <v>19981108</v>
      </c>
      <c r="C1056">
        <v>19820368</v>
      </c>
      <c r="D1056" t="s">
        <v>29</v>
      </c>
      <c r="E1056" t="s">
        <v>592</v>
      </c>
      <c r="G1056" t="s">
        <v>33</v>
      </c>
      <c r="H1056" t="s">
        <v>499</v>
      </c>
      <c r="I1056" t="s">
        <v>29</v>
      </c>
      <c r="J1056">
        <v>19990651</v>
      </c>
      <c r="K1056">
        <v>19990651</v>
      </c>
      <c r="L1056" t="str">
        <f>HYPERLINK("https://test.ictv.global/id/TN19981108","TN19981108@TEST")</f>
        <v>TN19981108@TEST</v>
      </c>
      <c r="M1056" t="str">
        <f>HYPERLINK("https://test.ictv.global/id/ICTV19820368","ICTV19820368@TEST")</f>
        <v>ICTV19820368@TEST</v>
      </c>
      <c r="N1056" t="str">
        <f>HYPERLINK("https://ictv.global/id/TN19981108","TN19981108@prod")</f>
        <v>TN19981108@prod</v>
      </c>
      <c r="O1056" t="str">
        <f>HYPERLINK("https://ictv.global/id/ICTV19820368","ICTV19820368@prod")</f>
        <v>ICTV19820368@prod</v>
      </c>
    </row>
    <row r="1057" spans="1:15" x14ac:dyDescent="0.2">
      <c r="A1057">
        <v>17</v>
      </c>
      <c r="B1057">
        <v>19981109</v>
      </c>
      <c r="C1057">
        <v>19910596</v>
      </c>
      <c r="D1057" t="s">
        <v>29</v>
      </c>
      <c r="E1057" t="s">
        <v>593</v>
      </c>
      <c r="G1057" t="s">
        <v>33</v>
      </c>
      <c r="H1057" t="s">
        <v>479</v>
      </c>
      <c r="I1057" t="s">
        <v>29</v>
      </c>
      <c r="J1057">
        <v>19990652</v>
      </c>
      <c r="K1057">
        <v>19990652</v>
      </c>
      <c r="L1057" t="str">
        <f>HYPERLINK("https://test.ictv.global/id/TN19981109","TN19981109@TEST")</f>
        <v>TN19981109@TEST</v>
      </c>
      <c r="M1057" t="str">
        <f>HYPERLINK("https://test.ictv.global/id/ICTV19910596","ICTV19910596@TEST")</f>
        <v>ICTV19910596@TEST</v>
      </c>
      <c r="N1057" t="str">
        <f>HYPERLINK("https://ictv.global/id/TN19981109","TN19981109@prod")</f>
        <v>TN19981109@prod</v>
      </c>
      <c r="O1057" t="str">
        <f>HYPERLINK("https://ictv.global/id/ICTV19910596","ICTV19910596@prod")</f>
        <v>ICTV19910596@prod</v>
      </c>
    </row>
    <row r="1058" spans="1:15" x14ac:dyDescent="0.2">
      <c r="A1058">
        <v>17</v>
      </c>
      <c r="B1058">
        <v>19981110</v>
      </c>
      <c r="C1058">
        <v>19760222</v>
      </c>
      <c r="D1058" t="s">
        <v>29</v>
      </c>
      <c r="E1058" t="s">
        <v>594</v>
      </c>
      <c r="G1058" t="s">
        <v>33</v>
      </c>
      <c r="H1058" t="s">
        <v>531</v>
      </c>
      <c r="I1058" t="s">
        <v>29</v>
      </c>
      <c r="J1058">
        <v>19990635</v>
      </c>
      <c r="K1058">
        <v>19990635</v>
      </c>
      <c r="L1058" t="str">
        <f>HYPERLINK("https://test.ictv.global/id/TN19981110","TN19981110@TEST")</f>
        <v>TN19981110@TEST</v>
      </c>
      <c r="M1058" t="str">
        <f>HYPERLINK("https://test.ictv.global/id/ICTV19760222","ICTV19760222@TEST")</f>
        <v>ICTV19760222@TEST</v>
      </c>
      <c r="N1058" t="str">
        <f>HYPERLINK("https://ictv.global/id/TN19981110","TN19981110@prod")</f>
        <v>TN19981110@prod</v>
      </c>
      <c r="O1058" t="str">
        <f>HYPERLINK("https://ictv.global/id/ICTV19760222","ICTV19760222@prod")</f>
        <v>ICTV19760222@prod</v>
      </c>
    </row>
    <row r="1059" spans="1:15" x14ac:dyDescent="0.2">
      <c r="A1059">
        <v>17</v>
      </c>
      <c r="B1059">
        <v>19981111</v>
      </c>
      <c r="C1059">
        <v>19990656</v>
      </c>
      <c r="D1059" t="s">
        <v>29</v>
      </c>
      <c r="E1059" t="s">
        <v>472</v>
      </c>
      <c r="G1059" t="s">
        <v>33</v>
      </c>
      <c r="H1059" t="s">
        <v>472</v>
      </c>
      <c r="I1059" t="s">
        <v>29</v>
      </c>
      <c r="J1059">
        <v>19990656</v>
      </c>
      <c r="K1059">
        <v>19990656</v>
      </c>
      <c r="L1059" t="str">
        <f>HYPERLINK("https://test.ictv.global/id/TN19981111","TN19981111@TEST")</f>
        <v>TN19981111@TEST</v>
      </c>
      <c r="M1059" t="str">
        <f>HYPERLINK("https://test.ictv.global/id/ICTV19990656","ICTV19990656@TEST")</f>
        <v>ICTV19990656@TEST</v>
      </c>
      <c r="N1059" t="str">
        <f>HYPERLINK("https://ictv.global/id/TN19981111","TN19981111@prod")</f>
        <v>TN19981111@prod</v>
      </c>
      <c r="O1059" t="str">
        <f>HYPERLINK("https://ictv.global/id/ICTV19990656","ICTV19990656@prod")</f>
        <v>ICTV19990656@prod</v>
      </c>
    </row>
    <row r="1060" spans="1:15" x14ac:dyDescent="0.2">
      <c r="A1060">
        <v>17</v>
      </c>
      <c r="B1060">
        <v>19981112</v>
      </c>
      <c r="C1060">
        <v>19910599</v>
      </c>
      <c r="D1060" t="s">
        <v>29</v>
      </c>
      <c r="E1060" t="s">
        <v>595</v>
      </c>
      <c r="G1060" t="s">
        <v>31</v>
      </c>
      <c r="H1060" t="s">
        <v>463</v>
      </c>
      <c r="I1060" t="s">
        <v>29</v>
      </c>
      <c r="J1060">
        <v>19990622</v>
      </c>
      <c r="K1060">
        <v>19990622</v>
      </c>
      <c r="L1060" t="str">
        <f>HYPERLINK("https://test.ictv.global/id/TN19981112","TN19981112@TEST")</f>
        <v>TN19981112@TEST</v>
      </c>
      <c r="M1060" t="str">
        <f>HYPERLINK("https://test.ictv.global/id/ICTV19910599","ICTV19910599@TEST")</f>
        <v>ICTV19910599@TEST</v>
      </c>
      <c r="N1060" t="str">
        <f>HYPERLINK("https://ictv.global/id/TN19981112","TN19981112@prod")</f>
        <v>TN19981112@prod</v>
      </c>
      <c r="O1060" t="str">
        <f>HYPERLINK("https://ictv.global/id/ICTV19910599","ICTV19910599@prod")</f>
        <v>ICTV19910599@prod</v>
      </c>
    </row>
    <row r="1061" spans="1:15" x14ac:dyDescent="0.2">
      <c r="A1061">
        <v>17</v>
      </c>
      <c r="B1061">
        <v>19981114</v>
      </c>
      <c r="C1061">
        <v>19910601</v>
      </c>
      <c r="D1061" t="s">
        <v>29</v>
      </c>
      <c r="E1061" t="s">
        <v>596</v>
      </c>
      <c r="G1061" t="s">
        <v>33</v>
      </c>
      <c r="H1061" t="s">
        <v>468</v>
      </c>
      <c r="I1061" t="s">
        <v>29</v>
      </c>
      <c r="J1061">
        <v>19990612</v>
      </c>
      <c r="K1061">
        <v>19990612</v>
      </c>
      <c r="L1061" t="str">
        <f>HYPERLINK("https://test.ictv.global/id/TN19981114","TN19981114@TEST")</f>
        <v>TN19981114@TEST</v>
      </c>
      <c r="M1061" t="str">
        <f>HYPERLINK("https://test.ictv.global/id/ICTV19910601","ICTV19910601@TEST")</f>
        <v>ICTV19910601@TEST</v>
      </c>
      <c r="N1061" t="str">
        <f>HYPERLINK("https://ictv.global/id/TN19981114","TN19981114@prod")</f>
        <v>TN19981114@prod</v>
      </c>
      <c r="O1061" t="str">
        <f>HYPERLINK("https://ictv.global/id/ICTV19910601","ICTV19910601@prod")</f>
        <v>ICTV19910601@prod</v>
      </c>
    </row>
    <row r="1062" spans="1:15" x14ac:dyDescent="0.2">
      <c r="A1062">
        <v>17</v>
      </c>
      <c r="B1062">
        <v>19981123</v>
      </c>
      <c r="C1062">
        <v>19810347</v>
      </c>
      <c r="D1062" t="s">
        <v>29</v>
      </c>
      <c r="E1062" t="s">
        <v>597</v>
      </c>
      <c r="G1062" t="s">
        <v>33</v>
      </c>
      <c r="H1062" t="s">
        <v>598</v>
      </c>
      <c r="I1062" t="s">
        <v>29</v>
      </c>
      <c r="J1062">
        <v>19990681</v>
      </c>
      <c r="K1062">
        <v>19990681</v>
      </c>
      <c r="L1062" t="str">
        <f>HYPERLINK("https://test.ictv.global/id/TN19981123","TN19981123@TEST")</f>
        <v>TN19981123@TEST</v>
      </c>
      <c r="M1062" t="str">
        <f>HYPERLINK("https://test.ictv.global/id/ICTV19810347","ICTV19810347@TEST")</f>
        <v>ICTV19810347@TEST</v>
      </c>
      <c r="N1062" t="str">
        <f>HYPERLINK("https://ictv.global/id/TN19981123","TN19981123@prod")</f>
        <v>TN19981123@prod</v>
      </c>
      <c r="O1062" t="str">
        <f>HYPERLINK("https://ictv.global/id/ICTV19810347","ICTV19810347@prod")</f>
        <v>ICTV19810347@prod</v>
      </c>
    </row>
    <row r="1063" spans="1:15" x14ac:dyDescent="0.2">
      <c r="A1063">
        <v>17</v>
      </c>
      <c r="B1063">
        <v>19981124</v>
      </c>
      <c r="C1063">
        <v>19810348</v>
      </c>
      <c r="D1063" t="s">
        <v>29</v>
      </c>
      <c r="E1063" t="s">
        <v>599</v>
      </c>
      <c r="G1063" t="s">
        <v>33</v>
      </c>
      <c r="H1063" t="s">
        <v>598</v>
      </c>
      <c r="I1063" t="s">
        <v>29</v>
      </c>
      <c r="J1063">
        <v>19990681</v>
      </c>
      <c r="K1063">
        <v>19990681</v>
      </c>
      <c r="L1063" t="str">
        <f>HYPERLINK("https://test.ictv.global/id/TN19981124","TN19981124@TEST")</f>
        <v>TN19981124@TEST</v>
      </c>
      <c r="M1063" t="str">
        <f>HYPERLINK("https://test.ictv.global/id/ICTV19810348","ICTV19810348@TEST")</f>
        <v>ICTV19810348@TEST</v>
      </c>
      <c r="N1063" t="str">
        <f>HYPERLINK("https://ictv.global/id/TN19981124","TN19981124@prod")</f>
        <v>TN19981124@prod</v>
      </c>
      <c r="O1063" t="str">
        <f>HYPERLINK("https://ictv.global/id/ICTV19810348","ICTV19810348@prod")</f>
        <v>ICTV19810348@prod</v>
      </c>
    </row>
    <row r="1064" spans="1:15" x14ac:dyDescent="0.2">
      <c r="A1064">
        <v>17</v>
      </c>
      <c r="B1064">
        <v>19981125</v>
      </c>
      <c r="C1064">
        <v>19820375</v>
      </c>
      <c r="D1064" t="s">
        <v>29</v>
      </c>
      <c r="E1064" t="s">
        <v>600</v>
      </c>
      <c r="G1064" t="s">
        <v>33</v>
      </c>
      <c r="H1064" t="s">
        <v>601</v>
      </c>
      <c r="I1064" t="s">
        <v>29</v>
      </c>
      <c r="J1064">
        <v>19990686</v>
      </c>
      <c r="K1064">
        <v>19990686</v>
      </c>
      <c r="L1064" t="str">
        <f>HYPERLINK("https://test.ictv.global/id/TN19981125","TN19981125@TEST")</f>
        <v>TN19981125@TEST</v>
      </c>
      <c r="M1064" t="str">
        <f>HYPERLINK("https://test.ictv.global/id/ICTV19820375","ICTV19820375@TEST")</f>
        <v>ICTV19820375@TEST</v>
      </c>
      <c r="N1064" t="str">
        <f>HYPERLINK("https://ictv.global/id/TN19981125","TN19981125@prod")</f>
        <v>TN19981125@prod</v>
      </c>
      <c r="O1064" t="str">
        <f>HYPERLINK("https://ictv.global/id/ICTV19820375","ICTV19820375@prod")</f>
        <v>ICTV19820375@prod</v>
      </c>
    </row>
    <row r="1065" spans="1:15" x14ac:dyDescent="0.2">
      <c r="A1065">
        <v>17</v>
      </c>
      <c r="B1065">
        <v>19981126</v>
      </c>
      <c r="C1065">
        <v>19810349</v>
      </c>
      <c r="D1065" t="s">
        <v>29</v>
      </c>
      <c r="E1065" t="s">
        <v>602</v>
      </c>
      <c r="G1065" t="s">
        <v>33</v>
      </c>
      <c r="H1065" t="s">
        <v>603</v>
      </c>
      <c r="I1065" t="s">
        <v>29</v>
      </c>
      <c r="J1065">
        <v>19990685</v>
      </c>
      <c r="K1065">
        <v>19990685</v>
      </c>
      <c r="L1065" t="str">
        <f>HYPERLINK("https://test.ictv.global/id/TN19981126","TN19981126@TEST")</f>
        <v>TN19981126@TEST</v>
      </c>
      <c r="M1065" t="str">
        <f>HYPERLINK("https://test.ictv.global/id/ICTV19810349","ICTV19810349@TEST")</f>
        <v>ICTV19810349@TEST</v>
      </c>
      <c r="N1065" t="str">
        <f>HYPERLINK("https://ictv.global/id/TN19981126","TN19981126@prod")</f>
        <v>TN19981126@prod</v>
      </c>
      <c r="O1065" t="str">
        <f>HYPERLINK("https://ictv.global/id/ICTV19810349","ICTV19810349@prod")</f>
        <v>ICTV19810349@prod</v>
      </c>
    </row>
    <row r="1066" spans="1:15" x14ac:dyDescent="0.2">
      <c r="A1066">
        <v>17</v>
      </c>
      <c r="B1066">
        <v>19981127</v>
      </c>
      <c r="C1066">
        <v>19820377</v>
      </c>
      <c r="D1066" t="s">
        <v>29</v>
      </c>
      <c r="E1066" t="s">
        <v>604</v>
      </c>
      <c r="G1066" t="s">
        <v>33</v>
      </c>
      <c r="H1066" t="s">
        <v>601</v>
      </c>
      <c r="I1066" t="s">
        <v>29</v>
      </c>
      <c r="J1066">
        <v>19990686</v>
      </c>
      <c r="K1066">
        <v>19990686</v>
      </c>
      <c r="L1066" t="str">
        <f>HYPERLINK("https://test.ictv.global/id/TN19981127","TN19981127@TEST")</f>
        <v>TN19981127@TEST</v>
      </c>
      <c r="M1066" t="str">
        <f>HYPERLINK("https://test.ictv.global/id/ICTV19820377","ICTV19820377@TEST")</f>
        <v>ICTV19820377@TEST</v>
      </c>
      <c r="N1066" t="str">
        <f>HYPERLINK("https://ictv.global/id/TN19981127","TN19981127@prod")</f>
        <v>TN19981127@prod</v>
      </c>
      <c r="O1066" t="str">
        <f>HYPERLINK("https://ictv.global/id/ICTV19820377","ICTV19820377@prod")</f>
        <v>ICTV19820377@prod</v>
      </c>
    </row>
    <row r="1067" spans="1:15" x14ac:dyDescent="0.2">
      <c r="A1067">
        <v>17</v>
      </c>
      <c r="B1067">
        <v>19981128</v>
      </c>
      <c r="C1067">
        <v>19990680</v>
      </c>
      <c r="D1067" t="s">
        <v>29</v>
      </c>
      <c r="E1067" t="s">
        <v>167</v>
      </c>
      <c r="G1067" t="s">
        <v>33</v>
      </c>
      <c r="H1067" t="s">
        <v>167</v>
      </c>
      <c r="I1067" t="s">
        <v>29</v>
      </c>
      <c r="J1067">
        <v>19990680</v>
      </c>
      <c r="K1067">
        <v>19990680</v>
      </c>
      <c r="L1067" t="str">
        <f>HYPERLINK("https://test.ictv.global/id/TN19981128","TN19981128@TEST")</f>
        <v>TN19981128@TEST</v>
      </c>
      <c r="M1067" t="str">
        <f>HYPERLINK("https://test.ictv.global/id/ICTV19990680","ICTV19990680@TEST")</f>
        <v>ICTV19990680@TEST</v>
      </c>
      <c r="N1067" t="str">
        <f>HYPERLINK("https://ictv.global/id/TN19981128","TN19981128@prod")</f>
        <v>TN19981128@prod</v>
      </c>
      <c r="O1067" t="str">
        <f>HYPERLINK("https://ictv.global/id/ICTV19990680","ICTV19990680@prod")</f>
        <v>ICTV19990680@prod</v>
      </c>
    </row>
    <row r="1068" spans="1:15" x14ac:dyDescent="0.2">
      <c r="A1068">
        <v>17</v>
      </c>
      <c r="B1068">
        <v>19981129</v>
      </c>
      <c r="C1068">
        <v>19990681</v>
      </c>
      <c r="D1068" t="s">
        <v>29</v>
      </c>
      <c r="E1068" t="s">
        <v>598</v>
      </c>
      <c r="G1068" t="s">
        <v>33</v>
      </c>
      <c r="H1068" t="s">
        <v>598</v>
      </c>
      <c r="I1068" t="s">
        <v>29</v>
      </c>
      <c r="J1068">
        <v>19990681</v>
      </c>
      <c r="K1068">
        <v>19990681</v>
      </c>
      <c r="L1068" t="str">
        <f>HYPERLINK("https://test.ictv.global/id/TN19981129","TN19981129@TEST")</f>
        <v>TN19981129@TEST</v>
      </c>
      <c r="M1068" t="str">
        <f>HYPERLINK("https://test.ictv.global/id/ICTV19990681","ICTV19990681@TEST")</f>
        <v>ICTV19990681@TEST</v>
      </c>
      <c r="N1068" t="str">
        <f>HYPERLINK("https://ictv.global/id/TN19981129","TN19981129@prod")</f>
        <v>TN19981129@prod</v>
      </c>
      <c r="O1068" t="str">
        <f>HYPERLINK("https://ictv.global/id/ICTV19990681","ICTV19990681@prod")</f>
        <v>ICTV19990681@prod</v>
      </c>
    </row>
    <row r="1069" spans="1:15" x14ac:dyDescent="0.2">
      <c r="A1069">
        <v>17</v>
      </c>
      <c r="B1069">
        <v>19981130</v>
      </c>
      <c r="C1069">
        <v>19950734</v>
      </c>
      <c r="D1069" t="s">
        <v>29</v>
      </c>
      <c r="E1069" t="s">
        <v>1689</v>
      </c>
      <c r="G1069" t="s">
        <v>1165</v>
      </c>
      <c r="L1069" t="str">
        <f>HYPERLINK("https://test.ictv.global/id/TN19981130","TN19981130@TEST")</f>
        <v>TN19981130@TEST</v>
      </c>
      <c r="M1069" t="str">
        <f>HYPERLINK("https://test.ictv.global/id/ICTV19950734","ICTV19950734@TEST")</f>
        <v>ICTV19950734@TEST</v>
      </c>
      <c r="N1069" t="str">
        <f>HYPERLINK("https://ictv.global/id/TN19981130","TN19981130@prod")</f>
        <v>TN19981130@prod</v>
      </c>
      <c r="O1069" t="str">
        <f>HYPERLINK("https://ictv.global/id/ICTV19950734","ICTV19950734@prod")</f>
        <v>ICTV19950734@prod</v>
      </c>
    </row>
    <row r="1070" spans="1:15" x14ac:dyDescent="0.2">
      <c r="A1070">
        <v>17</v>
      </c>
      <c r="B1070">
        <v>19981132</v>
      </c>
      <c r="C1070">
        <v>19910617</v>
      </c>
      <c r="D1070" t="s">
        <v>29</v>
      </c>
      <c r="E1070" t="s">
        <v>605</v>
      </c>
      <c r="G1070" t="s">
        <v>33</v>
      </c>
      <c r="H1070" t="s">
        <v>606</v>
      </c>
      <c r="I1070" t="s">
        <v>29</v>
      </c>
      <c r="J1070">
        <v>19990687</v>
      </c>
      <c r="K1070">
        <v>19990687</v>
      </c>
      <c r="L1070" t="str">
        <f>HYPERLINK("https://test.ictv.global/id/TN19981132","TN19981132@TEST")</f>
        <v>TN19981132@TEST</v>
      </c>
      <c r="M1070" t="str">
        <f>HYPERLINK("https://test.ictv.global/id/ICTV19910617","ICTV19910617@TEST")</f>
        <v>ICTV19910617@TEST</v>
      </c>
      <c r="N1070" t="str">
        <f>HYPERLINK("https://ictv.global/id/TN19981132","TN19981132@prod")</f>
        <v>TN19981132@prod</v>
      </c>
      <c r="O1070" t="str">
        <f>HYPERLINK("https://ictv.global/id/ICTV19910617","ICTV19910617@prod")</f>
        <v>ICTV19910617@prod</v>
      </c>
    </row>
    <row r="1071" spans="1:15" x14ac:dyDescent="0.2">
      <c r="A1071">
        <v>17</v>
      </c>
      <c r="B1071">
        <v>19981133</v>
      </c>
      <c r="C1071">
        <v>19820381</v>
      </c>
      <c r="D1071" t="s">
        <v>29</v>
      </c>
      <c r="E1071" t="s">
        <v>607</v>
      </c>
      <c r="G1071" t="s">
        <v>33</v>
      </c>
      <c r="H1071" t="s">
        <v>608</v>
      </c>
      <c r="I1071" t="s">
        <v>29</v>
      </c>
      <c r="J1071">
        <v>19990683</v>
      </c>
      <c r="K1071">
        <v>19990683</v>
      </c>
      <c r="L1071" t="str">
        <f>HYPERLINK("https://test.ictv.global/id/TN19981133","TN19981133@TEST")</f>
        <v>TN19981133@TEST</v>
      </c>
      <c r="M1071" t="str">
        <f>HYPERLINK("https://test.ictv.global/id/ICTV19820381","ICTV19820381@TEST")</f>
        <v>ICTV19820381@TEST</v>
      </c>
      <c r="N1071" t="str">
        <f>HYPERLINK("https://ictv.global/id/TN19981133","TN19981133@prod")</f>
        <v>TN19981133@prod</v>
      </c>
      <c r="O1071" t="str">
        <f>HYPERLINK("https://ictv.global/id/ICTV19820381","ICTV19820381@prod")</f>
        <v>ICTV19820381@prod</v>
      </c>
    </row>
    <row r="1072" spans="1:15" x14ac:dyDescent="0.2">
      <c r="A1072">
        <v>17</v>
      </c>
      <c r="B1072">
        <v>19981134</v>
      </c>
      <c r="C1072">
        <v>19910619</v>
      </c>
      <c r="D1072" t="s">
        <v>29</v>
      </c>
      <c r="E1072" t="s">
        <v>609</v>
      </c>
      <c r="G1072" t="s">
        <v>33</v>
      </c>
      <c r="H1072" t="s">
        <v>608</v>
      </c>
      <c r="I1072" t="s">
        <v>29</v>
      </c>
      <c r="J1072">
        <v>19990683</v>
      </c>
      <c r="K1072">
        <v>19990683</v>
      </c>
      <c r="L1072" t="str">
        <f>HYPERLINK("https://test.ictv.global/id/TN19981134","TN19981134@TEST")</f>
        <v>TN19981134@TEST</v>
      </c>
      <c r="M1072" t="str">
        <f>HYPERLINK("https://test.ictv.global/id/ICTV19910619","ICTV19910619@TEST")</f>
        <v>ICTV19910619@TEST</v>
      </c>
      <c r="N1072" t="str">
        <f>HYPERLINK("https://ictv.global/id/TN19981134","TN19981134@prod")</f>
        <v>TN19981134@prod</v>
      </c>
      <c r="O1072" t="str">
        <f>HYPERLINK("https://ictv.global/id/ICTV19910619","ICTV19910619@prod")</f>
        <v>ICTV19910619@prod</v>
      </c>
    </row>
    <row r="1073" spans="1:15" x14ac:dyDescent="0.2">
      <c r="A1073">
        <v>17</v>
      </c>
      <c r="B1073">
        <v>19981135</v>
      </c>
      <c r="C1073">
        <v>19910620</v>
      </c>
      <c r="D1073" t="s">
        <v>29</v>
      </c>
      <c r="E1073" t="s">
        <v>610</v>
      </c>
      <c r="G1073" t="s">
        <v>33</v>
      </c>
      <c r="H1073" t="s">
        <v>608</v>
      </c>
      <c r="I1073" t="s">
        <v>29</v>
      </c>
      <c r="J1073">
        <v>19990683</v>
      </c>
      <c r="K1073">
        <v>19990683</v>
      </c>
      <c r="L1073" t="str">
        <f>HYPERLINK("https://test.ictv.global/id/TN19981135","TN19981135@TEST")</f>
        <v>TN19981135@TEST</v>
      </c>
      <c r="M1073" t="str">
        <f>HYPERLINK("https://test.ictv.global/id/ICTV19910620","ICTV19910620@TEST")</f>
        <v>ICTV19910620@TEST</v>
      </c>
      <c r="N1073" t="str">
        <f>HYPERLINK("https://ictv.global/id/TN19981135","TN19981135@prod")</f>
        <v>TN19981135@prod</v>
      </c>
      <c r="O1073" t="str">
        <f>HYPERLINK("https://ictv.global/id/ICTV19910620","ICTV19910620@prod")</f>
        <v>ICTV19910620@prod</v>
      </c>
    </row>
    <row r="1074" spans="1:15" x14ac:dyDescent="0.2">
      <c r="A1074">
        <v>17</v>
      </c>
      <c r="B1074">
        <v>19981136</v>
      </c>
      <c r="C1074">
        <v>19810355</v>
      </c>
      <c r="D1074" t="s">
        <v>29</v>
      </c>
      <c r="E1074" t="s">
        <v>611</v>
      </c>
      <c r="G1074" t="s">
        <v>33</v>
      </c>
      <c r="H1074" t="s">
        <v>167</v>
      </c>
      <c r="I1074" t="s">
        <v>29</v>
      </c>
      <c r="J1074">
        <v>19990680</v>
      </c>
      <c r="K1074">
        <v>19990680</v>
      </c>
      <c r="L1074" t="str">
        <f>HYPERLINK("https://test.ictv.global/id/TN19981136","TN19981136@TEST")</f>
        <v>TN19981136@TEST</v>
      </c>
      <c r="M1074" t="str">
        <f>HYPERLINK("https://test.ictv.global/id/ICTV19810355","ICTV19810355@TEST")</f>
        <v>ICTV19810355@TEST</v>
      </c>
      <c r="N1074" t="str">
        <f>HYPERLINK("https://ictv.global/id/TN19981136","TN19981136@prod")</f>
        <v>TN19981136@prod</v>
      </c>
      <c r="O1074" t="str">
        <f>HYPERLINK("https://ictv.global/id/ICTV19810355","ICTV19810355@prod")</f>
        <v>ICTV19810355@prod</v>
      </c>
    </row>
    <row r="1075" spans="1:15" x14ac:dyDescent="0.2">
      <c r="A1075">
        <v>17</v>
      </c>
      <c r="B1075">
        <v>19981137</v>
      </c>
      <c r="C1075">
        <v>19990683</v>
      </c>
      <c r="D1075" t="s">
        <v>29</v>
      </c>
      <c r="E1075" t="s">
        <v>608</v>
      </c>
      <c r="G1075" t="s">
        <v>33</v>
      </c>
      <c r="H1075" t="s">
        <v>608</v>
      </c>
      <c r="I1075" t="s">
        <v>29</v>
      </c>
      <c r="J1075">
        <v>19990683</v>
      </c>
      <c r="K1075">
        <v>19990683</v>
      </c>
      <c r="L1075" t="str">
        <f>HYPERLINK("https://test.ictv.global/id/TN19981137","TN19981137@TEST")</f>
        <v>TN19981137@TEST</v>
      </c>
      <c r="M1075" t="str">
        <f>HYPERLINK("https://test.ictv.global/id/ICTV19990683","ICTV19990683@TEST")</f>
        <v>ICTV19990683@TEST</v>
      </c>
      <c r="N1075" t="str">
        <f>HYPERLINK("https://ictv.global/id/TN19981137","TN19981137@prod")</f>
        <v>TN19981137@prod</v>
      </c>
      <c r="O1075" t="str">
        <f>HYPERLINK("https://ictv.global/id/ICTV19990683","ICTV19990683@prod")</f>
        <v>ICTV19990683@prod</v>
      </c>
    </row>
    <row r="1076" spans="1:15" x14ac:dyDescent="0.2">
      <c r="A1076">
        <v>17</v>
      </c>
      <c r="B1076">
        <v>19981138</v>
      </c>
      <c r="C1076">
        <v>19910623</v>
      </c>
      <c r="D1076" t="s">
        <v>29</v>
      </c>
      <c r="E1076" t="s">
        <v>612</v>
      </c>
      <c r="G1076" t="s">
        <v>33</v>
      </c>
      <c r="H1076" t="s">
        <v>601</v>
      </c>
      <c r="I1076" t="s">
        <v>29</v>
      </c>
      <c r="J1076">
        <v>19990686</v>
      </c>
      <c r="K1076">
        <v>19990686</v>
      </c>
      <c r="L1076" t="str">
        <f>HYPERLINK("https://test.ictv.global/id/TN19981138","TN19981138@TEST")</f>
        <v>TN19981138@TEST</v>
      </c>
      <c r="M1076" t="str">
        <f>HYPERLINK("https://test.ictv.global/id/ICTV19910623","ICTV19910623@TEST")</f>
        <v>ICTV19910623@TEST</v>
      </c>
      <c r="N1076" t="str">
        <f>HYPERLINK("https://ictv.global/id/TN19981138","TN19981138@prod")</f>
        <v>TN19981138@prod</v>
      </c>
      <c r="O1076" t="str">
        <f>HYPERLINK("https://ictv.global/id/ICTV19910623","ICTV19910623@prod")</f>
        <v>ICTV19910623@prod</v>
      </c>
    </row>
    <row r="1077" spans="1:15" x14ac:dyDescent="0.2">
      <c r="A1077">
        <v>17</v>
      </c>
      <c r="B1077">
        <v>19981139</v>
      </c>
      <c r="C1077">
        <v>19810357</v>
      </c>
      <c r="D1077" t="s">
        <v>29</v>
      </c>
      <c r="E1077" t="s">
        <v>613</v>
      </c>
      <c r="G1077" t="s">
        <v>33</v>
      </c>
      <c r="H1077" t="s">
        <v>598</v>
      </c>
      <c r="I1077" t="s">
        <v>29</v>
      </c>
      <c r="J1077">
        <v>19990681</v>
      </c>
      <c r="K1077">
        <v>19990681</v>
      </c>
      <c r="L1077" t="str">
        <f>HYPERLINK("https://test.ictv.global/id/TN19981139","TN19981139@TEST")</f>
        <v>TN19981139@TEST</v>
      </c>
      <c r="M1077" t="str">
        <f>HYPERLINK("https://test.ictv.global/id/ICTV19810357","ICTV19810357@TEST")</f>
        <v>ICTV19810357@TEST</v>
      </c>
      <c r="N1077" t="str">
        <f>HYPERLINK("https://ictv.global/id/TN19981139","TN19981139@prod")</f>
        <v>TN19981139@prod</v>
      </c>
      <c r="O1077" t="str">
        <f>HYPERLINK("https://ictv.global/id/ICTV19810357","ICTV19810357@prod")</f>
        <v>ICTV19810357@prod</v>
      </c>
    </row>
    <row r="1078" spans="1:15" x14ac:dyDescent="0.2">
      <c r="A1078">
        <v>17</v>
      </c>
      <c r="B1078">
        <v>19981140</v>
      </c>
      <c r="C1078">
        <v>19910625</v>
      </c>
      <c r="D1078" t="s">
        <v>29</v>
      </c>
      <c r="E1078" t="s">
        <v>614</v>
      </c>
      <c r="G1078" t="s">
        <v>33</v>
      </c>
      <c r="H1078" t="s">
        <v>167</v>
      </c>
      <c r="I1078" t="s">
        <v>29</v>
      </c>
      <c r="J1078">
        <v>19990680</v>
      </c>
      <c r="K1078">
        <v>19990680</v>
      </c>
      <c r="L1078" t="str">
        <f>HYPERLINK("https://test.ictv.global/id/TN19981140","TN19981140@TEST")</f>
        <v>TN19981140@TEST</v>
      </c>
      <c r="M1078" t="str">
        <f>HYPERLINK("https://test.ictv.global/id/ICTV19910625","ICTV19910625@TEST")</f>
        <v>ICTV19910625@TEST</v>
      </c>
      <c r="N1078" t="str">
        <f>HYPERLINK("https://ictv.global/id/TN19981140","TN19981140@prod")</f>
        <v>TN19981140@prod</v>
      </c>
      <c r="O1078" t="str">
        <f>HYPERLINK("https://ictv.global/id/ICTV19910625","ICTV19910625@prod")</f>
        <v>ICTV19910625@prod</v>
      </c>
    </row>
    <row r="1079" spans="1:15" x14ac:dyDescent="0.2">
      <c r="A1079">
        <v>17</v>
      </c>
      <c r="B1079">
        <v>19981142</v>
      </c>
      <c r="C1079">
        <v>19910627</v>
      </c>
      <c r="D1079" t="s">
        <v>29</v>
      </c>
      <c r="E1079" t="s">
        <v>615</v>
      </c>
      <c r="G1079" t="s">
        <v>33</v>
      </c>
      <c r="H1079" t="s">
        <v>603</v>
      </c>
      <c r="I1079" t="s">
        <v>29</v>
      </c>
      <c r="J1079">
        <v>19990685</v>
      </c>
      <c r="K1079">
        <v>19990685</v>
      </c>
      <c r="L1079" t="str">
        <f>HYPERLINK("https://test.ictv.global/id/TN19981142","TN19981142@TEST")</f>
        <v>TN19981142@TEST</v>
      </c>
      <c r="M1079" t="str">
        <f>HYPERLINK("https://test.ictv.global/id/ICTV19910627","ICTV19910627@TEST")</f>
        <v>ICTV19910627@TEST</v>
      </c>
      <c r="N1079" t="str">
        <f>HYPERLINK("https://ictv.global/id/TN19981142","TN19981142@prod")</f>
        <v>TN19981142@prod</v>
      </c>
      <c r="O1079" t="str">
        <f>HYPERLINK("https://ictv.global/id/ICTV19910627","ICTV19910627@prod")</f>
        <v>ICTV19910627@prod</v>
      </c>
    </row>
    <row r="1080" spans="1:15" x14ac:dyDescent="0.2">
      <c r="A1080">
        <v>17</v>
      </c>
      <c r="B1080">
        <v>19981143</v>
      </c>
      <c r="C1080">
        <v>19910628</v>
      </c>
      <c r="D1080" t="s">
        <v>29</v>
      </c>
      <c r="E1080" t="s">
        <v>616</v>
      </c>
      <c r="G1080" t="s">
        <v>33</v>
      </c>
      <c r="H1080" t="s">
        <v>601</v>
      </c>
      <c r="I1080" t="s">
        <v>29</v>
      </c>
      <c r="J1080">
        <v>19990686</v>
      </c>
      <c r="K1080">
        <v>19990686</v>
      </c>
      <c r="L1080" t="str">
        <f>HYPERLINK("https://test.ictv.global/id/TN19981143","TN19981143@TEST")</f>
        <v>TN19981143@TEST</v>
      </c>
      <c r="M1080" t="str">
        <f>HYPERLINK("https://test.ictv.global/id/ICTV19910628","ICTV19910628@TEST")</f>
        <v>ICTV19910628@TEST</v>
      </c>
      <c r="N1080" t="str">
        <f>HYPERLINK("https://ictv.global/id/TN19981143","TN19981143@prod")</f>
        <v>TN19981143@prod</v>
      </c>
      <c r="O1080" t="str">
        <f>HYPERLINK("https://ictv.global/id/ICTV19910628","ICTV19910628@prod")</f>
        <v>ICTV19910628@prod</v>
      </c>
    </row>
    <row r="1081" spans="1:15" x14ac:dyDescent="0.2">
      <c r="A1081">
        <v>17</v>
      </c>
      <c r="B1081">
        <v>19981144</v>
      </c>
      <c r="C1081">
        <v>19810359</v>
      </c>
      <c r="D1081" t="s">
        <v>29</v>
      </c>
      <c r="E1081" t="s">
        <v>617</v>
      </c>
      <c r="G1081" t="s">
        <v>33</v>
      </c>
      <c r="H1081" t="s">
        <v>598</v>
      </c>
      <c r="I1081" t="s">
        <v>29</v>
      </c>
      <c r="J1081">
        <v>19990681</v>
      </c>
      <c r="K1081">
        <v>19990681</v>
      </c>
      <c r="L1081" t="str">
        <f>HYPERLINK("https://test.ictv.global/id/TN19981144","TN19981144@TEST")</f>
        <v>TN19981144@TEST</v>
      </c>
      <c r="M1081" t="str">
        <f>HYPERLINK("https://test.ictv.global/id/ICTV19810359","ICTV19810359@TEST")</f>
        <v>ICTV19810359@TEST</v>
      </c>
      <c r="N1081" t="str">
        <f>HYPERLINK("https://ictv.global/id/TN19981144","TN19981144@prod")</f>
        <v>TN19981144@prod</v>
      </c>
      <c r="O1081" t="str">
        <f>HYPERLINK("https://ictv.global/id/ICTV19810359","ICTV19810359@prod")</f>
        <v>ICTV19810359@prod</v>
      </c>
    </row>
    <row r="1082" spans="1:15" x14ac:dyDescent="0.2">
      <c r="A1082">
        <v>17</v>
      </c>
      <c r="B1082">
        <v>19981145</v>
      </c>
      <c r="C1082">
        <v>19810360</v>
      </c>
      <c r="D1082" t="s">
        <v>29</v>
      </c>
      <c r="E1082" t="s">
        <v>618</v>
      </c>
      <c r="G1082" t="s">
        <v>33</v>
      </c>
      <c r="H1082" t="s">
        <v>598</v>
      </c>
      <c r="I1082" t="s">
        <v>29</v>
      </c>
      <c r="J1082">
        <v>19990681</v>
      </c>
      <c r="K1082">
        <v>19990681</v>
      </c>
      <c r="L1082" t="str">
        <f>HYPERLINK("https://test.ictv.global/id/TN19981145","TN19981145@TEST")</f>
        <v>TN19981145@TEST</v>
      </c>
      <c r="M1082" t="str">
        <f>HYPERLINK("https://test.ictv.global/id/ICTV19810360","ICTV19810360@TEST")</f>
        <v>ICTV19810360@TEST</v>
      </c>
      <c r="N1082" t="str">
        <f>HYPERLINK("https://ictv.global/id/TN19981145","TN19981145@prod")</f>
        <v>TN19981145@prod</v>
      </c>
      <c r="O1082" t="str">
        <f>HYPERLINK("https://ictv.global/id/ICTV19810360","ICTV19810360@prod")</f>
        <v>ICTV19810360@prod</v>
      </c>
    </row>
    <row r="1083" spans="1:15" x14ac:dyDescent="0.2">
      <c r="A1083">
        <v>17</v>
      </c>
      <c r="B1083">
        <v>19981146</v>
      </c>
      <c r="C1083">
        <v>19910631</v>
      </c>
      <c r="D1083" t="s">
        <v>29</v>
      </c>
      <c r="E1083" t="s">
        <v>619</v>
      </c>
      <c r="G1083" t="s">
        <v>33</v>
      </c>
      <c r="H1083" t="s">
        <v>608</v>
      </c>
      <c r="I1083" t="s">
        <v>29</v>
      </c>
      <c r="J1083">
        <v>19990683</v>
      </c>
      <c r="K1083">
        <v>19990683</v>
      </c>
      <c r="L1083" t="str">
        <f>HYPERLINK("https://test.ictv.global/id/TN19981146","TN19981146@TEST")</f>
        <v>TN19981146@TEST</v>
      </c>
      <c r="M1083" t="str">
        <f>HYPERLINK("https://test.ictv.global/id/ICTV19910631","ICTV19910631@TEST")</f>
        <v>ICTV19910631@TEST</v>
      </c>
      <c r="N1083" t="str">
        <f>HYPERLINK("https://ictv.global/id/TN19981146","TN19981146@prod")</f>
        <v>TN19981146@prod</v>
      </c>
      <c r="O1083" t="str">
        <f>HYPERLINK("https://ictv.global/id/ICTV19910631","ICTV19910631@prod")</f>
        <v>ICTV19910631@prod</v>
      </c>
    </row>
    <row r="1084" spans="1:15" x14ac:dyDescent="0.2">
      <c r="A1084">
        <v>17</v>
      </c>
      <c r="B1084">
        <v>19981147</v>
      </c>
      <c r="C1084">
        <v>19810361</v>
      </c>
      <c r="D1084" t="s">
        <v>29</v>
      </c>
      <c r="E1084" t="s">
        <v>620</v>
      </c>
      <c r="G1084" t="s">
        <v>33</v>
      </c>
      <c r="H1084" t="s">
        <v>608</v>
      </c>
      <c r="I1084" t="s">
        <v>29</v>
      </c>
      <c r="J1084">
        <v>19990683</v>
      </c>
      <c r="K1084">
        <v>19990683</v>
      </c>
      <c r="L1084" t="str">
        <f>HYPERLINK("https://test.ictv.global/id/TN19981147","TN19981147@TEST")</f>
        <v>TN19981147@TEST</v>
      </c>
      <c r="M1084" t="str">
        <f>HYPERLINK("https://test.ictv.global/id/ICTV19810361","ICTV19810361@TEST")</f>
        <v>ICTV19810361@TEST</v>
      </c>
      <c r="N1084" t="str">
        <f>HYPERLINK("https://ictv.global/id/TN19981147","TN19981147@prod")</f>
        <v>TN19981147@prod</v>
      </c>
      <c r="O1084" t="str">
        <f>HYPERLINK("https://ictv.global/id/ICTV19810361","ICTV19810361@prod")</f>
        <v>ICTV19810361@prod</v>
      </c>
    </row>
    <row r="1085" spans="1:15" x14ac:dyDescent="0.2">
      <c r="A1085">
        <v>17</v>
      </c>
      <c r="B1085">
        <v>19981148</v>
      </c>
      <c r="C1085">
        <v>19990685</v>
      </c>
      <c r="D1085" t="s">
        <v>29</v>
      </c>
      <c r="E1085" t="s">
        <v>603</v>
      </c>
      <c r="G1085" t="s">
        <v>33</v>
      </c>
      <c r="H1085" t="s">
        <v>603</v>
      </c>
      <c r="I1085" t="s">
        <v>29</v>
      </c>
      <c r="J1085">
        <v>19990685</v>
      </c>
      <c r="K1085">
        <v>19990685</v>
      </c>
      <c r="L1085" t="str">
        <f>HYPERLINK("https://test.ictv.global/id/TN19981148","TN19981148@TEST")</f>
        <v>TN19981148@TEST</v>
      </c>
      <c r="M1085" t="str">
        <f>HYPERLINK("https://test.ictv.global/id/ICTV19990685","ICTV19990685@TEST")</f>
        <v>ICTV19990685@TEST</v>
      </c>
      <c r="N1085" t="str">
        <f>HYPERLINK("https://ictv.global/id/TN19981148","TN19981148@prod")</f>
        <v>TN19981148@prod</v>
      </c>
      <c r="O1085" t="str">
        <f>HYPERLINK("https://ictv.global/id/ICTV19990685","ICTV19990685@prod")</f>
        <v>ICTV19990685@prod</v>
      </c>
    </row>
    <row r="1086" spans="1:15" x14ac:dyDescent="0.2">
      <c r="A1086">
        <v>17</v>
      </c>
      <c r="B1086">
        <v>19981149</v>
      </c>
      <c r="C1086">
        <v>19910634</v>
      </c>
      <c r="D1086" t="s">
        <v>29</v>
      </c>
      <c r="E1086" t="s">
        <v>621</v>
      </c>
      <c r="G1086" t="s">
        <v>33</v>
      </c>
      <c r="H1086" t="s">
        <v>608</v>
      </c>
      <c r="I1086" t="s">
        <v>29</v>
      </c>
      <c r="J1086">
        <v>19990683</v>
      </c>
      <c r="K1086">
        <v>19990683</v>
      </c>
      <c r="L1086" t="str">
        <f>HYPERLINK("https://test.ictv.global/id/TN19981149","TN19981149@TEST")</f>
        <v>TN19981149@TEST</v>
      </c>
      <c r="M1086" t="str">
        <f>HYPERLINK("https://test.ictv.global/id/ICTV19910634","ICTV19910634@TEST")</f>
        <v>ICTV19910634@TEST</v>
      </c>
      <c r="N1086" t="str">
        <f>HYPERLINK("https://ictv.global/id/TN19981149","TN19981149@prod")</f>
        <v>TN19981149@prod</v>
      </c>
      <c r="O1086" t="str">
        <f>HYPERLINK("https://ictv.global/id/ICTV19910634","ICTV19910634@prod")</f>
        <v>ICTV19910634@prod</v>
      </c>
    </row>
    <row r="1087" spans="1:15" x14ac:dyDescent="0.2">
      <c r="A1087">
        <v>17</v>
      </c>
      <c r="B1087">
        <v>19981150</v>
      </c>
      <c r="C1087">
        <v>19990686</v>
      </c>
      <c r="D1087" t="s">
        <v>29</v>
      </c>
      <c r="E1087" t="s">
        <v>601</v>
      </c>
      <c r="G1087" t="s">
        <v>33</v>
      </c>
      <c r="H1087" t="s">
        <v>601</v>
      </c>
      <c r="I1087" t="s">
        <v>29</v>
      </c>
      <c r="J1087">
        <v>19990686</v>
      </c>
      <c r="K1087">
        <v>19990686</v>
      </c>
      <c r="L1087" t="str">
        <f>HYPERLINK("https://test.ictv.global/id/TN19981150","TN19981150@TEST")</f>
        <v>TN19981150@TEST</v>
      </c>
      <c r="M1087" t="str">
        <f>HYPERLINK("https://test.ictv.global/id/ICTV19990686","ICTV19990686@TEST")</f>
        <v>ICTV19990686@TEST</v>
      </c>
      <c r="N1087" t="str">
        <f>HYPERLINK("https://ictv.global/id/TN19981150","TN19981150@prod")</f>
        <v>TN19981150@prod</v>
      </c>
      <c r="O1087" t="str">
        <f>HYPERLINK("https://ictv.global/id/ICTV19990686","ICTV19990686@prod")</f>
        <v>ICTV19990686@prod</v>
      </c>
    </row>
    <row r="1088" spans="1:15" x14ac:dyDescent="0.2">
      <c r="A1088">
        <v>17</v>
      </c>
      <c r="B1088">
        <v>19981151</v>
      </c>
      <c r="C1088">
        <v>19910636</v>
      </c>
      <c r="D1088" t="s">
        <v>29</v>
      </c>
      <c r="E1088" t="s">
        <v>622</v>
      </c>
      <c r="G1088" t="s">
        <v>33</v>
      </c>
      <c r="H1088" t="s">
        <v>608</v>
      </c>
      <c r="I1088" t="s">
        <v>29</v>
      </c>
      <c r="J1088">
        <v>19990683</v>
      </c>
      <c r="K1088">
        <v>19990683</v>
      </c>
      <c r="L1088" t="str">
        <f>HYPERLINK("https://test.ictv.global/id/TN19981151","TN19981151@TEST")</f>
        <v>TN19981151@TEST</v>
      </c>
      <c r="M1088" t="str">
        <f>HYPERLINK("https://test.ictv.global/id/ICTV19910636","ICTV19910636@TEST")</f>
        <v>ICTV19910636@TEST</v>
      </c>
      <c r="N1088" t="str">
        <f>HYPERLINK("https://ictv.global/id/TN19981151","TN19981151@prod")</f>
        <v>TN19981151@prod</v>
      </c>
      <c r="O1088" t="str">
        <f>HYPERLINK("https://ictv.global/id/ICTV19910636","ICTV19910636@prod")</f>
        <v>ICTV19910636@prod</v>
      </c>
    </row>
    <row r="1089" spans="1:15" x14ac:dyDescent="0.2">
      <c r="A1089">
        <v>17</v>
      </c>
      <c r="B1089">
        <v>19981152</v>
      </c>
      <c r="C1089">
        <v>19810363</v>
      </c>
      <c r="D1089" t="s">
        <v>29</v>
      </c>
      <c r="E1089" t="s">
        <v>623</v>
      </c>
      <c r="G1089" t="s">
        <v>33</v>
      </c>
      <c r="H1089" t="s">
        <v>608</v>
      </c>
      <c r="I1089" t="s">
        <v>29</v>
      </c>
      <c r="J1089">
        <v>19990683</v>
      </c>
      <c r="K1089">
        <v>19990683</v>
      </c>
      <c r="L1089" t="str">
        <f>HYPERLINK("https://test.ictv.global/id/TN19981152","TN19981152@TEST")</f>
        <v>TN19981152@TEST</v>
      </c>
      <c r="M1089" t="str">
        <f>HYPERLINK("https://test.ictv.global/id/ICTV19810363","ICTV19810363@TEST")</f>
        <v>ICTV19810363@TEST</v>
      </c>
      <c r="N1089" t="str">
        <f>HYPERLINK("https://ictv.global/id/TN19981152","TN19981152@prod")</f>
        <v>TN19981152@prod</v>
      </c>
      <c r="O1089" t="str">
        <f>HYPERLINK("https://ictv.global/id/ICTV19810363","ICTV19810363@prod")</f>
        <v>ICTV19810363@prod</v>
      </c>
    </row>
    <row r="1090" spans="1:15" x14ac:dyDescent="0.2">
      <c r="A1090">
        <v>17</v>
      </c>
      <c r="B1090">
        <v>19981153</v>
      </c>
      <c r="C1090">
        <v>19820393</v>
      </c>
      <c r="D1090" t="s">
        <v>29</v>
      </c>
      <c r="E1090" t="s">
        <v>624</v>
      </c>
      <c r="G1090" t="s">
        <v>33</v>
      </c>
      <c r="H1090" t="s">
        <v>601</v>
      </c>
      <c r="I1090" t="s">
        <v>29</v>
      </c>
      <c r="J1090">
        <v>19990686</v>
      </c>
      <c r="K1090">
        <v>19990686</v>
      </c>
      <c r="L1090" t="str">
        <f>HYPERLINK("https://test.ictv.global/id/TN19981153","TN19981153@TEST")</f>
        <v>TN19981153@TEST</v>
      </c>
      <c r="M1090" t="str">
        <f>HYPERLINK("https://test.ictv.global/id/ICTV19820393","ICTV19820393@TEST")</f>
        <v>ICTV19820393@TEST</v>
      </c>
      <c r="N1090" t="str">
        <f>HYPERLINK("https://ictv.global/id/TN19981153","TN19981153@prod")</f>
        <v>TN19981153@prod</v>
      </c>
      <c r="O1090" t="str">
        <f>HYPERLINK("https://ictv.global/id/ICTV19820393","ICTV19820393@prod")</f>
        <v>ICTV19820393@prod</v>
      </c>
    </row>
    <row r="1091" spans="1:15" x14ac:dyDescent="0.2">
      <c r="A1091">
        <v>17</v>
      </c>
      <c r="B1091">
        <v>19981154</v>
      </c>
      <c r="C1091">
        <v>19990687</v>
      </c>
      <c r="D1091" t="s">
        <v>29</v>
      </c>
      <c r="E1091" t="s">
        <v>606</v>
      </c>
      <c r="G1091" t="s">
        <v>33</v>
      </c>
      <c r="H1091" t="s">
        <v>606</v>
      </c>
      <c r="I1091" t="s">
        <v>29</v>
      </c>
      <c r="J1091">
        <v>19990687</v>
      </c>
      <c r="K1091">
        <v>19990687</v>
      </c>
      <c r="L1091" t="str">
        <f>HYPERLINK("https://test.ictv.global/id/TN19981154","TN19981154@TEST")</f>
        <v>TN19981154@TEST</v>
      </c>
      <c r="M1091" t="str">
        <f>HYPERLINK("https://test.ictv.global/id/ICTV19990687","ICTV19990687@TEST")</f>
        <v>ICTV19990687@TEST</v>
      </c>
      <c r="N1091" t="str">
        <f>HYPERLINK("https://ictv.global/id/TN19981154","TN19981154@prod")</f>
        <v>TN19981154@prod</v>
      </c>
      <c r="O1091" t="str">
        <f>HYPERLINK("https://ictv.global/id/ICTV19990687","ICTV19990687@prod")</f>
        <v>ICTV19990687@prod</v>
      </c>
    </row>
    <row r="1092" spans="1:15" x14ac:dyDescent="0.2">
      <c r="A1092">
        <v>17</v>
      </c>
      <c r="B1092">
        <v>19981155</v>
      </c>
      <c r="C1092">
        <v>19820394</v>
      </c>
      <c r="D1092" t="s">
        <v>29</v>
      </c>
      <c r="E1092" t="s">
        <v>625</v>
      </c>
      <c r="G1092" t="s">
        <v>33</v>
      </c>
      <c r="H1092" t="s">
        <v>601</v>
      </c>
      <c r="I1092" t="s">
        <v>29</v>
      </c>
      <c r="J1092">
        <v>19990686</v>
      </c>
      <c r="K1092">
        <v>19990686</v>
      </c>
      <c r="L1092" t="str">
        <f>HYPERLINK("https://test.ictv.global/id/TN19981155","TN19981155@TEST")</f>
        <v>TN19981155@TEST</v>
      </c>
      <c r="M1092" t="str">
        <f>HYPERLINK("https://test.ictv.global/id/ICTV19820394","ICTV19820394@TEST")</f>
        <v>ICTV19820394@TEST</v>
      </c>
      <c r="N1092" t="str">
        <f>HYPERLINK("https://ictv.global/id/TN19981155","TN19981155@prod")</f>
        <v>TN19981155@prod</v>
      </c>
      <c r="O1092" t="str">
        <f>HYPERLINK("https://ictv.global/id/ICTV19820394","ICTV19820394@prod")</f>
        <v>ICTV19820394@prod</v>
      </c>
    </row>
    <row r="1093" spans="1:15" x14ac:dyDescent="0.2">
      <c r="A1093">
        <v>17</v>
      </c>
      <c r="B1093">
        <v>19981156</v>
      </c>
      <c r="C1093">
        <v>19810364</v>
      </c>
      <c r="D1093" t="s">
        <v>29</v>
      </c>
      <c r="E1093" t="s">
        <v>626</v>
      </c>
      <c r="G1093" t="s">
        <v>33</v>
      </c>
      <c r="H1093" t="s">
        <v>608</v>
      </c>
      <c r="I1093" t="s">
        <v>29</v>
      </c>
      <c r="J1093">
        <v>19990683</v>
      </c>
      <c r="K1093">
        <v>19990683</v>
      </c>
      <c r="L1093" t="str">
        <f>HYPERLINK("https://test.ictv.global/id/TN19981156","TN19981156@TEST")</f>
        <v>TN19981156@TEST</v>
      </c>
      <c r="M1093" t="str">
        <f>HYPERLINK("https://test.ictv.global/id/ICTV19810364","ICTV19810364@TEST")</f>
        <v>ICTV19810364@TEST</v>
      </c>
      <c r="N1093" t="str">
        <f>HYPERLINK("https://ictv.global/id/TN19981156","TN19981156@prod")</f>
        <v>TN19981156@prod</v>
      </c>
      <c r="O1093" t="str">
        <f>HYPERLINK("https://ictv.global/id/ICTV19810364","ICTV19810364@prod")</f>
        <v>ICTV19810364@prod</v>
      </c>
    </row>
    <row r="1094" spans="1:15" x14ac:dyDescent="0.2">
      <c r="A1094">
        <v>17</v>
      </c>
      <c r="B1094">
        <v>19981157</v>
      </c>
      <c r="C1094">
        <v>19790268</v>
      </c>
      <c r="D1094" t="s">
        <v>29</v>
      </c>
      <c r="E1094" t="s">
        <v>1690</v>
      </c>
      <c r="G1094" t="s">
        <v>1165</v>
      </c>
      <c r="L1094" t="str">
        <f>HYPERLINK("https://test.ictv.global/id/TN19981157","TN19981157@TEST")</f>
        <v>TN19981157@TEST</v>
      </c>
      <c r="M1094" t="str">
        <f>HYPERLINK("https://test.ictv.global/id/ICTV19790268","ICTV19790268@TEST")</f>
        <v>ICTV19790268@TEST</v>
      </c>
      <c r="N1094" t="str">
        <f>HYPERLINK("https://ictv.global/id/TN19981157","TN19981157@prod")</f>
        <v>TN19981157@prod</v>
      </c>
      <c r="O1094" t="str">
        <f>HYPERLINK("https://ictv.global/id/ICTV19790268","ICTV19790268@prod")</f>
        <v>ICTV19790268@prod</v>
      </c>
    </row>
    <row r="1095" spans="1:15" x14ac:dyDescent="0.2">
      <c r="A1095">
        <v>17</v>
      </c>
      <c r="B1095">
        <v>19981158</v>
      </c>
      <c r="C1095">
        <v>19810366</v>
      </c>
      <c r="D1095" t="s">
        <v>29</v>
      </c>
      <c r="E1095" t="s">
        <v>627</v>
      </c>
      <c r="G1095" t="s">
        <v>33</v>
      </c>
      <c r="H1095" t="s">
        <v>628</v>
      </c>
      <c r="I1095" t="s">
        <v>29</v>
      </c>
      <c r="J1095">
        <v>19990689</v>
      </c>
      <c r="K1095">
        <v>19990689</v>
      </c>
      <c r="L1095" t="str">
        <f>HYPERLINK("https://test.ictv.global/id/TN19981158","TN19981158@TEST")</f>
        <v>TN19981158@TEST</v>
      </c>
      <c r="M1095" t="str">
        <f>HYPERLINK("https://test.ictv.global/id/ICTV19810366","ICTV19810366@TEST")</f>
        <v>ICTV19810366@TEST</v>
      </c>
      <c r="N1095" t="str">
        <f>HYPERLINK("https://ictv.global/id/TN19981158","TN19981158@prod")</f>
        <v>TN19981158@prod</v>
      </c>
      <c r="O1095" t="str">
        <f>HYPERLINK("https://ictv.global/id/ICTV19810366","ICTV19810366@prod")</f>
        <v>ICTV19810366@prod</v>
      </c>
    </row>
    <row r="1096" spans="1:15" x14ac:dyDescent="0.2">
      <c r="A1096">
        <v>17</v>
      </c>
      <c r="B1096">
        <v>19981159</v>
      </c>
      <c r="C1096">
        <v>19790269</v>
      </c>
      <c r="D1096" t="s">
        <v>29</v>
      </c>
      <c r="E1096" t="s">
        <v>1691</v>
      </c>
      <c r="G1096" t="s">
        <v>1165</v>
      </c>
      <c r="L1096" t="str">
        <f>HYPERLINK("https://test.ictv.global/id/TN19981159","TN19981159@TEST")</f>
        <v>TN19981159@TEST</v>
      </c>
      <c r="M1096" t="str">
        <f>HYPERLINK("https://test.ictv.global/id/ICTV19790269","ICTV19790269@TEST")</f>
        <v>ICTV19790269@TEST</v>
      </c>
      <c r="N1096" t="str">
        <f>HYPERLINK("https://ictv.global/id/TN19981159","TN19981159@prod")</f>
        <v>TN19981159@prod</v>
      </c>
      <c r="O1096" t="str">
        <f>HYPERLINK("https://ictv.global/id/ICTV19790269","ICTV19790269@prod")</f>
        <v>ICTV19790269@prod</v>
      </c>
    </row>
    <row r="1097" spans="1:15" x14ac:dyDescent="0.2">
      <c r="A1097">
        <v>17</v>
      </c>
      <c r="B1097">
        <v>19981160</v>
      </c>
      <c r="C1097">
        <v>19910645</v>
      </c>
      <c r="D1097" t="s">
        <v>29</v>
      </c>
      <c r="E1097" t="s">
        <v>629</v>
      </c>
      <c r="G1097" t="s">
        <v>33</v>
      </c>
      <c r="H1097" t="s">
        <v>630</v>
      </c>
      <c r="I1097" t="s">
        <v>29</v>
      </c>
      <c r="J1097">
        <v>19990694</v>
      </c>
      <c r="K1097">
        <v>19990694</v>
      </c>
      <c r="L1097" t="str">
        <f>HYPERLINK("https://test.ictv.global/id/TN19981160","TN19981160@TEST")</f>
        <v>TN19981160@TEST</v>
      </c>
      <c r="M1097" t="str">
        <f>HYPERLINK("https://test.ictv.global/id/ICTV19910645","ICTV19910645@TEST")</f>
        <v>ICTV19910645@TEST</v>
      </c>
      <c r="N1097" t="str">
        <f>HYPERLINK("https://ictv.global/id/TN19981160","TN19981160@prod")</f>
        <v>TN19981160@prod</v>
      </c>
      <c r="O1097" t="str">
        <f>HYPERLINK("https://ictv.global/id/ICTV19910645","ICTV19910645@prod")</f>
        <v>ICTV19910645@prod</v>
      </c>
    </row>
    <row r="1098" spans="1:15" x14ac:dyDescent="0.2">
      <c r="A1098">
        <v>17</v>
      </c>
      <c r="B1098">
        <v>19981161</v>
      </c>
      <c r="C1098">
        <v>19910646</v>
      </c>
      <c r="D1098" t="s">
        <v>29</v>
      </c>
      <c r="E1098" t="s">
        <v>1692</v>
      </c>
      <c r="G1098" t="s">
        <v>1165</v>
      </c>
      <c r="L1098" t="str">
        <f>HYPERLINK("https://test.ictv.global/id/TN19981161","TN19981161@TEST")</f>
        <v>TN19981161@TEST</v>
      </c>
      <c r="M1098" t="str">
        <f>HYPERLINK("https://test.ictv.global/id/ICTV19910646","ICTV19910646@TEST")</f>
        <v>ICTV19910646@TEST</v>
      </c>
      <c r="N1098" t="str">
        <f>HYPERLINK("https://ictv.global/id/TN19981161","TN19981161@prod")</f>
        <v>TN19981161@prod</v>
      </c>
      <c r="O1098" t="str">
        <f>HYPERLINK("https://ictv.global/id/ICTV19910646","ICTV19910646@prod")</f>
        <v>ICTV19910646@prod</v>
      </c>
    </row>
    <row r="1099" spans="1:15" x14ac:dyDescent="0.2">
      <c r="A1099">
        <v>17</v>
      </c>
      <c r="B1099">
        <v>19981162</v>
      </c>
      <c r="C1099">
        <v>19790271</v>
      </c>
      <c r="D1099" t="s">
        <v>29</v>
      </c>
      <c r="E1099" t="s">
        <v>1693</v>
      </c>
      <c r="G1099" t="s">
        <v>1165</v>
      </c>
      <c r="L1099" t="str">
        <f>HYPERLINK("https://test.ictv.global/id/TN19981162","TN19981162@TEST")</f>
        <v>TN19981162@TEST</v>
      </c>
      <c r="M1099" t="str">
        <f>HYPERLINK("https://test.ictv.global/id/ICTV19790271","ICTV19790271@TEST")</f>
        <v>ICTV19790271@TEST</v>
      </c>
      <c r="N1099" t="str">
        <f>HYPERLINK("https://ictv.global/id/TN19981162","TN19981162@prod")</f>
        <v>TN19981162@prod</v>
      </c>
      <c r="O1099" t="str">
        <f>HYPERLINK("https://ictv.global/id/ICTV19790271","ICTV19790271@prod")</f>
        <v>ICTV19790271@prod</v>
      </c>
    </row>
    <row r="1100" spans="1:15" x14ac:dyDescent="0.2">
      <c r="A1100">
        <v>17</v>
      </c>
      <c r="B1100">
        <v>19981163</v>
      </c>
      <c r="C1100">
        <v>19910648</v>
      </c>
      <c r="D1100" t="s">
        <v>29</v>
      </c>
      <c r="E1100" t="s">
        <v>631</v>
      </c>
      <c r="G1100" t="s">
        <v>31</v>
      </c>
      <c r="H1100" t="s">
        <v>632</v>
      </c>
      <c r="I1100" t="s">
        <v>29</v>
      </c>
      <c r="J1100">
        <v>19990693</v>
      </c>
      <c r="K1100">
        <v>19990693</v>
      </c>
      <c r="L1100" t="str">
        <f>HYPERLINK("https://test.ictv.global/id/TN19981163","TN19981163@TEST")</f>
        <v>TN19981163@TEST</v>
      </c>
      <c r="M1100" t="str">
        <f>HYPERLINK("https://test.ictv.global/id/ICTV19910648","ICTV19910648@TEST")</f>
        <v>ICTV19910648@TEST</v>
      </c>
      <c r="N1100" t="str">
        <f>HYPERLINK("https://ictv.global/id/TN19981163","TN19981163@prod")</f>
        <v>TN19981163@prod</v>
      </c>
      <c r="O1100" t="str">
        <f>HYPERLINK("https://ictv.global/id/ICTV19910648","ICTV19910648@prod")</f>
        <v>ICTV19910648@prod</v>
      </c>
    </row>
    <row r="1101" spans="1:15" x14ac:dyDescent="0.2">
      <c r="A1101">
        <v>17</v>
      </c>
      <c r="B1101">
        <v>19981164</v>
      </c>
      <c r="C1101">
        <v>19810369</v>
      </c>
      <c r="D1101" t="s">
        <v>29</v>
      </c>
      <c r="E1101" t="s">
        <v>633</v>
      </c>
      <c r="G1101" t="s">
        <v>33</v>
      </c>
      <c r="H1101" t="s">
        <v>634</v>
      </c>
      <c r="I1101" t="s">
        <v>29</v>
      </c>
      <c r="J1101">
        <v>19990692</v>
      </c>
      <c r="K1101">
        <v>19990692</v>
      </c>
      <c r="L1101" t="str">
        <f>HYPERLINK("https://test.ictv.global/id/TN19981164","TN19981164@TEST")</f>
        <v>TN19981164@TEST</v>
      </c>
      <c r="M1101" t="str">
        <f>HYPERLINK("https://test.ictv.global/id/ICTV19810369","ICTV19810369@TEST")</f>
        <v>ICTV19810369@TEST</v>
      </c>
      <c r="N1101" t="str">
        <f>HYPERLINK("https://ictv.global/id/TN19981164","TN19981164@prod")</f>
        <v>TN19981164@prod</v>
      </c>
      <c r="O1101" t="str">
        <f>HYPERLINK("https://ictv.global/id/ICTV19810369","ICTV19810369@prod")</f>
        <v>ICTV19810369@prod</v>
      </c>
    </row>
    <row r="1102" spans="1:15" x14ac:dyDescent="0.2">
      <c r="A1102">
        <v>17</v>
      </c>
      <c r="B1102">
        <v>19981165</v>
      </c>
      <c r="C1102">
        <v>19990688</v>
      </c>
      <c r="D1102" t="s">
        <v>29</v>
      </c>
      <c r="E1102" t="s">
        <v>635</v>
      </c>
      <c r="G1102" t="s">
        <v>33</v>
      </c>
      <c r="H1102" t="s">
        <v>635</v>
      </c>
      <c r="I1102" t="s">
        <v>29</v>
      </c>
      <c r="J1102">
        <v>19990688</v>
      </c>
      <c r="K1102">
        <v>19990688</v>
      </c>
      <c r="L1102" t="str">
        <f>HYPERLINK("https://test.ictv.global/id/TN19981165","TN19981165@TEST")</f>
        <v>TN19981165@TEST</v>
      </c>
      <c r="M1102" t="str">
        <f>HYPERLINK("https://test.ictv.global/id/ICTV19990688","ICTV19990688@TEST")</f>
        <v>ICTV19990688@TEST</v>
      </c>
      <c r="N1102" t="str">
        <f>HYPERLINK("https://ictv.global/id/TN19981165","TN19981165@prod")</f>
        <v>TN19981165@prod</v>
      </c>
      <c r="O1102" t="str">
        <f>HYPERLINK("https://ictv.global/id/ICTV19990688","ICTV19990688@prod")</f>
        <v>ICTV19990688@prod</v>
      </c>
    </row>
    <row r="1103" spans="1:15" x14ac:dyDescent="0.2">
      <c r="A1103">
        <v>17</v>
      </c>
      <c r="B1103">
        <v>19981166</v>
      </c>
      <c r="C1103">
        <v>19790275</v>
      </c>
      <c r="D1103" t="s">
        <v>29</v>
      </c>
      <c r="E1103" t="s">
        <v>636</v>
      </c>
      <c r="G1103" t="s">
        <v>33</v>
      </c>
      <c r="H1103" t="s">
        <v>637</v>
      </c>
      <c r="I1103" t="s">
        <v>29</v>
      </c>
      <c r="J1103">
        <v>19990690</v>
      </c>
      <c r="K1103">
        <v>19990690</v>
      </c>
      <c r="L1103" t="str">
        <f>HYPERLINK("https://test.ictv.global/id/TN19981166","TN19981166@TEST")</f>
        <v>TN19981166@TEST</v>
      </c>
      <c r="M1103" t="str">
        <f>HYPERLINK("https://test.ictv.global/id/ICTV19790275","ICTV19790275@TEST")</f>
        <v>ICTV19790275@TEST</v>
      </c>
      <c r="N1103" t="str">
        <f>HYPERLINK("https://ictv.global/id/TN19981166","TN19981166@prod")</f>
        <v>TN19981166@prod</v>
      </c>
      <c r="O1103" t="str">
        <f>HYPERLINK("https://ictv.global/id/ICTV19790275","ICTV19790275@prod")</f>
        <v>ICTV19790275@prod</v>
      </c>
    </row>
    <row r="1104" spans="1:15" x14ac:dyDescent="0.2">
      <c r="A1104">
        <v>17</v>
      </c>
      <c r="B1104">
        <v>19981167</v>
      </c>
      <c r="C1104">
        <v>19790276</v>
      </c>
      <c r="D1104" t="s">
        <v>29</v>
      </c>
      <c r="E1104" t="s">
        <v>1694</v>
      </c>
      <c r="G1104" t="s">
        <v>1165</v>
      </c>
      <c r="L1104" t="str">
        <f>HYPERLINK("https://test.ictv.global/id/TN19981167","TN19981167@TEST")</f>
        <v>TN19981167@TEST</v>
      </c>
      <c r="M1104" t="str">
        <f>HYPERLINK("https://test.ictv.global/id/ICTV19790276","ICTV19790276@TEST")</f>
        <v>ICTV19790276@TEST</v>
      </c>
      <c r="N1104" t="str">
        <f>HYPERLINK("https://ictv.global/id/TN19981167","TN19981167@prod")</f>
        <v>TN19981167@prod</v>
      </c>
      <c r="O1104" t="str">
        <f>HYPERLINK("https://ictv.global/id/ICTV19790276","ICTV19790276@prod")</f>
        <v>ICTV19790276@prod</v>
      </c>
    </row>
    <row r="1105" spans="1:15" x14ac:dyDescent="0.2">
      <c r="A1105">
        <v>17</v>
      </c>
      <c r="B1105">
        <v>19981168</v>
      </c>
      <c r="C1105">
        <v>19790277</v>
      </c>
      <c r="D1105" t="s">
        <v>29</v>
      </c>
      <c r="E1105" t="s">
        <v>638</v>
      </c>
      <c r="G1105" t="s">
        <v>33</v>
      </c>
      <c r="H1105" t="s">
        <v>628</v>
      </c>
      <c r="I1105" t="s">
        <v>29</v>
      </c>
      <c r="J1105">
        <v>19990689</v>
      </c>
      <c r="K1105">
        <v>19990689</v>
      </c>
      <c r="L1105" t="str">
        <f>HYPERLINK("https://test.ictv.global/id/TN19981168","TN19981168@TEST")</f>
        <v>TN19981168@TEST</v>
      </c>
      <c r="M1105" t="str">
        <f>HYPERLINK("https://test.ictv.global/id/ICTV19790277","ICTV19790277@TEST")</f>
        <v>ICTV19790277@TEST</v>
      </c>
      <c r="N1105" t="str">
        <f>HYPERLINK("https://ictv.global/id/TN19981168","TN19981168@prod")</f>
        <v>TN19981168@prod</v>
      </c>
      <c r="O1105" t="str">
        <f>HYPERLINK("https://ictv.global/id/ICTV19790277","ICTV19790277@prod")</f>
        <v>ICTV19790277@prod</v>
      </c>
    </row>
    <row r="1106" spans="1:15" x14ac:dyDescent="0.2">
      <c r="A1106">
        <v>17</v>
      </c>
      <c r="B1106">
        <v>19981169</v>
      </c>
      <c r="C1106">
        <v>19790278</v>
      </c>
      <c r="D1106" t="s">
        <v>29</v>
      </c>
      <c r="E1106" t="s">
        <v>1695</v>
      </c>
      <c r="G1106" t="s">
        <v>1165</v>
      </c>
      <c r="L1106" t="str">
        <f>HYPERLINK("https://test.ictv.global/id/TN19981169","TN19981169@TEST")</f>
        <v>TN19981169@TEST</v>
      </c>
      <c r="M1106" t="str">
        <f>HYPERLINK("https://test.ictv.global/id/ICTV19790278","ICTV19790278@TEST")</f>
        <v>ICTV19790278@TEST</v>
      </c>
      <c r="N1106" t="str">
        <f>HYPERLINK("https://ictv.global/id/TN19981169","TN19981169@prod")</f>
        <v>TN19981169@prod</v>
      </c>
      <c r="O1106" t="str">
        <f>HYPERLINK("https://ictv.global/id/ICTV19790278","ICTV19790278@prod")</f>
        <v>ICTV19790278@prod</v>
      </c>
    </row>
    <row r="1107" spans="1:15" x14ac:dyDescent="0.2">
      <c r="A1107">
        <v>17</v>
      </c>
      <c r="B1107">
        <v>19981170</v>
      </c>
      <c r="C1107">
        <v>19990690</v>
      </c>
      <c r="D1107" t="s">
        <v>29</v>
      </c>
      <c r="E1107" t="s">
        <v>637</v>
      </c>
      <c r="G1107" t="s">
        <v>33</v>
      </c>
      <c r="H1107" t="s">
        <v>637</v>
      </c>
      <c r="I1107" t="s">
        <v>29</v>
      </c>
      <c r="J1107">
        <v>19990690</v>
      </c>
      <c r="K1107">
        <v>19990690</v>
      </c>
      <c r="L1107" t="str">
        <f>HYPERLINK("https://test.ictv.global/id/TN19981170","TN19981170@TEST")</f>
        <v>TN19981170@TEST</v>
      </c>
      <c r="M1107" t="str">
        <f>HYPERLINK("https://test.ictv.global/id/ICTV19990690","ICTV19990690@TEST")</f>
        <v>ICTV19990690@TEST</v>
      </c>
      <c r="N1107" t="str">
        <f>HYPERLINK("https://ictv.global/id/TN19981170","TN19981170@prod")</f>
        <v>TN19981170@prod</v>
      </c>
      <c r="O1107" t="str">
        <f>HYPERLINK("https://ictv.global/id/ICTV19990690","ICTV19990690@prod")</f>
        <v>ICTV19990690@prod</v>
      </c>
    </row>
    <row r="1108" spans="1:15" x14ac:dyDescent="0.2">
      <c r="A1108">
        <v>17</v>
      </c>
      <c r="B1108">
        <v>19981171</v>
      </c>
      <c r="C1108">
        <v>19910656</v>
      </c>
      <c r="D1108" t="s">
        <v>29</v>
      </c>
      <c r="E1108" t="s">
        <v>1696</v>
      </c>
      <c r="G1108" t="s">
        <v>1165</v>
      </c>
      <c r="L1108" t="str">
        <f>HYPERLINK("https://test.ictv.global/id/TN19981171","TN19981171@TEST")</f>
        <v>TN19981171@TEST</v>
      </c>
      <c r="M1108" t="str">
        <f>HYPERLINK("https://test.ictv.global/id/ICTV19910656","ICTV19910656@TEST")</f>
        <v>ICTV19910656@TEST</v>
      </c>
      <c r="N1108" t="str">
        <f>HYPERLINK("https://ictv.global/id/TN19981171","TN19981171@prod")</f>
        <v>TN19981171@prod</v>
      </c>
      <c r="O1108" t="str">
        <f>HYPERLINK("https://ictv.global/id/ICTV19910656","ICTV19910656@prod")</f>
        <v>ICTV19910656@prod</v>
      </c>
    </row>
    <row r="1109" spans="1:15" x14ac:dyDescent="0.2">
      <c r="A1109">
        <v>17</v>
      </c>
      <c r="B1109">
        <v>19981172</v>
      </c>
      <c r="C1109">
        <v>19910657</v>
      </c>
      <c r="D1109" t="s">
        <v>29</v>
      </c>
      <c r="E1109" t="s">
        <v>639</v>
      </c>
      <c r="G1109" t="s">
        <v>33</v>
      </c>
      <c r="H1109" t="s">
        <v>640</v>
      </c>
      <c r="I1109" t="s">
        <v>29</v>
      </c>
      <c r="J1109">
        <v>19990696</v>
      </c>
      <c r="K1109">
        <v>19990696</v>
      </c>
      <c r="L1109" t="str">
        <f>HYPERLINK("https://test.ictv.global/id/TN19981172","TN19981172@TEST")</f>
        <v>TN19981172@TEST</v>
      </c>
      <c r="M1109" t="str">
        <f>HYPERLINK("https://test.ictv.global/id/ICTV19910657","ICTV19910657@TEST")</f>
        <v>ICTV19910657@TEST</v>
      </c>
      <c r="N1109" t="str">
        <f>HYPERLINK("https://ictv.global/id/TN19981172","TN19981172@prod")</f>
        <v>TN19981172@prod</v>
      </c>
      <c r="O1109" t="str">
        <f>HYPERLINK("https://ictv.global/id/ICTV19910657","ICTV19910657@prod")</f>
        <v>ICTV19910657@prod</v>
      </c>
    </row>
    <row r="1110" spans="1:15" x14ac:dyDescent="0.2">
      <c r="A1110">
        <v>17</v>
      </c>
      <c r="B1110">
        <v>19981173</v>
      </c>
      <c r="C1110">
        <v>19910658</v>
      </c>
      <c r="D1110" t="s">
        <v>29</v>
      </c>
      <c r="E1110" t="s">
        <v>641</v>
      </c>
      <c r="G1110" t="s">
        <v>33</v>
      </c>
      <c r="H1110" t="s">
        <v>640</v>
      </c>
      <c r="I1110" t="s">
        <v>29</v>
      </c>
      <c r="J1110">
        <v>19990696</v>
      </c>
      <c r="K1110">
        <v>19990696</v>
      </c>
      <c r="L1110" t="str">
        <f>HYPERLINK("https://test.ictv.global/id/TN19981173","TN19981173@TEST")</f>
        <v>TN19981173@TEST</v>
      </c>
      <c r="M1110" t="str">
        <f>HYPERLINK("https://test.ictv.global/id/ICTV19910658","ICTV19910658@TEST")</f>
        <v>ICTV19910658@TEST</v>
      </c>
      <c r="N1110" t="str">
        <f>HYPERLINK("https://ictv.global/id/TN19981173","TN19981173@prod")</f>
        <v>TN19981173@prod</v>
      </c>
      <c r="O1110" t="str">
        <f>HYPERLINK("https://ictv.global/id/ICTV19910658","ICTV19910658@prod")</f>
        <v>ICTV19910658@prod</v>
      </c>
    </row>
    <row r="1111" spans="1:15" x14ac:dyDescent="0.2">
      <c r="A1111">
        <v>17</v>
      </c>
      <c r="B1111">
        <v>19981174</v>
      </c>
      <c r="C1111">
        <v>19990691</v>
      </c>
      <c r="D1111" t="s">
        <v>29</v>
      </c>
      <c r="E1111" t="s">
        <v>642</v>
      </c>
      <c r="G1111" t="s">
        <v>33</v>
      </c>
      <c r="H1111" t="s">
        <v>642</v>
      </c>
      <c r="I1111" t="s">
        <v>29</v>
      </c>
      <c r="J1111">
        <v>19990691</v>
      </c>
      <c r="K1111">
        <v>19990691</v>
      </c>
      <c r="L1111" t="str">
        <f>HYPERLINK("https://test.ictv.global/id/TN19981174","TN19981174@TEST")</f>
        <v>TN19981174@TEST</v>
      </c>
      <c r="M1111" t="str">
        <f>HYPERLINK("https://test.ictv.global/id/ICTV19990691","ICTV19990691@TEST")</f>
        <v>ICTV19990691@TEST</v>
      </c>
      <c r="N1111" t="str">
        <f>HYPERLINK("https://ictv.global/id/TN19981174","TN19981174@prod")</f>
        <v>TN19981174@prod</v>
      </c>
      <c r="O1111" t="str">
        <f>HYPERLINK("https://ictv.global/id/ICTV19990691","ICTV19990691@prod")</f>
        <v>ICTV19990691@prod</v>
      </c>
    </row>
    <row r="1112" spans="1:15" x14ac:dyDescent="0.2">
      <c r="A1112">
        <v>17</v>
      </c>
      <c r="B1112">
        <v>19981175</v>
      </c>
      <c r="C1112">
        <v>19810377</v>
      </c>
      <c r="D1112" t="s">
        <v>29</v>
      </c>
      <c r="E1112" t="s">
        <v>1697</v>
      </c>
      <c r="G1112" t="s">
        <v>1165</v>
      </c>
      <c r="L1112" t="str">
        <f>HYPERLINK("https://test.ictv.global/id/TN19981175","TN19981175@TEST")</f>
        <v>TN19981175@TEST</v>
      </c>
      <c r="M1112" t="str">
        <f>HYPERLINK("https://test.ictv.global/id/ICTV19810377","ICTV19810377@TEST")</f>
        <v>ICTV19810377@TEST</v>
      </c>
      <c r="N1112" t="str">
        <f>HYPERLINK("https://ictv.global/id/TN19981175","TN19981175@prod")</f>
        <v>TN19981175@prod</v>
      </c>
      <c r="O1112" t="str">
        <f>HYPERLINK("https://ictv.global/id/ICTV19810377","ICTV19810377@prod")</f>
        <v>ICTV19810377@prod</v>
      </c>
    </row>
    <row r="1113" spans="1:15" x14ac:dyDescent="0.2">
      <c r="A1113">
        <v>17</v>
      </c>
      <c r="B1113">
        <v>19981176</v>
      </c>
      <c r="C1113">
        <v>19790285</v>
      </c>
      <c r="D1113" t="s">
        <v>29</v>
      </c>
      <c r="E1113" t="s">
        <v>1698</v>
      </c>
      <c r="G1113" t="s">
        <v>1165</v>
      </c>
      <c r="L1113" t="str">
        <f>HYPERLINK("https://test.ictv.global/id/TN19981176","TN19981176@TEST")</f>
        <v>TN19981176@TEST</v>
      </c>
      <c r="M1113" t="str">
        <f>HYPERLINK("https://test.ictv.global/id/ICTV19790285","ICTV19790285@TEST")</f>
        <v>ICTV19790285@TEST</v>
      </c>
      <c r="N1113" t="str">
        <f>HYPERLINK("https://ictv.global/id/TN19981176","TN19981176@prod")</f>
        <v>TN19981176@prod</v>
      </c>
      <c r="O1113" t="str">
        <f>HYPERLINK("https://ictv.global/id/ICTV19790285","ICTV19790285@prod")</f>
        <v>ICTV19790285@prod</v>
      </c>
    </row>
    <row r="1114" spans="1:15" x14ac:dyDescent="0.2">
      <c r="A1114">
        <v>17</v>
      </c>
      <c r="B1114">
        <v>19981177</v>
      </c>
      <c r="C1114">
        <v>19790286</v>
      </c>
      <c r="D1114" t="s">
        <v>29</v>
      </c>
      <c r="E1114" t="s">
        <v>643</v>
      </c>
      <c r="G1114" t="s">
        <v>33</v>
      </c>
      <c r="H1114" t="s">
        <v>640</v>
      </c>
      <c r="I1114" t="s">
        <v>29</v>
      </c>
      <c r="J1114">
        <v>19990696</v>
      </c>
      <c r="K1114">
        <v>19990696</v>
      </c>
      <c r="L1114" t="str">
        <f>HYPERLINK("https://test.ictv.global/id/TN19981177","TN19981177@TEST")</f>
        <v>TN19981177@TEST</v>
      </c>
      <c r="M1114" t="str">
        <f>HYPERLINK("https://test.ictv.global/id/ICTV19790286","ICTV19790286@TEST")</f>
        <v>ICTV19790286@TEST</v>
      </c>
      <c r="N1114" t="str">
        <f>HYPERLINK("https://ictv.global/id/TN19981177","TN19981177@prod")</f>
        <v>TN19981177@prod</v>
      </c>
      <c r="O1114" t="str">
        <f>HYPERLINK("https://ictv.global/id/ICTV19790286","ICTV19790286@prod")</f>
        <v>ICTV19790286@prod</v>
      </c>
    </row>
    <row r="1115" spans="1:15" x14ac:dyDescent="0.2">
      <c r="A1115">
        <v>17</v>
      </c>
      <c r="B1115">
        <v>19981178</v>
      </c>
      <c r="C1115">
        <v>19790287</v>
      </c>
      <c r="D1115" t="s">
        <v>29</v>
      </c>
      <c r="E1115" t="s">
        <v>644</v>
      </c>
      <c r="G1115" t="s">
        <v>31</v>
      </c>
      <c r="H1115" t="s">
        <v>632</v>
      </c>
      <c r="I1115" t="s">
        <v>29</v>
      </c>
      <c r="J1115">
        <v>19990693</v>
      </c>
      <c r="K1115">
        <v>19990693</v>
      </c>
      <c r="L1115" t="str">
        <f>HYPERLINK("https://test.ictv.global/id/TN19981178","TN19981178@TEST")</f>
        <v>TN19981178@TEST</v>
      </c>
      <c r="M1115" t="str">
        <f>HYPERLINK("https://test.ictv.global/id/ICTV19790287","ICTV19790287@TEST")</f>
        <v>ICTV19790287@TEST</v>
      </c>
      <c r="N1115" t="str">
        <f>HYPERLINK("https://ictv.global/id/TN19981178","TN19981178@prod")</f>
        <v>TN19981178@prod</v>
      </c>
      <c r="O1115" t="str">
        <f>HYPERLINK("https://ictv.global/id/ICTV19790287","ICTV19790287@prod")</f>
        <v>ICTV19790287@prod</v>
      </c>
    </row>
    <row r="1116" spans="1:15" x14ac:dyDescent="0.2">
      <c r="A1116">
        <v>17</v>
      </c>
      <c r="B1116">
        <v>19981179</v>
      </c>
      <c r="C1116">
        <v>19790288</v>
      </c>
      <c r="D1116" t="s">
        <v>29</v>
      </c>
      <c r="E1116" t="s">
        <v>645</v>
      </c>
      <c r="G1116" t="s">
        <v>33</v>
      </c>
      <c r="H1116" t="s">
        <v>628</v>
      </c>
      <c r="I1116" t="s">
        <v>29</v>
      </c>
      <c r="J1116">
        <v>19990689</v>
      </c>
      <c r="K1116">
        <v>19990689</v>
      </c>
      <c r="L1116" t="str">
        <f>HYPERLINK("https://test.ictv.global/id/TN19981179","TN19981179@TEST")</f>
        <v>TN19981179@TEST</v>
      </c>
      <c r="M1116" t="str">
        <f>HYPERLINK("https://test.ictv.global/id/ICTV19790288","ICTV19790288@TEST")</f>
        <v>ICTV19790288@TEST</v>
      </c>
      <c r="N1116" t="str">
        <f>HYPERLINK("https://ictv.global/id/TN19981179","TN19981179@prod")</f>
        <v>TN19981179@prod</v>
      </c>
      <c r="O1116" t="str">
        <f>HYPERLINK("https://ictv.global/id/ICTV19790288","ICTV19790288@prod")</f>
        <v>ICTV19790288@prod</v>
      </c>
    </row>
    <row r="1117" spans="1:15" x14ac:dyDescent="0.2">
      <c r="A1117">
        <v>17</v>
      </c>
      <c r="B1117">
        <v>19981180</v>
      </c>
      <c r="C1117">
        <v>19790289</v>
      </c>
      <c r="D1117" t="s">
        <v>29</v>
      </c>
      <c r="E1117" t="s">
        <v>1699</v>
      </c>
      <c r="G1117" t="s">
        <v>1165</v>
      </c>
      <c r="L1117" t="str">
        <f>HYPERLINK("https://test.ictv.global/id/TN19981180","TN19981180@TEST")</f>
        <v>TN19981180@TEST</v>
      </c>
      <c r="M1117" t="str">
        <f>HYPERLINK("https://test.ictv.global/id/ICTV19790289","ICTV19790289@TEST")</f>
        <v>ICTV19790289@TEST</v>
      </c>
      <c r="N1117" t="str">
        <f>HYPERLINK("https://ictv.global/id/TN19981180","TN19981180@prod")</f>
        <v>TN19981180@prod</v>
      </c>
      <c r="O1117" t="str">
        <f>HYPERLINK("https://ictv.global/id/ICTV19790289","ICTV19790289@prod")</f>
        <v>ICTV19790289@prod</v>
      </c>
    </row>
    <row r="1118" spans="1:15" x14ac:dyDescent="0.2">
      <c r="A1118">
        <v>17</v>
      </c>
      <c r="B1118">
        <v>19981181</v>
      </c>
      <c r="C1118">
        <v>19910666</v>
      </c>
      <c r="D1118" t="s">
        <v>29</v>
      </c>
      <c r="E1118" t="s">
        <v>646</v>
      </c>
      <c r="G1118" t="s">
        <v>33</v>
      </c>
      <c r="H1118" t="s">
        <v>642</v>
      </c>
      <c r="I1118" t="s">
        <v>29</v>
      </c>
      <c r="J1118">
        <v>19990691</v>
      </c>
      <c r="K1118">
        <v>19990691</v>
      </c>
      <c r="L1118" t="str">
        <f>HYPERLINK("https://test.ictv.global/id/TN19981181","TN19981181@TEST")</f>
        <v>TN19981181@TEST</v>
      </c>
      <c r="M1118" t="str">
        <f>HYPERLINK("https://test.ictv.global/id/ICTV19910666","ICTV19910666@TEST")</f>
        <v>ICTV19910666@TEST</v>
      </c>
      <c r="N1118" t="str">
        <f>HYPERLINK("https://ictv.global/id/TN19981181","TN19981181@prod")</f>
        <v>TN19981181@prod</v>
      </c>
      <c r="O1118" t="str">
        <f>HYPERLINK("https://ictv.global/id/ICTV19910666","ICTV19910666@prod")</f>
        <v>ICTV19910666@prod</v>
      </c>
    </row>
    <row r="1119" spans="1:15" x14ac:dyDescent="0.2">
      <c r="A1119">
        <v>17</v>
      </c>
      <c r="B1119">
        <v>19981182</v>
      </c>
      <c r="C1119">
        <v>19790291</v>
      </c>
      <c r="D1119" t="s">
        <v>29</v>
      </c>
      <c r="E1119" t="s">
        <v>647</v>
      </c>
      <c r="G1119" t="s">
        <v>33</v>
      </c>
      <c r="H1119" t="s">
        <v>648</v>
      </c>
      <c r="I1119" t="s">
        <v>29</v>
      </c>
      <c r="J1119">
        <v>19990695</v>
      </c>
      <c r="K1119">
        <v>19990695</v>
      </c>
      <c r="L1119" t="str">
        <f>HYPERLINK("https://test.ictv.global/id/TN19981182","TN19981182@TEST")</f>
        <v>TN19981182@TEST</v>
      </c>
      <c r="M1119" t="str">
        <f>HYPERLINK("https://test.ictv.global/id/ICTV19790291","ICTV19790291@TEST")</f>
        <v>ICTV19790291@TEST</v>
      </c>
      <c r="N1119" t="str">
        <f>HYPERLINK("https://ictv.global/id/TN19981182","TN19981182@prod")</f>
        <v>TN19981182@prod</v>
      </c>
      <c r="O1119" t="str">
        <f>HYPERLINK("https://ictv.global/id/ICTV19790291","ICTV19790291@prod")</f>
        <v>ICTV19790291@prod</v>
      </c>
    </row>
    <row r="1120" spans="1:15" x14ac:dyDescent="0.2">
      <c r="A1120">
        <v>17</v>
      </c>
      <c r="B1120">
        <v>19981183</v>
      </c>
      <c r="C1120">
        <v>19790296</v>
      </c>
      <c r="D1120" t="s">
        <v>29</v>
      </c>
      <c r="E1120" t="s">
        <v>649</v>
      </c>
      <c r="G1120" t="s">
        <v>33</v>
      </c>
      <c r="H1120" t="s">
        <v>640</v>
      </c>
      <c r="I1120" t="s">
        <v>29</v>
      </c>
      <c r="J1120">
        <v>19990696</v>
      </c>
      <c r="K1120">
        <v>19990696</v>
      </c>
      <c r="L1120" t="str">
        <f>HYPERLINK("https://test.ictv.global/id/TN19981183","TN19981183@TEST")</f>
        <v>TN19981183@TEST</v>
      </c>
      <c r="M1120" t="str">
        <f>HYPERLINK("https://test.ictv.global/id/ICTV19790296","ICTV19790296@TEST")</f>
        <v>ICTV19790296@TEST</v>
      </c>
      <c r="N1120" t="str">
        <f>HYPERLINK("https://ictv.global/id/TN19981183","TN19981183@prod")</f>
        <v>TN19981183@prod</v>
      </c>
      <c r="O1120" t="str">
        <f>HYPERLINK("https://ictv.global/id/ICTV19790296","ICTV19790296@prod")</f>
        <v>ICTV19790296@prod</v>
      </c>
    </row>
    <row r="1121" spans="1:15" x14ac:dyDescent="0.2">
      <c r="A1121">
        <v>17</v>
      </c>
      <c r="B1121">
        <v>19981184</v>
      </c>
      <c r="C1121">
        <v>19910669</v>
      </c>
      <c r="D1121" t="s">
        <v>29</v>
      </c>
      <c r="E1121" t="s">
        <v>650</v>
      </c>
      <c r="G1121" t="s">
        <v>33</v>
      </c>
      <c r="H1121" t="s">
        <v>635</v>
      </c>
      <c r="I1121" t="s">
        <v>29</v>
      </c>
      <c r="J1121">
        <v>19990688</v>
      </c>
      <c r="K1121">
        <v>19990688</v>
      </c>
      <c r="L1121" t="str">
        <f>HYPERLINK("https://test.ictv.global/id/TN19981184","TN19981184@TEST")</f>
        <v>TN19981184@TEST</v>
      </c>
      <c r="M1121" t="str">
        <f>HYPERLINK("https://test.ictv.global/id/ICTV19910669","ICTV19910669@TEST")</f>
        <v>ICTV19910669@TEST</v>
      </c>
      <c r="N1121" t="str">
        <f>HYPERLINK("https://ictv.global/id/TN19981184","TN19981184@prod")</f>
        <v>TN19981184@prod</v>
      </c>
      <c r="O1121" t="str">
        <f>HYPERLINK("https://ictv.global/id/ICTV19910669","ICTV19910669@prod")</f>
        <v>ICTV19910669@prod</v>
      </c>
    </row>
    <row r="1122" spans="1:15" x14ac:dyDescent="0.2">
      <c r="A1122">
        <v>17</v>
      </c>
      <c r="B1122">
        <v>19981185</v>
      </c>
      <c r="C1122">
        <v>19910670</v>
      </c>
      <c r="D1122" t="s">
        <v>29</v>
      </c>
      <c r="E1122" t="s">
        <v>651</v>
      </c>
      <c r="G1122" t="s">
        <v>33</v>
      </c>
      <c r="H1122" t="s">
        <v>640</v>
      </c>
      <c r="I1122" t="s">
        <v>29</v>
      </c>
      <c r="J1122">
        <v>19990696</v>
      </c>
      <c r="K1122">
        <v>19990696</v>
      </c>
      <c r="L1122" t="str">
        <f>HYPERLINK("https://test.ictv.global/id/TN19981185","TN19981185@TEST")</f>
        <v>TN19981185@TEST</v>
      </c>
      <c r="M1122" t="str">
        <f>HYPERLINK("https://test.ictv.global/id/ICTV19910670","ICTV19910670@TEST")</f>
        <v>ICTV19910670@TEST</v>
      </c>
      <c r="N1122" t="str">
        <f>HYPERLINK("https://ictv.global/id/TN19981185","TN19981185@prod")</f>
        <v>TN19981185@prod</v>
      </c>
      <c r="O1122" t="str">
        <f>HYPERLINK("https://ictv.global/id/ICTV19910670","ICTV19910670@prod")</f>
        <v>ICTV19910670@prod</v>
      </c>
    </row>
    <row r="1123" spans="1:15" x14ac:dyDescent="0.2">
      <c r="A1123">
        <v>17</v>
      </c>
      <c r="B1123">
        <v>19981186</v>
      </c>
      <c r="C1123">
        <v>19790301</v>
      </c>
      <c r="D1123" t="s">
        <v>29</v>
      </c>
      <c r="E1123" t="s">
        <v>652</v>
      </c>
      <c r="G1123" t="s">
        <v>33</v>
      </c>
      <c r="H1123" t="s">
        <v>628</v>
      </c>
      <c r="I1123" t="s">
        <v>29</v>
      </c>
      <c r="J1123">
        <v>19990689</v>
      </c>
      <c r="K1123">
        <v>19990689</v>
      </c>
      <c r="L1123" t="str">
        <f>HYPERLINK("https://test.ictv.global/id/TN19981186","TN19981186@TEST")</f>
        <v>TN19981186@TEST</v>
      </c>
      <c r="M1123" t="str">
        <f>HYPERLINK("https://test.ictv.global/id/ICTV19790301","ICTV19790301@TEST")</f>
        <v>ICTV19790301@TEST</v>
      </c>
      <c r="N1123" t="str">
        <f>HYPERLINK("https://ictv.global/id/TN19981186","TN19981186@prod")</f>
        <v>TN19981186@prod</v>
      </c>
      <c r="O1123" t="str">
        <f>HYPERLINK("https://ictv.global/id/ICTV19790301","ICTV19790301@prod")</f>
        <v>ICTV19790301@prod</v>
      </c>
    </row>
    <row r="1124" spans="1:15" x14ac:dyDescent="0.2">
      <c r="A1124">
        <v>17</v>
      </c>
      <c r="B1124">
        <v>19981187</v>
      </c>
      <c r="C1124">
        <v>19910672</v>
      </c>
      <c r="D1124" t="s">
        <v>29</v>
      </c>
      <c r="E1124" t="s">
        <v>653</v>
      </c>
      <c r="G1124" t="s">
        <v>33</v>
      </c>
      <c r="H1124" t="s">
        <v>640</v>
      </c>
      <c r="I1124" t="s">
        <v>29</v>
      </c>
      <c r="J1124">
        <v>19990696</v>
      </c>
      <c r="K1124">
        <v>19990696</v>
      </c>
      <c r="L1124" t="str">
        <f>HYPERLINK("https://test.ictv.global/id/TN19981187","TN19981187@TEST")</f>
        <v>TN19981187@TEST</v>
      </c>
      <c r="M1124" t="str">
        <f>HYPERLINK("https://test.ictv.global/id/ICTV19910672","ICTV19910672@TEST")</f>
        <v>ICTV19910672@TEST</v>
      </c>
      <c r="N1124" t="str">
        <f>HYPERLINK("https://ictv.global/id/TN19981187","TN19981187@prod")</f>
        <v>TN19981187@prod</v>
      </c>
      <c r="O1124" t="str">
        <f>HYPERLINK("https://ictv.global/id/ICTV19910672","ICTV19910672@prod")</f>
        <v>ICTV19910672@prod</v>
      </c>
    </row>
    <row r="1125" spans="1:15" x14ac:dyDescent="0.2">
      <c r="A1125">
        <v>17</v>
      </c>
      <c r="B1125">
        <v>19981188</v>
      </c>
      <c r="C1125">
        <v>19910673</v>
      </c>
      <c r="D1125" t="s">
        <v>29</v>
      </c>
      <c r="E1125" t="s">
        <v>1700</v>
      </c>
      <c r="G1125" t="s">
        <v>1165</v>
      </c>
      <c r="L1125" t="str">
        <f>HYPERLINK("https://test.ictv.global/id/TN19981188","TN19981188@TEST")</f>
        <v>TN19981188@TEST</v>
      </c>
      <c r="M1125" t="str">
        <f>HYPERLINK("https://test.ictv.global/id/ICTV19910673","ICTV19910673@TEST")</f>
        <v>ICTV19910673@TEST</v>
      </c>
      <c r="N1125" t="str">
        <f>HYPERLINK("https://ictv.global/id/TN19981188","TN19981188@prod")</f>
        <v>TN19981188@prod</v>
      </c>
      <c r="O1125" t="str">
        <f>HYPERLINK("https://ictv.global/id/ICTV19910673","ICTV19910673@prod")</f>
        <v>ICTV19910673@prod</v>
      </c>
    </row>
    <row r="1126" spans="1:15" x14ac:dyDescent="0.2">
      <c r="A1126">
        <v>17</v>
      </c>
      <c r="B1126">
        <v>19981189</v>
      </c>
      <c r="C1126">
        <v>19910674</v>
      </c>
      <c r="D1126" t="s">
        <v>29</v>
      </c>
      <c r="E1126" t="s">
        <v>654</v>
      </c>
      <c r="G1126" t="s">
        <v>33</v>
      </c>
      <c r="H1126" t="s">
        <v>628</v>
      </c>
      <c r="I1126" t="s">
        <v>29</v>
      </c>
      <c r="J1126">
        <v>19990689</v>
      </c>
      <c r="K1126">
        <v>19990689</v>
      </c>
      <c r="L1126" t="str">
        <f>HYPERLINK("https://test.ictv.global/id/TN19981189","TN19981189@TEST")</f>
        <v>TN19981189@TEST</v>
      </c>
      <c r="M1126" t="str">
        <f>HYPERLINK("https://test.ictv.global/id/ICTV19910674","ICTV19910674@TEST")</f>
        <v>ICTV19910674@TEST</v>
      </c>
      <c r="N1126" t="str">
        <f>HYPERLINK("https://ictv.global/id/TN19981189","TN19981189@prod")</f>
        <v>TN19981189@prod</v>
      </c>
      <c r="O1126" t="str">
        <f>HYPERLINK("https://ictv.global/id/ICTV19910674","ICTV19910674@prod")</f>
        <v>ICTV19910674@prod</v>
      </c>
    </row>
    <row r="1127" spans="1:15" x14ac:dyDescent="0.2">
      <c r="A1127">
        <v>17</v>
      </c>
      <c r="B1127">
        <v>19981190</v>
      </c>
      <c r="C1127">
        <v>19790302</v>
      </c>
      <c r="D1127" t="s">
        <v>29</v>
      </c>
      <c r="E1127" t="s">
        <v>1701</v>
      </c>
      <c r="G1127" t="s">
        <v>1165</v>
      </c>
      <c r="L1127" t="str">
        <f>HYPERLINK("https://test.ictv.global/id/TN19981190","TN19981190@TEST")</f>
        <v>TN19981190@TEST</v>
      </c>
      <c r="M1127" t="str">
        <f>HYPERLINK("https://test.ictv.global/id/ICTV19790302","ICTV19790302@TEST")</f>
        <v>ICTV19790302@TEST</v>
      </c>
      <c r="N1127" t="str">
        <f>HYPERLINK("https://ictv.global/id/TN19981190","TN19981190@prod")</f>
        <v>TN19981190@prod</v>
      </c>
      <c r="O1127" t="str">
        <f>HYPERLINK("https://ictv.global/id/ICTV19790302","ICTV19790302@prod")</f>
        <v>ICTV19790302@prod</v>
      </c>
    </row>
    <row r="1128" spans="1:15" x14ac:dyDescent="0.2">
      <c r="A1128">
        <v>17</v>
      </c>
      <c r="B1128">
        <v>19981191</v>
      </c>
      <c r="C1128">
        <v>19790303</v>
      </c>
      <c r="D1128" t="s">
        <v>29</v>
      </c>
      <c r="E1128" t="s">
        <v>655</v>
      </c>
      <c r="G1128" t="s">
        <v>33</v>
      </c>
      <c r="H1128" t="s">
        <v>640</v>
      </c>
      <c r="I1128" t="s">
        <v>29</v>
      </c>
      <c r="J1128">
        <v>19990696</v>
      </c>
      <c r="K1128">
        <v>19990696</v>
      </c>
      <c r="L1128" t="str">
        <f>HYPERLINK("https://test.ictv.global/id/TN19981191","TN19981191@TEST")</f>
        <v>TN19981191@TEST</v>
      </c>
      <c r="M1128" t="str">
        <f>HYPERLINK("https://test.ictv.global/id/ICTV19790303","ICTV19790303@TEST")</f>
        <v>ICTV19790303@TEST</v>
      </c>
      <c r="N1128" t="str">
        <f>HYPERLINK("https://ictv.global/id/TN19981191","TN19981191@prod")</f>
        <v>TN19981191@prod</v>
      </c>
      <c r="O1128" t="str">
        <f>HYPERLINK("https://ictv.global/id/ICTV19790303","ICTV19790303@prod")</f>
        <v>ICTV19790303@prod</v>
      </c>
    </row>
    <row r="1129" spans="1:15" x14ac:dyDescent="0.2">
      <c r="A1129">
        <v>17</v>
      </c>
      <c r="B1129">
        <v>19981192</v>
      </c>
      <c r="C1129">
        <v>19910677</v>
      </c>
      <c r="D1129" t="s">
        <v>29</v>
      </c>
      <c r="E1129" t="s">
        <v>656</v>
      </c>
      <c r="G1129" t="s">
        <v>33</v>
      </c>
      <c r="H1129" t="s">
        <v>640</v>
      </c>
      <c r="I1129" t="s">
        <v>29</v>
      </c>
      <c r="J1129">
        <v>19990696</v>
      </c>
      <c r="K1129">
        <v>19990696</v>
      </c>
      <c r="L1129" t="str">
        <f>HYPERLINK("https://test.ictv.global/id/TN19981192","TN19981192@TEST")</f>
        <v>TN19981192@TEST</v>
      </c>
      <c r="M1129" t="str">
        <f>HYPERLINK("https://test.ictv.global/id/ICTV19910677","ICTV19910677@TEST")</f>
        <v>ICTV19910677@TEST</v>
      </c>
      <c r="N1129" t="str">
        <f>HYPERLINK("https://ictv.global/id/TN19981192","TN19981192@prod")</f>
        <v>TN19981192@prod</v>
      </c>
      <c r="O1129" t="str">
        <f>HYPERLINK("https://ictv.global/id/ICTV19910677","ICTV19910677@prod")</f>
        <v>ICTV19910677@prod</v>
      </c>
    </row>
    <row r="1130" spans="1:15" x14ac:dyDescent="0.2">
      <c r="A1130">
        <v>17</v>
      </c>
      <c r="B1130">
        <v>19981193</v>
      </c>
      <c r="C1130">
        <v>19990692</v>
      </c>
      <c r="D1130" t="s">
        <v>29</v>
      </c>
      <c r="E1130" t="s">
        <v>634</v>
      </c>
      <c r="G1130" t="s">
        <v>33</v>
      </c>
      <c r="H1130" t="s">
        <v>634</v>
      </c>
      <c r="I1130" t="s">
        <v>29</v>
      </c>
      <c r="J1130">
        <v>19990692</v>
      </c>
      <c r="K1130">
        <v>19990692</v>
      </c>
      <c r="L1130" t="str">
        <f>HYPERLINK("https://test.ictv.global/id/TN19981193","TN19981193@TEST")</f>
        <v>TN19981193@TEST</v>
      </c>
      <c r="M1130" t="str">
        <f>HYPERLINK("https://test.ictv.global/id/ICTV19990692","ICTV19990692@TEST")</f>
        <v>ICTV19990692@TEST</v>
      </c>
      <c r="N1130" t="str">
        <f>HYPERLINK("https://ictv.global/id/TN19981193","TN19981193@prod")</f>
        <v>TN19981193@prod</v>
      </c>
      <c r="O1130" t="str">
        <f>HYPERLINK("https://ictv.global/id/ICTV19990692","ICTV19990692@prod")</f>
        <v>ICTV19990692@prod</v>
      </c>
    </row>
    <row r="1131" spans="1:15" x14ac:dyDescent="0.2">
      <c r="A1131">
        <v>17</v>
      </c>
      <c r="B1131">
        <v>19981194</v>
      </c>
      <c r="C1131">
        <v>19990693</v>
      </c>
      <c r="D1131" t="s">
        <v>29</v>
      </c>
      <c r="E1131" t="s">
        <v>632</v>
      </c>
      <c r="G1131" t="s">
        <v>31</v>
      </c>
      <c r="H1131" t="s">
        <v>632</v>
      </c>
      <c r="I1131" t="s">
        <v>29</v>
      </c>
      <c r="J1131">
        <v>19990693</v>
      </c>
      <c r="K1131">
        <v>19990693</v>
      </c>
      <c r="L1131" t="str">
        <f>HYPERLINK("https://test.ictv.global/id/TN19981194","TN19981194@TEST")</f>
        <v>TN19981194@TEST</v>
      </c>
      <c r="M1131" t="str">
        <f>HYPERLINK("https://test.ictv.global/id/ICTV19990693","ICTV19990693@TEST")</f>
        <v>ICTV19990693@TEST</v>
      </c>
      <c r="N1131" t="str">
        <f>HYPERLINK("https://ictv.global/id/TN19981194","TN19981194@prod")</f>
        <v>TN19981194@prod</v>
      </c>
      <c r="O1131" t="str">
        <f>HYPERLINK("https://ictv.global/id/ICTV19990693","ICTV19990693@prod")</f>
        <v>ICTV19990693@prod</v>
      </c>
    </row>
    <row r="1132" spans="1:15" x14ac:dyDescent="0.2">
      <c r="A1132">
        <v>17</v>
      </c>
      <c r="B1132">
        <v>19981195</v>
      </c>
      <c r="C1132">
        <v>19790306</v>
      </c>
      <c r="D1132" t="s">
        <v>29</v>
      </c>
      <c r="E1132" t="s">
        <v>1702</v>
      </c>
      <c r="G1132" t="s">
        <v>1165</v>
      </c>
      <c r="L1132" t="str">
        <f>HYPERLINK("https://test.ictv.global/id/TN19981195","TN19981195@TEST")</f>
        <v>TN19981195@TEST</v>
      </c>
      <c r="M1132" t="str">
        <f>HYPERLINK("https://test.ictv.global/id/ICTV19790306","ICTV19790306@TEST")</f>
        <v>ICTV19790306@TEST</v>
      </c>
      <c r="N1132" t="str">
        <f>HYPERLINK("https://ictv.global/id/TN19981195","TN19981195@prod")</f>
        <v>TN19981195@prod</v>
      </c>
      <c r="O1132" t="str">
        <f>HYPERLINK("https://ictv.global/id/ICTV19790306","ICTV19790306@prod")</f>
        <v>ICTV19790306@prod</v>
      </c>
    </row>
    <row r="1133" spans="1:15" x14ac:dyDescent="0.2">
      <c r="A1133">
        <v>17</v>
      </c>
      <c r="B1133">
        <v>19981196</v>
      </c>
      <c r="C1133">
        <v>19910681</v>
      </c>
      <c r="D1133" t="s">
        <v>29</v>
      </c>
      <c r="E1133" t="s">
        <v>657</v>
      </c>
      <c r="G1133" t="s">
        <v>33</v>
      </c>
      <c r="H1133" t="s">
        <v>640</v>
      </c>
      <c r="I1133" t="s">
        <v>29</v>
      </c>
      <c r="J1133">
        <v>19990696</v>
      </c>
      <c r="K1133">
        <v>19990696</v>
      </c>
      <c r="L1133" t="str">
        <f>HYPERLINK("https://test.ictv.global/id/TN19981196","TN19981196@TEST")</f>
        <v>TN19981196@TEST</v>
      </c>
      <c r="M1133" t="str">
        <f>HYPERLINK("https://test.ictv.global/id/ICTV19910681","ICTV19910681@TEST")</f>
        <v>ICTV19910681@TEST</v>
      </c>
      <c r="N1133" t="str">
        <f>HYPERLINK("https://ictv.global/id/TN19981196","TN19981196@prod")</f>
        <v>TN19981196@prod</v>
      </c>
      <c r="O1133" t="str">
        <f>HYPERLINK("https://ictv.global/id/ICTV19910681","ICTV19910681@prod")</f>
        <v>ICTV19910681@prod</v>
      </c>
    </row>
    <row r="1134" spans="1:15" x14ac:dyDescent="0.2">
      <c r="A1134">
        <v>17</v>
      </c>
      <c r="B1134">
        <v>19981197</v>
      </c>
      <c r="C1134">
        <v>19910682</v>
      </c>
      <c r="D1134" t="s">
        <v>29</v>
      </c>
      <c r="E1134" t="s">
        <v>1703</v>
      </c>
      <c r="G1134" t="s">
        <v>1165</v>
      </c>
      <c r="L1134" t="str">
        <f>HYPERLINK("https://test.ictv.global/id/TN19981197","TN19981197@TEST")</f>
        <v>TN19981197@TEST</v>
      </c>
      <c r="M1134" t="str">
        <f>HYPERLINK("https://test.ictv.global/id/ICTV19910682","ICTV19910682@TEST")</f>
        <v>ICTV19910682@TEST</v>
      </c>
      <c r="N1134" t="str">
        <f>HYPERLINK("https://ictv.global/id/TN19981197","TN19981197@prod")</f>
        <v>TN19981197@prod</v>
      </c>
      <c r="O1134" t="str">
        <f>HYPERLINK("https://ictv.global/id/ICTV19910682","ICTV19910682@prod")</f>
        <v>ICTV19910682@prod</v>
      </c>
    </row>
    <row r="1135" spans="1:15" x14ac:dyDescent="0.2">
      <c r="A1135">
        <v>17</v>
      </c>
      <c r="B1135">
        <v>19981198</v>
      </c>
      <c r="C1135">
        <v>19790307</v>
      </c>
      <c r="D1135" t="s">
        <v>29</v>
      </c>
      <c r="E1135" t="s">
        <v>658</v>
      </c>
      <c r="G1135" t="s">
        <v>33</v>
      </c>
      <c r="H1135" t="s">
        <v>630</v>
      </c>
      <c r="I1135" t="s">
        <v>29</v>
      </c>
      <c r="J1135">
        <v>19990694</v>
      </c>
      <c r="K1135">
        <v>19990694</v>
      </c>
      <c r="L1135" t="str">
        <f>HYPERLINK("https://test.ictv.global/id/TN19981198","TN19981198@TEST")</f>
        <v>TN19981198@TEST</v>
      </c>
      <c r="M1135" t="str">
        <f>HYPERLINK("https://test.ictv.global/id/ICTV19790307","ICTV19790307@TEST")</f>
        <v>ICTV19790307@TEST</v>
      </c>
      <c r="N1135" t="str">
        <f>HYPERLINK("https://ictv.global/id/TN19981198","TN19981198@prod")</f>
        <v>TN19981198@prod</v>
      </c>
      <c r="O1135" t="str">
        <f>HYPERLINK("https://ictv.global/id/ICTV19790307","ICTV19790307@prod")</f>
        <v>ICTV19790307@prod</v>
      </c>
    </row>
    <row r="1136" spans="1:15" x14ac:dyDescent="0.2">
      <c r="A1136">
        <v>17</v>
      </c>
      <c r="B1136">
        <v>19981199</v>
      </c>
      <c r="C1136">
        <v>19990695</v>
      </c>
      <c r="D1136" t="s">
        <v>29</v>
      </c>
      <c r="E1136" t="s">
        <v>648</v>
      </c>
      <c r="G1136" t="s">
        <v>33</v>
      </c>
      <c r="H1136" t="s">
        <v>648</v>
      </c>
      <c r="I1136" t="s">
        <v>29</v>
      </c>
      <c r="J1136">
        <v>19990695</v>
      </c>
      <c r="K1136">
        <v>19990695</v>
      </c>
      <c r="L1136" t="str">
        <f>HYPERLINK("https://test.ictv.global/id/TN19981199","TN19981199@TEST")</f>
        <v>TN19981199@TEST</v>
      </c>
      <c r="M1136" t="str">
        <f>HYPERLINK("https://test.ictv.global/id/ICTV19990695","ICTV19990695@TEST")</f>
        <v>ICTV19990695@TEST</v>
      </c>
      <c r="N1136" t="str">
        <f>HYPERLINK("https://ictv.global/id/TN19981199","TN19981199@prod")</f>
        <v>TN19981199@prod</v>
      </c>
      <c r="O1136" t="str">
        <f>HYPERLINK("https://ictv.global/id/ICTV19990695","ICTV19990695@prod")</f>
        <v>ICTV19990695@prod</v>
      </c>
    </row>
    <row r="1137" spans="1:15" x14ac:dyDescent="0.2">
      <c r="A1137">
        <v>17</v>
      </c>
      <c r="B1137">
        <v>19981200</v>
      </c>
      <c r="C1137">
        <v>19790309</v>
      </c>
      <c r="D1137" t="s">
        <v>29</v>
      </c>
      <c r="E1137" t="s">
        <v>1704</v>
      </c>
      <c r="G1137" t="s">
        <v>1165</v>
      </c>
      <c r="L1137" t="str">
        <f>HYPERLINK("https://test.ictv.global/id/TN19981200","TN19981200@TEST")</f>
        <v>TN19981200@TEST</v>
      </c>
      <c r="M1137" t="str">
        <f>HYPERLINK("https://test.ictv.global/id/ICTV19790309","ICTV19790309@TEST")</f>
        <v>ICTV19790309@TEST</v>
      </c>
      <c r="N1137" t="str">
        <f>HYPERLINK("https://ictv.global/id/TN19981200","TN19981200@prod")</f>
        <v>TN19981200@prod</v>
      </c>
      <c r="O1137" t="str">
        <f>HYPERLINK("https://ictv.global/id/ICTV19790309","ICTV19790309@prod")</f>
        <v>ICTV19790309@prod</v>
      </c>
    </row>
    <row r="1138" spans="1:15" x14ac:dyDescent="0.2">
      <c r="A1138">
        <v>17</v>
      </c>
      <c r="B1138">
        <v>19981201</v>
      </c>
      <c r="C1138">
        <v>19910686</v>
      </c>
      <c r="D1138" t="s">
        <v>29</v>
      </c>
      <c r="E1138" t="s">
        <v>659</v>
      </c>
      <c r="G1138" t="s">
        <v>33</v>
      </c>
      <c r="H1138" t="s">
        <v>640</v>
      </c>
      <c r="I1138" t="s">
        <v>29</v>
      </c>
      <c r="J1138">
        <v>19990696</v>
      </c>
      <c r="K1138">
        <v>19990696</v>
      </c>
      <c r="L1138" t="str">
        <f>HYPERLINK("https://test.ictv.global/id/TN19981201","TN19981201@TEST")</f>
        <v>TN19981201@TEST</v>
      </c>
      <c r="M1138" t="str">
        <f>HYPERLINK("https://test.ictv.global/id/ICTV19910686","ICTV19910686@TEST")</f>
        <v>ICTV19910686@TEST</v>
      </c>
      <c r="N1138" t="str">
        <f>HYPERLINK("https://ictv.global/id/TN19981201","TN19981201@prod")</f>
        <v>TN19981201@prod</v>
      </c>
      <c r="O1138" t="str">
        <f>HYPERLINK("https://ictv.global/id/ICTV19910686","ICTV19910686@prod")</f>
        <v>ICTV19910686@prod</v>
      </c>
    </row>
    <row r="1139" spans="1:15" x14ac:dyDescent="0.2">
      <c r="A1139">
        <v>17</v>
      </c>
      <c r="B1139">
        <v>19981202</v>
      </c>
      <c r="C1139">
        <v>19820422</v>
      </c>
      <c r="D1139" t="s">
        <v>29</v>
      </c>
      <c r="E1139" t="s">
        <v>660</v>
      </c>
      <c r="G1139" t="s">
        <v>33</v>
      </c>
      <c r="H1139" t="s">
        <v>648</v>
      </c>
      <c r="I1139" t="s">
        <v>29</v>
      </c>
      <c r="J1139">
        <v>19990695</v>
      </c>
      <c r="K1139">
        <v>19990695</v>
      </c>
      <c r="L1139" t="str">
        <f>HYPERLINK("https://test.ictv.global/id/TN19981202","TN19981202@TEST")</f>
        <v>TN19981202@TEST</v>
      </c>
      <c r="M1139" t="str">
        <f>HYPERLINK("https://test.ictv.global/id/ICTV19820422","ICTV19820422@TEST")</f>
        <v>ICTV19820422@TEST</v>
      </c>
      <c r="N1139" t="str">
        <f>HYPERLINK("https://ictv.global/id/TN19981202","TN19981202@prod")</f>
        <v>TN19981202@prod</v>
      </c>
      <c r="O1139" t="str">
        <f>HYPERLINK("https://ictv.global/id/ICTV19820422","ICTV19820422@prod")</f>
        <v>ICTV19820422@prod</v>
      </c>
    </row>
    <row r="1140" spans="1:15" x14ac:dyDescent="0.2">
      <c r="A1140">
        <v>17</v>
      </c>
      <c r="B1140">
        <v>19981203</v>
      </c>
      <c r="C1140">
        <v>19820423</v>
      </c>
      <c r="D1140" t="s">
        <v>29</v>
      </c>
      <c r="E1140" t="s">
        <v>661</v>
      </c>
      <c r="G1140" t="s">
        <v>33</v>
      </c>
      <c r="H1140" t="s">
        <v>648</v>
      </c>
      <c r="I1140" t="s">
        <v>29</v>
      </c>
      <c r="J1140">
        <v>19990695</v>
      </c>
      <c r="K1140">
        <v>19990695</v>
      </c>
      <c r="L1140" t="str">
        <f>HYPERLINK("https://test.ictv.global/id/TN19981203","TN19981203@TEST")</f>
        <v>TN19981203@TEST</v>
      </c>
      <c r="M1140" t="str">
        <f>HYPERLINK("https://test.ictv.global/id/ICTV19820423","ICTV19820423@TEST")</f>
        <v>ICTV19820423@TEST</v>
      </c>
      <c r="N1140" t="str">
        <f>HYPERLINK("https://ictv.global/id/TN19981203","TN19981203@prod")</f>
        <v>TN19981203@prod</v>
      </c>
      <c r="O1140" t="str">
        <f>HYPERLINK("https://ictv.global/id/ICTV19820423","ICTV19820423@prod")</f>
        <v>ICTV19820423@prod</v>
      </c>
    </row>
    <row r="1141" spans="1:15" x14ac:dyDescent="0.2">
      <c r="A1141">
        <v>17</v>
      </c>
      <c r="B1141">
        <v>19981204</v>
      </c>
      <c r="C1141">
        <v>19910689</v>
      </c>
      <c r="D1141" t="s">
        <v>29</v>
      </c>
      <c r="E1141" t="s">
        <v>662</v>
      </c>
      <c r="G1141" t="s">
        <v>33</v>
      </c>
      <c r="H1141" t="s">
        <v>628</v>
      </c>
      <c r="I1141" t="s">
        <v>29</v>
      </c>
      <c r="J1141">
        <v>19990689</v>
      </c>
      <c r="K1141">
        <v>19990689</v>
      </c>
      <c r="L1141" t="str">
        <f>HYPERLINK("https://test.ictv.global/id/TN19981204","TN19981204@TEST")</f>
        <v>TN19981204@TEST</v>
      </c>
      <c r="M1141" t="str">
        <f>HYPERLINK("https://test.ictv.global/id/ICTV19910689","ICTV19910689@TEST")</f>
        <v>ICTV19910689@TEST</v>
      </c>
      <c r="N1141" t="str">
        <f>HYPERLINK("https://ictv.global/id/TN19981204","TN19981204@prod")</f>
        <v>TN19981204@prod</v>
      </c>
      <c r="O1141" t="str">
        <f>HYPERLINK("https://ictv.global/id/ICTV19910689","ICTV19910689@prod")</f>
        <v>ICTV19910689@prod</v>
      </c>
    </row>
    <row r="1142" spans="1:15" x14ac:dyDescent="0.2">
      <c r="A1142">
        <v>17</v>
      </c>
      <c r="B1142">
        <v>19981205</v>
      </c>
      <c r="C1142">
        <v>19790317</v>
      </c>
      <c r="D1142" t="s">
        <v>29</v>
      </c>
      <c r="E1142" t="s">
        <v>1705</v>
      </c>
      <c r="G1142" t="s">
        <v>1165</v>
      </c>
      <c r="L1142" t="str">
        <f>HYPERLINK("https://test.ictv.global/id/TN19981205","TN19981205@TEST")</f>
        <v>TN19981205@TEST</v>
      </c>
      <c r="M1142" t="str">
        <f>HYPERLINK("https://test.ictv.global/id/ICTV19790317","ICTV19790317@TEST")</f>
        <v>ICTV19790317@TEST</v>
      </c>
      <c r="N1142" t="str">
        <f>HYPERLINK("https://ictv.global/id/TN19981205","TN19981205@prod")</f>
        <v>TN19981205@prod</v>
      </c>
      <c r="O1142" t="str">
        <f>HYPERLINK("https://ictv.global/id/ICTV19790317","ICTV19790317@prod")</f>
        <v>ICTV19790317@prod</v>
      </c>
    </row>
    <row r="1143" spans="1:15" x14ac:dyDescent="0.2">
      <c r="A1143">
        <v>17</v>
      </c>
      <c r="B1143">
        <v>19981206</v>
      </c>
      <c r="C1143">
        <v>19990696</v>
      </c>
      <c r="D1143" t="s">
        <v>29</v>
      </c>
      <c r="E1143" t="s">
        <v>640</v>
      </c>
      <c r="G1143" t="s">
        <v>33</v>
      </c>
      <c r="H1143" t="s">
        <v>640</v>
      </c>
      <c r="I1143" t="s">
        <v>29</v>
      </c>
      <c r="J1143">
        <v>19990696</v>
      </c>
      <c r="K1143">
        <v>19990696</v>
      </c>
      <c r="L1143" t="str">
        <f>HYPERLINK("https://test.ictv.global/id/TN19981206","TN19981206@TEST")</f>
        <v>TN19981206@TEST</v>
      </c>
      <c r="M1143" t="str">
        <f>HYPERLINK("https://test.ictv.global/id/ICTV19990696","ICTV19990696@TEST")</f>
        <v>ICTV19990696@TEST</v>
      </c>
      <c r="N1143" t="str">
        <f>HYPERLINK("https://ictv.global/id/TN19981206","TN19981206@prod")</f>
        <v>TN19981206@prod</v>
      </c>
      <c r="O1143" t="str">
        <f>HYPERLINK("https://ictv.global/id/ICTV19990696","ICTV19990696@prod")</f>
        <v>ICTV19990696@prod</v>
      </c>
    </row>
    <row r="1144" spans="1:15" x14ac:dyDescent="0.2">
      <c r="A1144">
        <v>17</v>
      </c>
      <c r="B1144">
        <v>19981207</v>
      </c>
      <c r="C1144">
        <v>19790320</v>
      </c>
      <c r="D1144" t="s">
        <v>29</v>
      </c>
      <c r="E1144" t="s">
        <v>663</v>
      </c>
      <c r="G1144" t="s">
        <v>33</v>
      </c>
      <c r="H1144" t="s">
        <v>640</v>
      </c>
      <c r="I1144" t="s">
        <v>29</v>
      </c>
      <c r="J1144">
        <v>19990696</v>
      </c>
      <c r="K1144">
        <v>19990696</v>
      </c>
      <c r="L1144" t="str">
        <f>HYPERLINK("https://test.ictv.global/id/TN19981207","TN19981207@TEST")</f>
        <v>TN19981207@TEST</v>
      </c>
      <c r="M1144" t="str">
        <f>HYPERLINK("https://test.ictv.global/id/ICTV19790320","ICTV19790320@TEST")</f>
        <v>ICTV19790320@TEST</v>
      </c>
      <c r="N1144" t="str">
        <f>HYPERLINK("https://ictv.global/id/TN19981207","TN19981207@prod")</f>
        <v>TN19981207@prod</v>
      </c>
      <c r="O1144" t="str">
        <f>HYPERLINK("https://ictv.global/id/ICTV19790320","ICTV19790320@prod")</f>
        <v>ICTV19790320@prod</v>
      </c>
    </row>
    <row r="1145" spans="1:15" x14ac:dyDescent="0.2">
      <c r="A1145">
        <v>17</v>
      </c>
      <c r="B1145">
        <v>19981214</v>
      </c>
      <c r="C1145">
        <v>19910694</v>
      </c>
      <c r="D1145" t="s">
        <v>29</v>
      </c>
      <c r="E1145" t="s">
        <v>1706</v>
      </c>
      <c r="G1145" t="s">
        <v>1165</v>
      </c>
      <c r="L1145" t="str">
        <f>HYPERLINK("https://test.ictv.global/id/TN19981214","TN19981214@TEST")</f>
        <v>TN19981214@TEST</v>
      </c>
      <c r="M1145" t="str">
        <f>HYPERLINK("https://test.ictv.global/id/ICTV19910694","ICTV19910694@TEST")</f>
        <v>ICTV19910694@TEST</v>
      </c>
      <c r="N1145" t="str">
        <f>HYPERLINK("https://ictv.global/id/TN19981214","TN19981214@prod")</f>
        <v>TN19981214@prod</v>
      </c>
      <c r="O1145" t="str">
        <f>HYPERLINK("https://ictv.global/id/ICTV19910694","ICTV19910694@prod")</f>
        <v>ICTV19910694@prod</v>
      </c>
    </row>
    <row r="1146" spans="1:15" x14ac:dyDescent="0.2">
      <c r="A1146">
        <v>17</v>
      </c>
      <c r="B1146">
        <v>19981215</v>
      </c>
      <c r="C1146">
        <v>19790951</v>
      </c>
      <c r="D1146" t="s">
        <v>29</v>
      </c>
      <c r="E1146" t="s">
        <v>664</v>
      </c>
      <c r="G1146" t="s">
        <v>166</v>
      </c>
      <c r="H1146" t="s">
        <v>665</v>
      </c>
      <c r="I1146" t="s">
        <v>29</v>
      </c>
      <c r="J1146">
        <v>19990710</v>
      </c>
      <c r="K1146">
        <v>19990710</v>
      </c>
      <c r="L1146" t="str">
        <f>HYPERLINK("https://test.ictv.global/id/TN19981215","TN19981215@TEST")</f>
        <v>TN19981215@TEST</v>
      </c>
      <c r="M1146" t="str">
        <f>HYPERLINK("https://test.ictv.global/id/ICTV19790951","ICTV19790951@TEST")</f>
        <v>ICTV19790951@TEST</v>
      </c>
      <c r="N1146" t="str">
        <f>HYPERLINK("https://ictv.global/id/TN19981215","TN19981215@prod")</f>
        <v>TN19981215@prod</v>
      </c>
      <c r="O1146" t="str">
        <f>HYPERLINK("https://ictv.global/id/ICTV19790951","ICTV19790951@prod")</f>
        <v>ICTV19790951@prod</v>
      </c>
    </row>
    <row r="1147" spans="1:15" x14ac:dyDescent="0.2">
      <c r="A1147">
        <v>17</v>
      </c>
      <c r="B1147">
        <v>19981217</v>
      </c>
      <c r="C1147">
        <v>19990710</v>
      </c>
      <c r="D1147" t="s">
        <v>29</v>
      </c>
      <c r="E1147" t="s">
        <v>665</v>
      </c>
      <c r="G1147" t="s">
        <v>33</v>
      </c>
      <c r="H1147" t="s">
        <v>665</v>
      </c>
      <c r="I1147" t="s">
        <v>29</v>
      </c>
      <c r="J1147">
        <v>19990710</v>
      </c>
      <c r="K1147">
        <v>19990710</v>
      </c>
      <c r="L1147" t="str">
        <f>HYPERLINK("https://test.ictv.global/id/TN19981217","TN19981217@TEST")</f>
        <v>TN19981217@TEST</v>
      </c>
      <c r="M1147" t="str">
        <f>HYPERLINK("https://test.ictv.global/id/ICTV19990710","ICTV19990710@TEST")</f>
        <v>ICTV19990710@TEST</v>
      </c>
      <c r="N1147" t="str">
        <f>HYPERLINK("https://ictv.global/id/TN19981217","TN19981217@prod")</f>
        <v>TN19981217@prod</v>
      </c>
      <c r="O1147" t="str">
        <f>HYPERLINK("https://ictv.global/id/ICTV19990710","ICTV19990710@prod")</f>
        <v>ICTV19990710@prod</v>
      </c>
    </row>
    <row r="1148" spans="1:15" x14ac:dyDescent="0.2">
      <c r="A1148">
        <v>17</v>
      </c>
      <c r="B1148">
        <v>19981250</v>
      </c>
      <c r="C1148">
        <v>19790974</v>
      </c>
      <c r="D1148" t="s">
        <v>29</v>
      </c>
      <c r="E1148" t="s">
        <v>1707</v>
      </c>
      <c r="G1148" t="s">
        <v>1165</v>
      </c>
      <c r="L1148" t="str">
        <f>HYPERLINK("https://test.ictv.global/id/TN19981250","TN19981250@TEST")</f>
        <v>TN19981250@TEST</v>
      </c>
      <c r="M1148" t="str">
        <f>HYPERLINK("https://test.ictv.global/id/ICTV19790974","ICTV19790974@TEST")</f>
        <v>ICTV19790974@TEST</v>
      </c>
      <c r="N1148" t="str">
        <f>HYPERLINK("https://ictv.global/id/TN19981250","TN19981250@prod")</f>
        <v>TN19981250@prod</v>
      </c>
      <c r="O1148" t="str">
        <f>HYPERLINK("https://ictv.global/id/ICTV19790974","ICTV19790974@prod")</f>
        <v>ICTV19790974@prod</v>
      </c>
    </row>
    <row r="1149" spans="1:15" x14ac:dyDescent="0.2">
      <c r="A1149">
        <v>17</v>
      </c>
      <c r="B1149">
        <v>19981312</v>
      </c>
      <c r="C1149">
        <v>19950886</v>
      </c>
      <c r="D1149" t="s">
        <v>29</v>
      </c>
      <c r="E1149" t="s">
        <v>1708</v>
      </c>
      <c r="G1149" t="s">
        <v>1165</v>
      </c>
      <c r="L1149" t="str">
        <f>HYPERLINK("https://test.ictv.global/id/TN19981312","TN19981312@TEST")</f>
        <v>TN19981312@TEST</v>
      </c>
      <c r="M1149" t="str">
        <f>HYPERLINK("https://test.ictv.global/id/ICTV19950886","ICTV19950886@TEST")</f>
        <v>ICTV19950886@TEST</v>
      </c>
      <c r="N1149" t="str">
        <f>HYPERLINK("https://ictv.global/id/TN19981312","TN19981312@prod")</f>
        <v>TN19981312@prod</v>
      </c>
      <c r="O1149" t="str">
        <f>HYPERLINK("https://ictv.global/id/ICTV19950886","ICTV19950886@prod")</f>
        <v>ICTV19950886@prod</v>
      </c>
    </row>
    <row r="1150" spans="1:15" x14ac:dyDescent="0.2">
      <c r="A1150">
        <v>17</v>
      </c>
      <c r="B1150">
        <v>19981313</v>
      </c>
      <c r="C1150">
        <v>19760585</v>
      </c>
      <c r="D1150" t="s">
        <v>29</v>
      </c>
      <c r="E1150" t="s">
        <v>666</v>
      </c>
      <c r="G1150" t="s">
        <v>33</v>
      </c>
      <c r="H1150" t="s">
        <v>667</v>
      </c>
      <c r="I1150" t="s">
        <v>29</v>
      </c>
      <c r="J1150">
        <v>19990839</v>
      </c>
      <c r="K1150">
        <v>19990839</v>
      </c>
      <c r="L1150" t="str">
        <f>HYPERLINK("https://test.ictv.global/id/TN19981313","TN19981313@TEST")</f>
        <v>TN19981313@TEST</v>
      </c>
      <c r="M1150" t="str">
        <f>HYPERLINK("https://test.ictv.global/id/ICTV19760585","ICTV19760585@TEST")</f>
        <v>ICTV19760585@TEST</v>
      </c>
      <c r="N1150" t="str">
        <f>HYPERLINK("https://ictv.global/id/TN19981313","TN19981313@prod")</f>
        <v>TN19981313@prod</v>
      </c>
      <c r="O1150" t="str">
        <f>HYPERLINK("https://ictv.global/id/ICTV19760585","ICTV19760585@prod")</f>
        <v>ICTV19760585@prod</v>
      </c>
    </row>
    <row r="1151" spans="1:15" x14ac:dyDescent="0.2">
      <c r="A1151">
        <v>17</v>
      </c>
      <c r="B1151">
        <v>19981322</v>
      </c>
      <c r="C1151">
        <v>19710095</v>
      </c>
      <c r="D1151" t="s">
        <v>29</v>
      </c>
      <c r="E1151" t="s">
        <v>668</v>
      </c>
      <c r="G1151" t="s">
        <v>33</v>
      </c>
      <c r="H1151" t="s">
        <v>669</v>
      </c>
      <c r="I1151" t="s">
        <v>29</v>
      </c>
      <c r="J1151">
        <v>19990820</v>
      </c>
      <c r="K1151">
        <v>19990820</v>
      </c>
      <c r="L1151" t="str">
        <f>HYPERLINK("https://test.ictv.global/id/TN19981322","TN19981322@TEST")</f>
        <v>TN19981322@TEST</v>
      </c>
      <c r="M1151" t="str">
        <f>HYPERLINK("https://test.ictv.global/id/ICTV19710095","ICTV19710095@TEST")</f>
        <v>ICTV19710095@TEST</v>
      </c>
      <c r="N1151" t="str">
        <f>HYPERLINK("https://ictv.global/id/TN19981322","TN19981322@prod")</f>
        <v>TN19981322@prod</v>
      </c>
      <c r="O1151" t="str">
        <f>HYPERLINK("https://ictv.global/id/ICTV19710095","ICTV19710095@prod")</f>
        <v>ICTV19710095@prod</v>
      </c>
    </row>
    <row r="1152" spans="1:15" x14ac:dyDescent="0.2">
      <c r="A1152">
        <v>17</v>
      </c>
      <c r="B1152">
        <v>19981323</v>
      </c>
      <c r="C1152">
        <v>19710096</v>
      </c>
      <c r="D1152" t="s">
        <v>29</v>
      </c>
      <c r="E1152" t="s">
        <v>670</v>
      </c>
      <c r="G1152" t="s">
        <v>33</v>
      </c>
      <c r="H1152" t="s">
        <v>669</v>
      </c>
      <c r="I1152" t="s">
        <v>29</v>
      </c>
      <c r="J1152">
        <v>19990820</v>
      </c>
      <c r="K1152">
        <v>19990820</v>
      </c>
      <c r="L1152" t="str">
        <f>HYPERLINK("https://test.ictv.global/id/TN19981323","TN19981323@TEST")</f>
        <v>TN19981323@TEST</v>
      </c>
      <c r="M1152" t="str">
        <f>HYPERLINK("https://test.ictv.global/id/ICTV19710096","ICTV19710096@TEST")</f>
        <v>ICTV19710096@TEST</v>
      </c>
      <c r="N1152" t="str">
        <f>HYPERLINK("https://ictv.global/id/TN19981323","TN19981323@prod")</f>
        <v>TN19981323@prod</v>
      </c>
      <c r="O1152" t="str">
        <f>HYPERLINK("https://ictv.global/id/ICTV19710096","ICTV19710096@prod")</f>
        <v>ICTV19710096@prod</v>
      </c>
    </row>
    <row r="1153" spans="1:15" x14ac:dyDescent="0.2">
      <c r="A1153">
        <v>17</v>
      </c>
      <c r="B1153">
        <v>19981324</v>
      </c>
      <c r="C1153">
        <v>19710097</v>
      </c>
      <c r="D1153" t="s">
        <v>29</v>
      </c>
      <c r="E1153" t="s">
        <v>671</v>
      </c>
      <c r="G1153" t="s">
        <v>33</v>
      </c>
      <c r="H1153" t="s">
        <v>669</v>
      </c>
      <c r="I1153" t="s">
        <v>29</v>
      </c>
      <c r="J1153">
        <v>19990820</v>
      </c>
      <c r="K1153">
        <v>19990820</v>
      </c>
      <c r="L1153" t="str">
        <f>HYPERLINK("https://test.ictv.global/id/TN19981324","TN19981324@TEST")</f>
        <v>TN19981324@TEST</v>
      </c>
      <c r="M1153" t="str">
        <f>HYPERLINK("https://test.ictv.global/id/ICTV19710097","ICTV19710097@TEST")</f>
        <v>ICTV19710097@TEST</v>
      </c>
      <c r="N1153" t="str">
        <f>HYPERLINK("https://ictv.global/id/TN19981324","TN19981324@prod")</f>
        <v>TN19981324@prod</v>
      </c>
      <c r="O1153" t="str">
        <f>HYPERLINK("https://ictv.global/id/ICTV19710097","ICTV19710097@prod")</f>
        <v>ICTV19710097@prod</v>
      </c>
    </row>
    <row r="1154" spans="1:15" x14ac:dyDescent="0.2">
      <c r="A1154">
        <v>17</v>
      </c>
      <c r="B1154">
        <v>19981325</v>
      </c>
      <c r="C1154">
        <v>19710098</v>
      </c>
      <c r="D1154" t="s">
        <v>29</v>
      </c>
      <c r="E1154" t="s">
        <v>672</v>
      </c>
      <c r="G1154" t="s">
        <v>33</v>
      </c>
      <c r="H1154" t="s">
        <v>669</v>
      </c>
      <c r="I1154" t="s">
        <v>29</v>
      </c>
      <c r="J1154">
        <v>19990820</v>
      </c>
      <c r="K1154">
        <v>19990820</v>
      </c>
      <c r="L1154" t="str">
        <f>HYPERLINK("https://test.ictv.global/id/TN19981325","TN19981325@TEST")</f>
        <v>TN19981325@TEST</v>
      </c>
      <c r="M1154" t="str">
        <f>HYPERLINK("https://test.ictv.global/id/ICTV19710098","ICTV19710098@TEST")</f>
        <v>ICTV19710098@TEST</v>
      </c>
      <c r="N1154" t="str">
        <f>HYPERLINK("https://ictv.global/id/TN19981325","TN19981325@prod")</f>
        <v>TN19981325@prod</v>
      </c>
      <c r="O1154" t="str">
        <f>HYPERLINK("https://ictv.global/id/ICTV19710098","ICTV19710098@prod")</f>
        <v>ICTV19710098@prod</v>
      </c>
    </row>
    <row r="1155" spans="1:15" x14ac:dyDescent="0.2">
      <c r="A1155">
        <v>17</v>
      </c>
      <c r="B1155">
        <v>19981328</v>
      </c>
      <c r="C1155">
        <v>19950902</v>
      </c>
      <c r="D1155" t="s">
        <v>29</v>
      </c>
      <c r="E1155" t="s">
        <v>105</v>
      </c>
      <c r="G1155" t="s">
        <v>1165</v>
      </c>
      <c r="L1155" t="str">
        <f>HYPERLINK("https://test.ictv.global/id/TN19981328","TN19981328@TEST")</f>
        <v>TN19981328@TEST</v>
      </c>
      <c r="M1155" t="str">
        <f>HYPERLINK("https://test.ictv.global/id/ICTV19950902","ICTV19950902@TEST")</f>
        <v>ICTV19950902@TEST</v>
      </c>
      <c r="N1155" t="str">
        <f>HYPERLINK("https://ictv.global/id/TN19981328","TN19981328@prod")</f>
        <v>TN19981328@prod</v>
      </c>
      <c r="O1155" t="str">
        <f>HYPERLINK("https://ictv.global/id/ICTV19950902","ICTV19950902@prod")</f>
        <v>ICTV19950902@prod</v>
      </c>
    </row>
    <row r="1156" spans="1:15" x14ac:dyDescent="0.2">
      <c r="A1156">
        <v>17</v>
      </c>
      <c r="B1156">
        <v>19981329</v>
      </c>
      <c r="C1156">
        <v>19950903</v>
      </c>
      <c r="D1156" t="s">
        <v>29</v>
      </c>
      <c r="E1156" t="s">
        <v>106</v>
      </c>
      <c r="G1156" t="s">
        <v>1165</v>
      </c>
      <c r="L1156" t="str">
        <f>HYPERLINK("https://test.ictv.global/id/TN19981329","TN19981329@TEST")</f>
        <v>TN19981329@TEST</v>
      </c>
      <c r="M1156" t="str">
        <f>HYPERLINK("https://test.ictv.global/id/ICTV19950903","ICTV19950903@TEST")</f>
        <v>ICTV19950903@TEST</v>
      </c>
      <c r="N1156" t="str">
        <f>HYPERLINK("https://ictv.global/id/TN19981329","TN19981329@prod")</f>
        <v>TN19981329@prod</v>
      </c>
      <c r="O1156" t="str">
        <f>HYPERLINK("https://ictv.global/id/ICTV19950903","ICTV19950903@prod")</f>
        <v>ICTV19950903@prod</v>
      </c>
    </row>
    <row r="1157" spans="1:15" x14ac:dyDescent="0.2">
      <c r="A1157">
        <v>17</v>
      </c>
      <c r="B1157">
        <v>19981333</v>
      </c>
      <c r="C1157">
        <v>19760609</v>
      </c>
      <c r="D1157" t="s">
        <v>29</v>
      </c>
      <c r="E1157" t="s">
        <v>673</v>
      </c>
      <c r="G1157" t="s">
        <v>33</v>
      </c>
      <c r="H1157" t="s">
        <v>674</v>
      </c>
      <c r="I1157" t="s">
        <v>29</v>
      </c>
      <c r="J1157">
        <v>19990845</v>
      </c>
      <c r="K1157">
        <v>19990845</v>
      </c>
      <c r="L1157" t="str">
        <f>HYPERLINK("https://test.ictv.global/id/TN19981333","TN19981333@TEST")</f>
        <v>TN19981333@TEST</v>
      </c>
      <c r="M1157" t="str">
        <f>HYPERLINK("https://test.ictv.global/id/ICTV19760609","ICTV19760609@TEST")</f>
        <v>ICTV19760609@TEST</v>
      </c>
      <c r="N1157" t="str">
        <f>HYPERLINK("https://ictv.global/id/TN19981333","TN19981333@prod")</f>
        <v>TN19981333@prod</v>
      </c>
      <c r="O1157" t="str">
        <f>HYPERLINK("https://ictv.global/id/ICTV19760609","ICTV19760609@prod")</f>
        <v>ICTV19760609@prod</v>
      </c>
    </row>
    <row r="1158" spans="1:15" x14ac:dyDescent="0.2">
      <c r="A1158">
        <v>17</v>
      </c>
      <c r="B1158">
        <v>19981334</v>
      </c>
      <c r="C1158">
        <v>19990831</v>
      </c>
      <c r="D1158" t="s">
        <v>29</v>
      </c>
      <c r="E1158" t="s">
        <v>675</v>
      </c>
      <c r="G1158" t="s">
        <v>33</v>
      </c>
      <c r="H1158" t="s">
        <v>675</v>
      </c>
      <c r="I1158" t="s">
        <v>29</v>
      </c>
      <c r="J1158">
        <v>19990831</v>
      </c>
      <c r="K1158">
        <v>19990831</v>
      </c>
      <c r="L1158" t="str">
        <f>HYPERLINK("https://test.ictv.global/id/TN19981334","TN19981334@TEST")</f>
        <v>TN19981334@TEST</v>
      </c>
      <c r="M1158" t="str">
        <f>HYPERLINK("https://test.ictv.global/id/ICTV19990831","ICTV19990831@TEST")</f>
        <v>ICTV19990831@TEST</v>
      </c>
      <c r="N1158" t="str">
        <f>HYPERLINK("https://ictv.global/id/TN19981334","TN19981334@prod")</f>
        <v>TN19981334@prod</v>
      </c>
      <c r="O1158" t="str">
        <f>HYPERLINK("https://ictv.global/id/ICTV19990831","ICTV19990831@prod")</f>
        <v>ICTV19990831@prod</v>
      </c>
    </row>
    <row r="1159" spans="1:15" x14ac:dyDescent="0.2">
      <c r="A1159">
        <v>17</v>
      </c>
      <c r="B1159">
        <v>19981336</v>
      </c>
      <c r="C1159">
        <v>19950910</v>
      </c>
      <c r="D1159" t="s">
        <v>29</v>
      </c>
      <c r="E1159" t="s">
        <v>107</v>
      </c>
      <c r="G1159" t="s">
        <v>1165</v>
      </c>
      <c r="L1159" t="str">
        <f>HYPERLINK("https://test.ictv.global/id/TN19981336","TN19981336@TEST")</f>
        <v>TN19981336@TEST</v>
      </c>
      <c r="M1159" t="str">
        <f>HYPERLINK("https://test.ictv.global/id/ICTV19950910","ICTV19950910@TEST")</f>
        <v>ICTV19950910@TEST</v>
      </c>
      <c r="N1159" t="str">
        <f>HYPERLINK("https://ictv.global/id/TN19981336","TN19981336@prod")</f>
        <v>TN19981336@prod</v>
      </c>
      <c r="O1159" t="str">
        <f>HYPERLINK("https://ictv.global/id/ICTV19950910","ICTV19950910@prod")</f>
        <v>ICTV19950910@prod</v>
      </c>
    </row>
    <row r="1160" spans="1:15" x14ac:dyDescent="0.2">
      <c r="A1160">
        <v>17</v>
      </c>
      <c r="B1160">
        <v>19981337</v>
      </c>
      <c r="C1160">
        <v>19710105</v>
      </c>
      <c r="D1160" t="s">
        <v>29</v>
      </c>
      <c r="E1160" t="s">
        <v>676</v>
      </c>
      <c r="G1160" t="s">
        <v>33</v>
      </c>
      <c r="H1160" t="s">
        <v>677</v>
      </c>
      <c r="I1160" t="s">
        <v>29</v>
      </c>
      <c r="J1160">
        <v>19990858</v>
      </c>
      <c r="K1160">
        <v>19990858</v>
      </c>
      <c r="L1160" t="str">
        <f>HYPERLINK("https://test.ictv.global/id/TN19981337","TN19981337@TEST")</f>
        <v>TN19981337@TEST</v>
      </c>
      <c r="M1160" t="str">
        <f>HYPERLINK("https://test.ictv.global/id/ICTV19710105","ICTV19710105@TEST")</f>
        <v>ICTV19710105@TEST</v>
      </c>
      <c r="N1160" t="str">
        <f>HYPERLINK("https://ictv.global/id/TN19981337","TN19981337@prod")</f>
        <v>TN19981337@prod</v>
      </c>
      <c r="O1160" t="str">
        <f>HYPERLINK("https://ictv.global/id/ICTV19710105","ICTV19710105@prod")</f>
        <v>ICTV19710105@prod</v>
      </c>
    </row>
    <row r="1161" spans="1:15" x14ac:dyDescent="0.2">
      <c r="A1161">
        <v>17</v>
      </c>
      <c r="B1161">
        <v>19981343</v>
      </c>
      <c r="C1161">
        <v>19990839</v>
      </c>
      <c r="D1161" t="s">
        <v>29</v>
      </c>
      <c r="E1161" t="s">
        <v>667</v>
      </c>
      <c r="G1161" t="s">
        <v>33</v>
      </c>
      <c r="H1161" t="s">
        <v>667</v>
      </c>
      <c r="I1161" t="s">
        <v>29</v>
      </c>
      <c r="J1161">
        <v>19990839</v>
      </c>
      <c r="K1161">
        <v>19990839</v>
      </c>
      <c r="L1161" t="str">
        <f>HYPERLINK("https://test.ictv.global/id/TN19981343","TN19981343@TEST")</f>
        <v>TN19981343@TEST</v>
      </c>
      <c r="M1161" t="str">
        <f>HYPERLINK("https://test.ictv.global/id/ICTV19990839","ICTV19990839@TEST")</f>
        <v>ICTV19990839@TEST</v>
      </c>
      <c r="N1161" t="str">
        <f>HYPERLINK("https://ictv.global/id/TN19981343","TN19981343@prod")</f>
        <v>TN19981343@prod</v>
      </c>
      <c r="O1161" t="str">
        <f>HYPERLINK("https://ictv.global/id/ICTV19990839","ICTV19990839@prod")</f>
        <v>ICTV19990839@prod</v>
      </c>
    </row>
    <row r="1162" spans="1:15" x14ac:dyDescent="0.2">
      <c r="A1162">
        <v>17</v>
      </c>
      <c r="B1162">
        <v>19981344</v>
      </c>
      <c r="C1162">
        <v>19710112</v>
      </c>
      <c r="D1162" t="s">
        <v>29</v>
      </c>
      <c r="E1162" t="s">
        <v>1709</v>
      </c>
      <c r="G1162" t="s">
        <v>1165</v>
      </c>
      <c r="L1162" t="str">
        <f>HYPERLINK("https://test.ictv.global/id/TN19981344","TN19981344@TEST")</f>
        <v>TN19981344@TEST</v>
      </c>
      <c r="M1162" t="str">
        <f>HYPERLINK("https://test.ictv.global/id/ICTV19710112","ICTV19710112@TEST")</f>
        <v>ICTV19710112@TEST</v>
      </c>
      <c r="N1162" t="str">
        <f>HYPERLINK("https://ictv.global/id/TN19981344","TN19981344@prod")</f>
        <v>TN19981344@prod</v>
      </c>
      <c r="O1162" t="str">
        <f>HYPERLINK("https://ictv.global/id/ICTV19710112","ICTV19710112@prod")</f>
        <v>ICTV19710112@prod</v>
      </c>
    </row>
    <row r="1163" spans="1:15" x14ac:dyDescent="0.2">
      <c r="A1163">
        <v>17</v>
      </c>
      <c r="B1163">
        <v>19981345</v>
      </c>
      <c r="C1163">
        <v>19950919</v>
      </c>
      <c r="D1163" t="s">
        <v>29</v>
      </c>
      <c r="E1163" t="s">
        <v>1710</v>
      </c>
      <c r="G1163" t="s">
        <v>1165</v>
      </c>
      <c r="L1163" t="str">
        <f>HYPERLINK("https://test.ictv.global/id/TN19981345","TN19981345@TEST")</f>
        <v>TN19981345@TEST</v>
      </c>
      <c r="M1163" t="str">
        <f>HYPERLINK("https://test.ictv.global/id/ICTV19950919","ICTV19950919@TEST")</f>
        <v>ICTV19950919@TEST</v>
      </c>
      <c r="N1163" t="str">
        <f>HYPERLINK("https://ictv.global/id/TN19981345","TN19981345@prod")</f>
        <v>TN19981345@prod</v>
      </c>
      <c r="O1163" t="str">
        <f>HYPERLINK("https://ictv.global/id/ICTV19950919","ICTV19950919@prod")</f>
        <v>ICTV19950919@prod</v>
      </c>
    </row>
    <row r="1164" spans="1:15" x14ac:dyDescent="0.2">
      <c r="A1164">
        <v>17</v>
      </c>
      <c r="B1164">
        <v>19981351</v>
      </c>
      <c r="C1164">
        <v>19990845</v>
      </c>
      <c r="D1164" t="s">
        <v>29</v>
      </c>
      <c r="E1164" t="s">
        <v>674</v>
      </c>
      <c r="G1164" t="s">
        <v>33</v>
      </c>
      <c r="H1164" t="s">
        <v>674</v>
      </c>
      <c r="I1164" t="s">
        <v>29</v>
      </c>
      <c r="J1164">
        <v>19990845</v>
      </c>
      <c r="K1164">
        <v>19990845</v>
      </c>
      <c r="L1164" t="str">
        <f>HYPERLINK("https://test.ictv.global/id/TN19981351","TN19981351@TEST")</f>
        <v>TN19981351@TEST</v>
      </c>
      <c r="M1164" t="str">
        <f>HYPERLINK("https://test.ictv.global/id/ICTV19990845","ICTV19990845@TEST")</f>
        <v>ICTV19990845@TEST</v>
      </c>
      <c r="N1164" t="str">
        <f>HYPERLINK("https://ictv.global/id/TN19981351","TN19981351@prod")</f>
        <v>TN19981351@prod</v>
      </c>
      <c r="O1164" t="str">
        <f>HYPERLINK("https://ictv.global/id/ICTV19990845","ICTV19990845@prod")</f>
        <v>ICTV19990845@prod</v>
      </c>
    </row>
    <row r="1165" spans="1:15" x14ac:dyDescent="0.2">
      <c r="A1165">
        <v>17</v>
      </c>
      <c r="B1165">
        <v>19981356</v>
      </c>
      <c r="C1165">
        <v>19950930</v>
      </c>
      <c r="D1165" t="s">
        <v>29</v>
      </c>
      <c r="E1165" t="s">
        <v>1711</v>
      </c>
      <c r="G1165" t="s">
        <v>1165</v>
      </c>
      <c r="L1165" t="str">
        <f>HYPERLINK("https://test.ictv.global/id/TN19981356","TN19981356@TEST")</f>
        <v>TN19981356@TEST</v>
      </c>
      <c r="M1165" t="str">
        <f>HYPERLINK("https://test.ictv.global/id/ICTV19950930","ICTV19950930@TEST")</f>
        <v>ICTV19950930@TEST</v>
      </c>
      <c r="N1165" t="str">
        <f>HYPERLINK("https://ictv.global/id/TN19981356","TN19981356@prod")</f>
        <v>TN19981356@prod</v>
      </c>
      <c r="O1165" t="str">
        <f>HYPERLINK("https://ictv.global/id/ICTV19950930","ICTV19950930@prod")</f>
        <v>ICTV19950930@prod</v>
      </c>
    </row>
    <row r="1166" spans="1:15" x14ac:dyDescent="0.2">
      <c r="A1166">
        <v>17</v>
      </c>
      <c r="B1166">
        <v>19981358</v>
      </c>
      <c r="C1166">
        <v>19710118</v>
      </c>
      <c r="D1166" t="s">
        <v>29</v>
      </c>
      <c r="E1166" t="s">
        <v>678</v>
      </c>
      <c r="G1166" t="s">
        <v>33</v>
      </c>
      <c r="H1166" t="s">
        <v>675</v>
      </c>
      <c r="I1166" t="s">
        <v>29</v>
      </c>
      <c r="J1166">
        <v>19990831</v>
      </c>
      <c r="K1166">
        <v>19990831</v>
      </c>
      <c r="L1166" t="str">
        <f>HYPERLINK("https://test.ictv.global/id/TN19981358","TN19981358@TEST")</f>
        <v>TN19981358@TEST</v>
      </c>
      <c r="M1166" t="str">
        <f>HYPERLINK("https://test.ictv.global/id/ICTV19710118","ICTV19710118@TEST")</f>
        <v>ICTV19710118@TEST</v>
      </c>
      <c r="N1166" t="str">
        <f>HYPERLINK("https://ictv.global/id/TN19981358","TN19981358@prod")</f>
        <v>TN19981358@prod</v>
      </c>
      <c r="O1166" t="str">
        <f>HYPERLINK("https://ictv.global/id/ICTV19710118","ICTV19710118@prod")</f>
        <v>ICTV19710118@prod</v>
      </c>
    </row>
    <row r="1167" spans="1:15" x14ac:dyDescent="0.2">
      <c r="A1167">
        <v>17</v>
      </c>
      <c r="B1167">
        <v>19981364</v>
      </c>
      <c r="C1167">
        <v>19990858</v>
      </c>
      <c r="D1167" t="s">
        <v>29</v>
      </c>
      <c r="E1167" t="s">
        <v>677</v>
      </c>
      <c r="G1167" t="s">
        <v>33</v>
      </c>
      <c r="H1167" t="s">
        <v>677</v>
      </c>
      <c r="I1167" t="s">
        <v>29</v>
      </c>
      <c r="J1167">
        <v>19990858</v>
      </c>
      <c r="K1167">
        <v>19990858</v>
      </c>
      <c r="L1167" t="str">
        <f>HYPERLINK("https://test.ictv.global/id/TN19981364","TN19981364@TEST")</f>
        <v>TN19981364@TEST</v>
      </c>
      <c r="M1167" t="str">
        <f>HYPERLINK("https://test.ictv.global/id/ICTV19990858","ICTV19990858@TEST")</f>
        <v>ICTV19990858@TEST</v>
      </c>
      <c r="N1167" t="str">
        <f>HYPERLINK("https://ictv.global/id/TN19981364","TN19981364@prod")</f>
        <v>TN19981364@prod</v>
      </c>
      <c r="O1167" t="str">
        <f>HYPERLINK("https://ictv.global/id/ICTV19990858","ICTV19990858@prod")</f>
        <v>ICTV19990858@prod</v>
      </c>
    </row>
    <row r="1168" spans="1:15" x14ac:dyDescent="0.2">
      <c r="A1168">
        <v>17</v>
      </c>
      <c r="B1168">
        <v>19981369</v>
      </c>
      <c r="C1168">
        <v>19750325</v>
      </c>
      <c r="D1168" t="s">
        <v>29</v>
      </c>
      <c r="E1168" t="s">
        <v>679</v>
      </c>
      <c r="G1168" t="s">
        <v>53</v>
      </c>
      <c r="H1168" t="s">
        <v>680</v>
      </c>
      <c r="I1168" t="s">
        <v>29</v>
      </c>
      <c r="J1168">
        <v>19990865</v>
      </c>
      <c r="K1168">
        <v>19990865</v>
      </c>
      <c r="L1168" t="str">
        <f>HYPERLINK("https://test.ictv.global/id/TN19981369","TN19981369@TEST")</f>
        <v>TN19981369@TEST</v>
      </c>
      <c r="M1168" t="str">
        <f>HYPERLINK("https://test.ictv.global/id/ICTV19750325","ICTV19750325@TEST")</f>
        <v>ICTV19750325@TEST</v>
      </c>
      <c r="N1168" t="str">
        <f>HYPERLINK("https://ictv.global/id/TN19981369","TN19981369@prod")</f>
        <v>TN19981369@prod</v>
      </c>
      <c r="O1168" t="str">
        <f>HYPERLINK("https://ictv.global/id/ICTV19750325","ICTV19750325@prod")</f>
        <v>ICTV19750325@prod</v>
      </c>
    </row>
    <row r="1169" spans="1:15" x14ac:dyDescent="0.2">
      <c r="A1169">
        <v>17</v>
      </c>
      <c r="B1169">
        <v>19981369</v>
      </c>
      <c r="C1169">
        <v>19750325</v>
      </c>
      <c r="D1169" t="s">
        <v>29</v>
      </c>
      <c r="E1169" t="s">
        <v>679</v>
      </c>
      <c r="G1169" t="s">
        <v>57</v>
      </c>
      <c r="H1169" t="s">
        <v>681</v>
      </c>
      <c r="I1169" t="s">
        <v>29</v>
      </c>
      <c r="J1169">
        <v>19990866</v>
      </c>
      <c r="K1169">
        <v>19990866</v>
      </c>
      <c r="L1169" t="str">
        <f>HYPERLINK("https://test.ictv.global/id/TN19981369","TN19981369@TEST")</f>
        <v>TN19981369@TEST</v>
      </c>
      <c r="M1169" t="str">
        <f>HYPERLINK("https://test.ictv.global/id/ICTV19750325","ICTV19750325@TEST")</f>
        <v>ICTV19750325@TEST</v>
      </c>
      <c r="N1169" t="str">
        <f>HYPERLINK("https://ictv.global/id/TN19981369","TN19981369@prod")</f>
        <v>TN19981369@prod</v>
      </c>
      <c r="O1169" t="str">
        <f>HYPERLINK("https://ictv.global/id/ICTV19750325","ICTV19750325@prod")</f>
        <v>ICTV19750325@prod</v>
      </c>
    </row>
    <row r="1170" spans="1:15" x14ac:dyDescent="0.2">
      <c r="A1170">
        <v>17</v>
      </c>
      <c r="B1170">
        <v>19981385</v>
      </c>
      <c r="C1170">
        <v>19981385</v>
      </c>
      <c r="D1170" t="s">
        <v>29</v>
      </c>
      <c r="E1170" t="s">
        <v>325</v>
      </c>
      <c r="G1170" t="s">
        <v>1165</v>
      </c>
      <c r="L1170" t="str">
        <f>HYPERLINK("https://test.ictv.global/id/TN19981385","TN19981385@TEST")</f>
        <v>TN19981385@TEST</v>
      </c>
      <c r="M1170" t="str">
        <f>HYPERLINK("https://test.ictv.global/id/ICTV19981385","ICTV19981385@TEST")</f>
        <v>ICTV19981385@TEST</v>
      </c>
      <c r="N1170" t="str">
        <f>HYPERLINK("https://ictv.global/id/TN19981385","TN19981385@prod")</f>
        <v>TN19981385@prod</v>
      </c>
      <c r="O1170" t="str">
        <f>HYPERLINK("https://ictv.global/id/ICTV19981385","ICTV19981385@prod")</f>
        <v>ICTV19981385@prod</v>
      </c>
    </row>
    <row r="1171" spans="1:15" x14ac:dyDescent="0.2">
      <c r="A1171">
        <v>17</v>
      </c>
      <c r="B1171">
        <v>19981386</v>
      </c>
      <c r="C1171">
        <v>19981386</v>
      </c>
      <c r="D1171" t="s">
        <v>29</v>
      </c>
      <c r="E1171" t="s">
        <v>326</v>
      </c>
      <c r="G1171" t="s">
        <v>1165</v>
      </c>
      <c r="L1171" t="str">
        <f>HYPERLINK("https://test.ictv.global/id/TN19981386","TN19981386@TEST")</f>
        <v>TN19981386@TEST</v>
      </c>
      <c r="M1171" t="str">
        <f>HYPERLINK("https://test.ictv.global/id/ICTV19981386","ICTV19981386@TEST")</f>
        <v>ICTV19981386@TEST</v>
      </c>
      <c r="N1171" t="str">
        <f>HYPERLINK("https://ictv.global/id/TN19981386","TN19981386@prod")</f>
        <v>TN19981386@prod</v>
      </c>
      <c r="O1171" t="str">
        <f>HYPERLINK("https://ictv.global/id/ICTV19981386","ICTV19981386@prod")</f>
        <v>ICTV19981386@prod</v>
      </c>
    </row>
    <row r="1172" spans="1:15" x14ac:dyDescent="0.2">
      <c r="A1172">
        <v>17</v>
      </c>
      <c r="B1172">
        <v>19981449</v>
      </c>
      <c r="C1172">
        <v>19990948</v>
      </c>
      <c r="D1172" t="s">
        <v>29</v>
      </c>
      <c r="E1172" t="s">
        <v>682</v>
      </c>
      <c r="G1172" t="s">
        <v>33</v>
      </c>
      <c r="H1172" t="s">
        <v>682</v>
      </c>
      <c r="I1172" t="s">
        <v>29</v>
      </c>
      <c r="J1172">
        <v>19990948</v>
      </c>
      <c r="K1172">
        <v>19990948</v>
      </c>
      <c r="L1172" t="str">
        <f>HYPERLINK("https://test.ictv.global/id/TN19981449","TN19981449@TEST")</f>
        <v>TN19981449@TEST</v>
      </c>
      <c r="M1172" t="str">
        <f>HYPERLINK("https://test.ictv.global/id/ICTV19990948","ICTV19990948@TEST")</f>
        <v>ICTV19990948@TEST</v>
      </c>
      <c r="N1172" t="str">
        <f>HYPERLINK("https://ictv.global/id/TN19981449","TN19981449@prod")</f>
        <v>TN19981449@prod</v>
      </c>
      <c r="O1172" t="str">
        <f>HYPERLINK("https://ictv.global/id/ICTV19990948","ICTV19990948@prod")</f>
        <v>ICTV19990948@prod</v>
      </c>
    </row>
    <row r="1173" spans="1:15" x14ac:dyDescent="0.2">
      <c r="A1173">
        <v>17</v>
      </c>
      <c r="B1173">
        <v>19981450</v>
      </c>
      <c r="C1173">
        <v>19981450</v>
      </c>
      <c r="D1173" t="s">
        <v>29</v>
      </c>
      <c r="E1173" t="s">
        <v>683</v>
      </c>
      <c r="G1173" t="s">
        <v>31</v>
      </c>
      <c r="H1173" t="s">
        <v>682</v>
      </c>
      <c r="I1173" t="s">
        <v>29</v>
      </c>
      <c r="J1173">
        <v>19990948</v>
      </c>
      <c r="K1173">
        <v>19990948</v>
      </c>
      <c r="L1173" t="str">
        <f>HYPERLINK("https://test.ictv.global/id/TN19981450","TN19981450@TEST")</f>
        <v>TN19981450@TEST</v>
      </c>
      <c r="M1173" t="str">
        <f>HYPERLINK("https://test.ictv.global/id/ICTV19981450","ICTV19981450@TEST")</f>
        <v>ICTV19981450@TEST</v>
      </c>
      <c r="N1173" t="str">
        <f>HYPERLINK("https://ictv.global/id/TN19981450","TN19981450@prod")</f>
        <v>TN19981450@prod</v>
      </c>
      <c r="O1173" t="str">
        <f>HYPERLINK("https://ictv.global/id/ICTV19981450","ICTV19981450@prod")</f>
        <v>ICTV19981450@prod</v>
      </c>
    </row>
    <row r="1174" spans="1:15" x14ac:dyDescent="0.2">
      <c r="A1174">
        <v>17</v>
      </c>
      <c r="B1174">
        <v>19981451</v>
      </c>
      <c r="C1174">
        <v>19981451</v>
      </c>
      <c r="D1174" t="s">
        <v>29</v>
      </c>
      <c r="E1174" t="s">
        <v>979</v>
      </c>
      <c r="G1174" t="s">
        <v>1165</v>
      </c>
      <c r="L1174" t="str">
        <f>HYPERLINK("https://test.ictv.global/id/TN19981451","TN19981451@TEST")</f>
        <v>TN19981451@TEST</v>
      </c>
      <c r="M1174" t="str">
        <f>HYPERLINK("https://test.ictv.global/id/ICTV19981451","ICTV19981451@TEST")</f>
        <v>ICTV19981451@TEST</v>
      </c>
      <c r="N1174" t="str">
        <f>HYPERLINK("https://ictv.global/id/TN19981451","TN19981451@prod")</f>
        <v>TN19981451@prod</v>
      </c>
      <c r="O1174" t="str">
        <f>HYPERLINK("https://ictv.global/id/ICTV19981451","ICTV19981451@prod")</f>
        <v>ICTV19981451@prod</v>
      </c>
    </row>
    <row r="1175" spans="1:15" x14ac:dyDescent="0.2">
      <c r="A1175">
        <v>17</v>
      </c>
      <c r="B1175">
        <v>19981452</v>
      </c>
      <c r="C1175">
        <v>19911637</v>
      </c>
      <c r="D1175" t="s">
        <v>29</v>
      </c>
      <c r="E1175" t="s">
        <v>1712</v>
      </c>
      <c r="G1175" t="s">
        <v>1165</v>
      </c>
      <c r="L1175" t="str">
        <f>HYPERLINK("https://test.ictv.global/id/TN19981452","TN19981452@TEST")</f>
        <v>TN19981452@TEST</v>
      </c>
      <c r="M1175" t="str">
        <f>HYPERLINK("https://test.ictv.global/id/ICTV19911637","ICTV19911637@TEST")</f>
        <v>ICTV19911637@TEST</v>
      </c>
      <c r="N1175" t="str">
        <f>HYPERLINK("https://ictv.global/id/TN19981452","TN19981452@prod")</f>
        <v>TN19981452@prod</v>
      </c>
      <c r="O1175" t="str">
        <f>HYPERLINK("https://ictv.global/id/ICTV19911637","ICTV19911637@prod")</f>
        <v>ICTV19911637@prod</v>
      </c>
    </row>
    <row r="1176" spans="1:15" x14ac:dyDescent="0.2">
      <c r="A1176">
        <v>17</v>
      </c>
      <c r="B1176">
        <v>19981479</v>
      </c>
      <c r="C1176">
        <v>19951018</v>
      </c>
      <c r="D1176" t="s">
        <v>29</v>
      </c>
      <c r="E1176" t="s">
        <v>1713</v>
      </c>
      <c r="G1176" t="s">
        <v>1165</v>
      </c>
      <c r="L1176" t="str">
        <f>HYPERLINK("https://test.ictv.global/id/TN19981479","TN19981479@TEST")</f>
        <v>TN19981479@TEST</v>
      </c>
      <c r="M1176" t="str">
        <f>HYPERLINK("https://test.ictv.global/id/ICTV19951018","ICTV19951018@TEST")</f>
        <v>ICTV19951018@TEST</v>
      </c>
      <c r="N1176" t="str">
        <f>HYPERLINK("https://ictv.global/id/TN19981479","TN19981479@prod")</f>
        <v>TN19981479@prod</v>
      </c>
      <c r="O1176" t="str">
        <f>HYPERLINK("https://ictv.global/id/ICTV19951018","ICTV19951018@prod")</f>
        <v>ICTV19951018@prod</v>
      </c>
    </row>
    <row r="1177" spans="1:15" x14ac:dyDescent="0.2">
      <c r="A1177">
        <v>17</v>
      </c>
      <c r="B1177">
        <v>19981485</v>
      </c>
      <c r="C1177">
        <v>19951024</v>
      </c>
      <c r="D1177" t="s">
        <v>29</v>
      </c>
      <c r="E1177" t="s">
        <v>1714</v>
      </c>
      <c r="G1177" t="s">
        <v>1165</v>
      </c>
      <c r="L1177" t="str">
        <f>HYPERLINK("https://test.ictv.global/id/TN19981485","TN19981485@TEST")</f>
        <v>TN19981485@TEST</v>
      </c>
      <c r="M1177" t="str">
        <f>HYPERLINK("https://test.ictv.global/id/ICTV19951024","ICTV19951024@TEST")</f>
        <v>ICTV19951024@TEST</v>
      </c>
      <c r="N1177" t="str">
        <f>HYPERLINK("https://ictv.global/id/TN19981485","TN19981485@prod")</f>
        <v>TN19981485@prod</v>
      </c>
      <c r="O1177" t="str">
        <f>HYPERLINK("https://ictv.global/id/ICTV19951024","ICTV19951024@prod")</f>
        <v>ICTV19951024@prod</v>
      </c>
    </row>
    <row r="1178" spans="1:15" x14ac:dyDescent="0.2">
      <c r="A1178">
        <v>17</v>
      </c>
      <c r="B1178">
        <v>19981486</v>
      </c>
      <c r="C1178">
        <v>19951025</v>
      </c>
      <c r="D1178" t="s">
        <v>29</v>
      </c>
      <c r="E1178" t="s">
        <v>1715</v>
      </c>
      <c r="G1178" t="s">
        <v>1165</v>
      </c>
      <c r="L1178" t="str">
        <f>HYPERLINK("https://test.ictv.global/id/TN19981486","TN19981486@TEST")</f>
        <v>TN19981486@TEST</v>
      </c>
      <c r="M1178" t="str">
        <f>HYPERLINK("https://test.ictv.global/id/ICTV19951025","ICTV19951025@TEST")</f>
        <v>ICTV19951025@TEST</v>
      </c>
      <c r="N1178" t="str">
        <f>HYPERLINK("https://ictv.global/id/TN19981486","TN19981486@prod")</f>
        <v>TN19981486@prod</v>
      </c>
      <c r="O1178" t="str">
        <f>HYPERLINK("https://ictv.global/id/ICTV19951025","ICTV19951025@prod")</f>
        <v>ICTV19951025@prod</v>
      </c>
    </row>
    <row r="1179" spans="1:15" x14ac:dyDescent="0.2">
      <c r="A1179">
        <v>17</v>
      </c>
      <c r="B1179">
        <v>19981490</v>
      </c>
      <c r="C1179">
        <v>19951029</v>
      </c>
      <c r="D1179" t="s">
        <v>29</v>
      </c>
      <c r="E1179" t="s">
        <v>1716</v>
      </c>
      <c r="G1179" t="s">
        <v>1165</v>
      </c>
      <c r="L1179" t="str">
        <f>HYPERLINK("https://test.ictv.global/id/TN19981490","TN19981490@TEST")</f>
        <v>TN19981490@TEST</v>
      </c>
      <c r="M1179" t="str">
        <f>HYPERLINK("https://test.ictv.global/id/ICTV19951029","ICTV19951029@TEST")</f>
        <v>ICTV19951029@TEST</v>
      </c>
      <c r="N1179" t="str">
        <f>HYPERLINK("https://ictv.global/id/TN19981490","TN19981490@prod")</f>
        <v>TN19981490@prod</v>
      </c>
      <c r="O1179" t="str">
        <f>HYPERLINK("https://ictv.global/id/ICTV19951029","ICTV19951029@prod")</f>
        <v>ICTV19951029@prod</v>
      </c>
    </row>
    <row r="1180" spans="1:15" x14ac:dyDescent="0.2">
      <c r="A1180">
        <v>17</v>
      </c>
      <c r="B1180">
        <v>19981491</v>
      </c>
      <c r="C1180">
        <v>19951030</v>
      </c>
      <c r="D1180" t="s">
        <v>29</v>
      </c>
      <c r="E1180" t="s">
        <v>1717</v>
      </c>
      <c r="G1180" t="s">
        <v>1165</v>
      </c>
      <c r="L1180" t="str">
        <f>HYPERLINK("https://test.ictv.global/id/TN19981491","TN19981491@TEST")</f>
        <v>TN19981491@TEST</v>
      </c>
      <c r="M1180" t="str">
        <f>HYPERLINK("https://test.ictv.global/id/ICTV19951030","ICTV19951030@TEST")</f>
        <v>ICTV19951030@TEST</v>
      </c>
      <c r="N1180" t="str">
        <f>HYPERLINK("https://ictv.global/id/TN19981491","TN19981491@prod")</f>
        <v>TN19981491@prod</v>
      </c>
      <c r="O1180" t="str">
        <f>HYPERLINK("https://ictv.global/id/ICTV19951030","ICTV19951030@prod")</f>
        <v>ICTV19951030@prod</v>
      </c>
    </row>
    <row r="1181" spans="1:15" x14ac:dyDescent="0.2">
      <c r="A1181">
        <v>17</v>
      </c>
      <c r="B1181">
        <v>19981494</v>
      </c>
      <c r="C1181">
        <v>19951034</v>
      </c>
      <c r="D1181" t="s">
        <v>29</v>
      </c>
      <c r="E1181" t="s">
        <v>1718</v>
      </c>
      <c r="G1181" t="s">
        <v>1165</v>
      </c>
      <c r="L1181" t="str">
        <f>HYPERLINK("https://test.ictv.global/id/TN19981494","TN19981494@TEST")</f>
        <v>TN19981494@TEST</v>
      </c>
      <c r="M1181" t="str">
        <f>HYPERLINK("https://test.ictv.global/id/ICTV19951034","ICTV19951034@TEST")</f>
        <v>ICTV19951034@TEST</v>
      </c>
      <c r="N1181" t="str">
        <f>HYPERLINK("https://ictv.global/id/TN19981494","TN19981494@prod")</f>
        <v>TN19981494@prod</v>
      </c>
      <c r="O1181" t="str">
        <f>HYPERLINK("https://ictv.global/id/ICTV19951034","ICTV19951034@prod")</f>
        <v>ICTV19951034@prod</v>
      </c>
    </row>
    <row r="1182" spans="1:15" x14ac:dyDescent="0.2">
      <c r="A1182">
        <v>17</v>
      </c>
      <c r="B1182">
        <v>19981495</v>
      </c>
      <c r="C1182">
        <v>19951035</v>
      </c>
      <c r="D1182" t="s">
        <v>29</v>
      </c>
      <c r="E1182" t="s">
        <v>1719</v>
      </c>
      <c r="G1182" t="s">
        <v>1165</v>
      </c>
      <c r="L1182" t="str">
        <f>HYPERLINK("https://test.ictv.global/id/TN19981495","TN19981495@TEST")</f>
        <v>TN19981495@TEST</v>
      </c>
      <c r="M1182" t="str">
        <f>HYPERLINK("https://test.ictv.global/id/ICTV19951035","ICTV19951035@TEST")</f>
        <v>ICTV19951035@TEST</v>
      </c>
      <c r="N1182" t="str">
        <f>HYPERLINK("https://ictv.global/id/TN19981495","TN19981495@prod")</f>
        <v>TN19981495@prod</v>
      </c>
      <c r="O1182" t="str">
        <f>HYPERLINK("https://ictv.global/id/ICTV19951035","ICTV19951035@prod")</f>
        <v>ICTV19951035@prod</v>
      </c>
    </row>
    <row r="1183" spans="1:15" x14ac:dyDescent="0.2">
      <c r="A1183">
        <v>17</v>
      </c>
      <c r="B1183">
        <v>19981505</v>
      </c>
      <c r="C1183">
        <v>19951045</v>
      </c>
      <c r="D1183" t="s">
        <v>29</v>
      </c>
      <c r="E1183" t="s">
        <v>1720</v>
      </c>
      <c r="G1183" t="s">
        <v>1165</v>
      </c>
      <c r="L1183" t="str">
        <f>HYPERLINK("https://test.ictv.global/id/TN19981505","TN19981505@TEST")</f>
        <v>TN19981505@TEST</v>
      </c>
      <c r="M1183" t="str">
        <f>HYPERLINK("https://test.ictv.global/id/ICTV19951045","ICTV19951045@TEST")</f>
        <v>ICTV19951045@TEST</v>
      </c>
      <c r="N1183" t="str">
        <f>HYPERLINK("https://ictv.global/id/TN19981505","TN19981505@prod")</f>
        <v>TN19981505@prod</v>
      </c>
      <c r="O1183" t="str">
        <f>HYPERLINK("https://ictv.global/id/ICTV19951045","ICTV19951045@prod")</f>
        <v>ICTV19951045@prod</v>
      </c>
    </row>
    <row r="1184" spans="1:15" x14ac:dyDescent="0.2">
      <c r="A1184">
        <v>17</v>
      </c>
      <c r="B1184">
        <v>19981506</v>
      </c>
      <c r="C1184">
        <v>19951046</v>
      </c>
      <c r="D1184" t="s">
        <v>29</v>
      </c>
      <c r="E1184" t="s">
        <v>1721</v>
      </c>
      <c r="G1184" t="s">
        <v>1165</v>
      </c>
      <c r="L1184" t="str">
        <f>HYPERLINK("https://test.ictv.global/id/TN19981506","TN19981506@TEST")</f>
        <v>TN19981506@TEST</v>
      </c>
      <c r="M1184" t="str">
        <f>HYPERLINK("https://test.ictv.global/id/ICTV19951046","ICTV19951046@TEST")</f>
        <v>ICTV19951046@TEST</v>
      </c>
      <c r="N1184" t="str">
        <f>HYPERLINK("https://ictv.global/id/TN19981506","TN19981506@prod")</f>
        <v>TN19981506@prod</v>
      </c>
      <c r="O1184" t="str">
        <f>HYPERLINK("https://ictv.global/id/ICTV19951046","ICTV19951046@prod")</f>
        <v>ICTV19951046@prod</v>
      </c>
    </row>
    <row r="1185" spans="1:15" x14ac:dyDescent="0.2">
      <c r="A1185">
        <v>17</v>
      </c>
      <c r="B1185">
        <v>19981507</v>
      </c>
      <c r="C1185">
        <v>19951047</v>
      </c>
      <c r="D1185" t="s">
        <v>29</v>
      </c>
      <c r="E1185" t="s">
        <v>1722</v>
      </c>
      <c r="G1185" t="s">
        <v>1165</v>
      </c>
      <c r="L1185" t="str">
        <f>HYPERLINK("https://test.ictv.global/id/TN19981507","TN19981507@TEST")</f>
        <v>TN19981507@TEST</v>
      </c>
      <c r="M1185" t="str">
        <f>HYPERLINK("https://test.ictv.global/id/ICTV19951047","ICTV19951047@TEST")</f>
        <v>ICTV19951047@TEST</v>
      </c>
      <c r="N1185" t="str">
        <f>HYPERLINK("https://ictv.global/id/TN19981507","TN19981507@prod")</f>
        <v>TN19981507@prod</v>
      </c>
      <c r="O1185" t="str">
        <f>HYPERLINK("https://ictv.global/id/ICTV19951047","ICTV19951047@prod")</f>
        <v>ICTV19951047@prod</v>
      </c>
    </row>
    <row r="1186" spans="1:15" x14ac:dyDescent="0.2">
      <c r="A1186">
        <v>17</v>
      </c>
      <c r="B1186">
        <v>19981508</v>
      </c>
      <c r="C1186">
        <v>19951048</v>
      </c>
      <c r="D1186" t="s">
        <v>29</v>
      </c>
      <c r="E1186" t="s">
        <v>1723</v>
      </c>
      <c r="G1186" t="s">
        <v>1165</v>
      </c>
      <c r="L1186" t="str">
        <f>HYPERLINK("https://test.ictv.global/id/TN19981508","TN19981508@TEST")</f>
        <v>TN19981508@TEST</v>
      </c>
      <c r="M1186" t="str">
        <f>HYPERLINK("https://test.ictv.global/id/ICTV19951048","ICTV19951048@TEST")</f>
        <v>ICTV19951048@TEST</v>
      </c>
      <c r="N1186" t="str">
        <f>HYPERLINK("https://ictv.global/id/TN19981508","TN19981508@prod")</f>
        <v>TN19981508@prod</v>
      </c>
      <c r="O1186" t="str">
        <f>HYPERLINK("https://ictv.global/id/ICTV19951048","ICTV19951048@prod")</f>
        <v>ICTV19951048@prod</v>
      </c>
    </row>
    <row r="1187" spans="1:15" x14ac:dyDescent="0.2">
      <c r="A1187">
        <v>17</v>
      </c>
      <c r="B1187">
        <v>19981509</v>
      </c>
      <c r="C1187">
        <v>19951049</v>
      </c>
      <c r="D1187" t="s">
        <v>29</v>
      </c>
      <c r="E1187" t="s">
        <v>1724</v>
      </c>
      <c r="G1187" t="s">
        <v>1165</v>
      </c>
      <c r="L1187" t="str">
        <f>HYPERLINK("https://test.ictv.global/id/TN19981509","TN19981509@TEST")</f>
        <v>TN19981509@TEST</v>
      </c>
      <c r="M1187" t="str">
        <f>HYPERLINK("https://test.ictv.global/id/ICTV19951049","ICTV19951049@TEST")</f>
        <v>ICTV19951049@TEST</v>
      </c>
      <c r="N1187" t="str">
        <f>HYPERLINK("https://ictv.global/id/TN19981509","TN19981509@prod")</f>
        <v>TN19981509@prod</v>
      </c>
      <c r="O1187" t="str">
        <f>HYPERLINK("https://ictv.global/id/ICTV19951049","ICTV19951049@prod")</f>
        <v>ICTV19951049@prod</v>
      </c>
    </row>
    <row r="1188" spans="1:15" x14ac:dyDescent="0.2">
      <c r="A1188">
        <v>17</v>
      </c>
      <c r="B1188">
        <v>19981510</v>
      </c>
      <c r="C1188">
        <v>19951050</v>
      </c>
      <c r="D1188" t="s">
        <v>29</v>
      </c>
      <c r="E1188" t="s">
        <v>1725</v>
      </c>
      <c r="G1188" t="s">
        <v>1165</v>
      </c>
      <c r="L1188" t="str">
        <f>HYPERLINK("https://test.ictv.global/id/TN19981510","TN19981510@TEST")</f>
        <v>TN19981510@TEST</v>
      </c>
      <c r="M1188" t="str">
        <f>HYPERLINK("https://test.ictv.global/id/ICTV19951050","ICTV19951050@TEST")</f>
        <v>ICTV19951050@TEST</v>
      </c>
      <c r="N1188" t="str">
        <f>HYPERLINK("https://ictv.global/id/TN19981510","TN19981510@prod")</f>
        <v>TN19981510@prod</v>
      </c>
      <c r="O1188" t="str">
        <f>HYPERLINK("https://ictv.global/id/ICTV19951050","ICTV19951050@prod")</f>
        <v>ICTV19951050@prod</v>
      </c>
    </row>
    <row r="1189" spans="1:15" x14ac:dyDescent="0.2">
      <c r="A1189">
        <v>17</v>
      </c>
      <c r="B1189">
        <v>19981511</v>
      </c>
      <c r="C1189">
        <v>19951051</v>
      </c>
      <c r="D1189" t="s">
        <v>29</v>
      </c>
      <c r="E1189" t="s">
        <v>1726</v>
      </c>
      <c r="G1189" t="s">
        <v>1165</v>
      </c>
      <c r="L1189" t="str">
        <f>HYPERLINK("https://test.ictv.global/id/TN19981511","TN19981511@TEST")</f>
        <v>TN19981511@TEST</v>
      </c>
      <c r="M1189" t="str">
        <f>HYPERLINK("https://test.ictv.global/id/ICTV19951051","ICTV19951051@TEST")</f>
        <v>ICTV19951051@TEST</v>
      </c>
      <c r="N1189" t="str">
        <f>HYPERLINK("https://ictv.global/id/TN19981511","TN19981511@prod")</f>
        <v>TN19981511@prod</v>
      </c>
      <c r="O1189" t="str">
        <f>HYPERLINK("https://ictv.global/id/ICTV19951051","ICTV19951051@prod")</f>
        <v>ICTV19951051@prod</v>
      </c>
    </row>
    <row r="1190" spans="1:15" x14ac:dyDescent="0.2">
      <c r="A1190">
        <v>17</v>
      </c>
      <c r="B1190">
        <v>19981512</v>
      </c>
      <c r="C1190">
        <v>19951052</v>
      </c>
      <c r="D1190" t="s">
        <v>29</v>
      </c>
      <c r="E1190" t="s">
        <v>1727</v>
      </c>
      <c r="G1190" t="s">
        <v>1165</v>
      </c>
      <c r="L1190" t="str">
        <f>HYPERLINK("https://test.ictv.global/id/TN19981512","TN19981512@TEST")</f>
        <v>TN19981512@TEST</v>
      </c>
      <c r="M1190" t="str">
        <f>HYPERLINK("https://test.ictv.global/id/ICTV19951052","ICTV19951052@TEST")</f>
        <v>ICTV19951052@TEST</v>
      </c>
      <c r="N1190" t="str">
        <f>HYPERLINK("https://ictv.global/id/TN19981512","TN19981512@prod")</f>
        <v>TN19981512@prod</v>
      </c>
      <c r="O1190" t="str">
        <f>HYPERLINK("https://ictv.global/id/ICTV19951052","ICTV19951052@prod")</f>
        <v>ICTV19951052@prod</v>
      </c>
    </row>
    <row r="1191" spans="1:15" x14ac:dyDescent="0.2">
      <c r="A1191">
        <v>17</v>
      </c>
      <c r="B1191">
        <v>19981513</v>
      </c>
      <c r="C1191">
        <v>19951053</v>
      </c>
      <c r="D1191" t="s">
        <v>29</v>
      </c>
      <c r="E1191" t="s">
        <v>1728</v>
      </c>
      <c r="G1191" t="s">
        <v>1165</v>
      </c>
      <c r="L1191" t="str">
        <f>HYPERLINK("https://test.ictv.global/id/TN19981513","TN19981513@TEST")</f>
        <v>TN19981513@TEST</v>
      </c>
      <c r="M1191" t="str">
        <f>HYPERLINK("https://test.ictv.global/id/ICTV19951053","ICTV19951053@TEST")</f>
        <v>ICTV19951053@TEST</v>
      </c>
      <c r="N1191" t="str">
        <f>HYPERLINK("https://ictv.global/id/TN19981513","TN19981513@prod")</f>
        <v>TN19981513@prod</v>
      </c>
      <c r="O1191" t="str">
        <f>HYPERLINK("https://ictv.global/id/ICTV19951053","ICTV19951053@prod")</f>
        <v>ICTV19951053@prod</v>
      </c>
    </row>
    <row r="1192" spans="1:15" x14ac:dyDescent="0.2">
      <c r="A1192">
        <v>17</v>
      </c>
      <c r="B1192">
        <v>19981514</v>
      </c>
      <c r="C1192">
        <v>19951054</v>
      </c>
      <c r="D1192" t="s">
        <v>29</v>
      </c>
      <c r="E1192" t="s">
        <v>1729</v>
      </c>
      <c r="G1192" t="s">
        <v>1165</v>
      </c>
      <c r="L1192" t="str">
        <f>HYPERLINK("https://test.ictv.global/id/TN19981514","TN19981514@TEST")</f>
        <v>TN19981514@TEST</v>
      </c>
      <c r="M1192" t="str">
        <f>HYPERLINK("https://test.ictv.global/id/ICTV19951054","ICTV19951054@TEST")</f>
        <v>ICTV19951054@TEST</v>
      </c>
      <c r="N1192" t="str">
        <f>HYPERLINK("https://ictv.global/id/TN19981514","TN19981514@prod")</f>
        <v>TN19981514@prod</v>
      </c>
      <c r="O1192" t="str">
        <f>HYPERLINK("https://ictv.global/id/ICTV19951054","ICTV19951054@prod")</f>
        <v>ICTV19951054@prod</v>
      </c>
    </row>
    <row r="1193" spans="1:15" x14ac:dyDescent="0.2">
      <c r="A1193">
        <v>17</v>
      </c>
      <c r="B1193">
        <v>19981515</v>
      </c>
      <c r="C1193">
        <v>19951055</v>
      </c>
      <c r="D1193" t="s">
        <v>29</v>
      </c>
      <c r="E1193" t="s">
        <v>1730</v>
      </c>
      <c r="G1193" t="s">
        <v>1165</v>
      </c>
      <c r="L1193" t="str">
        <f>HYPERLINK("https://test.ictv.global/id/TN19981515","TN19981515@TEST")</f>
        <v>TN19981515@TEST</v>
      </c>
      <c r="M1193" t="str">
        <f>HYPERLINK("https://test.ictv.global/id/ICTV19951055","ICTV19951055@TEST")</f>
        <v>ICTV19951055@TEST</v>
      </c>
      <c r="N1193" t="str">
        <f>HYPERLINK("https://ictv.global/id/TN19981515","TN19981515@prod")</f>
        <v>TN19981515@prod</v>
      </c>
      <c r="O1193" t="str">
        <f>HYPERLINK("https://ictv.global/id/ICTV19951055","ICTV19951055@prod")</f>
        <v>ICTV19951055@prod</v>
      </c>
    </row>
    <row r="1194" spans="1:15" x14ac:dyDescent="0.2">
      <c r="A1194">
        <v>17</v>
      </c>
      <c r="B1194">
        <v>19981519</v>
      </c>
      <c r="C1194">
        <v>19951059</v>
      </c>
      <c r="D1194" t="s">
        <v>29</v>
      </c>
      <c r="E1194" t="s">
        <v>1731</v>
      </c>
      <c r="G1194" t="s">
        <v>1165</v>
      </c>
      <c r="L1194" t="str">
        <f>HYPERLINK("https://test.ictv.global/id/TN19981519","TN19981519@TEST")</f>
        <v>TN19981519@TEST</v>
      </c>
      <c r="M1194" t="str">
        <f>HYPERLINK("https://test.ictv.global/id/ICTV19951059","ICTV19951059@TEST")</f>
        <v>ICTV19951059@TEST</v>
      </c>
      <c r="N1194" t="str">
        <f>HYPERLINK("https://ictv.global/id/TN19981519","TN19981519@prod")</f>
        <v>TN19981519@prod</v>
      </c>
      <c r="O1194" t="str">
        <f>HYPERLINK("https://ictv.global/id/ICTV19951059","ICTV19951059@prod")</f>
        <v>ICTV19951059@prod</v>
      </c>
    </row>
    <row r="1195" spans="1:15" x14ac:dyDescent="0.2">
      <c r="A1195">
        <v>17</v>
      </c>
      <c r="B1195">
        <v>19981520</v>
      </c>
      <c r="C1195">
        <v>19951060</v>
      </c>
      <c r="D1195" t="s">
        <v>29</v>
      </c>
      <c r="E1195" t="s">
        <v>1732</v>
      </c>
      <c r="G1195" t="s">
        <v>1165</v>
      </c>
      <c r="L1195" t="str">
        <f>HYPERLINK("https://test.ictv.global/id/TN19981520","TN19981520@TEST")</f>
        <v>TN19981520@TEST</v>
      </c>
      <c r="M1195" t="str">
        <f>HYPERLINK("https://test.ictv.global/id/ICTV19951060","ICTV19951060@TEST")</f>
        <v>ICTV19951060@TEST</v>
      </c>
      <c r="N1195" t="str">
        <f>HYPERLINK("https://ictv.global/id/TN19981520","TN19981520@prod")</f>
        <v>TN19981520@prod</v>
      </c>
      <c r="O1195" t="str">
        <f>HYPERLINK("https://ictv.global/id/ICTV19951060","ICTV19951060@prod")</f>
        <v>ICTV19951060@prod</v>
      </c>
    </row>
    <row r="1196" spans="1:15" x14ac:dyDescent="0.2">
      <c r="A1196">
        <v>17</v>
      </c>
      <c r="B1196">
        <v>19981521</v>
      </c>
      <c r="C1196">
        <v>19951061</v>
      </c>
      <c r="D1196" t="s">
        <v>29</v>
      </c>
      <c r="E1196" t="s">
        <v>1733</v>
      </c>
      <c r="G1196" t="s">
        <v>1165</v>
      </c>
      <c r="L1196" t="str">
        <f>HYPERLINK("https://test.ictv.global/id/TN19981521","TN19981521@TEST")</f>
        <v>TN19981521@TEST</v>
      </c>
      <c r="M1196" t="str">
        <f>HYPERLINK("https://test.ictv.global/id/ICTV19951061","ICTV19951061@TEST")</f>
        <v>ICTV19951061@TEST</v>
      </c>
      <c r="N1196" t="str">
        <f>HYPERLINK("https://ictv.global/id/TN19981521","TN19981521@prod")</f>
        <v>TN19981521@prod</v>
      </c>
      <c r="O1196" t="str">
        <f>HYPERLINK("https://ictv.global/id/ICTV19951061","ICTV19951061@prod")</f>
        <v>ICTV19951061@prod</v>
      </c>
    </row>
    <row r="1197" spans="1:15" x14ac:dyDescent="0.2">
      <c r="A1197">
        <v>17</v>
      </c>
      <c r="B1197">
        <v>19981533</v>
      </c>
      <c r="C1197">
        <v>19951073</v>
      </c>
      <c r="D1197" t="s">
        <v>29</v>
      </c>
      <c r="E1197" t="s">
        <v>1734</v>
      </c>
      <c r="G1197" t="s">
        <v>1165</v>
      </c>
      <c r="L1197" t="str">
        <f>HYPERLINK("https://test.ictv.global/id/TN19981533","TN19981533@TEST")</f>
        <v>TN19981533@TEST</v>
      </c>
      <c r="M1197" t="str">
        <f>HYPERLINK("https://test.ictv.global/id/ICTV19951073","ICTV19951073@TEST")</f>
        <v>ICTV19951073@TEST</v>
      </c>
      <c r="N1197" t="str">
        <f>HYPERLINK("https://ictv.global/id/TN19981533","TN19981533@prod")</f>
        <v>TN19981533@prod</v>
      </c>
      <c r="O1197" t="str">
        <f>HYPERLINK("https://ictv.global/id/ICTV19951073","ICTV19951073@prod")</f>
        <v>ICTV19951073@prod</v>
      </c>
    </row>
    <row r="1198" spans="1:15" x14ac:dyDescent="0.2">
      <c r="A1198">
        <v>17</v>
      </c>
      <c r="B1198">
        <v>19981535</v>
      </c>
      <c r="C1198">
        <v>19951075</v>
      </c>
      <c r="D1198" t="s">
        <v>29</v>
      </c>
      <c r="E1198" t="s">
        <v>1735</v>
      </c>
      <c r="G1198" t="s">
        <v>1165</v>
      </c>
      <c r="L1198" t="str">
        <f>HYPERLINK("https://test.ictv.global/id/TN19981535","TN19981535@TEST")</f>
        <v>TN19981535@TEST</v>
      </c>
      <c r="M1198" t="str">
        <f>HYPERLINK("https://test.ictv.global/id/ICTV19951075","ICTV19951075@TEST")</f>
        <v>ICTV19951075@TEST</v>
      </c>
      <c r="N1198" t="str">
        <f>HYPERLINK("https://ictv.global/id/TN19981535","TN19981535@prod")</f>
        <v>TN19981535@prod</v>
      </c>
      <c r="O1198" t="str">
        <f>HYPERLINK("https://ictv.global/id/ICTV19951075","ICTV19951075@prod")</f>
        <v>ICTV19951075@prod</v>
      </c>
    </row>
    <row r="1199" spans="1:15" x14ac:dyDescent="0.2">
      <c r="A1199">
        <v>17</v>
      </c>
      <c r="B1199">
        <v>19981536</v>
      </c>
      <c r="C1199">
        <v>19951076</v>
      </c>
      <c r="D1199" t="s">
        <v>29</v>
      </c>
      <c r="E1199" t="s">
        <v>1736</v>
      </c>
      <c r="G1199" t="s">
        <v>1165</v>
      </c>
      <c r="L1199" t="str">
        <f>HYPERLINK("https://test.ictv.global/id/TN19981536","TN19981536@TEST")</f>
        <v>TN19981536@TEST</v>
      </c>
      <c r="M1199" t="str">
        <f>HYPERLINK("https://test.ictv.global/id/ICTV19951076","ICTV19951076@TEST")</f>
        <v>ICTV19951076@TEST</v>
      </c>
      <c r="N1199" t="str">
        <f>HYPERLINK("https://ictv.global/id/TN19981536","TN19981536@prod")</f>
        <v>TN19981536@prod</v>
      </c>
      <c r="O1199" t="str">
        <f>HYPERLINK("https://ictv.global/id/ICTV19951076","ICTV19951076@prod")</f>
        <v>ICTV19951076@prod</v>
      </c>
    </row>
    <row r="1200" spans="1:15" x14ac:dyDescent="0.2">
      <c r="A1200">
        <v>17</v>
      </c>
      <c r="B1200">
        <v>19981540</v>
      </c>
      <c r="C1200">
        <v>19930944</v>
      </c>
      <c r="D1200" t="s">
        <v>29</v>
      </c>
      <c r="E1200" t="s">
        <v>684</v>
      </c>
      <c r="G1200" t="s">
        <v>33</v>
      </c>
      <c r="H1200" t="s">
        <v>685</v>
      </c>
      <c r="I1200" t="s">
        <v>29</v>
      </c>
      <c r="J1200">
        <v>19991024</v>
      </c>
      <c r="K1200">
        <v>19991024</v>
      </c>
      <c r="L1200" t="str">
        <f>HYPERLINK("https://test.ictv.global/id/TN19981540","TN19981540@TEST")</f>
        <v>TN19981540@TEST</v>
      </c>
      <c r="M1200" t="str">
        <f>HYPERLINK("https://test.ictv.global/id/ICTV19930944","ICTV19930944@TEST")</f>
        <v>ICTV19930944@TEST</v>
      </c>
      <c r="N1200" t="str">
        <f>HYPERLINK("https://ictv.global/id/TN19981540","TN19981540@prod")</f>
        <v>TN19981540@prod</v>
      </c>
      <c r="O1200" t="str">
        <f>HYPERLINK("https://ictv.global/id/ICTV19930944","ICTV19930944@prod")</f>
        <v>ICTV19930944@prod</v>
      </c>
    </row>
    <row r="1201" spans="1:15" x14ac:dyDescent="0.2">
      <c r="A1201">
        <v>17</v>
      </c>
      <c r="B1201">
        <v>19981541</v>
      </c>
      <c r="C1201">
        <v>19951081</v>
      </c>
      <c r="D1201" t="s">
        <v>29</v>
      </c>
      <c r="E1201" t="s">
        <v>686</v>
      </c>
      <c r="G1201" t="s">
        <v>31</v>
      </c>
      <c r="H1201" t="s">
        <v>685</v>
      </c>
      <c r="I1201" t="s">
        <v>29</v>
      </c>
      <c r="J1201">
        <v>19991024</v>
      </c>
      <c r="K1201">
        <v>19991024</v>
      </c>
      <c r="L1201" t="str">
        <f>HYPERLINK("https://test.ictv.global/id/TN19981541","TN19981541@TEST")</f>
        <v>TN19981541@TEST</v>
      </c>
      <c r="M1201" t="str">
        <f>HYPERLINK("https://test.ictv.global/id/ICTV19951081","ICTV19951081@TEST")</f>
        <v>ICTV19951081@TEST</v>
      </c>
      <c r="N1201" t="str">
        <f>HYPERLINK("https://ictv.global/id/TN19981541","TN19981541@prod")</f>
        <v>TN19981541@prod</v>
      </c>
      <c r="O1201" t="str">
        <f>HYPERLINK("https://ictv.global/id/ICTV19951081","ICTV19951081@prod")</f>
        <v>ICTV19951081@prod</v>
      </c>
    </row>
    <row r="1202" spans="1:15" x14ac:dyDescent="0.2">
      <c r="A1202">
        <v>17</v>
      </c>
      <c r="B1202">
        <v>19981543</v>
      </c>
      <c r="C1202">
        <v>19910798</v>
      </c>
      <c r="D1202" t="s">
        <v>29</v>
      </c>
      <c r="E1202" t="s">
        <v>687</v>
      </c>
      <c r="G1202" t="s">
        <v>31</v>
      </c>
      <c r="H1202" t="s">
        <v>688</v>
      </c>
      <c r="I1202" t="s">
        <v>29</v>
      </c>
      <c r="J1202">
        <v>19991030</v>
      </c>
      <c r="K1202">
        <v>19991030</v>
      </c>
      <c r="L1202" t="str">
        <f>HYPERLINK("https://test.ictv.global/id/TN19981543","TN19981543@TEST")</f>
        <v>TN19981543@TEST</v>
      </c>
      <c r="M1202" t="str">
        <f>HYPERLINK("https://test.ictv.global/id/ICTV19910798","ICTV19910798@TEST")</f>
        <v>ICTV19910798@TEST</v>
      </c>
      <c r="N1202" t="str">
        <f>HYPERLINK("https://ictv.global/id/TN19981543","TN19981543@prod")</f>
        <v>TN19981543@prod</v>
      </c>
      <c r="O1202" t="str">
        <f>HYPERLINK("https://ictv.global/id/ICTV19910798","ICTV19910798@prod")</f>
        <v>ICTV19910798@prod</v>
      </c>
    </row>
    <row r="1203" spans="1:15" x14ac:dyDescent="0.2">
      <c r="A1203">
        <v>17</v>
      </c>
      <c r="B1203">
        <v>19981544</v>
      </c>
      <c r="C1203">
        <v>19910799</v>
      </c>
      <c r="D1203" t="s">
        <v>29</v>
      </c>
      <c r="E1203" t="s">
        <v>689</v>
      </c>
      <c r="G1203" t="s">
        <v>31</v>
      </c>
      <c r="H1203" t="s">
        <v>688</v>
      </c>
      <c r="I1203" t="s">
        <v>29</v>
      </c>
      <c r="J1203">
        <v>19991030</v>
      </c>
      <c r="K1203">
        <v>19991030</v>
      </c>
      <c r="L1203" t="str">
        <f>HYPERLINK("https://test.ictv.global/id/TN19981544","TN19981544@TEST")</f>
        <v>TN19981544@TEST</v>
      </c>
      <c r="M1203" t="str">
        <f>HYPERLINK("https://test.ictv.global/id/ICTV19910799","ICTV19910799@TEST")</f>
        <v>ICTV19910799@TEST</v>
      </c>
      <c r="N1203" t="str">
        <f>HYPERLINK("https://ictv.global/id/TN19981544","TN19981544@prod")</f>
        <v>TN19981544@prod</v>
      </c>
      <c r="O1203" t="str">
        <f>HYPERLINK("https://ictv.global/id/ICTV19910799","ICTV19910799@prod")</f>
        <v>ICTV19910799@prod</v>
      </c>
    </row>
    <row r="1204" spans="1:15" x14ac:dyDescent="0.2">
      <c r="A1204">
        <v>17</v>
      </c>
      <c r="B1204">
        <v>19981545</v>
      </c>
      <c r="C1204">
        <v>19910800</v>
      </c>
      <c r="D1204" t="s">
        <v>29</v>
      </c>
      <c r="E1204" t="s">
        <v>690</v>
      </c>
      <c r="G1204" t="s">
        <v>31</v>
      </c>
      <c r="H1204" t="s">
        <v>688</v>
      </c>
      <c r="I1204" t="s">
        <v>29</v>
      </c>
      <c r="J1204">
        <v>19991030</v>
      </c>
      <c r="K1204">
        <v>19991030</v>
      </c>
      <c r="L1204" t="str">
        <f>HYPERLINK("https://test.ictv.global/id/TN19981545","TN19981545@TEST")</f>
        <v>TN19981545@TEST</v>
      </c>
      <c r="M1204" t="str">
        <f>HYPERLINK("https://test.ictv.global/id/ICTV19910800","ICTV19910800@TEST")</f>
        <v>ICTV19910800@TEST</v>
      </c>
      <c r="N1204" t="str">
        <f>HYPERLINK("https://ictv.global/id/TN19981545","TN19981545@prod")</f>
        <v>TN19981545@prod</v>
      </c>
      <c r="O1204" t="str">
        <f>HYPERLINK("https://ictv.global/id/ICTV19910800","ICTV19910800@prod")</f>
        <v>ICTV19910800@prod</v>
      </c>
    </row>
    <row r="1205" spans="1:15" x14ac:dyDescent="0.2">
      <c r="A1205">
        <v>17</v>
      </c>
      <c r="B1205">
        <v>19981546</v>
      </c>
      <c r="C1205">
        <v>19910801</v>
      </c>
      <c r="D1205" t="s">
        <v>29</v>
      </c>
      <c r="E1205" t="s">
        <v>691</v>
      </c>
      <c r="G1205" t="s">
        <v>31</v>
      </c>
      <c r="H1205" t="s">
        <v>688</v>
      </c>
      <c r="I1205" t="s">
        <v>29</v>
      </c>
      <c r="J1205">
        <v>19991030</v>
      </c>
      <c r="K1205">
        <v>19991030</v>
      </c>
      <c r="L1205" t="str">
        <f>HYPERLINK("https://test.ictv.global/id/TN19981546","TN19981546@TEST")</f>
        <v>TN19981546@TEST</v>
      </c>
      <c r="M1205" t="str">
        <f>HYPERLINK("https://test.ictv.global/id/ICTV19910801","ICTV19910801@TEST")</f>
        <v>ICTV19910801@TEST</v>
      </c>
      <c r="N1205" t="str">
        <f>HYPERLINK("https://ictv.global/id/TN19981546","TN19981546@prod")</f>
        <v>TN19981546@prod</v>
      </c>
      <c r="O1205" t="str">
        <f>HYPERLINK("https://ictv.global/id/ICTV19910801","ICTV19910801@prod")</f>
        <v>ICTV19910801@prod</v>
      </c>
    </row>
    <row r="1206" spans="1:15" x14ac:dyDescent="0.2">
      <c r="A1206">
        <v>17</v>
      </c>
      <c r="B1206">
        <v>19981547</v>
      </c>
      <c r="C1206">
        <v>19710170</v>
      </c>
      <c r="D1206" t="s">
        <v>29</v>
      </c>
      <c r="E1206" t="s">
        <v>692</v>
      </c>
      <c r="G1206" t="s">
        <v>33</v>
      </c>
      <c r="H1206" t="s">
        <v>688</v>
      </c>
      <c r="I1206" t="s">
        <v>29</v>
      </c>
      <c r="J1206">
        <v>19991030</v>
      </c>
      <c r="K1206">
        <v>19991030</v>
      </c>
      <c r="L1206" t="str">
        <f>HYPERLINK("https://test.ictv.global/id/TN19981547","TN19981547@TEST")</f>
        <v>TN19981547@TEST</v>
      </c>
      <c r="M1206" t="str">
        <f>HYPERLINK("https://test.ictv.global/id/ICTV19710170","ICTV19710170@TEST")</f>
        <v>ICTV19710170@TEST</v>
      </c>
      <c r="N1206" t="str">
        <f>HYPERLINK("https://ictv.global/id/TN19981547","TN19981547@prod")</f>
        <v>TN19981547@prod</v>
      </c>
      <c r="O1206" t="str">
        <f>HYPERLINK("https://ictv.global/id/ICTV19710170","ICTV19710170@prod")</f>
        <v>ICTV19710170@prod</v>
      </c>
    </row>
    <row r="1207" spans="1:15" x14ac:dyDescent="0.2">
      <c r="A1207">
        <v>17</v>
      </c>
      <c r="B1207">
        <v>19981548</v>
      </c>
      <c r="C1207">
        <v>19910803</v>
      </c>
      <c r="D1207" t="s">
        <v>29</v>
      </c>
      <c r="E1207" t="s">
        <v>693</v>
      </c>
      <c r="G1207" t="s">
        <v>31</v>
      </c>
      <c r="H1207" t="s">
        <v>688</v>
      </c>
      <c r="I1207" t="s">
        <v>29</v>
      </c>
      <c r="J1207">
        <v>19991030</v>
      </c>
      <c r="K1207">
        <v>19991030</v>
      </c>
      <c r="L1207" t="str">
        <f>HYPERLINK("https://test.ictv.global/id/TN19981548","TN19981548@TEST")</f>
        <v>TN19981548@TEST</v>
      </c>
      <c r="M1207" t="str">
        <f>HYPERLINK("https://test.ictv.global/id/ICTV19910803","ICTV19910803@TEST")</f>
        <v>ICTV19910803@TEST</v>
      </c>
      <c r="N1207" t="str">
        <f>HYPERLINK("https://ictv.global/id/TN19981548","TN19981548@prod")</f>
        <v>TN19981548@prod</v>
      </c>
      <c r="O1207" t="str">
        <f>HYPERLINK("https://ictv.global/id/ICTV19910803","ICTV19910803@prod")</f>
        <v>ICTV19910803@prod</v>
      </c>
    </row>
    <row r="1208" spans="1:15" x14ac:dyDescent="0.2">
      <c r="A1208">
        <v>17</v>
      </c>
      <c r="B1208">
        <v>19981549</v>
      </c>
      <c r="C1208">
        <v>19910804</v>
      </c>
      <c r="D1208" t="s">
        <v>29</v>
      </c>
      <c r="E1208" t="s">
        <v>694</v>
      </c>
      <c r="G1208" t="s">
        <v>31</v>
      </c>
      <c r="H1208" t="s">
        <v>688</v>
      </c>
      <c r="I1208" t="s">
        <v>29</v>
      </c>
      <c r="J1208">
        <v>19991030</v>
      </c>
      <c r="K1208">
        <v>19991030</v>
      </c>
      <c r="L1208" t="str">
        <f>HYPERLINK("https://test.ictv.global/id/TN19981549","TN19981549@TEST")</f>
        <v>TN19981549@TEST</v>
      </c>
      <c r="M1208" t="str">
        <f>HYPERLINK("https://test.ictv.global/id/ICTV19910804","ICTV19910804@TEST")</f>
        <v>ICTV19910804@TEST</v>
      </c>
      <c r="N1208" t="str">
        <f>HYPERLINK("https://ictv.global/id/TN19981549","TN19981549@prod")</f>
        <v>TN19981549@prod</v>
      </c>
      <c r="O1208" t="str">
        <f>HYPERLINK("https://ictv.global/id/ICTV19910804","ICTV19910804@prod")</f>
        <v>ICTV19910804@prod</v>
      </c>
    </row>
    <row r="1209" spans="1:15" x14ac:dyDescent="0.2">
      <c r="A1209">
        <v>17</v>
      </c>
      <c r="B1209">
        <v>19981550</v>
      </c>
      <c r="C1209">
        <v>19910805</v>
      </c>
      <c r="D1209" t="s">
        <v>29</v>
      </c>
      <c r="E1209" t="s">
        <v>1737</v>
      </c>
      <c r="G1209" t="s">
        <v>1165</v>
      </c>
      <c r="L1209" t="str">
        <f>HYPERLINK("https://test.ictv.global/id/TN19981550","TN19981550@TEST")</f>
        <v>TN19981550@TEST</v>
      </c>
      <c r="M1209" t="str">
        <f>HYPERLINK("https://test.ictv.global/id/ICTV19910805","ICTV19910805@TEST")</f>
        <v>ICTV19910805@TEST</v>
      </c>
      <c r="N1209" t="str">
        <f>HYPERLINK("https://ictv.global/id/TN19981550","TN19981550@prod")</f>
        <v>TN19981550@prod</v>
      </c>
      <c r="O1209" t="str">
        <f>HYPERLINK("https://ictv.global/id/ICTV19910805","ICTV19910805@prod")</f>
        <v>ICTV19910805@prod</v>
      </c>
    </row>
    <row r="1210" spans="1:15" x14ac:dyDescent="0.2">
      <c r="A1210">
        <v>17</v>
      </c>
      <c r="B1210">
        <v>19981551</v>
      </c>
      <c r="C1210">
        <v>19910806</v>
      </c>
      <c r="D1210" t="s">
        <v>29</v>
      </c>
      <c r="E1210" t="s">
        <v>695</v>
      </c>
      <c r="G1210" t="s">
        <v>31</v>
      </c>
      <c r="H1210" t="s">
        <v>688</v>
      </c>
      <c r="I1210" t="s">
        <v>29</v>
      </c>
      <c r="J1210">
        <v>19991030</v>
      </c>
      <c r="K1210">
        <v>19991030</v>
      </c>
      <c r="L1210" t="str">
        <f>HYPERLINK("https://test.ictv.global/id/TN19981551","TN19981551@TEST")</f>
        <v>TN19981551@TEST</v>
      </c>
      <c r="M1210" t="str">
        <f>HYPERLINK("https://test.ictv.global/id/ICTV19910806","ICTV19910806@TEST")</f>
        <v>ICTV19910806@TEST</v>
      </c>
      <c r="N1210" t="str">
        <f>HYPERLINK("https://ictv.global/id/TN19981551","TN19981551@prod")</f>
        <v>TN19981551@prod</v>
      </c>
      <c r="O1210" t="str">
        <f>HYPERLINK("https://ictv.global/id/ICTV19910806","ICTV19910806@prod")</f>
        <v>ICTV19910806@prod</v>
      </c>
    </row>
    <row r="1211" spans="1:15" x14ac:dyDescent="0.2">
      <c r="A1211">
        <v>17</v>
      </c>
      <c r="B1211">
        <v>19981555</v>
      </c>
      <c r="C1211">
        <v>19910810</v>
      </c>
      <c r="D1211" t="s">
        <v>29</v>
      </c>
      <c r="E1211" t="s">
        <v>1738</v>
      </c>
      <c r="G1211" t="s">
        <v>1165</v>
      </c>
      <c r="L1211" t="str">
        <f>HYPERLINK("https://test.ictv.global/id/TN19981555","TN19981555@TEST")</f>
        <v>TN19981555@TEST</v>
      </c>
      <c r="M1211" t="str">
        <f>HYPERLINK("https://test.ictv.global/id/ICTV19910810","ICTV19910810@TEST")</f>
        <v>ICTV19910810@TEST</v>
      </c>
      <c r="N1211" t="str">
        <f>HYPERLINK("https://ictv.global/id/TN19981555","TN19981555@prod")</f>
        <v>TN19981555@prod</v>
      </c>
      <c r="O1211" t="str">
        <f>HYPERLINK("https://ictv.global/id/ICTV19910810","ICTV19910810@prod")</f>
        <v>ICTV19910810@prod</v>
      </c>
    </row>
    <row r="1212" spans="1:15" x14ac:dyDescent="0.2">
      <c r="A1212">
        <v>17</v>
      </c>
      <c r="B1212">
        <v>19981567</v>
      </c>
      <c r="C1212">
        <v>19910822</v>
      </c>
      <c r="D1212" t="s">
        <v>29</v>
      </c>
      <c r="E1212" t="s">
        <v>1739</v>
      </c>
      <c r="G1212" t="s">
        <v>1165</v>
      </c>
      <c r="L1212" t="str">
        <f>HYPERLINK("https://test.ictv.global/id/TN19981567","TN19981567@TEST")</f>
        <v>TN19981567@TEST</v>
      </c>
      <c r="M1212" t="str">
        <f>HYPERLINK("https://test.ictv.global/id/ICTV19910822","ICTV19910822@TEST")</f>
        <v>ICTV19910822@TEST</v>
      </c>
      <c r="N1212" t="str">
        <f>HYPERLINK("https://ictv.global/id/TN19981567","TN19981567@prod")</f>
        <v>TN19981567@prod</v>
      </c>
      <c r="O1212" t="str">
        <f>HYPERLINK("https://ictv.global/id/ICTV19910822","ICTV19910822@prod")</f>
        <v>ICTV19910822@prod</v>
      </c>
    </row>
    <row r="1213" spans="1:15" x14ac:dyDescent="0.2">
      <c r="A1213">
        <v>17</v>
      </c>
      <c r="B1213">
        <v>19981570</v>
      </c>
      <c r="C1213">
        <v>19910825</v>
      </c>
      <c r="D1213" t="s">
        <v>29</v>
      </c>
      <c r="E1213" t="s">
        <v>1740</v>
      </c>
      <c r="G1213" t="s">
        <v>1165</v>
      </c>
      <c r="L1213" t="str">
        <f>HYPERLINK("https://test.ictv.global/id/TN19981570","TN19981570@TEST")</f>
        <v>TN19981570@TEST</v>
      </c>
      <c r="M1213" t="str">
        <f>HYPERLINK("https://test.ictv.global/id/ICTV19910825","ICTV19910825@TEST")</f>
        <v>ICTV19910825@TEST</v>
      </c>
      <c r="N1213" t="str">
        <f>HYPERLINK("https://ictv.global/id/TN19981570","TN19981570@prod")</f>
        <v>TN19981570@prod</v>
      </c>
      <c r="O1213" t="str">
        <f>HYPERLINK("https://ictv.global/id/ICTV19910825","ICTV19910825@prod")</f>
        <v>ICTV19910825@prod</v>
      </c>
    </row>
    <row r="1214" spans="1:15" x14ac:dyDescent="0.2">
      <c r="A1214">
        <v>17</v>
      </c>
      <c r="B1214">
        <v>19981571</v>
      </c>
      <c r="C1214">
        <v>19790341</v>
      </c>
      <c r="D1214" t="s">
        <v>29</v>
      </c>
      <c r="E1214" t="s">
        <v>1741</v>
      </c>
      <c r="G1214" t="s">
        <v>1165</v>
      </c>
      <c r="L1214" t="str">
        <f>HYPERLINK("https://test.ictv.global/id/TN19981571","TN19981571@TEST")</f>
        <v>TN19981571@TEST</v>
      </c>
      <c r="M1214" t="str">
        <f>HYPERLINK("https://test.ictv.global/id/ICTV19790341","ICTV19790341@TEST")</f>
        <v>ICTV19790341@TEST</v>
      </c>
      <c r="N1214" t="str">
        <f>HYPERLINK("https://ictv.global/id/TN19981571","TN19981571@prod")</f>
        <v>TN19981571@prod</v>
      </c>
      <c r="O1214" t="str">
        <f>HYPERLINK("https://ictv.global/id/ICTV19790341","ICTV19790341@prod")</f>
        <v>ICTV19790341@prod</v>
      </c>
    </row>
    <row r="1215" spans="1:15" x14ac:dyDescent="0.2">
      <c r="A1215">
        <v>17</v>
      </c>
      <c r="B1215">
        <v>19981572</v>
      </c>
      <c r="C1215">
        <v>19790337</v>
      </c>
      <c r="D1215" t="s">
        <v>29</v>
      </c>
      <c r="E1215" t="s">
        <v>1742</v>
      </c>
      <c r="G1215" t="s">
        <v>1165</v>
      </c>
      <c r="L1215" t="str">
        <f>HYPERLINK("https://test.ictv.global/id/TN19981572","TN19981572@TEST")</f>
        <v>TN19981572@TEST</v>
      </c>
      <c r="M1215" t="str">
        <f>HYPERLINK("https://test.ictv.global/id/ICTV19790337","ICTV19790337@TEST")</f>
        <v>ICTV19790337@TEST</v>
      </c>
      <c r="N1215" t="str">
        <f>HYPERLINK("https://ictv.global/id/TN19981572","TN19981572@prod")</f>
        <v>TN19981572@prod</v>
      </c>
      <c r="O1215" t="str">
        <f>HYPERLINK("https://ictv.global/id/ICTV19790337","ICTV19790337@prod")</f>
        <v>ICTV19790337@prod</v>
      </c>
    </row>
    <row r="1216" spans="1:15" x14ac:dyDescent="0.2">
      <c r="A1216">
        <v>17</v>
      </c>
      <c r="B1216">
        <v>19981574</v>
      </c>
      <c r="C1216">
        <v>19790338</v>
      </c>
      <c r="D1216" t="s">
        <v>29</v>
      </c>
      <c r="E1216" t="s">
        <v>1743</v>
      </c>
      <c r="G1216" t="s">
        <v>1165</v>
      </c>
      <c r="L1216" t="str">
        <f>HYPERLINK("https://test.ictv.global/id/TN19981574","TN19981574@TEST")</f>
        <v>TN19981574@TEST</v>
      </c>
      <c r="M1216" t="str">
        <f>HYPERLINK("https://test.ictv.global/id/ICTV19790338","ICTV19790338@TEST")</f>
        <v>ICTV19790338@TEST</v>
      </c>
      <c r="N1216" t="str">
        <f>HYPERLINK("https://ictv.global/id/TN19981574","TN19981574@prod")</f>
        <v>TN19981574@prod</v>
      </c>
      <c r="O1216" t="str">
        <f>HYPERLINK("https://ictv.global/id/ICTV19790338","ICTV19790338@prod")</f>
        <v>ICTV19790338@prod</v>
      </c>
    </row>
    <row r="1217" spans="1:15" x14ac:dyDescent="0.2">
      <c r="A1217">
        <v>17</v>
      </c>
      <c r="B1217">
        <v>19981575</v>
      </c>
      <c r="C1217">
        <v>19790339</v>
      </c>
      <c r="D1217" t="s">
        <v>29</v>
      </c>
      <c r="E1217" t="s">
        <v>1744</v>
      </c>
      <c r="G1217" t="s">
        <v>1165</v>
      </c>
      <c r="L1217" t="str">
        <f>HYPERLINK("https://test.ictv.global/id/TN19981575","TN19981575@TEST")</f>
        <v>TN19981575@TEST</v>
      </c>
      <c r="M1217" t="str">
        <f>HYPERLINK("https://test.ictv.global/id/ICTV19790339","ICTV19790339@TEST")</f>
        <v>ICTV19790339@TEST</v>
      </c>
      <c r="N1217" t="str">
        <f>HYPERLINK("https://ictv.global/id/TN19981575","TN19981575@prod")</f>
        <v>TN19981575@prod</v>
      </c>
      <c r="O1217" t="str">
        <f>HYPERLINK("https://ictv.global/id/ICTV19790339","ICTV19790339@prod")</f>
        <v>ICTV19790339@prod</v>
      </c>
    </row>
    <row r="1218" spans="1:15" x14ac:dyDescent="0.2">
      <c r="A1218">
        <v>17</v>
      </c>
      <c r="B1218">
        <v>19981576</v>
      </c>
      <c r="C1218">
        <v>19910831</v>
      </c>
      <c r="D1218" t="s">
        <v>29</v>
      </c>
      <c r="E1218" t="s">
        <v>1745</v>
      </c>
      <c r="G1218" t="s">
        <v>1165</v>
      </c>
      <c r="L1218" t="str">
        <f>HYPERLINK("https://test.ictv.global/id/TN19981576","TN19981576@TEST")</f>
        <v>TN19981576@TEST</v>
      </c>
      <c r="M1218" t="str">
        <f>HYPERLINK("https://test.ictv.global/id/ICTV19910831","ICTV19910831@TEST")</f>
        <v>ICTV19910831@TEST</v>
      </c>
      <c r="N1218" t="str">
        <f>HYPERLINK("https://ictv.global/id/TN19981576","TN19981576@prod")</f>
        <v>TN19981576@prod</v>
      </c>
      <c r="O1218" t="str">
        <f>HYPERLINK("https://ictv.global/id/ICTV19910831","ICTV19910831@prod")</f>
        <v>ICTV19910831@prod</v>
      </c>
    </row>
    <row r="1219" spans="1:15" x14ac:dyDescent="0.2">
      <c r="A1219">
        <v>17</v>
      </c>
      <c r="B1219">
        <v>19981578</v>
      </c>
      <c r="C1219">
        <v>19760241</v>
      </c>
      <c r="D1219" t="s">
        <v>29</v>
      </c>
      <c r="E1219" t="s">
        <v>1746</v>
      </c>
      <c r="G1219" t="s">
        <v>1165</v>
      </c>
      <c r="L1219" t="str">
        <f>HYPERLINK("https://test.ictv.global/id/TN19981578","TN19981578@TEST")</f>
        <v>TN19981578@TEST</v>
      </c>
      <c r="M1219" t="str">
        <f>HYPERLINK("https://test.ictv.global/id/ICTV19760241","ICTV19760241@TEST")</f>
        <v>ICTV19760241@TEST</v>
      </c>
      <c r="N1219" t="str">
        <f>HYPERLINK("https://ictv.global/id/TN19981578","TN19981578@prod")</f>
        <v>TN19981578@prod</v>
      </c>
      <c r="O1219" t="str">
        <f>HYPERLINK("https://ictv.global/id/ICTV19760241","ICTV19760241@prod")</f>
        <v>ICTV19760241@prod</v>
      </c>
    </row>
    <row r="1220" spans="1:15" x14ac:dyDescent="0.2">
      <c r="A1220">
        <v>17</v>
      </c>
      <c r="B1220">
        <v>19981579</v>
      </c>
      <c r="C1220">
        <v>19760242</v>
      </c>
      <c r="D1220" t="s">
        <v>29</v>
      </c>
      <c r="E1220" t="s">
        <v>1747</v>
      </c>
      <c r="G1220" t="s">
        <v>1165</v>
      </c>
      <c r="L1220" t="str">
        <f>HYPERLINK("https://test.ictv.global/id/TN19981579","TN19981579@TEST")</f>
        <v>TN19981579@TEST</v>
      </c>
      <c r="M1220" t="str">
        <f>HYPERLINK("https://test.ictv.global/id/ICTV19760242","ICTV19760242@TEST")</f>
        <v>ICTV19760242@TEST</v>
      </c>
      <c r="N1220" t="str">
        <f>HYPERLINK("https://ictv.global/id/TN19981579","TN19981579@prod")</f>
        <v>TN19981579@prod</v>
      </c>
      <c r="O1220" t="str">
        <f>HYPERLINK("https://ictv.global/id/ICTV19760242","ICTV19760242@prod")</f>
        <v>ICTV19760242@prod</v>
      </c>
    </row>
    <row r="1221" spans="1:15" x14ac:dyDescent="0.2">
      <c r="A1221">
        <v>17</v>
      </c>
      <c r="B1221">
        <v>19981580</v>
      </c>
      <c r="C1221">
        <v>19790346</v>
      </c>
      <c r="D1221" t="s">
        <v>29</v>
      </c>
      <c r="E1221" t="s">
        <v>1748</v>
      </c>
      <c r="G1221" t="s">
        <v>1165</v>
      </c>
      <c r="L1221" t="str">
        <f>HYPERLINK("https://test.ictv.global/id/TN19981580","TN19981580@TEST")</f>
        <v>TN19981580@TEST</v>
      </c>
      <c r="M1221" t="str">
        <f>HYPERLINK("https://test.ictv.global/id/ICTV19790346","ICTV19790346@TEST")</f>
        <v>ICTV19790346@TEST</v>
      </c>
      <c r="N1221" t="str">
        <f>HYPERLINK("https://ictv.global/id/TN19981580","TN19981580@prod")</f>
        <v>TN19981580@prod</v>
      </c>
      <c r="O1221" t="str">
        <f>HYPERLINK("https://ictv.global/id/ICTV19790346","ICTV19790346@prod")</f>
        <v>ICTV19790346@prod</v>
      </c>
    </row>
    <row r="1222" spans="1:15" x14ac:dyDescent="0.2">
      <c r="A1222">
        <v>17</v>
      </c>
      <c r="B1222">
        <v>19981581</v>
      </c>
      <c r="C1222">
        <v>19760243</v>
      </c>
      <c r="D1222" t="s">
        <v>29</v>
      </c>
      <c r="E1222" t="s">
        <v>1749</v>
      </c>
      <c r="G1222" t="s">
        <v>1165</v>
      </c>
      <c r="L1222" t="str">
        <f>HYPERLINK("https://test.ictv.global/id/TN19981581","TN19981581@TEST")</f>
        <v>TN19981581@TEST</v>
      </c>
      <c r="M1222" t="str">
        <f>HYPERLINK("https://test.ictv.global/id/ICTV19760243","ICTV19760243@TEST")</f>
        <v>ICTV19760243@TEST</v>
      </c>
      <c r="N1222" t="str">
        <f>HYPERLINK("https://ictv.global/id/TN19981581","TN19981581@prod")</f>
        <v>TN19981581@prod</v>
      </c>
      <c r="O1222" t="str">
        <f>HYPERLINK("https://ictv.global/id/ICTV19760243","ICTV19760243@prod")</f>
        <v>ICTV19760243@prod</v>
      </c>
    </row>
    <row r="1223" spans="1:15" x14ac:dyDescent="0.2">
      <c r="A1223">
        <v>17</v>
      </c>
      <c r="B1223">
        <v>19981582</v>
      </c>
      <c r="C1223">
        <v>19760244</v>
      </c>
      <c r="D1223" t="s">
        <v>29</v>
      </c>
      <c r="E1223" t="s">
        <v>1750</v>
      </c>
      <c r="G1223" t="s">
        <v>1165</v>
      </c>
      <c r="L1223" t="str">
        <f>HYPERLINK("https://test.ictv.global/id/TN19981582","TN19981582@TEST")</f>
        <v>TN19981582@TEST</v>
      </c>
      <c r="M1223" t="str">
        <f>HYPERLINK("https://test.ictv.global/id/ICTV19760244","ICTV19760244@TEST")</f>
        <v>ICTV19760244@TEST</v>
      </c>
      <c r="N1223" t="str">
        <f>HYPERLINK("https://ictv.global/id/TN19981582","TN19981582@prod")</f>
        <v>TN19981582@prod</v>
      </c>
      <c r="O1223" t="str">
        <f>HYPERLINK("https://ictv.global/id/ICTV19760244","ICTV19760244@prod")</f>
        <v>ICTV19760244@prod</v>
      </c>
    </row>
    <row r="1224" spans="1:15" x14ac:dyDescent="0.2">
      <c r="A1224">
        <v>17</v>
      </c>
      <c r="B1224">
        <v>19981584</v>
      </c>
      <c r="C1224">
        <v>19760246</v>
      </c>
      <c r="D1224" t="s">
        <v>29</v>
      </c>
      <c r="E1224" t="s">
        <v>1751</v>
      </c>
      <c r="G1224" t="s">
        <v>1165</v>
      </c>
      <c r="L1224" t="str">
        <f>HYPERLINK("https://test.ictv.global/id/TN19981584","TN19981584@TEST")</f>
        <v>TN19981584@TEST</v>
      </c>
      <c r="M1224" t="str">
        <f>HYPERLINK("https://test.ictv.global/id/ICTV19760246","ICTV19760246@TEST")</f>
        <v>ICTV19760246@TEST</v>
      </c>
      <c r="N1224" t="str">
        <f>HYPERLINK("https://ictv.global/id/TN19981584","TN19981584@prod")</f>
        <v>TN19981584@prod</v>
      </c>
      <c r="O1224" t="str">
        <f>HYPERLINK("https://ictv.global/id/ICTV19760246","ICTV19760246@prod")</f>
        <v>ICTV19760246@prod</v>
      </c>
    </row>
    <row r="1225" spans="1:15" x14ac:dyDescent="0.2">
      <c r="A1225">
        <v>17</v>
      </c>
      <c r="B1225">
        <v>19981585</v>
      </c>
      <c r="C1225">
        <v>19760247</v>
      </c>
      <c r="D1225" t="s">
        <v>29</v>
      </c>
      <c r="E1225" t="s">
        <v>1752</v>
      </c>
      <c r="G1225" t="s">
        <v>1165</v>
      </c>
      <c r="L1225" t="str">
        <f>HYPERLINK("https://test.ictv.global/id/TN19981585","TN19981585@TEST")</f>
        <v>TN19981585@TEST</v>
      </c>
      <c r="M1225" t="str">
        <f>HYPERLINK("https://test.ictv.global/id/ICTV19760247","ICTV19760247@TEST")</f>
        <v>ICTV19760247@TEST</v>
      </c>
      <c r="N1225" t="str">
        <f>HYPERLINK("https://ictv.global/id/TN19981585","TN19981585@prod")</f>
        <v>TN19981585@prod</v>
      </c>
      <c r="O1225" t="str">
        <f>HYPERLINK("https://ictv.global/id/ICTV19760247","ICTV19760247@prod")</f>
        <v>ICTV19760247@prod</v>
      </c>
    </row>
    <row r="1226" spans="1:15" x14ac:dyDescent="0.2">
      <c r="A1226">
        <v>17</v>
      </c>
      <c r="B1226">
        <v>19981586</v>
      </c>
      <c r="C1226">
        <v>19790369</v>
      </c>
      <c r="D1226" t="s">
        <v>29</v>
      </c>
      <c r="E1226" t="s">
        <v>1753</v>
      </c>
      <c r="G1226" t="s">
        <v>1165</v>
      </c>
      <c r="L1226" t="str">
        <f>HYPERLINK("https://test.ictv.global/id/TN19981586","TN19981586@TEST")</f>
        <v>TN19981586@TEST</v>
      </c>
      <c r="M1226" t="str">
        <f>HYPERLINK("https://test.ictv.global/id/ICTV19790369","ICTV19790369@TEST")</f>
        <v>ICTV19790369@TEST</v>
      </c>
      <c r="N1226" t="str">
        <f>HYPERLINK("https://ictv.global/id/TN19981586","TN19981586@prod")</f>
        <v>TN19981586@prod</v>
      </c>
      <c r="O1226" t="str">
        <f>HYPERLINK("https://ictv.global/id/ICTV19790369","ICTV19790369@prod")</f>
        <v>ICTV19790369@prod</v>
      </c>
    </row>
    <row r="1227" spans="1:15" x14ac:dyDescent="0.2">
      <c r="A1227">
        <v>17</v>
      </c>
      <c r="B1227">
        <v>19981587</v>
      </c>
      <c r="C1227">
        <v>19790370</v>
      </c>
      <c r="D1227" t="s">
        <v>29</v>
      </c>
      <c r="E1227" t="s">
        <v>1754</v>
      </c>
      <c r="G1227" t="s">
        <v>1165</v>
      </c>
      <c r="L1227" t="str">
        <f>HYPERLINK("https://test.ictv.global/id/TN19981587","TN19981587@TEST")</f>
        <v>TN19981587@TEST</v>
      </c>
      <c r="M1227" t="str">
        <f>HYPERLINK("https://test.ictv.global/id/ICTV19790370","ICTV19790370@TEST")</f>
        <v>ICTV19790370@TEST</v>
      </c>
      <c r="N1227" t="str">
        <f>HYPERLINK("https://ictv.global/id/TN19981587","TN19981587@prod")</f>
        <v>TN19981587@prod</v>
      </c>
      <c r="O1227" t="str">
        <f>HYPERLINK("https://ictv.global/id/ICTV19790370","ICTV19790370@prod")</f>
        <v>ICTV19790370@prod</v>
      </c>
    </row>
    <row r="1228" spans="1:15" x14ac:dyDescent="0.2">
      <c r="A1228">
        <v>17</v>
      </c>
      <c r="B1228">
        <v>19981590</v>
      </c>
      <c r="C1228">
        <v>19760263</v>
      </c>
      <c r="D1228" t="s">
        <v>29</v>
      </c>
      <c r="E1228" t="s">
        <v>1755</v>
      </c>
      <c r="G1228" t="s">
        <v>1165</v>
      </c>
      <c r="L1228" t="str">
        <f>HYPERLINK("https://test.ictv.global/id/TN19981590","TN19981590@TEST")</f>
        <v>TN19981590@TEST</v>
      </c>
      <c r="M1228" t="str">
        <f>HYPERLINK("https://test.ictv.global/id/ICTV19760263","ICTV19760263@TEST")</f>
        <v>ICTV19760263@TEST</v>
      </c>
      <c r="N1228" t="str">
        <f>HYPERLINK("https://ictv.global/id/TN19981590","TN19981590@prod")</f>
        <v>TN19981590@prod</v>
      </c>
      <c r="O1228" t="str">
        <f>HYPERLINK("https://ictv.global/id/ICTV19760263","ICTV19760263@prod")</f>
        <v>ICTV19760263@prod</v>
      </c>
    </row>
    <row r="1229" spans="1:15" x14ac:dyDescent="0.2">
      <c r="A1229">
        <v>17</v>
      </c>
      <c r="B1229">
        <v>19981591</v>
      </c>
      <c r="C1229">
        <v>19760251</v>
      </c>
      <c r="D1229" t="s">
        <v>29</v>
      </c>
      <c r="E1229" t="s">
        <v>1756</v>
      </c>
      <c r="G1229" t="s">
        <v>1165</v>
      </c>
      <c r="L1229" t="str">
        <f>HYPERLINK("https://test.ictv.global/id/TN19981591","TN19981591@TEST")</f>
        <v>TN19981591@TEST</v>
      </c>
      <c r="M1229" t="str">
        <f>HYPERLINK("https://test.ictv.global/id/ICTV19760251","ICTV19760251@TEST")</f>
        <v>ICTV19760251@TEST</v>
      </c>
      <c r="N1229" t="str">
        <f>HYPERLINK("https://ictv.global/id/TN19981591","TN19981591@prod")</f>
        <v>TN19981591@prod</v>
      </c>
      <c r="O1229" t="str">
        <f>HYPERLINK("https://ictv.global/id/ICTV19760251","ICTV19760251@prod")</f>
        <v>ICTV19760251@prod</v>
      </c>
    </row>
    <row r="1230" spans="1:15" x14ac:dyDescent="0.2">
      <c r="A1230">
        <v>17</v>
      </c>
      <c r="B1230">
        <v>19981592</v>
      </c>
      <c r="C1230">
        <v>19760258</v>
      </c>
      <c r="D1230" t="s">
        <v>29</v>
      </c>
      <c r="E1230" t="s">
        <v>1757</v>
      </c>
      <c r="G1230" t="s">
        <v>1165</v>
      </c>
      <c r="L1230" t="str">
        <f>HYPERLINK("https://test.ictv.global/id/TN19981592","TN19981592@TEST")</f>
        <v>TN19981592@TEST</v>
      </c>
      <c r="M1230" t="str">
        <f>HYPERLINK("https://test.ictv.global/id/ICTV19760258","ICTV19760258@TEST")</f>
        <v>ICTV19760258@TEST</v>
      </c>
      <c r="N1230" t="str">
        <f>HYPERLINK("https://ictv.global/id/TN19981592","TN19981592@prod")</f>
        <v>TN19981592@prod</v>
      </c>
      <c r="O1230" t="str">
        <f>HYPERLINK("https://ictv.global/id/ICTV19760258","ICTV19760258@prod")</f>
        <v>ICTV19760258@prod</v>
      </c>
    </row>
    <row r="1231" spans="1:15" x14ac:dyDescent="0.2">
      <c r="A1231">
        <v>17</v>
      </c>
      <c r="B1231">
        <v>19981593</v>
      </c>
      <c r="C1231">
        <v>19760257</v>
      </c>
      <c r="D1231" t="s">
        <v>29</v>
      </c>
      <c r="E1231" t="s">
        <v>1758</v>
      </c>
      <c r="G1231" t="s">
        <v>1165</v>
      </c>
      <c r="L1231" t="str">
        <f>HYPERLINK("https://test.ictv.global/id/TN19981593","TN19981593@TEST")</f>
        <v>TN19981593@TEST</v>
      </c>
      <c r="M1231" t="str">
        <f>HYPERLINK("https://test.ictv.global/id/ICTV19760257","ICTV19760257@TEST")</f>
        <v>ICTV19760257@TEST</v>
      </c>
      <c r="N1231" t="str">
        <f>HYPERLINK("https://ictv.global/id/TN19981593","TN19981593@prod")</f>
        <v>TN19981593@prod</v>
      </c>
      <c r="O1231" t="str">
        <f>HYPERLINK("https://ictv.global/id/ICTV19760257","ICTV19760257@prod")</f>
        <v>ICTV19760257@prod</v>
      </c>
    </row>
    <row r="1232" spans="1:15" x14ac:dyDescent="0.2">
      <c r="A1232">
        <v>17</v>
      </c>
      <c r="B1232">
        <v>19981594</v>
      </c>
      <c r="C1232">
        <v>19760256</v>
      </c>
      <c r="D1232" t="s">
        <v>29</v>
      </c>
      <c r="E1232" t="s">
        <v>1759</v>
      </c>
      <c r="G1232" t="s">
        <v>1165</v>
      </c>
      <c r="L1232" t="str">
        <f>HYPERLINK("https://test.ictv.global/id/TN19981594","TN19981594@TEST")</f>
        <v>TN19981594@TEST</v>
      </c>
      <c r="M1232" t="str">
        <f>HYPERLINK("https://test.ictv.global/id/ICTV19760256","ICTV19760256@TEST")</f>
        <v>ICTV19760256@TEST</v>
      </c>
      <c r="N1232" t="str">
        <f>HYPERLINK("https://ictv.global/id/TN19981594","TN19981594@prod")</f>
        <v>TN19981594@prod</v>
      </c>
      <c r="O1232" t="str">
        <f>HYPERLINK("https://ictv.global/id/ICTV19760256","ICTV19760256@prod")</f>
        <v>ICTV19760256@prod</v>
      </c>
    </row>
    <row r="1233" spans="1:15" x14ac:dyDescent="0.2">
      <c r="A1233">
        <v>17</v>
      </c>
      <c r="B1233">
        <v>19981595</v>
      </c>
      <c r="C1233">
        <v>19710193</v>
      </c>
      <c r="D1233" t="s">
        <v>29</v>
      </c>
      <c r="E1233" t="s">
        <v>1760</v>
      </c>
      <c r="G1233" t="s">
        <v>1165</v>
      </c>
      <c r="L1233" t="str">
        <f>HYPERLINK("https://test.ictv.global/id/TN19981595","TN19981595@TEST")</f>
        <v>TN19981595@TEST</v>
      </c>
      <c r="M1233" t="str">
        <f>HYPERLINK("https://test.ictv.global/id/ICTV19710193","ICTV19710193@TEST")</f>
        <v>ICTV19710193@TEST</v>
      </c>
      <c r="N1233" t="str">
        <f>HYPERLINK("https://ictv.global/id/TN19981595","TN19981595@prod")</f>
        <v>TN19981595@prod</v>
      </c>
      <c r="O1233" t="str">
        <f>HYPERLINK("https://ictv.global/id/ICTV19710193","ICTV19710193@prod")</f>
        <v>ICTV19710193@prod</v>
      </c>
    </row>
    <row r="1234" spans="1:15" x14ac:dyDescent="0.2">
      <c r="A1234">
        <v>17</v>
      </c>
      <c r="B1234">
        <v>19981596</v>
      </c>
      <c r="C1234">
        <v>19790354</v>
      </c>
      <c r="D1234" t="s">
        <v>29</v>
      </c>
      <c r="E1234" t="s">
        <v>1761</v>
      </c>
      <c r="G1234" t="s">
        <v>1165</v>
      </c>
      <c r="L1234" t="str">
        <f>HYPERLINK("https://test.ictv.global/id/TN19981596","TN19981596@TEST")</f>
        <v>TN19981596@TEST</v>
      </c>
      <c r="M1234" t="str">
        <f>HYPERLINK("https://test.ictv.global/id/ICTV19790354","ICTV19790354@TEST")</f>
        <v>ICTV19790354@TEST</v>
      </c>
      <c r="N1234" t="str">
        <f>HYPERLINK("https://ictv.global/id/TN19981596","TN19981596@prod")</f>
        <v>TN19981596@prod</v>
      </c>
      <c r="O1234" t="str">
        <f>HYPERLINK("https://ictv.global/id/ICTV19790354","ICTV19790354@prod")</f>
        <v>ICTV19790354@prod</v>
      </c>
    </row>
    <row r="1235" spans="1:15" x14ac:dyDescent="0.2">
      <c r="A1235">
        <v>17</v>
      </c>
      <c r="B1235">
        <v>19981597</v>
      </c>
      <c r="C1235">
        <v>19790355</v>
      </c>
      <c r="D1235" t="s">
        <v>29</v>
      </c>
      <c r="E1235" t="s">
        <v>1762</v>
      </c>
      <c r="G1235" t="s">
        <v>1165</v>
      </c>
      <c r="L1235" t="str">
        <f>HYPERLINK("https://test.ictv.global/id/TN19981597","TN19981597@TEST")</f>
        <v>TN19981597@TEST</v>
      </c>
      <c r="M1235" t="str">
        <f>HYPERLINK("https://test.ictv.global/id/ICTV19790355","ICTV19790355@TEST")</f>
        <v>ICTV19790355@TEST</v>
      </c>
      <c r="N1235" t="str">
        <f>HYPERLINK("https://ictv.global/id/TN19981597","TN19981597@prod")</f>
        <v>TN19981597@prod</v>
      </c>
      <c r="O1235" t="str">
        <f>HYPERLINK("https://ictv.global/id/ICTV19790355","ICTV19790355@prod")</f>
        <v>ICTV19790355@prod</v>
      </c>
    </row>
    <row r="1236" spans="1:15" x14ac:dyDescent="0.2">
      <c r="A1236">
        <v>17</v>
      </c>
      <c r="B1236">
        <v>19981598</v>
      </c>
      <c r="C1236">
        <v>19760260</v>
      </c>
      <c r="D1236" t="s">
        <v>29</v>
      </c>
      <c r="E1236" t="s">
        <v>1763</v>
      </c>
      <c r="G1236" t="s">
        <v>1165</v>
      </c>
      <c r="L1236" t="str">
        <f>HYPERLINK("https://test.ictv.global/id/TN19981598","TN19981598@TEST")</f>
        <v>TN19981598@TEST</v>
      </c>
      <c r="M1236" t="str">
        <f>HYPERLINK("https://test.ictv.global/id/ICTV19760260","ICTV19760260@TEST")</f>
        <v>ICTV19760260@TEST</v>
      </c>
      <c r="N1236" t="str">
        <f>HYPERLINK("https://ictv.global/id/TN19981598","TN19981598@prod")</f>
        <v>TN19981598@prod</v>
      </c>
      <c r="O1236" t="str">
        <f>HYPERLINK("https://ictv.global/id/ICTV19760260","ICTV19760260@prod")</f>
        <v>ICTV19760260@prod</v>
      </c>
    </row>
    <row r="1237" spans="1:15" x14ac:dyDescent="0.2">
      <c r="A1237">
        <v>17</v>
      </c>
      <c r="B1237">
        <v>19981599</v>
      </c>
      <c r="C1237">
        <v>19790357</v>
      </c>
      <c r="D1237" t="s">
        <v>29</v>
      </c>
      <c r="E1237" t="s">
        <v>1764</v>
      </c>
      <c r="G1237" t="s">
        <v>1165</v>
      </c>
      <c r="L1237" t="str">
        <f>HYPERLINK("https://test.ictv.global/id/TN19981599","TN19981599@TEST")</f>
        <v>TN19981599@TEST</v>
      </c>
      <c r="M1237" t="str">
        <f>HYPERLINK("https://test.ictv.global/id/ICTV19790357","ICTV19790357@TEST")</f>
        <v>ICTV19790357@TEST</v>
      </c>
      <c r="N1237" t="str">
        <f>HYPERLINK("https://ictv.global/id/TN19981599","TN19981599@prod")</f>
        <v>TN19981599@prod</v>
      </c>
      <c r="O1237" t="str">
        <f>HYPERLINK("https://ictv.global/id/ICTV19790357","ICTV19790357@prod")</f>
        <v>ICTV19790357@prod</v>
      </c>
    </row>
    <row r="1238" spans="1:15" x14ac:dyDescent="0.2">
      <c r="A1238">
        <v>17</v>
      </c>
      <c r="B1238">
        <v>19981600</v>
      </c>
      <c r="C1238">
        <v>19790358</v>
      </c>
      <c r="D1238" t="s">
        <v>29</v>
      </c>
      <c r="E1238" t="s">
        <v>1765</v>
      </c>
      <c r="G1238" t="s">
        <v>1165</v>
      </c>
      <c r="L1238" t="str">
        <f>HYPERLINK("https://test.ictv.global/id/TN19981600","TN19981600@TEST")</f>
        <v>TN19981600@TEST</v>
      </c>
      <c r="M1238" t="str">
        <f>HYPERLINK("https://test.ictv.global/id/ICTV19790358","ICTV19790358@TEST")</f>
        <v>ICTV19790358@TEST</v>
      </c>
      <c r="N1238" t="str">
        <f>HYPERLINK("https://ictv.global/id/TN19981600","TN19981600@prod")</f>
        <v>TN19981600@prod</v>
      </c>
      <c r="O1238" t="str">
        <f>HYPERLINK("https://ictv.global/id/ICTV19790358","ICTV19790358@prod")</f>
        <v>ICTV19790358@prod</v>
      </c>
    </row>
    <row r="1239" spans="1:15" x14ac:dyDescent="0.2">
      <c r="A1239">
        <v>17</v>
      </c>
      <c r="B1239">
        <v>19981601</v>
      </c>
      <c r="C1239">
        <v>19790359</v>
      </c>
      <c r="D1239" t="s">
        <v>29</v>
      </c>
      <c r="E1239" t="s">
        <v>1766</v>
      </c>
      <c r="G1239" t="s">
        <v>1165</v>
      </c>
      <c r="L1239" t="str">
        <f>HYPERLINK("https://test.ictv.global/id/TN19981601","TN19981601@TEST")</f>
        <v>TN19981601@TEST</v>
      </c>
      <c r="M1239" t="str">
        <f>HYPERLINK("https://test.ictv.global/id/ICTV19790359","ICTV19790359@TEST")</f>
        <v>ICTV19790359@TEST</v>
      </c>
      <c r="N1239" t="str">
        <f>HYPERLINK("https://ictv.global/id/TN19981601","TN19981601@prod")</f>
        <v>TN19981601@prod</v>
      </c>
      <c r="O1239" t="str">
        <f>HYPERLINK("https://ictv.global/id/ICTV19790359","ICTV19790359@prod")</f>
        <v>ICTV19790359@prod</v>
      </c>
    </row>
    <row r="1240" spans="1:15" x14ac:dyDescent="0.2">
      <c r="A1240">
        <v>17</v>
      </c>
      <c r="B1240">
        <v>19981602</v>
      </c>
      <c r="C1240">
        <v>19790360</v>
      </c>
      <c r="D1240" t="s">
        <v>29</v>
      </c>
      <c r="E1240" t="s">
        <v>1767</v>
      </c>
      <c r="G1240" t="s">
        <v>1165</v>
      </c>
      <c r="L1240" t="str">
        <f>HYPERLINK("https://test.ictv.global/id/TN19981602","TN19981602@TEST")</f>
        <v>TN19981602@TEST</v>
      </c>
      <c r="M1240" t="str">
        <f>HYPERLINK("https://test.ictv.global/id/ICTV19790360","ICTV19790360@TEST")</f>
        <v>ICTV19790360@TEST</v>
      </c>
      <c r="N1240" t="str">
        <f>HYPERLINK("https://ictv.global/id/TN19981602","TN19981602@prod")</f>
        <v>TN19981602@prod</v>
      </c>
      <c r="O1240" t="str">
        <f>HYPERLINK("https://ictv.global/id/ICTV19790360","ICTV19790360@prod")</f>
        <v>ICTV19790360@prod</v>
      </c>
    </row>
    <row r="1241" spans="1:15" x14ac:dyDescent="0.2">
      <c r="A1241">
        <v>17</v>
      </c>
      <c r="B1241">
        <v>19981603</v>
      </c>
      <c r="C1241">
        <v>19790361</v>
      </c>
      <c r="D1241" t="s">
        <v>29</v>
      </c>
      <c r="E1241" t="s">
        <v>1768</v>
      </c>
      <c r="G1241" t="s">
        <v>1165</v>
      </c>
      <c r="L1241" t="str">
        <f>HYPERLINK("https://test.ictv.global/id/TN19981603","TN19981603@TEST")</f>
        <v>TN19981603@TEST</v>
      </c>
      <c r="M1241" t="str">
        <f>HYPERLINK("https://test.ictv.global/id/ICTV19790361","ICTV19790361@TEST")</f>
        <v>ICTV19790361@TEST</v>
      </c>
      <c r="N1241" t="str">
        <f>HYPERLINK("https://ictv.global/id/TN19981603","TN19981603@prod")</f>
        <v>TN19981603@prod</v>
      </c>
      <c r="O1241" t="str">
        <f>HYPERLINK("https://ictv.global/id/ICTV19790361","ICTV19790361@prod")</f>
        <v>ICTV19790361@prod</v>
      </c>
    </row>
    <row r="1242" spans="1:15" x14ac:dyDescent="0.2">
      <c r="A1242">
        <v>17</v>
      </c>
      <c r="B1242">
        <v>19981604</v>
      </c>
      <c r="C1242">
        <v>19790362</v>
      </c>
      <c r="D1242" t="s">
        <v>29</v>
      </c>
      <c r="E1242" t="s">
        <v>1769</v>
      </c>
      <c r="G1242" t="s">
        <v>1165</v>
      </c>
      <c r="L1242" t="str">
        <f>HYPERLINK("https://test.ictv.global/id/TN19981604","TN19981604@TEST")</f>
        <v>TN19981604@TEST</v>
      </c>
      <c r="M1242" t="str">
        <f>HYPERLINK("https://test.ictv.global/id/ICTV19790362","ICTV19790362@TEST")</f>
        <v>ICTV19790362@TEST</v>
      </c>
      <c r="N1242" t="str">
        <f>HYPERLINK("https://ictv.global/id/TN19981604","TN19981604@prod")</f>
        <v>TN19981604@prod</v>
      </c>
      <c r="O1242" t="str">
        <f>HYPERLINK("https://ictv.global/id/ICTV19790362","ICTV19790362@prod")</f>
        <v>ICTV19790362@prod</v>
      </c>
    </row>
    <row r="1243" spans="1:15" x14ac:dyDescent="0.2">
      <c r="A1243">
        <v>17</v>
      </c>
      <c r="B1243">
        <v>19981605</v>
      </c>
      <c r="C1243">
        <v>19790363</v>
      </c>
      <c r="D1243" t="s">
        <v>29</v>
      </c>
      <c r="E1243" t="s">
        <v>1770</v>
      </c>
      <c r="G1243" t="s">
        <v>1165</v>
      </c>
      <c r="L1243" t="str">
        <f>HYPERLINK("https://test.ictv.global/id/TN19981605","TN19981605@TEST")</f>
        <v>TN19981605@TEST</v>
      </c>
      <c r="M1243" t="str">
        <f>HYPERLINK("https://test.ictv.global/id/ICTV19790363","ICTV19790363@TEST")</f>
        <v>ICTV19790363@TEST</v>
      </c>
      <c r="N1243" t="str">
        <f>HYPERLINK("https://ictv.global/id/TN19981605","TN19981605@prod")</f>
        <v>TN19981605@prod</v>
      </c>
      <c r="O1243" t="str">
        <f>HYPERLINK("https://ictv.global/id/ICTV19790363","ICTV19790363@prod")</f>
        <v>ICTV19790363@prod</v>
      </c>
    </row>
    <row r="1244" spans="1:15" x14ac:dyDescent="0.2">
      <c r="A1244">
        <v>17</v>
      </c>
      <c r="B1244">
        <v>19981606</v>
      </c>
      <c r="C1244">
        <v>19910860</v>
      </c>
      <c r="D1244" t="s">
        <v>29</v>
      </c>
      <c r="E1244" t="s">
        <v>1251</v>
      </c>
      <c r="G1244" t="s">
        <v>1165</v>
      </c>
      <c r="L1244" t="str">
        <f>HYPERLINK("https://test.ictv.global/id/TN19981606","TN19981606@TEST")</f>
        <v>TN19981606@TEST</v>
      </c>
      <c r="M1244" t="str">
        <f>HYPERLINK("https://test.ictv.global/id/ICTV19910860","ICTV19910860@TEST")</f>
        <v>ICTV19910860@TEST</v>
      </c>
      <c r="N1244" t="str">
        <f>HYPERLINK("https://ictv.global/id/TN19981606","TN19981606@prod")</f>
        <v>TN19981606@prod</v>
      </c>
      <c r="O1244" t="str">
        <f>HYPERLINK("https://ictv.global/id/ICTV19910860","ICTV19910860@prod")</f>
        <v>ICTV19910860@prod</v>
      </c>
    </row>
    <row r="1245" spans="1:15" x14ac:dyDescent="0.2">
      <c r="A1245">
        <v>17</v>
      </c>
      <c r="B1245">
        <v>19981607</v>
      </c>
      <c r="C1245">
        <v>19910861</v>
      </c>
      <c r="D1245" t="s">
        <v>29</v>
      </c>
      <c r="E1245" t="s">
        <v>1771</v>
      </c>
      <c r="G1245" t="s">
        <v>1165</v>
      </c>
      <c r="L1245" t="str">
        <f>HYPERLINK("https://test.ictv.global/id/TN19981607","TN19981607@TEST")</f>
        <v>TN19981607@TEST</v>
      </c>
      <c r="M1245" t="str">
        <f>HYPERLINK("https://test.ictv.global/id/ICTV19910861","ICTV19910861@TEST")</f>
        <v>ICTV19910861@TEST</v>
      </c>
      <c r="N1245" t="str">
        <f>HYPERLINK("https://ictv.global/id/TN19981607","TN19981607@prod")</f>
        <v>TN19981607@prod</v>
      </c>
      <c r="O1245" t="str">
        <f>HYPERLINK("https://ictv.global/id/ICTV19910861","ICTV19910861@prod")</f>
        <v>ICTV19910861@prod</v>
      </c>
    </row>
    <row r="1246" spans="1:15" x14ac:dyDescent="0.2">
      <c r="A1246">
        <v>17</v>
      </c>
      <c r="B1246">
        <v>19981608</v>
      </c>
      <c r="C1246">
        <v>19910862</v>
      </c>
      <c r="D1246" t="s">
        <v>29</v>
      </c>
      <c r="E1246" t="s">
        <v>1772</v>
      </c>
      <c r="G1246" t="s">
        <v>1165</v>
      </c>
      <c r="L1246" t="str">
        <f>HYPERLINK("https://test.ictv.global/id/TN19981608","TN19981608@TEST")</f>
        <v>TN19981608@TEST</v>
      </c>
      <c r="M1246" t="str">
        <f>HYPERLINK("https://test.ictv.global/id/ICTV19910862","ICTV19910862@TEST")</f>
        <v>ICTV19910862@TEST</v>
      </c>
      <c r="N1246" t="str">
        <f>HYPERLINK("https://ictv.global/id/TN19981608","TN19981608@prod")</f>
        <v>TN19981608@prod</v>
      </c>
      <c r="O1246" t="str">
        <f>HYPERLINK("https://ictv.global/id/ICTV19910862","ICTV19910862@prod")</f>
        <v>ICTV19910862@prod</v>
      </c>
    </row>
    <row r="1247" spans="1:15" x14ac:dyDescent="0.2">
      <c r="A1247">
        <v>17</v>
      </c>
      <c r="B1247">
        <v>19981609</v>
      </c>
      <c r="C1247">
        <v>19710192</v>
      </c>
      <c r="D1247" t="s">
        <v>29</v>
      </c>
      <c r="E1247" t="s">
        <v>1773</v>
      </c>
      <c r="G1247" t="s">
        <v>1165</v>
      </c>
      <c r="L1247" t="str">
        <f>HYPERLINK("https://test.ictv.global/id/TN19981609","TN19981609@TEST")</f>
        <v>TN19981609@TEST</v>
      </c>
      <c r="M1247" t="str">
        <f>HYPERLINK("https://test.ictv.global/id/ICTV19710192","ICTV19710192@TEST")</f>
        <v>ICTV19710192@TEST</v>
      </c>
      <c r="N1247" t="str">
        <f>HYPERLINK("https://ictv.global/id/TN19981609","TN19981609@prod")</f>
        <v>TN19981609@prod</v>
      </c>
      <c r="O1247" t="str">
        <f>HYPERLINK("https://ictv.global/id/ICTV19710192","ICTV19710192@prod")</f>
        <v>ICTV19710192@prod</v>
      </c>
    </row>
    <row r="1248" spans="1:15" x14ac:dyDescent="0.2">
      <c r="A1248">
        <v>17</v>
      </c>
      <c r="B1248">
        <v>19981610</v>
      </c>
      <c r="C1248">
        <v>19760262</v>
      </c>
      <c r="D1248" t="s">
        <v>29</v>
      </c>
      <c r="E1248" t="s">
        <v>1774</v>
      </c>
      <c r="G1248" t="s">
        <v>1165</v>
      </c>
      <c r="L1248" t="str">
        <f>HYPERLINK("https://test.ictv.global/id/TN19981610","TN19981610@TEST")</f>
        <v>TN19981610@TEST</v>
      </c>
      <c r="M1248" t="str">
        <f>HYPERLINK("https://test.ictv.global/id/ICTV19760262","ICTV19760262@TEST")</f>
        <v>ICTV19760262@TEST</v>
      </c>
      <c r="N1248" t="str">
        <f>HYPERLINK("https://ictv.global/id/TN19981610","TN19981610@prod")</f>
        <v>TN19981610@prod</v>
      </c>
      <c r="O1248" t="str">
        <f>HYPERLINK("https://ictv.global/id/ICTV19760262","ICTV19760262@prod")</f>
        <v>ICTV19760262@prod</v>
      </c>
    </row>
    <row r="1249" spans="1:15" x14ac:dyDescent="0.2">
      <c r="A1249">
        <v>17</v>
      </c>
      <c r="B1249">
        <v>19981611</v>
      </c>
      <c r="C1249">
        <v>19951153</v>
      </c>
      <c r="D1249" t="s">
        <v>29</v>
      </c>
      <c r="E1249" t="s">
        <v>696</v>
      </c>
      <c r="G1249" t="s">
        <v>33</v>
      </c>
      <c r="H1249" t="s">
        <v>697</v>
      </c>
      <c r="I1249" t="s">
        <v>29</v>
      </c>
      <c r="J1249">
        <v>19991065</v>
      </c>
      <c r="K1249">
        <v>19991065</v>
      </c>
      <c r="L1249" t="str">
        <f>HYPERLINK("https://test.ictv.global/id/TN19981611","TN19981611@TEST")</f>
        <v>TN19981611@TEST</v>
      </c>
      <c r="M1249" t="str">
        <f>HYPERLINK("https://test.ictv.global/id/ICTV19951153","ICTV19951153@TEST")</f>
        <v>ICTV19951153@TEST</v>
      </c>
      <c r="N1249" t="str">
        <f>HYPERLINK("https://ictv.global/id/TN19981611","TN19981611@prod")</f>
        <v>TN19981611@prod</v>
      </c>
      <c r="O1249" t="str">
        <f>HYPERLINK("https://ictv.global/id/ICTV19951153","ICTV19951153@prod")</f>
        <v>ICTV19951153@prod</v>
      </c>
    </row>
    <row r="1250" spans="1:15" x14ac:dyDescent="0.2">
      <c r="A1250">
        <v>17</v>
      </c>
      <c r="B1250">
        <v>19981612</v>
      </c>
      <c r="C1250">
        <v>19810473</v>
      </c>
      <c r="D1250" t="s">
        <v>29</v>
      </c>
      <c r="E1250" t="s">
        <v>698</v>
      </c>
      <c r="G1250" t="s">
        <v>31</v>
      </c>
      <c r="H1250" t="s">
        <v>697</v>
      </c>
      <c r="I1250" t="s">
        <v>29</v>
      </c>
      <c r="J1250">
        <v>19991065</v>
      </c>
      <c r="K1250">
        <v>19991065</v>
      </c>
      <c r="L1250" t="str">
        <f>HYPERLINK("https://test.ictv.global/id/TN19981612","TN19981612@TEST")</f>
        <v>TN19981612@TEST</v>
      </c>
      <c r="M1250" t="str">
        <f>HYPERLINK("https://test.ictv.global/id/ICTV19810473","ICTV19810473@TEST")</f>
        <v>ICTV19810473@TEST</v>
      </c>
      <c r="N1250" t="str">
        <f>HYPERLINK("https://ictv.global/id/TN19981612","TN19981612@prod")</f>
        <v>TN19981612@prod</v>
      </c>
      <c r="O1250" t="str">
        <f>HYPERLINK("https://ictv.global/id/ICTV19810473","ICTV19810473@prod")</f>
        <v>ICTV19810473@prod</v>
      </c>
    </row>
    <row r="1251" spans="1:15" x14ac:dyDescent="0.2">
      <c r="A1251">
        <v>17</v>
      </c>
      <c r="B1251">
        <v>19981613</v>
      </c>
      <c r="C1251">
        <v>19820486</v>
      </c>
      <c r="D1251" t="s">
        <v>29</v>
      </c>
      <c r="E1251" t="s">
        <v>1775</v>
      </c>
      <c r="G1251" t="s">
        <v>1165</v>
      </c>
      <c r="L1251" t="str">
        <f>HYPERLINK("https://test.ictv.global/id/TN19981613","TN19981613@TEST")</f>
        <v>TN19981613@TEST</v>
      </c>
      <c r="M1251" t="str">
        <f>HYPERLINK("https://test.ictv.global/id/ICTV19820486","ICTV19820486@TEST")</f>
        <v>ICTV19820486@TEST</v>
      </c>
      <c r="N1251" t="str">
        <f>HYPERLINK("https://ictv.global/id/TN19981613","TN19981613@prod")</f>
        <v>TN19981613@prod</v>
      </c>
      <c r="O1251" t="str">
        <f>HYPERLINK("https://ictv.global/id/ICTV19820486","ICTV19820486@prod")</f>
        <v>ICTV19820486@prod</v>
      </c>
    </row>
    <row r="1252" spans="1:15" x14ac:dyDescent="0.2">
      <c r="A1252">
        <v>17</v>
      </c>
      <c r="B1252">
        <v>19981614</v>
      </c>
      <c r="C1252">
        <v>19820487</v>
      </c>
      <c r="D1252" t="s">
        <v>29</v>
      </c>
      <c r="E1252" t="s">
        <v>1776</v>
      </c>
      <c r="G1252" t="s">
        <v>1165</v>
      </c>
      <c r="L1252" t="str">
        <f>HYPERLINK("https://test.ictv.global/id/TN19981614","TN19981614@TEST")</f>
        <v>TN19981614@TEST</v>
      </c>
      <c r="M1252" t="str">
        <f>HYPERLINK("https://test.ictv.global/id/ICTV19820487","ICTV19820487@TEST")</f>
        <v>ICTV19820487@TEST</v>
      </c>
      <c r="N1252" t="str">
        <f>HYPERLINK("https://ictv.global/id/TN19981614","TN19981614@prod")</f>
        <v>TN19981614@prod</v>
      </c>
      <c r="O1252" t="str">
        <f>HYPERLINK("https://ictv.global/id/ICTV19820487","ICTV19820487@prod")</f>
        <v>ICTV19820487@prod</v>
      </c>
    </row>
    <row r="1253" spans="1:15" x14ac:dyDescent="0.2">
      <c r="A1253">
        <v>17</v>
      </c>
      <c r="B1253">
        <v>19981615</v>
      </c>
      <c r="C1253">
        <v>19820488</v>
      </c>
      <c r="D1253" t="s">
        <v>29</v>
      </c>
      <c r="E1253" t="s">
        <v>1777</v>
      </c>
      <c r="G1253" t="s">
        <v>1165</v>
      </c>
      <c r="L1253" t="str">
        <f>HYPERLINK("https://test.ictv.global/id/TN19981615","TN19981615@TEST")</f>
        <v>TN19981615@TEST</v>
      </c>
      <c r="M1253" t="str">
        <f>HYPERLINK("https://test.ictv.global/id/ICTV19820488","ICTV19820488@TEST")</f>
        <v>ICTV19820488@TEST</v>
      </c>
      <c r="N1253" t="str">
        <f>HYPERLINK("https://ictv.global/id/TN19981615","TN19981615@prod")</f>
        <v>TN19981615@prod</v>
      </c>
      <c r="O1253" t="str">
        <f>HYPERLINK("https://ictv.global/id/ICTV19820488","ICTV19820488@prod")</f>
        <v>ICTV19820488@prod</v>
      </c>
    </row>
    <row r="1254" spans="1:15" x14ac:dyDescent="0.2">
      <c r="A1254">
        <v>17</v>
      </c>
      <c r="B1254">
        <v>19981616</v>
      </c>
      <c r="C1254">
        <v>19820489</v>
      </c>
      <c r="D1254" t="s">
        <v>29</v>
      </c>
      <c r="E1254" t="s">
        <v>1778</v>
      </c>
      <c r="G1254" t="s">
        <v>1165</v>
      </c>
      <c r="L1254" t="str">
        <f>HYPERLINK("https://test.ictv.global/id/TN19981616","TN19981616@TEST")</f>
        <v>TN19981616@TEST</v>
      </c>
      <c r="M1254" t="str">
        <f>HYPERLINK("https://test.ictv.global/id/ICTV19820489","ICTV19820489@TEST")</f>
        <v>ICTV19820489@TEST</v>
      </c>
      <c r="N1254" t="str">
        <f>HYPERLINK("https://ictv.global/id/TN19981616","TN19981616@prod")</f>
        <v>TN19981616@prod</v>
      </c>
      <c r="O1254" t="str">
        <f>HYPERLINK("https://ictv.global/id/ICTV19820489","ICTV19820489@prod")</f>
        <v>ICTV19820489@prod</v>
      </c>
    </row>
    <row r="1255" spans="1:15" x14ac:dyDescent="0.2">
      <c r="A1255">
        <v>17</v>
      </c>
      <c r="B1255">
        <v>19981617</v>
      </c>
      <c r="C1255">
        <v>19820490</v>
      </c>
      <c r="D1255" t="s">
        <v>29</v>
      </c>
      <c r="E1255" t="s">
        <v>1779</v>
      </c>
      <c r="G1255" t="s">
        <v>1165</v>
      </c>
      <c r="L1255" t="str">
        <f>HYPERLINK("https://test.ictv.global/id/TN19981617","TN19981617@TEST")</f>
        <v>TN19981617@TEST</v>
      </c>
      <c r="M1255" t="str">
        <f>HYPERLINK("https://test.ictv.global/id/ICTV19820490","ICTV19820490@TEST")</f>
        <v>ICTV19820490@TEST</v>
      </c>
      <c r="N1255" t="str">
        <f>HYPERLINK("https://ictv.global/id/TN19981617","TN19981617@prod")</f>
        <v>TN19981617@prod</v>
      </c>
      <c r="O1255" t="str">
        <f>HYPERLINK("https://ictv.global/id/ICTV19820490","ICTV19820490@prod")</f>
        <v>ICTV19820490@prod</v>
      </c>
    </row>
    <row r="1256" spans="1:15" x14ac:dyDescent="0.2">
      <c r="A1256">
        <v>17</v>
      </c>
      <c r="B1256">
        <v>19981618</v>
      </c>
      <c r="C1256">
        <v>19820491</v>
      </c>
      <c r="D1256" t="s">
        <v>29</v>
      </c>
      <c r="E1256" t="s">
        <v>1780</v>
      </c>
      <c r="G1256" t="s">
        <v>1165</v>
      </c>
      <c r="L1256" t="str">
        <f>HYPERLINK("https://test.ictv.global/id/TN19981618","TN19981618@TEST")</f>
        <v>TN19981618@TEST</v>
      </c>
      <c r="M1256" t="str">
        <f>HYPERLINK("https://test.ictv.global/id/ICTV19820491","ICTV19820491@TEST")</f>
        <v>ICTV19820491@TEST</v>
      </c>
      <c r="N1256" t="str">
        <f>HYPERLINK("https://ictv.global/id/TN19981618","TN19981618@prod")</f>
        <v>TN19981618@prod</v>
      </c>
      <c r="O1256" t="str">
        <f>HYPERLINK("https://ictv.global/id/ICTV19820491","ICTV19820491@prod")</f>
        <v>ICTV19820491@prod</v>
      </c>
    </row>
    <row r="1257" spans="1:15" x14ac:dyDescent="0.2">
      <c r="A1257">
        <v>17</v>
      </c>
      <c r="B1257">
        <v>19981619</v>
      </c>
      <c r="C1257">
        <v>19820492</v>
      </c>
      <c r="D1257" t="s">
        <v>29</v>
      </c>
      <c r="E1257" t="s">
        <v>1781</v>
      </c>
      <c r="G1257" t="s">
        <v>1165</v>
      </c>
      <c r="L1257" t="str">
        <f>HYPERLINK("https://test.ictv.global/id/TN19981619","TN19981619@TEST")</f>
        <v>TN19981619@TEST</v>
      </c>
      <c r="M1257" t="str">
        <f>HYPERLINK("https://test.ictv.global/id/ICTV19820492","ICTV19820492@TEST")</f>
        <v>ICTV19820492@TEST</v>
      </c>
      <c r="N1257" t="str">
        <f>HYPERLINK("https://ictv.global/id/TN19981619","TN19981619@prod")</f>
        <v>TN19981619@prod</v>
      </c>
      <c r="O1257" t="str">
        <f>HYPERLINK("https://ictv.global/id/ICTV19820492","ICTV19820492@prod")</f>
        <v>ICTV19820492@prod</v>
      </c>
    </row>
    <row r="1258" spans="1:15" x14ac:dyDescent="0.2">
      <c r="A1258">
        <v>17</v>
      </c>
      <c r="B1258">
        <v>19981620</v>
      </c>
      <c r="C1258">
        <v>19820493</v>
      </c>
      <c r="D1258" t="s">
        <v>29</v>
      </c>
      <c r="E1258" t="s">
        <v>1782</v>
      </c>
      <c r="G1258" t="s">
        <v>1165</v>
      </c>
      <c r="L1258" t="str">
        <f>HYPERLINK("https://test.ictv.global/id/TN19981620","TN19981620@TEST")</f>
        <v>TN19981620@TEST</v>
      </c>
      <c r="M1258" t="str">
        <f>HYPERLINK("https://test.ictv.global/id/ICTV19820493","ICTV19820493@TEST")</f>
        <v>ICTV19820493@TEST</v>
      </c>
      <c r="N1258" t="str">
        <f>HYPERLINK("https://ictv.global/id/TN19981620","TN19981620@prod")</f>
        <v>TN19981620@prod</v>
      </c>
      <c r="O1258" t="str">
        <f>HYPERLINK("https://ictv.global/id/ICTV19820493","ICTV19820493@prod")</f>
        <v>ICTV19820493@prod</v>
      </c>
    </row>
    <row r="1259" spans="1:15" x14ac:dyDescent="0.2">
      <c r="A1259">
        <v>17</v>
      </c>
      <c r="B1259">
        <v>19981621</v>
      </c>
      <c r="C1259">
        <v>19820494</v>
      </c>
      <c r="D1259" t="s">
        <v>29</v>
      </c>
      <c r="E1259" t="s">
        <v>1783</v>
      </c>
      <c r="G1259" t="s">
        <v>1165</v>
      </c>
      <c r="L1259" t="str">
        <f>HYPERLINK("https://test.ictv.global/id/TN19981621","TN19981621@TEST")</f>
        <v>TN19981621@TEST</v>
      </c>
      <c r="M1259" t="str">
        <f>HYPERLINK("https://test.ictv.global/id/ICTV19820494","ICTV19820494@TEST")</f>
        <v>ICTV19820494@TEST</v>
      </c>
      <c r="N1259" t="str">
        <f>HYPERLINK("https://ictv.global/id/TN19981621","TN19981621@prod")</f>
        <v>TN19981621@prod</v>
      </c>
      <c r="O1259" t="str">
        <f>HYPERLINK("https://ictv.global/id/ICTV19820494","ICTV19820494@prod")</f>
        <v>ICTV19820494@prod</v>
      </c>
    </row>
    <row r="1260" spans="1:15" x14ac:dyDescent="0.2">
      <c r="A1260">
        <v>17</v>
      </c>
      <c r="B1260">
        <v>19981622</v>
      </c>
      <c r="C1260">
        <v>19820495</v>
      </c>
      <c r="D1260" t="s">
        <v>29</v>
      </c>
      <c r="E1260" t="s">
        <v>1784</v>
      </c>
      <c r="G1260" t="s">
        <v>1165</v>
      </c>
      <c r="L1260" t="str">
        <f>HYPERLINK("https://test.ictv.global/id/TN19981622","TN19981622@TEST")</f>
        <v>TN19981622@TEST</v>
      </c>
      <c r="M1260" t="str">
        <f>HYPERLINK("https://test.ictv.global/id/ICTV19820495","ICTV19820495@TEST")</f>
        <v>ICTV19820495@TEST</v>
      </c>
      <c r="N1260" t="str">
        <f>HYPERLINK("https://ictv.global/id/TN19981622","TN19981622@prod")</f>
        <v>TN19981622@prod</v>
      </c>
      <c r="O1260" t="str">
        <f>HYPERLINK("https://ictv.global/id/ICTV19820495","ICTV19820495@prod")</f>
        <v>ICTV19820495@prod</v>
      </c>
    </row>
    <row r="1261" spans="1:15" x14ac:dyDescent="0.2">
      <c r="A1261">
        <v>17</v>
      </c>
      <c r="B1261">
        <v>19981623</v>
      </c>
      <c r="C1261">
        <v>19820496</v>
      </c>
      <c r="D1261" t="s">
        <v>29</v>
      </c>
      <c r="E1261" t="s">
        <v>1785</v>
      </c>
      <c r="G1261" t="s">
        <v>1165</v>
      </c>
      <c r="L1261" t="str">
        <f>HYPERLINK("https://test.ictv.global/id/TN19981623","TN19981623@TEST")</f>
        <v>TN19981623@TEST</v>
      </c>
      <c r="M1261" t="str">
        <f>HYPERLINK("https://test.ictv.global/id/ICTV19820496","ICTV19820496@TEST")</f>
        <v>ICTV19820496@TEST</v>
      </c>
      <c r="N1261" t="str">
        <f>HYPERLINK("https://ictv.global/id/TN19981623","TN19981623@prod")</f>
        <v>TN19981623@prod</v>
      </c>
      <c r="O1261" t="str">
        <f>HYPERLINK("https://ictv.global/id/ICTV19820496","ICTV19820496@prod")</f>
        <v>ICTV19820496@prod</v>
      </c>
    </row>
    <row r="1262" spans="1:15" x14ac:dyDescent="0.2">
      <c r="A1262">
        <v>17</v>
      </c>
      <c r="B1262">
        <v>19981624</v>
      </c>
      <c r="C1262">
        <v>19820497</v>
      </c>
      <c r="D1262" t="s">
        <v>29</v>
      </c>
      <c r="E1262" t="s">
        <v>1786</v>
      </c>
      <c r="G1262" t="s">
        <v>1165</v>
      </c>
      <c r="L1262" t="str">
        <f>HYPERLINK("https://test.ictv.global/id/TN19981624","TN19981624@TEST")</f>
        <v>TN19981624@TEST</v>
      </c>
      <c r="M1262" t="str">
        <f>HYPERLINK("https://test.ictv.global/id/ICTV19820497","ICTV19820497@TEST")</f>
        <v>ICTV19820497@TEST</v>
      </c>
      <c r="N1262" t="str">
        <f>HYPERLINK("https://ictv.global/id/TN19981624","TN19981624@prod")</f>
        <v>TN19981624@prod</v>
      </c>
      <c r="O1262" t="str">
        <f>HYPERLINK("https://ictv.global/id/ICTV19820497","ICTV19820497@prod")</f>
        <v>ICTV19820497@prod</v>
      </c>
    </row>
    <row r="1263" spans="1:15" x14ac:dyDescent="0.2">
      <c r="A1263">
        <v>17</v>
      </c>
      <c r="B1263">
        <v>19981625</v>
      </c>
      <c r="C1263">
        <v>19820498</v>
      </c>
      <c r="D1263" t="s">
        <v>29</v>
      </c>
      <c r="E1263" t="s">
        <v>1787</v>
      </c>
      <c r="G1263" t="s">
        <v>1165</v>
      </c>
      <c r="L1263" t="str">
        <f>HYPERLINK("https://test.ictv.global/id/TN19981625","TN19981625@TEST")</f>
        <v>TN19981625@TEST</v>
      </c>
      <c r="M1263" t="str">
        <f>HYPERLINK("https://test.ictv.global/id/ICTV19820498","ICTV19820498@TEST")</f>
        <v>ICTV19820498@TEST</v>
      </c>
      <c r="N1263" t="str">
        <f>HYPERLINK("https://ictv.global/id/TN19981625","TN19981625@prod")</f>
        <v>TN19981625@prod</v>
      </c>
      <c r="O1263" t="str">
        <f>HYPERLINK("https://ictv.global/id/ICTV19820498","ICTV19820498@prod")</f>
        <v>ICTV19820498@prod</v>
      </c>
    </row>
    <row r="1264" spans="1:15" x14ac:dyDescent="0.2">
      <c r="A1264">
        <v>17</v>
      </c>
      <c r="B1264">
        <v>19981626</v>
      </c>
      <c r="C1264">
        <v>19820499</v>
      </c>
      <c r="D1264" t="s">
        <v>29</v>
      </c>
      <c r="E1264" t="s">
        <v>1788</v>
      </c>
      <c r="G1264" t="s">
        <v>1165</v>
      </c>
      <c r="L1264" t="str">
        <f>HYPERLINK("https://test.ictv.global/id/TN19981626","TN19981626@TEST")</f>
        <v>TN19981626@TEST</v>
      </c>
      <c r="M1264" t="str">
        <f>HYPERLINK("https://test.ictv.global/id/ICTV19820499","ICTV19820499@TEST")</f>
        <v>ICTV19820499@TEST</v>
      </c>
      <c r="N1264" t="str">
        <f>HYPERLINK("https://ictv.global/id/TN19981626","TN19981626@prod")</f>
        <v>TN19981626@prod</v>
      </c>
      <c r="O1264" t="str">
        <f>HYPERLINK("https://ictv.global/id/ICTV19820499","ICTV19820499@prod")</f>
        <v>ICTV19820499@prod</v>
      </c>
    </row>
    <row r="1265" spans="1:15" x14ac:dyDescent="0.2">
      <c r="A1265">
        <v>17</v>
      </c>
      <c r="B1265">
        <v>19981627</v>
      </c>
      <c r="C1265">
        <v>19820500</v>
      </c>
      <c r="D1265" t="s">
        <v>29</v>
      </c>
      <c r="E1265" t="s">
        <v>1789</v>
      </c>
      <c r="G1265" t="s">
        <v>1165</v>
      </c>
      <c r="L1265" t="str">
        <f>HYPERLINK("https://test.ictv.global/id/TN19981627","TN19981627@TEST")</f>
        <v>TN19981627@TEST</v>
      </c>
      <c r="M1265" t="str">
        <f>HYPERLINK("https://test.ictv.global/id/ICTV19820500","ICTV19820500@TEST")</f>
        <v>ICTV19820500@TEST</v>
      </c>
      <c r="N1265" t="str">
        <f>HYPERLINK("https://ictv.global/id/TN19981627","TN19981627@prod")</f>
        <v>TN19981627@prod</v>
      </c>
      <c r="O1265" t="str">
        <f>HYPERLINK("https://ictv.global/id/ICTV19820500","ICTV19820500@prod")</f>
        <v>ICTV19820500@prod</v>
      </c>
    </row>
    <row r="1266" spans="1:15" x14ac:dyDescent="0.2">
      <c r="A1266">
        <v>17</v>
      </c>
      <c r="B1266">
        <v>19981628</v>
      </c>
      <c r="C1266">
        <v>19820501</v>
      </c>
      <c r="D1266" t="s">
        <v>29</v>
      </c>
      <c r="E1266" t="s">
        <v>1790</v>
      </c>
      <c r="G1266" t="s">
        <v>1165</v>
      </c>
      <c r="L1266" t="str">
        <f>HYPERLINK("https://test.ictv.global/id/TN19981628","TN19981628@TEST")</f>
        <v>TN19981628@TEST</v>
      </c>
      <c r="M1266" t="str">
        <f>HYPERLINK("https://test.ictv.global/id/ICTV19820501","ICTV19820501@TEST")</f>
        <v>ICTV19820501@TEST</v>
      </c>
      <c r="N1266" t="str">
        <f>HYPERLINK("https://ictv.global/id/TN19981628","TN19981628@prod")</f>
        <v>TN19981628@prod</v>
      </c>
      <c r="O1266" t="str">
        <f>HYPERLINK("https://ictv.global/id/ICTV19820501","ICTV19820501@prod")</f>
        <v>ICTV19820501@prod</v>
      </c>
    </row>
    <row r="1267" spans="1:15" x14ac:dyDescent="0.2">
      <c r="A1267">
        <v>17</v>
      </c>
      <c r="B1267">
        <v>19981629</v>
      </c>
      <c r="C1267">
        <v>19820502</v>
      </c>
      <c r="D1267" t="s">
        <v>29</v>
      </c>
      <c r="E1267" t="s">
        <v>1791</v>
      </c>
      <c r="G1267" t="s">
        <v>1165</v>
      </c>
      <c r="L1267" t="str">
        <f>HYPERLINK("https://test.ictv.global/id/TN19981629","TN19981629@TEST")</f>
        <v>TN19981629@TEST</v>
      </c>
      <c r="M1267" t="str">
        <f>HYPERLINK("https://test.ictv.global/id/ICTV19820502","ICTV19820502@TEST")</f>
        <v>ICTV19820502@TEST</v>
      </c>
      <c r="N1267" t="str">
        <f>HYPERLINK("https://ictv.global/id/TN19981629","TN19981629@prod")</f>
        <v>TN19981629@prod</v>
      </c>
      <c r="O1267" t="str">
        <f>HYPERLINK("https://ictv.global/id/ICTV19820502","ICTV19820502@prod")</f>
        <v>ICTV19820502@prod</v>
      </c>
    </row>
    <row r="1268" spans="1:15" x14ac:dyDescent="0.2">
      <c r="A1268">
        <v>17</v>
      </c>
      <c r="B1268">
        <v>19981631</v>
      </c>
      <c r="C1268">
        <v>19820504</v>
      </c>
      <c r="D1268" t="s">
        <v>29</v>
      </c>
      <c r="E1268" t="s">
        <v>1792</v>
      </c>
      <c r="G1268" t="s">
        <v>1165</v>
      </c>
      <c r="L1268" t="str">
        <f>HYPERLINK("https://test.ictv.global/id/TN19981631","TN19981631@TEST")</f>
        <v>TN19981631@TEST</v>
      </c>
      <c r="M1268" t="str">
        <f>HYPERLINK("https://test.ictv.global/id/ICTV19820504","ICTV19820504@TEST")</f>
        <v>ICTV19820504@TEST</v>
      </c>
      <c r="N1268" t="str">
        <f>HYPERLINK("https://ictv.global/id/TN19981631","TN19981631@prod")</f>
        <v>TN19981631@prod</v>
      </c>
      <c r="O1268" t="str">
        <f>HYPERLINK("https://ictv.global/id/ICTV19820504","ICTV19820504@prod")</f>
        <v>ICTV19820504@prod</v>
      </c>
    </row>
    <row r="1269" spans="1:15" x14ac:dyDescent="0.2">
      <c r="A1269">
        <v>17</v>
      </c>
      <c r="B1269">
        <v>19981632</v>
      </c>
      <c r="C1269">
        <v>19820505</v>
      </c>
      <c r="D1269" t="s">
        <v>29</v>
      </c>
      <c r="E1269" t="s">
        <v>1793</v>
      </c>
      <c r="G1269" t="s">
        <v>1165</v>
      </c>
      <c r="L1269" t="str">
        <f>HYPERLINK("https://test.ictv.global/id/TN19981632","TN19981632@TEST")</f>
        <v>TN19981632@TEST</v>
      </c>
      <c r="M1269" t="str">
        <f>HYPERLINK("https://test.ictv.global/id/ICTV19820505","ICTV19820505@TEST")</f>
        <v>ICTV19820505@TEST</v>
      </c>
      <c r="N1269" t="str">
        <f>HYPERLINK("https://ictv.global/id/TN19981632","TN19981632@prod")</f>
        <v>TN19981632@prod</v>
      </c>
      <c r="O1269" t="str">
        <f>HYPERLINK("https://ictv.global/id/ICTV19820505","ICTV19820505@prod")</f>
        <v>ICTV19820505@prod</v>
      </c>
    </row>
    <row r="1270" spans="1:15" x14ac:dyDescent="0.2">
      <c r="A1270">
        <v>17</v>
      </c>
      <c r="B1270">
        <v>19981633</v>
      </c>
      <c r="C1270">
        <v>19820506</v>
      </c>
      <c r="D1270" t="s">
        <v>29</v>
      </c>
      <c r="E1270" t="s">
        <v>1794</v>
      </c>
      <c r="G1270" t="s">
        <v>1165</v>
      </c>
      <c r="L1270" t="str">
        <f>HYPERLINK("https://test.ictv.global/id/TN19981633","TN19981633@TEST")</f>
        <v>TN19981633@TEST</v>
      </c>
      <c r="M1270" t="str">
        <f>HYPERLINK("https://test.ictv.global/id/ICTV19820506","ICTV19820506@TEST")</f>
        <v>ICTV19820506@TEST</v>
      </c>
      <c r="N1270" t="str">
        <f>HYPERLINK("https://ictv.global/id/TN19981633","TN19981633@prod")</f>
        <v>TN19981633@prod</v>
      </c>
      <c r="O1270" t="str">
        <f>HYPERLINK("https://ictv.global/id/ICTV19820506","ICTV19820506@prod")</f>
        <v>ICTV19820506@prod</v>
      </c>
    </row>
    <row r="1271" spans="1:15" x14ac:dyDescent="0.2">
      <c r="A1271">
        <v>17</v>
      </c>
      <c r="B1271">
        <v>19981634</v>
      </c>
      <c r="C1271">
        <v>19820507</v>
      </c>
      <c r="D1271" t="s">
        <v>29</v>
      </c>
      <c r="E1271" t="s">
        <v>1795</v>
      </c>
      <c r="G1271" t="s">
        <v>1165</v>
      </c>
      <c r="L1271" t="str">
        <f>HYPERLINK("https://test.ictv.global/id/TN19981634","TN19981634@TEST")</f>
        <v>TN19981634@TEST</v>
      </c>
      <c r="M1271" t="str">
        <f>HYPERLINK("https://test.ictv.global/id/ICTV19820507","ICTV19820507@TEST")</f>
        <v>ICTV19820507@TEST</v>
      </c>
      <c r="N1271" t="str">
        <f>HYPERLINK("https://ictv.global/id/TN19981634","TN19981634@prod")</f>
        <v>TN19981634@prod</v>
      </c>
      <c r="O1271" t="str">
        <f>HYPERLINK("https://ictv.global/id/ICTV19820507","ICTV19820507@prod")</f>
        <v>ICTV19820507@prod</v>
      </c>
    </row>
    <row r="1272" spans="1:15" x14ac:dyDescent="0.2">
      <c r="A1272">
        <v>17</v>
      </c>
      <c r="B1272">
        <v>19981635</v>
      </c>
      <c r="C1272">
        <v>19820508</v>
      </c>
      <c r="D1272" t="s">
        <v>29</v>
      </c>
      <c r="E1272" t="s">
        <v>1796</v>
      </c>
      <c r="G1272" t="s">
        <v>1165</v>
      </c>
      <c r="L1272" t="str">
        <f>HYPERLINK("https://test.ictv.global/id/TN19981635","TN19981635@TEST")</f>
        <v>TN19981635@TEST</v>
      </c>
      <c r="M1272" t="str">
        <f>HYPERLINK("https://test.ictv.global/id/ICTV19820508","ICTV19820508@TEST")</f>
        <v>ICTV19820508@TEST</v>
      </c>
      <c r="N1272" t="str">
        <f>HYPERLINK("https://ictv.global/id/TN19981635","TN19981635@prod")</f>
        <v>TN19981635@prod</v>
      </c>
      <c r="O1272" t="str">
        <f>HYPERLINK("https://ictv.global/id/ICTV19820508","ICTV19820508@prod")</f>
        <v>ICTV19820508@prod</v>
      </c>
    </row>
    <row r="1273" spans="1:15" x14ac:dyDescent="0.2">
      <c r="A1273">
        <v>17</v>
      </c>
      <c r="B1273">
        <v>19981636</v>
      </c>
      <c r="C1273">
        <v>19820509</v>
      </c>
      <c r="D1273" t="s">
        <v>29</v>
      </c>
      <c r="E1273" t="s">
        <v>1797</v>
      </c>
      <c r="G1273" t="s">
        <v>1165</v>
      </c>
      <c r="L1273" t="str">
        <f>HYPERLINK("https://test.ictv.global/id/TN19981636","TN19981636@TEST")</f>
        <v>TN19981636@TEST</v>
      </c>
      <c r="M1273" t="str">
        <f>HYPERLINK("https://test.ictv.global/id/ICTV19820509","ICTV19820509@TEST")</f>
        <v>ICTV19820509@TEST</v>
      </c>
      <c r="N1273" t="str">
        <f>HYPERLINK("https://ictv.global/id/TN19981636","TN19981636@prod")</f>
        <v>TN19981636@prod</v>
      </c>
      <c r="O1273" t="str">
        <f>HYPERLINK("https://ictv.global/id/ICTV19820509","ICTV19820509@prod")</f>
        <v>ICTV19820509@prod</v>
      </c>
    </row>
    <row r="1274" spans="1:15" x14ac:dyDescent="0.2">
      <c r="A1274">
        <v>17</v>
      </c>
      <c r="B1274">
        <v>19981637</v>
      </c>
      <c r="C1274">
        <v>19820510</v>
      </c>
      <c r="D1274" t="s">
        <v>29</v>
      </c>
      <c r="E1274" t="s">
        <v>1798</v>
      </c>
      <c r="G1274" t="s">
        <v>1165</v>
      </c>
      <c r="L1274" t="str">
        <f>HYPERLINK("https://test.ictv.global/id/TN19981637","TN19981637@TEST")</f>
        <v>TN19981637@TEST</v>
      </c>
      <c r="M1274" t="str">
        <f>HYPERLINK("https://test.ictv.global/id/ICTV19820510","ICTV19820510@TEST")</f>
        <v>ICTV19820510@TEST</v>
      </c>
      <c r="N1274" t="str">
        <f>HYPERLINK("https://ictv.global/id/TN19981637","TN19981637@prod")</f>
        <v>TN19981637@prod</v>
      </c>
      <c r="O1274" t="str">
        <f>HYPERLINK("https://ictv.global/id/ICTV19820510","ICTV19820510@prod")</f>
        <v>ICTV19820510@prod</v>
      </c>
    </row>
    <row r="1275" spans="1:15" x14ac:dyDescent="0.2">
      <c r="A1275">
        <v>17</v>
      </c>
      <c r="B1275">
        <v>19981638</v>
      </c>
      <c r="C1275">
        <v>19820511</v>
      </c>
      <c r="D1275" t="s">
        <v>29</v>
      </c>
      <c r="E1275" t="s">
        <v>1799</v>
      </c>
      <c r="G1275" t="s">
        <v>1165</v>
      </c>
      <c r="L1275" t="str">
        <f>HYPERLINK("https://test.ictv.global/id/TN19981638","TN19981638@TEST")</f>
        <v>TN19981638@TEST</v>
      </c>
      <c r="M1275" t="str">
        <f>HYPERLINK("https://test.ictv.global/id/ICTV19820511","ICTV19820511@TEST")</f>
        <v>ICTV19820511@TEST</v>
      </c>
      <c r="N1275" t="str">
        <f>HYPERLINK("https://ictv.global/id/TN19981638","TN19981638@prod")</f>
        <v>TN19981638@prod</v>
      </c>
      <c r="O1275" t="str">
        <f>HYPERLINK("https://ictv.global/id/ICTV19820511","ICTV19820511@prod")</f>
        <v>ICTV19820511@prod</v>
      </c>
    </row>
    <row r="1276" spans="1:15" x14ac:dyDescent="0.2">
      <c r="A1276">
        <v>17</v>
      </c>
      <c r="B1276">
        <v>19981639</v>
      </c>
      <c r="C1276">
        <v>19820512</v>
      </c>
      <c r="D1276" t="s">
        <v>29</v>
      </c>
      <c r="E1276" t="s">
        <v>1800</v>
      </c>
      <c r="G1276" t="s">
        <v>1165</v>
      </c>
      <c r="L1276" t="str">
        <f>HYPERLINK("https://test.ictv.global/id/TN19981639","TN19981639@TEST")</f>
        <v>TN19981639@TEST</v>
      </c>
      <c r="M1276" t="str">
        <f>HYPERLINK("https://test.ictv.global/id/ICTV19820512","ICTV19820512@TEST")</f>
        <v>ICTV19820512@TEST</v>
      </c>
      <c r="N1276" t="str">
        <f>HYPERLINK("https://ictv.global/id/TN19981639","TN19981639@prod")</f>
        <v>TN19981639@prod</v>
      </c>
      <c r="O1276" t="str">
        <f>HYPERLINK("https://ictv.global/id/ICTV19820512","ICTV19820512@prod")</f>
        <v>ICTV19820512@prod</v>
      </c>
    </row>
    <row r="1277" spans="1:15" x14ac:dyDescent="0.2">
      <c r="A1277">
        <v>17</v>
      </c>
      <c r="B1277">
        <v>19981640</v>
      </c>
      <c r="C1277">
        <v>19820513</v>
      </c>
      <c r="D1277" t="s">
        <v>29</v>
      </c>
      <c r="E1277" t="s">
        <v>1801</v>
      </c>
      <c r="G1277" t="s">
        <v>1165</v>
      </c>
      <c r="L1277" t="str">
        <f>HYPERLINK("https://test.ictv.global/id/TN19981640","TN19981640@TEST")</f>
        <v>TN19981640@TEST</v>
      </c>
      <c r="M1277" t="str">
        <f>HYPERLINK("https://test.ictv.global/id/ICTV19820513","ICTV19820513@TEST")</f>
        <v>ICTV19820513@TEST</v>
      </c>
      <c r="N1277" t="str">
        <f>HYPERLINK("https://ictv.global/id/TN19981640","TN19981640@prod")</f>
        <v>TN19981640@prod</v>
      </c>
      <c r="O1277" t="str">
        <f>HYPERLINK("https://ictv.global/id/ICTV19820513","ICTV19820513@prod")</f>
        <v>ICTV19820513@prod</v>
      </c>
    </row>
    <row r="1278" spans="1:15" x14ac:dyDescent="0.2">
      <c r="A1278">
        <v>17</v>
      </c>
      <c r="B1278">
        <v>19981641</v>
      </c>
      <c r="C1278">
        <v>19991067</v>
      </c>
      <c r="D1278" t="s">
        <v>29</v>
      </c>
      <c r="E1278" t="s">
        <v>699</v>
      </c>
      <c r="G1278" t="s">
        <v>33</v>
      </c>
      <c r="H1278" t="s">
        <v>699</v>
      </c>
      <c r="I1278" t="s">
        <v>29</v>
      </c>
      <c r="J1278">
        <v>19991067</v>
      </c>
      <c r="K1278">
        <v>19991067</v>
      </c>
      <c r="L1278" t="str">
        <f>HYPERLINK("https://test.ictv.global/id/TN19981641","TN19981641@TEST")</f>
        <v>TN19981641@TEST</v>
      </c>
      <c r="M1278" t="str">
        <f>HYPERLINK("https://test.ictv.global/id/ICTV19991067","ICTV19991067@TEST")</f>
        <v>ICTV19991067@TEST</v>
      </c>
      <c r="N1278" t="str">
        <f>HYPERLINK("https://ictv.global/id/TN19981641","TN19981641@prod")</f>
        <v>TN19981641@prod</v>
      </c>
      <c r="O1278" t="str">
        <f>HYPERLINK("https://ictv.global/id/ICTV19991067","ICTV19991067@prod")</f>
        <v>ICTV19991067@prod</v>
      </c>
    </row>
    <row r="1279" spans="1:15" x14ac:dyDescent="0.2">
      <c r="A1279">
        <v>17</v>
      </c>
      <c r="B1279">
        <v>19981642</v>
      </c>
      <c r="C1279">
        <v>19951184</v>
      </c>
      <c r="D1279" t="s">
        <v>29</v>
      </c>
      <c r="E1279" t="s">
        <v>700</v>
      </c>
      <c r="G1279" t="s">
        <v>33</v>
      </c>
      <c r="H1279" t="s">
        <v>699</v>
      </c>
      <c r="I1279" t="s">
        <v>29</v>
      </c>
      <c r="J1279">
        <v>19991067</v>
      </c>
      <c r="K1279">
        <v>19991067</v>
      </c>
      <c r="L1279" t="str">
        <f>HYPERLINK("https://test.ictv.global/id/TN19981642","TN19981642@TEST")</f>
        <v>TN19981642@TEST</v>
      </c>
      <c r="M1279" t="str">
        <f>HYPERLINK("https://test.ictv.global/id/ICTV19951184","ICTV19951184@TEST")</f>
        <v>ICTV19951184@TEST</v>
      </c>
      <c r="N1279" t="str">
        <f>HYPERLINK("https://ictv.global/id/TN19981642","TN19981642@prod")</f>
        <v>TN19981642@prod</v>
      </c>
      <c r="O1279" t="str">
        <f>HYPERLINK("https://ictv.global/id/ICTV19951184","ICTV19951184@prod")</f>
        <v>ICTV19951184@prod</v>
      </c>
    </row>
    <row r="1280" spans="1:15" x14ac:dyDescent="0.2">
      <c r="A1280">
        <v>17</v>
      </c>
      <c r="B1280">
        <v>19981643</v>
      </c>
      <c r="C1280">
        <v>19951185</v>
      </c>
      <c r="D1280" t="s">
        <v>29</v>
      </c>
      <c r="E1280" t="s">
        <v>701</v>
      </c>
      <c r="G1280" t="s">
        <v>31</v>
      </c>
      <c r="H1280" t="s">
        <v>702</v>
      </c>
      <c r="I1280" t="s">
        <v>29</v>
      </c>
      <c r="J1280">
        <v>19991068</v>
      </c>
      <c r="K1280">
        <v>19991068</v>
      </c>
      <c r="L1280" t="str">
        <f>HYPERLINK("https://test.ictv.global/id/TN19981643","TN19981643@TEST")</f>
        <v>TN19981643@TEST</v>
      </c>
      <c r="M1280" t="str">
        <f>HYPERLINK("https://test.ictv.global/id/ICTV19951185","ICTV19951185@TEST")</f>
        <v>ICTV19951185@TEST</v>
      </c>
      <c r="N1280" t="str">
        <f>HYPERLINK("https://ictv.global/id/TN19981643","TN19981643@prod")</f>
        <v>TN19981643@prod</v>
      </c>
      <c r="O1280" t="str">
        <f>HYPERLINK("https://ictv.global/id/ICTV19951185","ICTV19951185@prod")</f>
        <v>ICTV19951185@prod</v>
      </c>
    </row>
    <row r="1281" spans="1:15" x14ac:dyDescent="0.2">
      <c r="A1281">
        <v>17</v>
      </c>
      <c r="B1281">
        <v>19981644</v>
      </c>
      <c r="C1281">
        <v>19951186</v>
      </c>
      <c r="D1281" t="s">
        <v>29</v>
      </c>
      <c r="E1281" t="s">
        <v>703</v>
      </c>
      <c r="G1281" t="s">
        <v>33</v>
      </c>
      <c r="H1281" t="s">
        <v>699</v>
      </c>
      <c r="I1281" t="s">
        <v>29</v>
      </c>
      <c r="J1281">
        <v>19991067</v>
      </c>
      <c r="K1281">
        <v>19991067</v>
      </c>
      <c r="L1281" t="str">
        <f>HYPERLINK("https://test.ictv.global/id/TN19981644","TN19981644@TEST")</f>
        <v>TN19981644@TEST</v>
      </c>
      <c r="M1281" t="str">
        <f>HYPERLINK("https://test.ictv.global/id/ICTV19951186","ICTV19951186@TEST")</f>
        <v>ICTV19951186@TEST</v>
      </c>
      <c r="N1281" t="str">
        <f>HYPERLINK("https://ictv.global/id/TN19981644","TN19981644@prod")</f>
        <v>TN19981644@prod</v>
      </c>
      <c r="O1281" t="str">
        <f>HYPERLINK("https://ictv.global/id/ICTV19951186","ICTV19951186@prod")</f>
        <v>ICTV19951186@prod</v>
      </c>
    </row>
    <row r="1282" spans="1:15" x14ac:dyDescent="0.2">
      <c r="A1282">
        <v>17</v>
      </c>
      <c r="B1282">
        <v>19981645</v>
      </c>
      <c r="C1282">
        <v>19991068</v>
      </c>
      <c r="D1282" t="s">
        <v>29</v>
      </c>
      <c r="E1282" t="s">
        <v>702</v>
      </c>
      <c r="G1282" t="s">
        <v>33</v>
      </c>
      <c r="H1282" t="s">
        <v>702</v>
      </c>
      <c r="I1282" t="s">
        <v>29</v>
      </c>
      <c r="J1282">
        <v>19991068</v>
      </c>
      <c r="K1282">
        <v>19991068</v>
      </c>
      <c r="L1282" t="str">
        <f>HYPERLINK("https://test.ictv.global/id/TN19981645","TN19981645@TEST")</f>
        <v>TN19981645@TEST</v>
      </c>
      <c r="M1282" t="str">
        <f>HYPERLINK("https://test.ictv.global/id/ICTV19991068","ICTV19991068@TEST")</f>
        <v>ICTV19991068@TEST</v>
      </c>
      <c r="N1282" t="str">
        <f>HYPERLINK("https://ictv.global/id/TN19981645","TN19981645@prod")</f>
        <v>TN19981645@prod</v>
      </c>
      <c r="O1282" t="str">
        <f>HYPERLINK("https://ictv.global/id/ICTV19991068","ICTV19991068@prod")</f>
        <v>ICTV19991068@prod</v>
      </c>
    </row>
    <row r="1283" spans="1:15" x14ac:dyDescent="0.2">
      <c r="A1283">
        <v>17</v>
      </c>
      <c r="B1283">
        <v>19981646</v>
      </c>
      <c r="C1283">
        <v>19910895</v>
      </c>
      <c r="D1283" t="s">
        <v>29</v>
      </c>
      <c r="E1283" t="s">
        <v>704</v>
      </c>
      <c r="G1283" t="s">
        <v>33</v>
      </c>
      <c r="H1283" t="s">
        <v>699</v>
      </c>
      <c r="I1283" t="s">
        <v>29</v>
      </c>
      <c r="J1283">
        <v>19991067</v>
      </c>
      <c r="K1283">
        <v>19991067</v>
      </c>
      <c r="L1283" t="str">
        <f>HYPERLINK("https://test.ictv.global/id/TN19981646","TN19981646@TEST")</f>
        <v>TN19981646@TEST</v>
      </c>
      <c r="M1283" t="str">
        <f>HYPERLINK("https://test.ictv.global/id/ICTV19910895","ICTV19910895@TEST")</f>
        <v>ICTV19910895@TEST</v>
      </c>
      <c r="N1283" t="str">
        <f>HYPERLINK("https://ictv.global/id/TN19981646","TN19981646@prod")</f>
        <v>TN19981646@prod</v>
      </c>
      <c r="O1283" t="str">
        <f>HYPERLINK("https://ictv.global/id/ICTV19910895","ICTV19910895@prod")</f>
        <v>ICTV19910895@prod</v>
      </c>
    </row>
    <row r="1284" spans="1:15" x14ac:dyDescent="0.2">
      <c r="A1284">
        <v>17</v>
      </c>
      <c r="B1284">
        <v>19981647</v>
      </c>
      <c r="C1284">
        <v>19951189</v>
      </c>
      <c r="D1284" t="s">
        <v>29</v>
      </c>
      <c r="E1284" t="s">
        <v>705</v>
      </c>
      <c r="G1284" t="s">
        <v>31</v>
      </c>
      <c r="H1284" t="s">
        <v>702</v>
      </c>
      <c r="I1284" t="s">
        <v>29</v>
      </c>
      <c r="J1284">
        <v>19991068</v>
      </c>
      <c r="K1284">
        <v>19991068</v>
      </c>
      <c r="L1284" t="str">
        <f>HYPERLINK("https://test.ictv.global/id/TN19981647","TN19981647@TEST")</f>
        <v>TN19981647@TEST</v>
      </c>
      <c r="M1284" t="str">
        <f>HYPERLINK("https://test.ictv.global/id/ICTV19951189","ICTV19951189@TEST")</f>
        <v>ICTV19951189@TEST</v>
      </c>
      <c r="N1284" t="str">
        <f>HYPERLINK("https://ictv.global/id/TN19981647","TN19981647@prod")</f>
        <v>TN19981647@prod</v>
      </c>
      <c r="O1284" t="str">
        <f>HYPERLINK("https://ictv.global/id/ICTV19951189","ICTV19951189@prod")</f>
        <v>ICTV19951189@prod</v>
      </c>
    </row>
    <row r="1285" spans="1:15" x14ac:dyDescent="0.2">
      <c r="A1285">
        <v>17</v>
      </c>
      <c r="B1285">
        <v>19981648</v>
      </c>
      <c r="C1285">
        <v>19951190</v>
      </c>
      <c r="D1285" t="s">
        <v>29</v>
      </c>
      <c r="E1285" t="s">
        <v>706</v>
      </c>
      <c r="G1285" t="s">
        <v>31</v>
      </c>
      <c r="H1285" t="s">
        <v>702</v>
      </c>
      <c r="I1285" t="s">
        <v>29</v>
      </c>
      <c r="J1285">
        <v>19991068</v>
      </c>
      <c r="K1285">
        <v>19991068</v>
      </c>
      <c r="L1285" t="str">
        <f>HYPERLINK("https://test.ictv.global/id/TN19981648","TN19981648@TEST")</f>
        <v>TN19981648@TEST</v>
      </c>
      <c r="M1285" t="str">
        <f>HYPERLINK("https://test.ictv.global/id/ICTV19951190","ICTV19951190@TEST")</f>
        <v>ICTV19951190@TEST</v>
      </c>
      <c r="N1285" t="str">
        <f>HYPERLINK("https://ictv.global/id/TN19981648","TN19981648@prod")</f>
        <v>TN19981648@prod</v>
      </c>
      <c r="O1285" t="str">
        <f>HYPERLINK("https://ictv.global/id/ICTV19951190","ICTV19951190@prod")</f>
        <v>ICTV19951190@prod</v>
      </c>
    </row>
    <row r="1286" spans="1:15" x14ac:dyDescent="0.2">
      <c r="A1286">
        <v>17</v>
      </c>
      <c r="B1286">
        <v>19981649</v>
      </c>
      <c r="C1286">
        <v>19951191</v>
      </c>
      <c r="D1286" t="s">
        <v>29</v>
      </c>
      <c r="E1286" t="s">
        <v>707</v>
      </c>
      <c r="G1286" t="s">
        <v>33</v>
      </c>
      <c r="H1286" t="s">
        <v>699</v>
      </c>
      <c r="I1286" t="s">
        <v>29</v>
      </c>
      <c r="J1286">
        <v>19991067</v>
      </c>
      <c r="K1286">
        <v>19991067</v>
      </c>
      <c r="L1286" t="str">
        <f>HYPERLINK("https://test.ictv.global/id/TN19981649","TN19981649@TEST")</f>
        <v>TN19981649@TEST</v>
      </c>
      <c r="M1286" t="str">
        <f>HYPERLINK("https://test.ictv.global/id/ICTV19951191","ICTV19951191@TEST")</f>
        <v>ICTV19951191@TEST</v>
      </c>
      <c r="N1286" t="str">
        <f>HYPERLINK("https://ictv.global/id/TN19981649","TN19981649@prod")</f>
        <v>TN19981649@prod</v>
      </c>
      <c r="O1286" t="str">
        <f>HYPERLINK("https://ictv.global/id/ICTV19951191","ICTV19951191@prod")</f>
        <v>ICTV19951191@prod</v>
      </c>
    </row>
    <row r="1287" spans="1:15" x14ac:dyDescent="0.2">
      <c r="A1287">
        <v>17</v>
      </c>
      <c r="B1287">
        <v>19981650</v>
      </c>
      <c r="C1287">
        <v>19951192</v>
      </c>
      <c r="D1287" t="s">
        <v>29</v>
      </c>
      <c r="E1287" t="s">
        <v>708</v>
      </c>
      <c r="G1287" t="s">
        <v>31</v>
      </c>
      <c r="H1287" t="s">
        <v>702</v>
      </c>
      <c r="I1287" t="s">
        <v>29</v>
      </c>
      <c r="J1287">
        <v>19991068</v>
      </c>
      <c r="K1287">
        <v>19991068</v>
      </c>
      <c r="L1287" t="str">
        <f>HYPERLINK("https://test.ictv.global/id/TN19981650","TN19981650@TEST")</f>
        <v>TN19981650@TEST</v>
      </c>
      <c r="M1287" t="str">
        <f>HYPERLINK("https://test.ictv.global/id/ICTV19951192","ICTV19951192@TEST")</f>
        <v>ICTV19951192@TEST</v>
      </c>
      <c r="N1287" t="str">
        <f>HYPERLINK("https://ictv.global/id/TN19981650","TN19981650@prod")</f>
        <v>TN19981650@prod</v>
      </c>
      <c r="O1287" t="str">
        <f>HYPERLINK("https://ictv.global/id/ICTV19951192","ICTV19951192@prod")</f>
        <v>ICTV19951192@prod</v>
      </c>
    </row>
    <row r="1288" spans="1:15" x14ac:dyDescent="0.2">
      <c r="A1288">
        <v>17</v>
      </c>
      <c r="B1288">
        <v>19981651</v>
      </c>
      <c r="C1288">
        <v>19991069</v>
      </c>
      <c r="D1288" t="s">
        <v>29</v>
      </c>
      <c r="E1288" t="s">
        <v>709</v>
      </c>
      <c r="G1288" t="s">
        <v>33</v>
      </c>
      <c r="H1288" t="s">
        <v>709</v>
      </c>
      <c r="I1288" t="s">
        <v>29</v>
      </c>
      <c r="J1288">
        <v>19991069</v>
      </c>
      <c r="K1288">
        <v>19991069</v>
      </c>
      <c r="L1288" t="str">
        <f>HYPERLINK("https://test.ictv.global/id/TN19981651","TN19981651@TEST")</f>
        <v>TN19981651@TEST</v>
      </c>
      <c r="M1288" t="str">
        <f>HYPERLINK("https://test.ictv.global/id/ICTV19991069","ICTV19991069@TEST")</f>
        <v>ICTV19991069@TEST</v>
      </c>
      <c r="N1288" t="str">
        <f>HYPERLINK("https://ictv.global/id/TN19981651","TN19981651@prod")</f>
        <v>TN19981651@prod</v>
      </c>
      <c r="O1288" t="str">
        <f>HYPERLINK("https://ictv.global/id/ICTV19991069","ICTV19991069@prod")</f>
        <v>ICTV19991069@prod</v>
      </c>
    </row>
    <row r="1289" spans="1:15" x14ac:dyDescent="0.2">
      <c r="A1289">
        <v>17</v>
      </c>
      <c r="B1289">
        <v>19981652</v>
      </c>
      <c r="C1289">
        <v>19710313</v>
      </c>
      <c r="D1289" t="s">
        <v>29</v>
      </c>
      <c r="E1289" t="s">
        <v>710</v>
      </c>
      <c r="G1289" t="s">
        <v>31</v>
      </c>
      <c r="H1289" t="s">
        <v>711</v>
      </c>
      <c r="I1289" t="s">
        <v>29</v>
      </c>
      <c r="J1289">
        <v>19991070</v>
      </c>
      <c r="K1289">
        <v>19991070</v>
      </c>
      <c r="L1289" t="str">
        <f>HYPERLINK("https://test.ictv.global/id/TN19981652","TN19981652@TEST")</f>
        <v>TN19981652@TEST</v>
      </c>
      <c r="M1289" t="str">
        <f>HYPERLINK("https://test.ictv.global/id/ICTV19710313","ICTV19710313@TEST")</f>
        <v>ICTV19710313@TEST</v>
      </c>
      <c r="N1289" t="str">
        <f>HYPERLINK("https://ictv.global/id/TN19981652","TN19981652@prod")</f>
        <v>TN19981652@prod</v>
      </c>
      <c r="O1289" t="str">
        <f>HYPERLINK("https://ictv.global/id/ICTV19710313","ICTV19710313@prod")</f>
        <v>ICTV19710313@prod</v>
      </c>
    </row>
    <row r="1290" spans="1:15" x14ac:dyDescent="0.2">
      <c r="A1290">
        <v>17</v>
      </c>
      <c r="B1290">
        <v>19981653</v>
      </c>
      <c r="C1290">
        <v>19760792</v>
      </c>
      <c r="D1290" t="s">
        <v>29</v>
      </c>
      <c r="E1290" t="s">
        <v>712</v>
      </c>
      <c r="G1290" t="s">
        <v>31</v>
      </c>
      <c r="H1290" t="s">
        <v>711</v>
      </c>
      <c r="I1290" t="s">
        <v>29</v>
      </c>
      <c r="J1290">
        <v>19991070</v>
      </c>
      <c r="K1290">
        <v>19991070</v>
      </c>
      <c r="L1290" t="str">
        <f>HYPERLINK("https://test.ictv.global/id/TN19981653","TN19981653@TEST")</f>
        <v>TN19981653@TEST</v>
      </c>
      <c r="M1290" t="str">
        <f>HYPERLINK("https://test.ictv.global/id/ICTV19760792","ICTV19760792@TEST")</f>
        <v>ICTV19760792@TEST</v>
      </c>
      <c r="N1290" t="str">
        <f>HYPERLINK("https://ictv.global/id/TN19981653","TN19981653@prod")</f>
        <v>TN19981653@prod</v>
      </c>
      <c r="O1290" t="str">
        <f>HYPERLINK("https://ictv.global/id/ICTV19760792","ICTV19760792@prod")</f>
        <v>ICTV19760792@prod</v>
      </c>
    </row>
    <row r="1291" spans="1:15" x14ac:dyDescent="0.2">
      <c r="A1291">
        <v>17</v>
      </c>
      <c r="B1291">
        <v>19981654</v>
      </c>
      <c r="C1291">
        <v>19951196</v>
      </c>
      <c r="D1291" t="s">
        <v>29</v>
      </c>
      <c r="E1291" t="s">
        <v>713</v>
      </c>
      <c r="G1291" t="s">
        <v>33</v>
      </c>
      <c r="H1291" t="s">
        <v>709</v>
      </c>
      <c r="I1291" t="s">
        <v>29</v>
      </c>
      <c r="J1291">
        <v>19991069</v>
      </c>
      <c r="K1291">
        <v>19991069</v>
      </c>
      <c r="L1291" t="str">
        <f>HYPERLINK("https://test.ictv.global/id/TN19981654","TN19981654@TEST")</f>
        <v>TN19981654@TEST</v>
      </c>
      <c r="M1291" t="str">
        <f>HYPERLINK("https://test.ictv.global/id/ICTV19951196","ICTV19951196@TEST")</f>
        <v>ICTV19951196@TEST</v>
      </c>
      <c r="N1291" t="str">
        <f>HYPERLINK("https://ictv.global/id/TN19981654","TN19981654@prod")</f>
        <v>TN19981654@prod</v>
      </c>
      <c r="O1291" t="str">
        <f>HYPERLINK("https://ictv.global/id/ICTV19951196","ICTV19951196@prod")</f>
        <v>ICTV19951196@prod</v>
      </c>
    </row>
    <row r="1292" spans="1:15" x14ac:dyDescent="0.2">
      <c r="A1292">
        <v>17</v>
      </c>
      <c r="B1292">
        <v>19981655</v>
      </c>
      <c r="C1292">
        <v>19951197</v>
      </c>
      <c r="D1292" t="s">
        <v>29</v>
      </c>
      <c r="E1292" t="s">
        <v>714</v>
      </c>
      <c r="G1292" t="s">
        <v>33</v>
      </c>
      <c r="H1292" t="s">
        <v>709</v>
      </c>
      <c r="I1292" t="s">
        <v>29</v>
      </c>
      <c r="J1292">
        <v>19991069</v>
      </c>
      <c r="K1292">
        <v>19991069</v>
      </c>
      <c r="L1292" t="str">
        <f>HYPERLINK("https://test.ictv.global/id/TN19981655","TN19981655@TEST")</f>
        <v>TN19981655@TEST</v>
      </c>
      <c r="M1292" t="str">
        <f>HYPERLINK("https://test.ictv.global/id/ICTV19951197","ICTV19951197@TEST")</f>
        <v>ICTV19951197@TEST</v>
      </c>
      <c r="N1292" t="str">
        <f>HYPERLINK("https://ictv.global/id/TN19981655","TN19981655@prod")</f>
        <v>TN19981655@prod</v>
      </c>
      <c r="O1292" t="str">
        <f>HYPERLINK("https://ictv.global/id/ICTV19951197","ICTV19951197@prod")</f>
        <v>ICTV19951197@prod</v>
      </c>
    </row>
    <row r="1293" spans="1:15" x14ac:dyDescent="0.2">
      <c r="A1293">
        <v>17</v>
      </c>
      <c r="B1293">
        <v>19981656</v>
      </c>
      <c r="C1293">
        <v>19951198</v>
      </c>
      <c r="D1293" t="s">
        <v>29</v>
      </c>
      <c r="E1293" t="s">
        <v>715</v>
      </c>
      <c r="G1293" t="s">
        <v>31</v>
      </c>
      <c r="H1293" t="s">
        <v>711</v>
      </c>
      <c r="I1293" t="s">
        <v>29</v>
      </c>
      <c r="J1293">
        <v>19991070</v>
      </c>
      <c r="K1293">
        <v>19991070</v>
      </c>
      <c r="L1293" t="str">
        <f>HYPERLINK("https://test.ictv.global/id/TN19981656","TN19981656@TEST")</f>
        <v>TN19981656@TEST</v>
      </c>
      <c r="M1293" t="str">
        <f>HYPERLINK("https://test.ictv.global/id/ICTV19951198","ICTV19951198@TEST")</f>
        <v>ICTV19951198@TEST</v>
      </c>
      <c r="N1293" t="str">
        <f>HYPERLINK("https://ictv.global/id/TN19981656","TN19981656@prod")</f>
        <v>TN19981656@prod</v>
      </c>
      <c r="O1293" t="str">
        <f>HYPERLINK("https://ictv.global/id/ICTV19951198","ICTV19951198@prod")</f>
        <v>ICTV19951198@prod</v>
      </c>
    </row>
    <row r="1294" spans="1:15" x14ac:dyDescent="0.2">
      <c r="A1294">
        <v>17</v>
      </c>
      <c r="B1294">
        <v>19981657</v>
      </c>
      <c r="C1294">
        <v>19951199</v>
      </c>
      <c r="D1294" t="s">
        <v>29</v>
      </c>
      <c r="E1294" t="s">
        <v>716</v>
      </c>
      <c r="G1294" t="s">
        <v>33</v>
      </c>
      <c r="H1294" t="s">
        <v>709</v>
      </c>
      <c r="I1294" t="s">
        <v>29</v>
      </c>
      <c r="J1294">
        <v>19991069</v>
      </c>
      <c r="K1294">
        <v>19991069</v>
      </c>
      <c r="L1294" t="str">
        <f>HYPERLINK("https://test.ictv.global/id/TN19981657","TN19981657@TEST")</f>
        <v>TN19981657@TEST</v>
      </c>
      <c r="M1294" t="str">
        <f>HYPERLINK("https://test.ictv.global/id/ICTV19951199","ICTV19951199@TEST")</f>
        <v>ICTV19951199@TEST</v>
      </c>
      <c r="N1294" t="str">
        <f>HYPERLINK("https://ictv.global/id/TN19981657","TN19981657@prod")</f>
        <v>TN19981657@prod</v>
      </c>
      <c r="O1294" t="str">
        <f>HYPERLINK("https://ictv.global/id/ICTV19951199","ICTV19951199@prod")</f>
        <v>ICTV19951199@prod</v>
      </c>
    </row>
    <row r="1295" spans="1:15" x14ac:dyDescent="0.2">
      <c r="A1295">
        <v>17</v>
      </c>
      <c r="B1295">
        <v>19981658</v>
      </c>
      <c r="C1295">
        <v>19760793</v>
      </c>
      <c r="D1295" t="s">
        <v>29</v>
      </c>
      <c r="E1295" t="s">
        <v>717</v>
      </c>
      <c r="G1295" t="s">
        <v>31</v>
      </c>
      <c r="H1295" t="s">
        <v>711</v>
      </c>
      <c r="I1295" t="s">
        <v>29</v>
      </c>
      <c r="J1295">
        <v>19991070</v>
      </c>
      <c r="K1295">
        <v>19991070</v>
      </c>
      <c r="L1295" t="str">
        <f>HYPERLINK("https://test.ictv.global/id/TN19981658","TN19981658@TEST")</f>
        <v>TN19981658@TEST</v>
      </c>
      <c r="M1295" t="str">
        <f>HYPERLINK("https://test.ictv.global/id/ICTV19760793","ICTV19760793@TEST")</f>
        <v>ICTV19760793@TEST</v>
      </c>
      <c r="N1295" t="str">
        <f>HYPERLINK("https://ictv.global/id/TN19981658","TN19981658@prod")</f>
        <v>TN19981658@prod</v>
      </c>
      <c r="O1295" t="str">
        <f>HYPERLINK("https://ictv.global/id/ICTV19760793","ICTV19760793@prod")</f>
        <v>ICTV19760793@prod</v>
      </c>
    </row>
    <row r="1296" spans="1:15" x14ac:dyDescent="0.2">
      <c r="A1296">
        <v>17</v>
      </c>
      <c r="B1296">
        <v>19981659</v>
      </c>
      <c r="C1296">
        <v>19991070</v>
      </c>
      <c r="D1296" t="s">
        <v>29</v>
      </c>
      <c r="E1296" t="s">
        <v>711</v>
      </c>
      <c r="G1296" t="s">
        <v>33</v>
      </c>
      <c r="H1296" t="s">
        <v>711</v>
      </c>
      <c r="I1296" t="s">
        <v>29</v>
      </c>
      <c r="J1296">
        <v>19991070</v>
      </c>
      <c r="K1296">
        <v>19991070</v>
      </c>
      <c r="L1296" t="str">
        <f>HYPERLINK("https://test.ictv.global/id/TN19981659","TN19981659@TEST")</f>
        <v>TN19981659@TEST</v>
      </c>
      <c r="M1296" t="str">
        <f>HYPERLINK("https://test.ictv.global/id/ICTV19991070","ICTV19991070@TEST")</f>
        <v>ICTV19991070@TEST</v>
      </c>
      <c r="N1296" t="str">
        <f>HYPERLINK("https://ictv.global/id/TN19981659","TN19981659@prod")</f>
        <v>TN19981659@prod</v>
      </c>
      <c r="O1296" t="str">
        <f>HYPERLINK("https://ictv.global/id/ICTV19991070","ICTV19991070@prod")</f>
        <v>ICTV19991070@prod</v>
      </c>
    </row>
    <row r="1297" spans="1:15" x14ac:dyDescent="0.2">
      <c r="A1297">
        <v>17</v>
      </c>
      <c r="B1297">
        <v>19981660</v>
      </c>
      <c r="C1297">
        <v>19760787</v>
      </c>
      <c r="D1297" t="s">
        <v>29</v>
      </c>
      <c r="E1297" t="s">
        <v>718</v>
      </c>
      <c r="G1297" t="s">
        <v>31</v>
      </c>
      <c r="H1297" t="s">
        <v>711</v>
      </c>
      <c r="I1297" t="s">
        <v>29</v>
      </c>
      <c r="J1297">
        <v>19991070</v>
      </c>
      <c r="K1297">
        <v>19991070</v>
      </c>
      <c r="L1297" t="str">
        <f>HYPERLINK("https://test.ictv.global/id/TN19981660","TN19981660@TEST")</f>
        <v>TN19981660@TEST</v>
      </c>
      <c r="M1297" t="str">
        <f>HYPERLINK("https://test.ictv.global/id/ICTV19760787","ICTV19760787@TEST")</f>
        <v>ICTV19760787@TEST</v>
      </c>
      <c r="N1297" t="str">
        <f>HYPERLINK("https://ictv.global/id/TN19981660","TN19981660@prod")</f>
        <v>TN19981660@prod</v>
      </c>
      <c r="O1297" t="str">
        <f>HYPERLINK("https://ictv.global/id/ICTV19760787","ICTV19760787@prod")</f>
        <v>ICTV19760787@prod</v>
      </c>
    </row>
    <row r="1298" spans="1:15" x14ac:dyDescent="0.2">
      <c r="A1298">
        <v>17</v>
      </c>
      <c r="B1298">
        <v>19981661</v>
      </c>
      <c r="C1298">
        <v>19951203</v>
      </c>
      <c r="D1298" t="s">
        <v>29</v>
      </c>
      <c r="E1298" t="s">
        <v>719</v>
      </c>
      <c r="G1298" t="s">
        <v>33</v>
      </c>
      <c r="H1298" t="s">
        <v>709</v>
      </c>
      <c r="I1298" t="s">
        <v>29</v>
      </c>
      <c r="J1298">
        <v>19991069</v>
      </c>
      <c r="K1298">
        <v>19991069</v>
      </c>
      <c r="L1298" t="str">
        <f>HYPERLINK("https://test.ictv.global/id/TN19981661","TN19981661@TEST")</f>
        <v>TN19981661@TEST</v>
      </c>
      <c r="M1298" t="str">
        <f>HYPERLINK("https://test.ictv.global/id/ICTV19951203","ICTV19951203@TEST")</f>
        <v>ICTV19951203@TEST</v>
      </c>
      <c r="N1298" t="str">
        <f>HYPERLINK("https://ictv.global/id/TN19981661","TN19981661@prod")</f>
        <v>TN19981661@prod</v>
      </c>
      <c r="O1298" t="str">
        <f>HYPERLINK("https://ictv.global/id/ICTV19951203","ICTV19951203@prod")</f>
        <v>ICTV19951203@prod</v>
      </c>
    </row>
    <row r="1299" spans="1:15" x14ac:dyDescent="0.2">
      <c r="A1299">
        <v>17</v>
      </c>
      <c r="B1299">
        <v>19981662</v>
      </c>
      <c r="C1299">
        <v>19790386</v>
      </c>
      <c r="D1299" t="s">
        <v>29</v>
      </c>
      <c r="E1299" t="s">
        <v>1802</v>
      </c>
      <c r="G1299" t="s">
        <v>1165</v>
      </c>
      <c r="L1299" t="str">
        <f>HYPERLINK("https://test.ictv.global/id/TN19981662","TN19981662@TEST")</f>
        <v>TN19981662@TEST</v>
      </c>
      <c r="M1299" t="str">
        <f>HYPERLINK("https://test.ictv.global/id/ICTV19790386","ICTV19790386@TEST")</f>
        <v>ICTV19790386@TEST</v>
      </c>
      <c r="N1299" t="str">
        <f>HYPERLINK("https://ictv.global/id/TN19981662","TN19981662@prod")</f>
        <v>TN19981662@prod</v>
      </c>
      <c r="O1299" t="str">
        <f>HYPERLINK("https://ictv.global/id/ICTV19790386","ICTV19790386@prod")</f>
        <v>ICTV19790386@prod</v>
      </c>
    </row>
    <row r="1300" spans="1:15" x14ac:dyDescent="0.2">
      <c r="A1300">
        <v>17</v>
      </c>
      <c r="B1300">
        <v>19981663</v>
      </c>
      <c r="C1300">
        <v>19910916</v>
      </c>
      <c r="D1300" t="s">
        <v>29</v>
      </c>
      <c r="E1300" t="s">
        <v>1803</v>
      </c>
      <c r="G1300" t="s">
        <v>1165</v>
      </c>
      <c r="L1300" t="str">
        <f>HYPERLINK("https://test.ictv.global/id/TN19981663","TN19981663@TEST")</f>
        <v>TN19981663@TEST</v>
      </c>
      <c r="M1300" t="str">
        <f>HYPERLINK("https://test.ictv.global/id/ICTV19910916","ICTV19910916@TEST")</f>
        <v>ICTV19910916@TEST</v>
      </c>
      <c r="N1300" t="str">
        <f>HYPERLINK("https://ictv.global/id/TN19981663","TN19981663@prod")</f>
        <v>TN19981663@prod</v>
      </c>
      <c r="O1300" t="str">
        <f>HYPERLINK("https://ictv.global/id/ICTV19910916","ICTV19910916@prod")</f>
        <v>ICTV19910916@prod</v>
      </c>
    </row>
    <row r="1301" spans="1:15" x14ac:dyDescent="0.2">
      <c r="A1301">
        <v>17</v>
      </c>
      <c r="B1301">
        <v>19981664</v>
      </c>
      <c r="C1301">
        <v>19790387</v>
      </c>
      <c r="D1301" t="s">
        <v>29</v>
      </c>
      <c r="E1301" t="s">
        <v>1804</v>
      </c>
      <c r="G1301" t="s">
        <v>1165</v>
      </c>
      <c r="L1301" t="str">
        <f>HYPERLINK("https://test.ictv.global/id/TN19981664","TN19981664@TEST")</f>
        <v>TN19981664@TEST</v>
      </c>
      <c r="M1301" t="str">
        <f>HYPERLINK("https://test.ictv.global/id/ICTV19790387","ICTV19790387@TEST")</f>
        <v>ICTV19790387@TEST</v>
      </c>
      <c r="N1301" t="str">
        <f>HYPERLINK("https://ictv.global/id/TN19981664","TN19981664@prod")</f>
        <v>TN19981664@prod</v>
      </c>
      <c r="O1301" t="str">
        <f>HYPERLINK("https://ictv.global/id/ICTV19790387","ICTV19790387@prod")</f>
        <v>ICTV19790387@prod</v>
      </c>
    </row>
    <row r="1302" spans="1:15" x14ac:dyDescent="0.2">
      <c r="A1302">
        <v>17</v>
      </c>
      <c r="B1302">
        <v>19981665</v>
      </c>
      <c r="C1302">
        <v>19910918</v>
      </c>
      <c r="D1302" t="s">
        <v>29</v>
      </c>
      <c r="E1302" t="s">
        <v>1805</v>
      </c>
      <c r="G1302" t="s">
        <v>1165</v>
      </c>
      <c r="L1302" t="str">
        <f>HYPERLINK("https://test.ictv.global/id/TN19981665","TN19981665@TEST")</f>
        <v>TN19981665@TEST</v>
      </c>
      <c r="M1302" t="str">
        <f>HYPERLINK("https://test.ictv.global/id/ICTV19910918","ICTV19910918@TEST")</f>
        <v>ICTV19910918@TEST</v>
      </c>
      <c r="N1302" t="str">
        <f>HYPERLINK("https://ictv.global/id/TN19981665","TN19981665@prod")</f>
        <v>TN19981665@prod</v>
      </c>
      <c r="O1302" t="str">
        <f>HYPERLINK("https://ictv.global/id/ICTV19910918","ICTV19910918@prod")</f>
        <v>ICTV19910918@prod</v>
      </c>
    </row>
    <row r="1303" spans="1:15" x14ac:dyDescent="0.2">
      <c r="A1303">
        <v>17</v>
      </c>
      <c r="B1303">
        <v>19981666</v>
      </c>
      <c r="C1303">
        <v>19790388</v>
      </c>
      <c r="D1303" t="s">
        <v>29</v>
      </c>
      <c r="E1303" t="s">
        <v>1806</v>
      </c>
      <c r="G1303" t="s">
        <v>1165</v>
      </c>
      <c r="L1303" t="str">
        <f>HYPERLINK("https://test.ictv.global/id/TN19981666","TN19981666@TEST")</f>
        <v>TN19981666@TEST</v>
      </c>
      <c r="M1303" t="str">
        <f>HYPERLINK("https://test.ictv.global/id/ICTV19790388","ICTV19790388@TEST")</f>
        <v>ICTV19790388@TEST</v>
      </c>
      <c r="N1303" t="str">
        <f>HYPERLINK("https://ictv.global/id/TN19981666","TN19981666@prod")</f>
        <v>TN19981666@prod</v>
      </c>
      <c r="O1303" t="str">
        <f>HYPERLINK("https://ictv.global/id/ICTV19790388","ICTV19790388@prod")</f>
        <v>ICTV19790388@prod</v>
      </c>
    </row>
    <row r="1304" spans="1:15" x14ac:dyDescent="0.2">
      <c r="A1304">
        <v>17</v>
      </c>
      <c r="B1304">
        <v>19981667</v>
      </c>
      <c r="C1304">
        <v>19790389</v>
      </c>
      <c r="D1304" t="s">
        <v>29</v>
      </c>
      <c r="E1304" t="s">
        <v>1807</v>
      </c>
      <c r="G1304" t="s">
        <v>1165</v>
      </c>
      <c r="L1304" t="str">
        <f>HYPERLINK("https://test.ictv.global/id/TN19981667","TN19981667@TEST")</f>
        <v>TN19981667@TEST</v>
      </c>
      <c r="M1304" t="str">
        <f>HYPERLINK("https://test.ictv.global/id/ICTV19790389","ICTV19790389@TEST")</f>
        <v>ICTV19790389@TEST</v>
      </c>
      <c r="N1304" t="str">
        <f>HYPERLINK("https://ictv.global/id/TN19981667","TN19981667@prod")</f>
        <v>TN19981667@prod</v>
      </c>
      <c r="O1304" t="str">
        <f>HYPERLINK("https://ictv.global/id/ICTV19790389","ICTV19790389@prod")</f>
        <v>ICTV19790389@prod</v>
      </c>
    </row>
    <row r="1305" spans="1:15" x14ac:dyDescent="0.2">
      <c r="A1305">
        <v>17</v>
      </c>
      <c r="B1305">
        <v>19981668</v>
      </c>
      <c r="C1305">
        <v>19910921</v>
      </c>
      <c r="D1305" t="s">
        <v>29</v>
      </c>
      <c r="E1305" t="s">
        <v>1808</v>
      </c>
      <c r="G1305" t="s">
        <v>1165</v>
      </c>
      <c r="L1305" t="str">
        <f>HYPERLINK("https://test.ictv.global/id/TN19981668","TN19981668@TEST")</f>
        <v>TN19981668@TEST</v>
      </c>
      <c r="M1305" t="str">
        <f>HYPERLINK("https://test.ictv.global/id/ICTV19910921","ICTV19910921@TEST")</f>
        <v>ICTV19910921@TEST</v>
      </c>
      <c r="N1305" t="str">
        <f>HYPERLINK("https://ictv.global/id/TN19981668","TN19981668@prod")</f>
        <v>TN19981668@prod</v>
      </c>
      <c r="O1305" t="str">
        <f>HYPERLINK("https://ictv.global/id/ICTV19910921","ICTV19910921@prod")</f>
        <v>ICTV19910921@prod</v>
      </c>
    </row>
    <row r="1306" spans="1:15" x14ac:dyDescent="0.2">
      <c r="A1306">
        <v>17</v>
      </c>
      <c r="B1306">
        <v>19981669</v>
      </c>
      <c r="C1306">
        <v>19820530</v>
      </c>
      <c r="D1306" t="s">
        <v>29</v>
      </c>
      <c r="E1306" t="s">
        <v>1809</v>
      </c>
      <c r="G1306" t="s">
        <v>1165</v>
      </c>
      <c r="L1306" t="str">
        <f>HYPERLINK("https://test.ictv.global/id/TN19981669","TN19981669@TEST")</f>
        <v>TN19981669@TEST</v>
      </c>
      <c r="M1306" t="str">
        <f>HYPERLINK("https://test.ictv.global/id/ICTV19820530","ICTV19820530@TEST")</f>
        <v>ICTV19820530@TEST</v>
      </c>
      <c r="N1306" t="str">
        <f>HYPERLINK("https://ictv.global/id/TN19981669","TN19981669@prod")</f>
        <v>TN19981669@prod</v>
      </c>
      <c r="O1306" t="str">
        <f>HYPERLINK("https://ictv.global/id/ICTV19820530","ICTV19820530@prod")</f>
        <v>ICTV19820530@prod</v>
      </c>
    </row>
    <row r="1307" spans="1:15" x14ac:dyDescent="0.2">
      <c r="A1307">
        <v>17</v>
      </c>
      <c r="B1307">
        <v>19981670</v>
      </c>
      <c r="C1307">
        <v>19820531</v>
      </c>
      <c r="D1307" t="s">
        <v>29</v>
      </c>
      <c r="E1307" t="s">
        <v>1810</v>
      </c>
      <c r="G1307" t="s">
        <v>1165</v>
      </c>
      <c r="L1307" t="str">
        <f>HYPERLINK("https://test.ictv.global/id/TN19981670","TN19981670@TEST")</f>
        <v>TN19981670@TEST</v>
      </c>
      <c r="M1307" t="str">
        <f>HYPERLINK("https://test.ictv.global/id/ICTV19820531","ICTV19820531@TEST")</f>
        <v>ICTV19820531@TEST</v>
      </c>
      <c r="N1307" t="str">
        <f>HYPERLINK("https://ictv.global/id/TN19981670","TN19981670@prod")</f>
        <v>TN19981670@prod</v>
      </c>
      <c r="O1307" t="str">
        <f>HYPERLINK("https://ictv.global/id/ICTV19820531","ICTV19820531@prod")</f>
        <v>ICTV19820531@prod</v>
      </c>
    </row>
    <row r="1308" spans="1:15" x14ac:dyDescent="0.2">
      <c r="A1308">
        <v>17</v>
      </c>
      <c r="B1308">
        <v>19981671</v>
      </c>
      <c r="C1308">
        <v>19820532</v>
      </c>
      <c r="D1308" t="s">
        <v>29</v>
      </c>
      <c r="E1308" t="s">
        <v>1811</v>
      </c>
      <c r="G1308" t="s">
        <v>1165</v>
      </c>
      <c r="L1308" t="str">
        <f>HYPERLINK("https://test.ictv.global/id/TN19981671","TN19981671@TEST")</f>
        <v>TN19981671@TEST</v>
      </c>
      <c r="M1308" t="str">
        <f>HYPERLINK("https://test.ictv.global/id/ICTV19820532","ICTV19820532@TEST")</f>
        <v>ICTV19820532@TEST</v>
      </c>
      <c r="N1308" t="str">
        <f>HYPERLINK("https://ictv.global/id/TN19981671","TN19981671@prod")</f>
        <v>TN19981671@prod</v>
      </c>
      <c r="O1308" t="str">
        <f>HYPERLINK("https://ictv.global/id/ICTV19820532","ICTV19820532@prod")</f>
        <v>ICTV19820532@prod</v>
      </c>
    </row>
    <row r="1309" spans="1:15" x14ac:dyDescent="0.2">
      <c r="A1309">
        <v>17</v>
      </c>
      <c r="B1309">
        <v>19981672</v>
      </c>
      <c r="C1309">
        <v>19820533</v>
      </c>
      <c r="D1309" t="s">
        <v>29</v>
      </c>
      <c r="E1309" t="s">
        <v>1812</v>
      </c>
      <c r="G1309" t="s">
        <v>1165</v>
      </c>
      <c r="L1309" t="str">
        <f>HYPERLINK("https://test.ictv.global/id/TN19981672","TN19981672@TEST")</f>
        <v>TN19981672@TEST</v>
      </c>
      <c r="M1309" t="str">
        <f>HYPERLINK("https://test.ictv.global/id/ICTV19820533","ICTV19820533@TEST")</f>
        <v>ICTV19820533@TEST</v>
      </c>
      <c r="N1309" t="str">
        <f>HYPERLINK("https://ictv.global/id/TN19981672","TN19981672@prod")</f>
        <v>TN19981672@prod</v>
      </c>
      <c r="O1309" t="str">
        <f>HYPERLINK("https://ictv.global/id/ICTV19820533","ICTV19820533@prod")</f>
        <v>ICTV19820533@prod</v>
      </c>
    </row>
    <row r="1310" spans="1:15" x14ac:dyDescent="0.2">
      <c r="A1310">
        <v>17</v>
      </c>
      <c r="B1310">
        <v>19981673</v>
      </c>
      <c r="C1310">
        <v>19790390</v>
      </c>
      <c r="D1310" t="s">
        <v>29</v>
      </c>
      <c r="E1310" t="s">
        <v>1813</v>
      </c>
      <c r="G1310" t="s">
        <v>1165</v>
      </c>
      <c r="L1310" t="str">
        <f>HYPERLINK("https://test.ictv.global/id/TN19981673","TN19981673@TEST")</f>
        <v>TN19981673@TEST</v>
      </c>
      <c r="M1310" t="str">
        <f>HYPERLINK("https://test.ictv.global/id/ICTV19790390","ICTV19790390@TEST")</f>
        <v>ICTV19790390@TEST</v>
      </c>
      <c r="N1310" t="str">
        <f>HYPERLINK("https://ictv.global/id/TN19981673","TN19981673@prod")</f>
        <v>TN19981673@prod</v>
      </c>
      <c r="O1310" t="str">
        <f>HYPERLINK("https://ictv.global/id/ICTV19790390","ICTV19790390@prod")</f>
        <v>ICTV19790390@prod</v>
      </c>
    </row>
    <row r="1311" spans="1:15" x14ac:dyDescent="0.2">
      <c r="A1311">
        <v>17</v>
      </c>
      <c r="B1311">
        <v>19981674</v>
      </c>
      <c r="C1311">
        <v>19760788</v>
      </c>
      <c r="D1311" t="s">
        <v>29</v>
      </c>
      <c r="E1311" t="s">
        <v>1814</v>
      </c>
      <c r="G1311" t="s">
        <v>1165</v>
      </c>
      <c r="L1311" t="str">
        <f>HYPERLINK("https://test.ictv.global/id/TN19981674","TN19981674@TEST")</f>
        <v>TN19981674@TEST</v>
      </c>
      <c r="M1311" t="str">
        <f>HYPERLINK("https://test.ictv.global/id/ICTV19760788","ICTV19760788@TEST")</f>
        <v>ICTV19760788@TEST</v>
      </c>
      <c r="N1311" t="str">
        <f>HYPERLINK("https://ictv.global/id/TN19981674","TN19981674@prod")</f>
        <v>TN19981674@prod</v>
      </c>
      <c r="O1311" t="str">
        <f>HYPERLINK("https://ictv.global/id/ICTV19760788","ICTV19760788@prod")</f>
        <v>ICTV19760788@prod</v>
      </c>
    </row>
    <row r="1312" spans="1:15" x14ac:dyDescent="0.2">
      <c r="A1312">
        <v>17</v>
      </c>
      <c r="B1312">
        <v>19981675</v>
      </c>
      <c r="C1312">
        <v>19790376</v>
      </c>
      <c r="D1312" t="s">
        <v>29</v>
      </c>
      <c r="E1312" t="s">
        <v>1815</v>
      </c>
      <c r="G1312" t="s">
        <v>1165</v>
      </c>
      <c r="L1312" t="str">
        <f>HYPERLINK("https://test.ictv.global/id/TN19981675","TN19981675@TEST")</f>
        <v>TN19981675@TEST</v>
      </c>
      <c r="M1312" t="str">
        <f>HYPERLINK("https://test.ictv.global/id/ICTV19790376","ICTV19790376@TEST")</f>
        <v>ICTV19790376@TEST</v>
      </c>
      <c r="N1312" t="str">
        <f>HYPERLINK("https://ictv.global/id/TN19981675","TN19981675@prod")</f>
        <v>TN19981675@prod</v>
      </c>
      <c r="O1312" t="str">
        <f>HYPERLINK("https://ictv.global/id/ICTV19790376","ICTV19790376@prod")</f>
        <v>ICTV19790376@prod</v>
      </c>
    </row>
    <row r="1313" spans="1:15" x14ac:dyDescent="0.2">
      <c r="A1313">
        <v>17</v>
      </c>
      <c r="B1313">
        <v>19981676</v>
      </c>
      <c r="C1313">
        <v>19790377</v>
      </c>
      <c r="D1313" t="s">
        <v>29</v>
      </c>
      <c r="E1313" t="s">
        <v>1816</v>
      </c>
      <c r="G1313" t="s">
        <v>1165</v>
      </c>
      <c r="L1313" t="str">
        <f>HYPERLINK("https://test.ictv.global/id/TN19981676","TN19981676@TEST")</f>
        <v>TN19981676@TEST</v>
      </c>
      <c r="M1313" t="str">
        <f>HYPERLINK("https://test.ictv.global/id/ICTV19790377","ICTV19790377@TEST")</f>
        <v>ICTV19790377@TEST</v>
      </c>
      <c r="N1313" t="str">
        <f>HYPERLINK("https://ictv.global/id/TN19981676","TN19981676@prod")</f>
        <v>TN19981676@prod</v>
      </c>
      <c r="O1313" t="str">
        <f>HYPERLINK("https://ictv.global/id/ICTV19790377","ICTV19790377@prod")</f>
        <v>ICTV19790377@prod</v>
      </c>
    </row>
    <row r="1314" spans="1:15" x14ac:dyDescent="0.2">
      <c r="A1314">
        <v>17</v>
      </c>
      <c r="B1314">
        <v>19981677</v>
      </c>
      <c r="C1314">
        <v>19760789</v>
      </c>
      <c r="D1314" t="s">
        <v>29</v>
      </c>
      <c r="E1314" t="s">
        <v>1817</v>
      </c>
      <c r="G1314" t="s">
        <v>1165</v>
      </c>
      <c r="L1314" t="str">
        <f>HYPERLINK("https://test.ictv.global/id/TN19981677","TN19981677@TEST")</f>
        <v>TN19981677@TEST</v>
      </c>
      <c r="M1314" t="str">
        <f>HYPERLINK("https://test.ictv.global/id/ICTV19760789","ICTV19760789@TEST")</f>
        <v>ICTV19760789@TEST</v>
      </c>
      <c r="N1314" t="str">
        <f>HYPERLINK("https://ictv.global/id/TN19981677","TN19981677@prod")</f>
        <v>TN19981677@prod</v>
      </c>
      <c r="O1314" t="str">
        <f>HYPERLINK("https://ictv.global/id/ICTV19760789","ICTV19760789@prod")</f>
        <v>ICTV19760789@prod</v>
      </c>
    </row>
    <row r="1315" spans="1:15" x14ac:dyDescent="0.2">
      <c r="A1315">
        <v>17</v>
      </c>
      <c r="B1315">
        <v>19981678</v>
      </c>
      <c r="C1315">
        <v>19910908</v>
      </c>
      <c r="D1315" t="s">
        <v>29</v>
      </c>
      <c r="E1315" t="s">
        <v>1818</v>
      </c>
      <c r="G1315" t="s">
        <v>1165</v>
      </c>
      <c r="L1315" t="str">
        <f>HYPERLINK("https://test.ictv.global/id/TN19981678","TN19981678@TEST")</f>
        <v>TN19981678@TEST</v>
      </c>
      <c r="M1315" t="str">
        <f>HYPERLINK("https://test.ictv.global/id/ICTV19910908","ICTV19910908@TEST")</f>
        <v>ICTV19910908@TEST</v>
      </c>
      <c r="N1315" t="str">
        <f>HYPERLINK("https://ictv.global/id/TN19981678","TN19981678@prod")</f>
        <v>TN19981678@prod</v>
      </c>
      <c r="O1315" t="str">
        <f>HYPERLINK("https://ictv.global/id/ICTV19910908","ICTV19910908@prod")</f>
        <v>ICTV19910908@prod</v>
      </c>
    </row>
    <row r="1316" spans="1:15" x14ac:dyDescent="0.2">
      <c r="A1316">
        <v>17</v>
      </c>
      <c r="B1316">
        <v>19981679</v>
      </c>
      <c r="C1316">
        <v>19910909</v>
      </c>
      <c r="D1316" t="s">
        <v>29</v>
      </c>
      <c r="E1316" t="s">
        <v>1819</v>
      </c>
      <c r="G1316" t="s">
        <v>1165</v>
      </c>
      <c r="L1316" t="str">
        <f>HYPERLINK("https://test.ictv.global/id/TN19981679","TN19981679@TEST")</f>
        <v>TN19981679@TEST</v>
      </c>
      <c r="M1316" t="str">
        <f>HYPERLINK("https://test.ictv.global/id/ICTV19910909","ICTV19910909@TEST")</f>
        <v>ICTV19910909@TEST</v>
      </c>
      <c r="N1316" t="str">
        <f>HYPERLINK("https://ictv.global/id/TN19981679","TN19981679@prod")</f>
        <v>TN19981679@prod</v>
      </c>
      <c r="O1316" t="str">
        <f>HYPERLINK("https://ictv.global/id/ICTV19910909","ICTV19910909@prod")</f>
        <v>ICTV19910909@prod</v>
      </c>
    </row>
    <row r="1317" spans="1:15" x14ac:dyDescent="0.2">
      <c r="A1317">
        <v>17</v>
      </c>
      <c r="B1317">
        <v>19981680</v>
      </c>
      <c r="C1317">
        <v>19760790</v>
      </c>
      <c r="D1317" t="s">
        <v>29</v>
      </c>
      <c r="E1317" t="s">
        <v>1820</v>
      </c>
      <c r="G1317" t="s">
        <v>1165</v>
      </c>
      <c r="L1317" t="str">
        <f>HYPERLINK("https://test.ictv.global/id/TN19981680","TN19981680@TEST")</f>
        <v>TN19981680@TEST</v>
      </c>
      <c r="M1317" t="str">
        <f>HYPERLINK("https://test.ictv.global/id/ICTV19760790","ICTV19760790@TEST")</f>
        <v>ICTV19760790@TEST</v>
      </c>
      <c r="N1317" t="str">
        <f>HYPERLINK("https://ictv.global/id/TN19981680","TN19981680@prod")</f>
        <v>TN19981680@prod</v>
      </c>
      <c r="O1317" t="str">
        <f>HYPERLINK("https://ictv.global/id/ICTV19760790","ICTV19760790@prod")</f>
        <v>ICTV19760790@prod</v>
      </c>
    </row>
    <row r="1318" spans="1:15" x14ac:dyDescent="0.2">
      <c r="A1318">
        <v>17</v>
      </c>
      <c r="B1318">
        <v>19981681</v>
      </c>
      <c r="C1318">
        <v>19910911</v>
      </c>
      <c r="D1318" t="s">
        <v>29</v>
      </c>
      <c r="E1318" t="s">
        <v>1821</v>
      </c>
      <c r="G1318" t="s">
        <v>1165</v>
      </c>
      <c r="L1318" t="str">
        <f>HYPERLINK("https://test.ictv.global/id/TN19981681","TN19981681@TEST")</f>
        <v>TN19981681@TEST</v>
      </c>
      <c r="M1318" t="str">
        <f>HYPERLINK("https://test.ictv.global/id/ICTV19910911","ICTV19910911@TEST")</f>
        <v>ICTV19910911@TEST</v>
      </c>
      <c r="N1318" t="str">
        <f>HYPERLINK("https://ictv.global/id/TN19981681","TN19981681@prod")</f>
        <v>TN19981681@prod</v>
      </c>
      <c r="O1318" t="str">
        <f>HYPERLINK("https://ictv.global/id/ICTV19910911","ICTV19910911@prod")</f>
        <v>ICTV19910911@prod</v>
      </c>
    </row>
    <row r="1319" spans="1:15" x14ac:dyDescent="0.2">
      <c r="A1319">
        <v>17</v>
      </c>
      <c r="B1319">
        <v>19981682</v>
      </c>
      <c r="C1319">
        <v>19910912</v>
      </c>
      <c r="D1319" t="s">
        <v>29</v>
      </c>
      <c r="E1319" t="s">
        <v>1822</v>
      </c>
      <c r="G1319" t="s">
        <v>1165</v>
      </c>
      <c r="L1319" t="str">
        <f>HYPERLINK("https://test.ictv.global/id/TN19981682","TN19981682@TEST")</f>
        <v>TN19981682@TEST</v>
      </c>
      <c r="M1319" t="str">
        <f>HYPERLINK("https://test.ictv.global/id/ICTV19910912","ICTV19910912@TEST")</f>
        <v>ICTV19910912@TEST</v>
      </c>
      <c r="N1319" t="str">
        <f>HYPERLINK("https://ictv.global/id/TN19981682","TN19981682@prod")</f>
        <v>TN19981682@prod</v>
      </c>
      <c r="O1319" t="str">
        <f>HYPERLINK("https://ictv.global/id/ICTV19910912","ICTV19910912@prod")</f>
        <v>ICTV19910912@prod</v>
      </c>
    </row>
    <row r="1320" spans="1:15" x14ac:dyDescent="0.2">
      <c r="A1320">
        <v>17</v>
      </c>
      <c r="B1320">
        <v>19981683</v>
      </c>
      <c r="C1320">
        <v>19910913</v>
      </c>
      <c r="D1320" t="s">
        <v>29</v>
      </c>
      <c r="E1320" t="s">
        <v>1823</v>
      </c>
      <c r="G1320" t="s">
        <v>1165</v>
      </c>
      <c r="L1320" t="str">
        <f>HYPERLINK("https://test.ictv.global/id/TN19981683","TN19981683@TEST")</f>
        <v>TN19981683@TEST</v>
      </c>
      <c r="M1320" t="str">
        <f>HYPERLINK("https://test.ictv.global/id/ICTV19910913","ICTV19910913@TEST")</f>
        <v>ICTV19910913@TEST</v>
      </c>
      <c r="N1320" t="str">
        <f>HYPERLINK("https://ictv.global/id/TN19981683","TN19981683@prod")</f>
        <v>TN19981683@prod</v>
      </c>
      <c r="O1320" t="str">
        <f>HYPERLINK("https://ictv.global/id/ICTV19910913","ICTV19910913@prod")</f>
        <v>ICTV19910913@prod</v>
      </c>
    </row>
    <row r="1321" spans="1:15" x14ac:dyDescent="0.2">
      <c r="A1321">
        <v>17</v>
      </c>
      <c r="B1321">
        <v>19981684</v>
      </c>
      <c r="C1321">
        <v>19760795</v>
      </c>
      <c r="D1321" t="s">
        <v>29</v>
      </c>
      <c r="E1321" t="s">
        <v>1824</v>
      </c>
      <c r="G1321" t="s">
        <v>1165</v>
      </c>
      <c r="L1321" t="str">
        <f>HYPERLINK("https://test.ictv.global/id/TN19981684","TN19981684@TEST")</f>
        <v>TN19981684@TEST</v>
      </c>
      <c r="M1321" t="str">
        <f>HYPERLINK("https://test.ictv.global/id/ICTV19760795","ICTV19760795@TEST")</f>
        <v>ICTV19760795@TEST</v>
      </c>
      <c r="N1321" t="str">
        <f>HYPERLINK("https://ictv.global/id/TN19981684","TN19981684@prod")</f>
        <v>TN19981684@prod</v>
      </c>
      <c r="O1321" t="str">
        <f>HYPERLINK("https://ictv.global/id/ICTV19760795","ICTV19760795@prod")</f>
        <v>ICTV19760795@prod</v>
      </c>
    </row>
    <row r="1322" spans="1:15" x14ac:dyDescent="0.2">
      <c r="A1322">
        <v>17</v>
      </c>
      <c r="B1322">
        <v>19981685</v>
      </c>
      <c r="C1322">
        <v>19910926</v>
      </c>
      <c r="D1322" t="s">
        <v>29</v>
      </c>
      <c r="E1322" t="s">
        <v>1825</v>
      </c>
      <c r="G1322" t="s">
        <v>1165</v>
      </c>
      <c r="L1322" t="str">
        <f>HYPERLINK("https://test.ictv.global/id/TN19981685","TN19981685@TEST")</f>
        <v>TN19981685@TEST</v>
      </c>
      <c r="M1322" t="str">
        <f>HYPERLINK("https://test.ictv.global/id/ICTV19910926","ICTV19910926@TEST")</f>
        <v>ICTV19910926@TEST</v>
      </c>
      <c r="N1322" t="str">
        <f>HYPERLINK("https://ictv.global/id/TN19981685","TN19981685@prod")</f>
        <v>TN19981685@prod</v>
      </c>
      <c r="O1322" t="str">
        <f>HYPERLINK("https://ictv.global/id/ICTV19910926","ICTV19910926@prod")</f>
        <v>ICTV19910926@prod</v>
      </c>
    </row>
    <row r="1323" spans="1:15" x14ac:dyDescent="0.2">
      <c r="A1323">
        <v>17</v>
      </c>
      <c r="B1323">
        <v>19981686</v>
      </c>
      <c r="C1323">
        <v>19760797</v>
      </c>
      <c r="D1323" t="s">
        <v>29</v>
      </c>
      <c r="E1323" t="s">
        <v>1826</v>
      </c>
      <c r="G1323" t="s">
        <v>1165</v>
      </c>
      <c r="L1323" t="str">
        <f>HYPERLINK("https://test.ictv.global/id/TN19981686","TN19981686@TEST")</f>
        <v>TN19981686@TEST</v>
      </c>
      <c r="M1323" t="str">
        <f>HYPERLINK("https://test.ictv.global/id/ICTV19760797","ICTV19760797@TEST")</f>
        <v>ICTV19760797@TEST</v>
      </c>
      <c r="N1323" t="str">
        <f>HYPERLINK("https://ictv.global/id/TN19981686","TN19981686@prod")</f>
        <v>TN19981686@prod</v>
      </c>
      <c r="O1323" t="str">
        <f>HYPERLINK("https://ictv.global/id/ICTV19760797","ICTV19760797@prod")</f>
        <v>ICTV19760797@prod</v>
      </c>
    </row>
    <row r="1324" spans="1:15" x14ac:dyDescent="0.2">
      <c r="A1324">
        <v>17</v>
      </c>
      <c r="B1324">
        <v>19981687</v>
      </c>
      <c r="C1324">
        <v>19760798</v>
      </c>
      <c r="D1324" t="s">
        <v>29</v>
      </c>
      <c r="E1324" t="s">
        <v>1827</v>
      </c>
      <c r="G1324" t="s">
        <v>1165</v>
      </c>
      <c r="L1324" t="str">
        <f>HYPERLINK("https://test.ictv.global/id/TN19981687","TN19981687@TEST")</f>
        <v>TN19981687@TEST</v>
      </c>
      <c r="M1324" t="str">
        <f>HYPERLINK("https://test.ictv.global/id/ICTV19760798","ICTV19760798@TEST")</f>
        <v>ICTV19760798@TEST</v>
      </c>
      <c r="N1324" t="str">
        <f>HYPERLINK("https://ictv.global/id/TN19981687","TN19981687@prod")</f>
        <v>TN19981687@prod</v>
      </c>
      <c r="O1324" t="str">
        <f>HYPERLINK("https://ictv.global/id/ICTV19760798","ICTV19760798@prod")</f>
        <v>ICTV19760798@prod</v>
      </c>
    </row>
    <row r="1325" spans="1:15" x14ac:dyDescent="0.2">
      <c r="A1325">
        <v>17</v>
      </c>
      <c r="B1325">
        <v>19981688</v>
      </c>
      <c r="C1325">
        <v>19910931</v>
      </c>
      <c r="D1325" t="s">
        <v>29</v>
      </c>
      <c r="E1325" t="s">
        <v>1828</v>
      </c>
      <c r="G1325" t="s">
        <v>1165</v>
      </c>
      <c r="L1325" t="str">
        <f>HYPERLINK("https://test.ictv.global/id/TN19981688","TN19981688@TEST")</f>
        <v>TN19981688@TEST</v>
      </c>
      <c r="M1325" t="str">
        <f>HYPERLINK("https://test.ictv.global/id/ICTV19910931","ICTV19910931@TEST")</f>
        <v>ICTV19910931@TEST</v>
      </c>
      <c r="N1325" t="str">
        <f>HYPERLINK("https://ictv.global/id/TN19981688","TN19981688@prod")</f>
        <v>TN19981688@prod</v>
      </c>
      <c r="O1325" t="str">
        <f>HYPERLINK("https://ictv.global/id/ICTV19910931","ICTV19910931@prod")</f>
        <v>ICTV19910931@prod</v>
      </c>
    </row>
    <row r="1326" spans="1:15" x14ac:dyDescent="0.2">
      <c r="A1326">
        <v>17</v>
      </c>
      <c r="B1326">
        <v>19981689</v>
      </c>
      <c r="C1326">
        <v>19760800</v>
      </c>
      <c r="D1326" t="s">
        <v>29</v>
      </c>
      <c r="E1326" t="s">
        <v>1829</v>
      </c>
      <c r="G1326" t="s">
        <v>1165</v>
      </c>
      <c r="L1326" t="str">
        <f>HYPERLINK("https://test.ictv.global/id/TN19981689","TN19981689@TEST")</f>
        <v>TN19981689@TEST</v>
      </c>
      <c r="M1326" t="str">
        <f>HYPERLINK("https://test.ictv.global/id/ICTV19760800","ICTV19760800@TEST")</f>
        <v>ICTV19760800@TEST</v>
      </c>
      <c r="N1326" t="str">
        <f>HYPERLINK("https://ictv.global/id/TN19981689","TN19981689@prod")</f>
        <v>TN19981689@prod</v>
      </c>
      <c r="O1326" t="str">
        <f>HYPERLINK("https://ictv.global/id/ICTV19760800","ICTV19760800@prod")</f>
        <v>ICTV19760800@prod</v>
      </c>
    </row>
    <row r="1327" spans="1:15" x14ac:dyDescent="0.2">
      <c r="A1327">
        <v>17</v>
      </c>
      <c r="B1327">
        <v>19981690</v>
      </c>
      <c r="C1327">
        <v>19790397</v>
      </c>
      <c r="D1327" t="s">
        <v>29</v>
      </c>
      <c r="E1327" t="s">
        <v>1830</v>
      </c>
      <c r="G1327" t="s">
        <v>1165</v>
      </c>
      <c r="L1327" t="str">
        <f>HYPERLINK("https://test.ictv.global/id/TN19981690","TN19981690@TEST")</f>
        <v>TN19981690@TEST</v>
      </c>
      <c r="M1327" t="str">
        <f>HYPERLINK("https://test.ictv.global/id/ICTV19790397","ICTV19790397@TEST")</f>
        <v>ICTV19790397@TEST</v>
      </c>
      <c r="N1327" t="str">
        <f>HYPERLINK("https://ictv.global/id/TN19981690","TN19981690@prod")</f>
        <v>TN19981690@prod</v>
      </c>
      <c r="O1327" t="str">
        <f>HYPERLINK("https://ictv.global/id/ICTV19790397","ICTV19790397@prod")</f>
        <v>ICTV19790397@prod</v>
      </c>
    </row>
    <row r="1328" spans="1:15" x14ac:dyDescent="0.2">
      <c r="A1328">
        <v>17</v>
      </c>
      <c r="B1328">
        <v>19981691</v>
      </c>
      <c r="C1328">
        <v>19760801</v>
      </c>
      <c r="D1328" t="s">
        <v>29</v>
      </c>
      <c r="E1328" t="s">
        <v>1831</v>
      </c>
      <c r="G1328" t="s">
        <v>1165</v>
      </c>
      <c r="L1328" t="str">
        <f>HYPERLINK("https://test.ictv.global/id/TN19981691","TN19981691@TEST")</f>
        <v>TN19981691@TEST</v>
      </c>
      <c r="M1328" t="str">
        <f>HYPERLINK("https://test.ictv.global/id/ICTV19760801","ICTV19760801@TEST")</f>
        <v>ICTV19760801@TEST</v>
      </c>
      <c r="N1328" t="str">
        <f>HYPERLINK("https://ictv.global/id/TN19981691","TN19981691@prod")</f>
        <v>TN19981691@prod</v>
      </c>
      <c r="O1328" t="str">
        <f>HYPERLINK("https://ictv.global/id/ICTV19760801","ICTV19760801@prod")</f>
        <v>ICTV19760801@prod</v>
      </c>
    </row>
    <row r="1329" spans="1:15" x14ac:dyDescent="0.2">
      <c r="A1329">
        <v>17</v>
      </c>
      <c r="B1329">
        <v>19981692</v>
      </c>
      <c r="C1329">
        <v>19760802</v>
      </c>
      <c r="D1329" t="s">
        <v>29</v>
      </c>
      <c r="E1329" t="s">
        <v>1832</v>
      </c>
      <c r="G1329" t="s">
        <v>1165</v>
      </c>
      <c r="L1329" t="str">
        <f>HYPERLINK("https://test.ictv.global/id/TN19981692","TN19981692@TEST")</f>
        <v>TN19981692@TEST</v>
      </c>
      <c r="M1329" t="str">
        <f>HYPERLINK("https://test.ictv.global/id/ICTV19760802","ICTV19760802@TEST")</f>
        <v>ICTV19760802@TEST</v>
      </c>
      <c r="N1329" t="str">
        <f>HYPERLINK("https://ictv.global/id/TN19981692","TN19981692@prod")</f>
        <v>TN19981692@prod</v>
      </c>
      <c r="O1329" t="str">
        <f>HYPERLINK("https://ictv.global/id/ICTV19760802","ICTV19760802@prod")</f>
        <v>ICTV19760802@prod</v>
      </c>
    </row>
    <row r="1330" spans="1:15" x14ac:dyDescent="0.2">
      <c r="A1330">
        <v>17</v>
      </c>
      <c r="B1330">
        <v>19981693</v>
      </c>
      <c r="C1330">
        <v>19760803</v>
      </c>
      <c r="D1330" t="s">
        <v>29</v>
      </c>
      <c r="E1330" t="s">
        <v>1833</v>
      </c>
      <c r="G1330" t="s">
        <v>1165</v>
      </c>
      <c r="L1330" t="str">
        <f>HYPERLINK("https://test.ictv.global/id/TN19981693","TN19981693@TEST")</f>
        <v>TN19981693@TEST</v>
      </c>
      <c r="M1330" t="str">
        <f>HYPERLINK("https://test.ictv.global/id/ICTV19760803","ICTV19760803@TEST")</f>
        <v>ICTV19760803@TEST</v>
      </c>
      <c r="N1330" t="str">
        <f>HYPERLINK("https://ictv.global/id/TN19981693","TN19981693@prod")</f>
        <v>TN19981693@prod</v>
      </c>
      <c r="O1330" t="str">
        <f>HYPERLINK("https://ictv.global/id/ICTV19760803","ICTV19760803@prod")</f>
        <v>ICTV19760803@prod</v>
      </c>
    </row>
    <row r="1331" spans="1:15" x14ac:dyDescent="0.2">
      <c r="A1331">
        <v>17</v>
      </c>
      <c r="B1331">
        <v>19981694</v>
      </c>
      <c r="C1331">
        <v>19790374</v>
      </c>
      <c r="D1331" t="s">
        <v>29</v>
      </c>
      <c r="E1331" t="s">
        <v>1834</v>
      </c>
      <c r="G1331" t="s">
        <v>1165</v>
      </c>
      <c r="L1331" t="str">
        <f>HYPERLINK("https://test.ictv.global/id/TN19981694","TN19981694@TEST")</f>
        <v>TN19981694@TEST</v>
      </c>
      <c r="M1331" t="str">
        <f>HYPERLINK("https://test.ictv.global/id/ICTV19790374","ICTV19790374@TEST")</f>
        <v>ICTV19790374@TEST</v>
      </c>
      <c r="N1331" t="str">
        <f>HYPERLINK("https://ictv.global/id/TN19981694","TN19981694@prod")</f>
        <v>TN19981694@prod</v>
      </c>
      <c r="O1331" t="str">
        <f>HYPERLINK("https://ictv.global/id/ICTV19790374","ICTV19790374@prod")</f>
        <v>ICTV19790374@prod</v>
      </c>
    </row>
    <row r="1332" spans="1:15" x14ac:dyDescent="0.2">
      <c r="A1332">
        <v>17</v>
      </c>
      <c r="B1332">
        <v>19981695</v>
      </c>
      <c r="C1332">
        <v>19910928</v>
      </c>
      <c r="D1332" t="s">
        <v>29</v>
      </c>
      <c r="E1332" t="s">
        <v>1835</v>
      </c>
      <c r="G1332" t="s">
        <v>1165</v>
      </c>
      <c r="L1332" t="str">
        <f>HYPERLINK("https://test.ictv.global/id/TN19981695","TN19981695@TEST")</f>
        <v>TN19981695@TEST</v>
      </c>
      <c r="M1332" t="str">
        <f>HYPERLINK("https://test.ictv.global/id/ICTV19910928","ICTV19910928@TEST")</f>
        <v>ICTV19910928@TEST</v>
      </c>
      <c r="N1332" t="str">
        <f>HYPERLINK("https://ictv.global/id/TN19981695","TN19981695@prod")</f>
        <v>TN19981695@prod</v>
      </c>
      <c r="O1332" t="str">
        <f>HYPERLINK("https://ictv.global/id/ICTV19910928","ICTV19910928@prod")</f>
        <v>ICTV19910928@prod</v>
      </c>
    </row>
    <row r="1333" spans="1:15" x14ac:dyDescent="0.2">
      <c r="A1333">
        <v>17</v>
      </c>
      <c r="B1333">
        <v>19981698</v>
      </c>
      <c r="C1333">
        <v>19951241</v>
      </c>
      <c r="D1333" t="s">
        <v>29</v>
      </c>
      <c r="E1333" t="s">
        <v>1836</v>
      </c>
      <c r="G1333" t="s">
        <v>1165</v>
      </c>
      <c r="L1333" t="str">
        <f>HYPERLINK("https://test.ictv.global/id/TN19981698","TN19981698@TEST")</f>
        <v>TN19981698@TEST</v>
      </c>
      <c r="M1333" t="str">
        <f>HYPERLINK("https://test.ictv.global/id/ICTV19951241","ICTV19951241@TEST")</f>
        <v>ICTV19951241@TEST</v>
      </c>
      <c r="N1333" t="str">
        <f>HYPERLINK("https://ictv.global/id/TN19981698","TN19981698@prod")</f>
        <v>TN19981698@prod</v>
      </c>
      <c r="O1333" t="str">
        <f>HYPERLINK("https://ictv.global/id/ICTV19951241","ICTV19951241@prod")</f>
        <v>ICTV19951241@prod</v>
      </c>
    </row>
    <row r="1334" spans="1:15" x14ac:dyDescent="0.2">
      <c r="A1334">
        <v>17</v>
      </c>
      <c r="B1334">
        <v>19981699</v>
      </c>
      <c r="C1334">
        <v>19951240</v>
      </c>
      <c r="D1334" t="s">
        <v>29</v>
      </c>
      <c r="E1334" t="s">
        <v>1837</v>
      </c>
      <c r="G1334" t="s">
        <v>1165</v>
      </c>
      <c r="L1334" t="str">
        <f>HYPERLINK("https://test.ictv.global/id/TN19981699","TN19981699@TEST")</f>
        <v>TN19981699@TEST</v>
      </c>
      <c r="M1334" t="str">
        <f>HYPERLINK("https://test.ictv.global/id/ICTV19951240","ICTV19951240@TEST")</f>
        <v>ICTV19951240@TEST</v>
      </c>
      <c r="N1334" t="str">
        <f>HYPERLINK("https://ictv.global/id/TN19981699","TN19981699@prod")</f>
        <v>TN19981699@prod</v>
      </c>
      <c r="O1334" t="str">
        <f>HYPERLINK("https://ictv.global/id/ICTV19951240","ICTV19951240@prod")</f>
        <v>ICTV19951240@prod</v>
      </c>
    </row>
    <row r="1335" spans="1:15" x14ac:dyDescent="0.2">
      <c r="A1335">
        <v>17</v>
      </c>
      <c r="B1335">
        <v>19981702</v>
      </c>
      <c r="C1335">
        <v>19952389</v>
      </c>
      <c r="D1335" t="s">
        <v>29</v>
      </c>
      <c r="E1335" t="s">
        <v>303</v>
      </c>
      <c r="F1335" t="s">
        <v>1838</v>
      </c>
      <c r="G1335" t="s">
        <v>33</v>
      </c>
      <c r="H1335" t="s">
        <v>303</v>
      </c>
      <c r="I1335" t="s">
        <v>29</v>
      </c>
      <c r="J1335">
        <v>19952389</v>
      </c>
      <c r="K1335">
        <v>19991075</v>
      </c>
      <c r="L1335" t="str">
        <f>HYPERLINK("https://test.ictv.global/id/TN19981702","TN19981702@TEST")</f>
        <v>TN19981702@TEST</v>
      </c>
      <c r="M1335" t="str">
        <f>HYPERLINK("https://test.ictv.global/id/ICTV19952389","ICTV19952389@TEST")</f>
        <v>ICTV19952389@TEST</v>
      </c>
      <c r="N1335" t="str">
        <f>HYPERLINK("https://ictv.global/id/TN19981702","TN19981702@prod")</f>
        <v>TN19981702@prod</v>
      </c>
      <c r="O1335" t="str">
        <f>HYPERLINK("https://ictv.global/id/ICTV19952389","ICTV19952389@prod")</f>
        <v>ICTV19952389@prod</v>
      </c>
    </row>
    <row r="1336" spans="1:15" x14ac:dyDescent="0.2">
      <c r="A1336">
        <v>17</v>
      </c>
      <c r="B1336">
        <v>19981703</v>
      </c>
      <c r="C1336">
        <v>19952390</v>
      </c>
      <c r="D1336" t="s">
        <v>29</v>
      </c>
      <c r="E1336" t="s">
        <v>304</v>
      </c>
      <c r="G1336" t="s">
        <v>31</v>
      </c>
      <c r="H1336" t="s">
        <v>303</v>
      </c>
      <c r="I1336" t="s">
        <v>29</v>
      </c>
      <c r="J1336">
        <v>19952389</v>
      </c>
      <c r="K1336">
        <v>19991075</v>
      </c>
      <c r="L1336" t="str">
        <f>HYPERLINK("https://test.ictv.global/id/TN19981703","TN19981703@TEST")</f>
        <v>TN19981703@TEST</v>
      </c>
      <c r="M1336" t="str">
        <f>HYPERLINK("https://test.ictv.global/id/ICTV19952390","ICTV19952390@TEST")</f>
        <v>ICTV19952390@TEST</v>
      </c>
      <c r="N1336" t="str">
        <f>HYPERLINK("https://ictv.global/id/TN19981703","TN19981703@prod")</f>
        <v>TN19981703@prod</v>
      </c>
      <c r="O1336" t="str">
        <f>HYPERLINK("https://ictv.global/id/ICTV19952390","ICTV19952390@prod")</f>
        <v>ICTV19952390@prod</v>
      </c>
    </row>
    <row r="1337" spans="1:15" x14ac:dyDescent="0.2">
      <c r="A1337">
        <v>17</v>
      </c>
      <c r="B1337">
        <v>19981705</v>
      </c>
      <c r="C1337">
        <v>19952400</v>
      </c>
      <c r="D1337" t="s">
        <v>29</v>
      </c>
      <c r="E1337" t="s">
        <v>241</v>
      </c>
      <c r="G1337" t="s">
        <v>166</v>
      </c>
      <c r="H1337" t="s">
        <v>720</v>
      </c>
      <c r="I1337" t="s">
        <v>29</v>
      </c>
      <c r="J1337">
        <v>19991080</v>
      </c>
      <c r="K1337">
        <v>19991080</v>
      </c>
      <c r="L1337" t="str">
        <f>HYPERLINK("https://test.ictv.global/id/TN19981705","TN19981705@TEST")</f>
        <v>TN19981705@TEST</v>
      </c>
      <c r="M1337" t="str">
        <f>HYPERLINK("https://test.ictv.global/id/ICTV19952400","ICTV19952400@TEST")</f>
        <v>ICTV19952400@TEST</v>
      </c>
      <c r="N1337" t="str">
        <f>HYPERLINK("https://ictv.global/id/TN19981705","TN19981705@prod")</f>
        <v>TN19981705@prod</v>
      </c>
      <c r="O1337" t="str">
        <f>HYPERLINK("https://ictv.global/id/ICTV19952400","ICTV19952400@prod")</f>
        <v>ICTV19952400@prod</v>
      </c>
    </row>
    <row r="1338" spans="1:15" x14ac:dyDescent="0.2">
      <c r="A1338">
        <v>17</v>
      </c>
      <c r="B1338">
        <v>19981707</v>
      </c>
      <c r="C1338">
        <v>19952403</v>
      </c>
      <c r="D1338" t="s">
        <v>29</v>
      </c>
      <c r="E1338" t="s">
        <v>721</v>
      </c>
      <c r="G1338" t="s">
        <v>166</v>
      </c>
      <c r="H1338" t="s">
        <v>720</v>
      </c>
      <c r="I1338" t="s">
        <v>29</v>
      </c>
      <c r="J1338">
        <v>19991080</v>
      </c>
      <c r="K1338">
        <v>19991080</v>
      </c>
      <c r="L1338" t="str">
        <f>HYPERLINK("https://test.ictv.global/id/TN19981707","TN19981707@TEST")</f>
        <v>TN19981707@TEST</v>
      </c>
      <c r="M1338" t="str">
        <f>HYPERLINK("https://test.ictv.global/id/ICTV19952403","ICTV19952403@TEST")</f>
        <v>ICTV19952403@TEST</v>
      </c>
      <c r="N1338" t="str">
        <f>HYPERLINK("https://ictv.global/id/TN19981707","TN19981707@prod")</f>
        <v>TN19981707@prod</v>
      </c>
      <c r="O1338" t="str">
        <f>HYPERLINK("https://ictv.global/id/ICTV19952403","ICTV19952403@prod")</f>
        <v>ICTV19952403@prod</v>
      </c>
    </row>
    <row r="1339" spans="1:15" x14ac:dyDescent="0.2">
      <c r="A1339">
        <v>17</v>
      </c>
      <c r="B1339">
        <v>19981712</v>
      </c>
      <c r="C1339">
        <v>19991080</v>
      </c>
      <c r="D1339" t="s">
        <v>29</v>
      </c>
      <c r="E1339" t="s">
        <v>720</v>
      </c>
      <c r="F1339" t="s">
        <v>1839</v>
      </c>
      <c r="G1339" t="s">
        <v>33</v>
      </c>
      <c r="H1339" t="s">
        <v>720</v>
      </c>
      <c r="I1339" t="s">
        <v>29</v>
      </c>
      <c r="J1339">
        <v>19991080</v>
      </c>
      <c r="K1339">
        <v>19991080</v>
      </c>
      <c r="L1339" t="str">
        <f>HYPERLINK("https://test.ictv.global/id/TN19981712","TN19981712@TEST")</f>
        <v>TN19981712@TEST</v>
      </c>
      <c r="M1339" t="str">
        <f>HYPERLINK("https://test.ictv.global/id/ICTV19991080","ICTV19991080@TEST")</f>
        <v>ICTV19991080@TEST</v>
      </c>
      <c r="N1339" t="str">
        <f>HYPERLINK("https://ictv.global/id/TN19981712","TN19981712@prod")</f>
        <v>TN19981712@prod</v>
      </c>
      <c r="O1339" t="str">
        <f>HYPERLINK("https://ictv.global/id/ICTV19991080","ICTV19991080@prod")</f>
        <v>ICTV19991080@prod</v>
      </c>
    </row>
    <row r="1340" spans="1:15" x14ac:dyDescent="0.2">
      <c r="A1340">
        <v>17</v>
      </c>
      <c r="B1340">
        <v>19981724</v>
      </c>
      <c r="C1340">
        <v>19931086</v>
      </c>
      <c r="D1340" t="s">
        <v>29</v>
      </c>
      <c r="E1340" t="s">
        <v>1840</v>
      </c>
      <c r="G1340" t="s">
        <v>1165</v>
      </c>
      <c r="L1340" t="str">
        <f>HYPERLINK("https://test.ictv.global/id/TN19981724","TN19981724@TEST")</f>
        <v>TN19981724@TEST</v>
      </c>
      <c r="M1340" t="str">
        <f>HYPERLINK("https://test.ictv.global/id/ICTV19931086","ICTV19931086@TEST")</f>
        <v>ICTV19931086@TEST</v>
      </c>
      <c r="N1340" t="str">
        <f>HYPERLINK("https://ictv.global/id/TN19981724","TN19981724@prod")</f>
        <v>TN19981724@prod</v>
      </c>
      <c r="O1340" t="str">
        <f>HYPERLINK("https://ictv.global/id/ICTV19931086","ICTV19931086@prod")</f>
        <v>ICTV19931086@prod</v>
      </c>
    </row>
    <row r="1341" spans="1:15" x14ac:dyDescent="0.2">
      <c r="A1341">
        <v>17</v>
      </c>
      <c r="B1341">
        <v>19981725</v>
      </c>
      <c r="C1341">
        <v>19931087</v>
      </c>
      <c r="D1341" t="s">
        <v>29</v>
      </c>
      <c r="E1341" t="s">
        <v>1841</v>
      </c>
      <c r="G1341" t="s">
        <v>1165</v>
      </c>
      <c r="L1341" t="str">
        <f>HYPERLINK("https://test.ictv.global/id/TN19981725","TN19981725@TEST")</f>
        <v>TN19981725@TEST</v>
      </c>
      <c r="M1341" t="str">
        <f>HYPERLINK("https://test.ictv.global/id/ICTV19931087","ICTV19931087@TEST")</f>
        <v>ICTV19931087@TEST</v>
      </c>
      <c r="N1341" t="str">
        <f>HYPERLINK("https://ictv.global/id/TN19981725","TN19981725@prod")</f>
        <v>TN19981725@prod</v>
      </c>
      <c r="O1341" t="str">
        <f>HYPERLINK("https://ictv.global/id/ICTV19931087","ICTV19931087@prod")</f>
        <v>ICTV19931087@prod</v>
      </c>
    </row>
    <row r="1342" spans="1:15" x14ac:dyDescent="0.2">
      <c r="A1342">
        <v>17</v>
      </c>
      <c r="B1342">
        <v>19981726</v>
      </c>
      <c r="C1342">
        <v>19931088</v>
      </c>
      <c r="D1342" t="s">
        <v>29</v>
      </c>
      <c r="E1342" t="s">
        <v>1842</v>
      </c>
      <c r="G1342" t="s">
        <v>1165</v>
      </c>
      <c r="L1342" t="str">
        <f>HYPERLINK("https://test.ictv.global/id/TN19981726","TN19981726@TEST")</f>
        <v>TN19981726@TEST</v>
      </c>
      <c r="M1342" t="str">
        <f>HYPERLINK("https://test.ictv.global/id/ICTV19931088","ICTV19931088@TEST")</f>
        <v>ICTV19931088@TEST</v>
      </c>
      <c r="N1342" t="str">
        <f>HYPERLINK("https://ictv.global/id/TN19981726","TN19981726@prod")</f>
        <v>TN19981726@prod</v>
      </c>
      <c r="O1342" t="str">
        <f>HYPERLINK("https://ictv.global/id/ICTV19931088","ICTV19931088@prod")</f>
        <v>ICTV19931088@prod</v>
      </c>
    </row>
    <row r="1343" spans="1:15" x14ac:dyDescent="0.2">
      <c r="A1343">
        <v>17</v>
      </c>
      <c r="B1343">
        <v>19981727</v>
      </c>
      <c r="C1343">
        <v>19931089</v>
      </c>
      <c r="D1343" t="s">
        <v>29</v>
      </c>
      <c r="E1343" t="s">
        <v>1843</v>
      </c>
      <c r="G1343" t="s">
        <v>1165</v>
      </c>
      <c r="L1343" t="str">
        <f>HYPERLINK("https://test.ictv.global/id/TN19981727","TN19981727@TEST")</f>
        <v>TN19981727@TEST</v>
      </c>
      <c r="M1343" t="str">
        <f>HYPERLINK("https://test.ictv.global/id/ICTV19931089","ICTV19931089@TEST")</f>
        <v>ICTV19931089@TEST</v>
      </c>
      <c r="N1343" t="str">
        <f>HYPERLINK("https://ictv.global/id/TN19981727","TN19981727@prod")</f>
        <v>TN19981727@prod</v>
      </c>
      <c r="O1343" t="str">
        <f>HYPERLINK("https://ictv.global/id/ICTV19931089","ICTV19931089@prod")</f>
        <v>ICTV19931089@prod</v>
      </c>
    </row>
    <row r="1344" spans="1:15" x14ac:dyDescent="0.2">
      <c r="A1344">
        <v>17</v>
      </c>
      <c r="B1344">
        <v>19981728</v>
      </c>
      <c r="C1344">
        <v>19931090</v>
      </c>
      <c r="D1344" t="s">
        <v>29</v>
      </c>
      <c r="E1344" t="s">
        <v>1844</v>
      </c>
      <c r="G1344" t="s">
        <v>1165</v>
      </c>
      <c r="L1344" t="str">
        <f>HYPERLINK("https://test.ictv.global/id/TN19981728","TN19981728@TEST")</f>
        <v>TN19981728@TEST</v>
      </c>
      <c r="M1344" t="str">
        <f>HYPERLINK("https://test.ictv.global/id/ICTV19931090","ICTV19931090@TEST")</f>
        <v>ICTV19931090@TEST</v>
      </c>
      <c r="N1344" t="str">
        <f>HYPERLINK("https://ictv.global/id/TN19981728","TN19981728@prod")</f>
        <v>TN19981728@prod</v>
      </c>
      <c r="O1344" t="str">
        <f>HYPERLINK("https://ictv.global/id/ICTV19931090","ICTV19931090@prod")</f>
        <v>ICTV19931090@prod</v>
      </c>
    </row>
    <row r="1345" spans="1:15" x14ac:dyDescent="0.2">
      <c r="A1345">
        <v>17</v>
      </c>
      <c r="B1345">
        <v>19981729</v>
      </c>
      <c r="C1345">
        <v>19931091</v>
      </c>
      <c r="D1345" t="s">
        <v>29</v>
      </c>
      <c r="E1345" t="s">
        <v>1845</v>
      </c>
      <c r="G1345" t="s">
        <v>1165</v>
      </c>
      <c r="L1345" t="str">
        <f>HYPERLINK("https://test.ictv.global/id/TN19981729","TN19981729@TEST")</f>
        <v>TN19981729@TEST</v>
      </c>
      <c r="M1345" t="str">
        <f>HYPERLINK("https://test.ictv.global/id/ICTV19931091","ICTV19931091@TEST")</f>
        <v>ICTV19931091@TEST</v>
      </c>
      <c r="N1345" t="str">
        <f>HYPERLINK("https://ictv.global/id/TN19981729","TN19981729@prod")</f>
        <v>TN19981729@prod</v>
      </c>
      <c r="O1345" t="str">
        <f>HYPERLINK("https://ictv.global/id/ICTV19931091","ICTV19931091@prod")</f>
        <v>ICTV19931091@prod</v>
      </c>
    </row>
    <row r="1346" spans="1:15" x14ac:dyDescent="0.2">
      <c r="A1346">
        <v>17</v>
      </c>
      <c r="B1346">
        <v>19981731</v>
      </c>
      <c r="C1346">
        <v>19760721</v>
      </c>
      <c r="D1346" t="s">
        <v>29</v>
      </c>
      <c r="E1346" t="s">
        <v>1846</v>
      </c>
      <c r="G1346" t="s">
        <v>1165</v>
      </c>
      <c r="L1346" t="str">
        <f>HYPERLINK("https://test.ictv.global/id/TN19981731","TN19981731@TEST")</f>
        <v>TN19981731@TEST</v>
      </c>
      <c r="M1346" t="str">
        <f>HYPERLINK("https://test.ictv.global/id/ICTV19760721","ICTV19760721@TEST")</f>
        <v>ICTV19760721@TEST</v>
      </c>
      <c r="N1346" t="str">
        <f>HYPERLINK("https://ictv.global/id/TN19981731","TN19981731@prod")</f>
        <v>TN19981731@prod</v>
      </c>
      <c r="O1346" t="str">
        <f>HYPERLINK("https://ictv.global/id/ICTV19760721","ICTV19760721@prod")</f>
        <v>ICTV19760721@prod</v>
      </c>
    </row>
    <row r="1347" spans="1:15" x14ac:dyDescent="0.2">
      <c r="A1347">
        <v>17</v>
      </c>
      <c r="B1347">
        <v>19981732</v>
      </c>
      <c r="C1347">
        <v>19760722</v>
      </c>
      <c r="D1347" t="s">
        <v>29</v>
      </c>
      <c r="E1347" t="s">
        <v>1847</v>
      </c>
      <c r="G1347" t="s">
        <v>1165</v>
      </c>
      <c r="L1347" t="str">
        <f>HYPERLINK("https://test.ictv.global/id/TN19981732","TN19981732@TEST")</f>
        <v>TN19981732@TEST</v>
      </c>
      <c r="M1347" t="str">
        <f>HYPERLINK("https://test.ictv.global/id/ICTV19760722","ICTV19760722@TEST")</f>
        <v>ICTV19760722@TEST</v>
      </c>
      <c r="N1347" t="str">
        <f>HYPERLINK("https://ictv.global/id/TN19981732","TN19981732@prod")</f>
        <v>TN19981732@prod</v>
      </c>
      <c r="O1347" t="str">
        <f>HYPERLINK("https://ictv.global/id/ICTV19760722","ICTV19760722@prod")</f>
        <v>ICTV19760722@prod</v>
      </c>
    </row>
    <row r="1348" spans="1:15" x14ac:dyDescent="0.2">
      <c r="A1348">
        <v>17</v>
      </c>
      <c r="B1348">
        <v>19981733</v>
      </c>
      <c r="C1348">
        <v>19760723</v>
      </c>
      <c r="D1348" t="s">
        <v>29</v>
      </c>
      <c r="E1348" t="s">
        <v>1848</v>
      </c>
      <c r="G1348" t="s">
        <v>1165</v>
      </c>
      <c r="L1348" t="str">
        <f>HYPERLINK("https://test.ictv.global/id/TN19981733","TN19981733@TEST")</f>
        <v>TN19981733@TEST</v>
      </c>
      <c r="M1348" t="str">
        <f>HYPERLINK("https://test.ictv.global/id/ICTV19760723","ICTV19760723@TEST")</f>
        <v>ICTV19760723@TEST</v>
      </c>
      <c r="N1348" t="str">
        <f>HYPERLINK("https://ictv.global/id/TN19981733","TN19981733@prod")</f>
        <v>TN19981733@prod</v>
      </c>
      <c r="O1348" t="str">
        <f>HYPERLINK("https://ictv.global/id/ICTV19760723","ICTV19760723@prod")</f>
        <v>ICTV19760723@prod</v>
      </c>
    </row>
    <row r="1349" spans="1:15" x14ac:dyDescent="0.2">
      <c r="A1349">
        <v>17</v>
      </c>
      <c r="B1349">
        <v>19981734</v>
      </c>
      <c r="C1349">
        <v>19760724</v>
      </c>
      <c r="D1349" t="s">
        <v>29</v>
      </c>
      <c r="E1349" t="s">
        <v>1849</v>
      </c>
      <c r="G1349" t="s">
        <v>1165</v>
      </c>
      <c r="L1349" t="str">
        <f>HYPERLINK("https://test.ictv.global/id/TN19981734","TN19981734@TEST")</f>
        <v>TN19981734@TEST</v>
      </c>
      <c r="M1349" t="str">
        <f>HYPERLINK("https://test.ictv.global/id/ICTV19760724","ICTV19760724@TEST")</f>
        <v>ICTV19760724@TEST</v>
      </c>
      <c r="N1349" t="str">
        <f>HYPERLINK("https://ictv.global/id/TN19981734","TN19981734@prod")</f>
        <v>TN19981734@prod</v>
      </c>
      <c r="O1349" t="str">
        <f>HYPERLINK("https://ictv.global/id/ICTV19760724","ICTV19760724@prod")</f>
        <v>ICTV19760724@prod</v>
      </c>
    </row>
    <row r="1350" spans="1:15" x14ac:dyDescent="0.2">
      <c r="A1350">
        <v>17</v>
      </c>
      <c r="B1350">
        <v>19981735</v>
      </c>
      <c r="C1350">
        <v>19910942</v>
      </c>
      <c r="D1350" t="s">
        <v>29</v>
      </c>
      <c r="E1350" t="s">
        <v>1850</v>
      </c>
      <c r="G1350" t="s">
        <v>1165</v>
      </c>
      <c r="L1350" t="str">
        <f>HYPERLINK("https://test.ictv.global/id/TN19981735","TN19981735@TEST")</f>
        <v>TN19981735@TEST</v>
      </c>
      <c r="M1350" t="str">
        <f>HYPERLINK("https://test.ictv.global/id/ICTV19910942","ICTV19910942@TEST")</f>
        <v>ICTV19910942@TEST</v>
      </c>
      <c r="N1350" t="str">
        <f>HYPERLINK("https://ictv.global/id/TN19981735","TN19981735@prod")</f>
        <v>TN19981735@prod</v>
      </c>
      <c r="O1350" t="str">
        <f>HYPERLINK("https://ictv.global/id/ICTV19910942","ICTV19910942@prod")</f>
        <v>ICTV19910942@prod</v>
      </c>
    </row>
    <row r="1351" spans="1:15" x14ac:dyDescent="0.2">
      <c r="A1351">
        <v>17</v>
      </c>
      <c r="B1351">
        <v>19981736</v>
      </c>
      <c r="C1351">
        <v>19760725</v>
      </c>
      <c r="D1351" t="s">
        <v>29</v>
      </c>
      <c r="E1351" t="s">
        <v>1851</v>
      </c>
      <c r="G1351" t="s">
        <v>1165</v>
      </c>
      <c r="L1351" t="str">
        <f>HYPERLINK("https://test.ictv.global/id/TN19981736","TN19981736@TEST")</f>
        <v>TN19981736@TEST</v>
      </c>
      <c r="M1351" t="str">
        <f>HYPERLINK("https://test.ictv.global/id/ICTV19760725","ICTV19760725@TEST")</f>
        <v>ICTV19760725@TEST</v>
      </c>
      <c r="N1351" t="str">
        <f>HYPERLINK("https://ictv.global/id/TN19981736","TN19981736@prod")</f>
        <v>TN19981736@prod</v>
      </c>
      <c r="O1351" t="str">
        <f>HYPERLINK("https://ictv.global/id/ICTV19760725","ICTV19760725@prod")</f>
        <v>ICTV19760725@prod</v>
      </c>
    </row>
    <row r="1352" spans="1:15" x14ac:dyDescent="0.2">
      <c r="A1352">
        <v>17</v>
      </c>
      <c r="B1352">
        <v>19981737</v>
      </c>
      <c r="C1352">
        <v>19760726</v>
      </c>
      <c r="D1352" t="s">
        <v>29</v>
      </c>
      <c r="E1352" t="s">
        <v>1852</v>
      </c>
      <c r="G1352" t="s">
        <v>1165</v>
      </c>
      <c r="L1352" t="str">
        <f>HYPERLINK("https://test.ictv.global/id/TN19981737","TN19981737@TEST")</f>
        <v>TN19981737@TEST</v>
      </c>
      <c r="M1352" t="str">
        <f>HYPERLINK("https://test.ictv.global/id/ICTV19760726","ICTV19760726@TEST")</f>
        <v>ICTV19760726@TEST</v>
      </c>
      <c r="N1352" t="str">
        <f>HYPERLINK("https://ictv.global/id/TN19981737","TN19981737@prod")</f>
        <v>TN19981737@prod</v>
      </c>
      <c r="O1352" t="str">
        <f>HYPERLINK("https://ictv.global/id/ICTV19760726","ICTV19760726@prod")</f>
        <v>ICTV19760726@prod</v>
      </c>
    </row>
    <row r="1353" spans="1:15" x14ac:dyDescent="0.2">
      <c r="A1353">
        <v>17</v>
      </c>
      <c r="B1353">
        <v>19981738</v>
      </c>
      <c r="C1353">
        <v>19910945</v>
      </c>
      <c r="D1353" t="s">
        <v>29</v>
      </c>
      <c r="E1353" t="s">
        <v>1853</v>
      </c>
      <c r="G1353" t="s">
        <v>1165</v>
      </c>
      <c r="L1353" t="str">
        <f>HYPERLINK("https://test.ictv.global/id/TN19981738","TN19981738@TEST")</f>
        <v>TN19981738@TEST</v>
      </c>
      <c r="M1353" t="str">
        <f>HYPERLINK("https://test.ictv.global/id/ICTV19910945","ICTV19910945@TEST")</f>
        <v>ICTV19910945@TEST</v>
      </c>
      <c r="N1353" t="str">
        <f>HYPERLINK("https://ictv.global/id/TN19981738","TN19981738@prod")</f>
        <v>TN19981738@prod</v>
      </c>
      <c r="O1353" t="str">
        <f>HYPERLINK("https://ictv.global/id/ICTV19910945","ICTV19910945@prod")</f>
        <v>ICTV19910945@prod</v>
      </c>
    </row>
    <row r="1354" spans="1:15" x14ac:dyDescent="0.2">
      <c r="A1354">
        <v>17</v>
      </c>
      <c r="B1354">
        <v>19981739</v>
      </c>
      <c r="C1354">
        <v>19760727</v>
      </c>
      <c r="D1354" t="s">
        <v>29</v>
      </c>
      <c r="E1354" t="s">
        <v>1854</v>
      </c>
      <c r="G1354" t="s">
        <v>1165</v>
      </c>
      <c r="L1354" t="str">
        <f>HYPERLINK("https://test.ictv.global/id/TN19981739","TN19981739@TEST")</f>
        <v>TN19981739@TEST</v>
      </c>
      <c r="M1354" t="str">
        <f>HYPERLINK("https://test.ictv.global/id/ICTV19760727","ICTV19760727@TEST")</f>
        <v>ICTV19760727@TEST</v>
      </c>
      <c r="N1354" t="str">
        <f>HYPERLINK("https://ictv.global/id/TN19981739","TN19981739@prod")</f>
        <v>TN19981739@prod</v>
      </c>
      <c r="O1354" t="str">
        <f>HYPERLINK("https://ictv.global/id/ICTV19760727","ICTV19760727@prod")</f>
        <v>ICTV19760727@prod</v>
      </c>
    </row>
    <row r="1355" spans="1:15" x14ac:dyDescent="0.2">
      <c r="A1355">
        <v>17</v>
      </c>
      <c r="B1355">
        <v>19981740</v>
      </c>
      <c r="C1355">
        <v>19760728</v>
      </c>
      <c r="D1355" t="s">
        <v>29</v>
      </c>
      <c r="E1355" t="s">
        <v>1855</v>
      </c>
      <c r="G1355" t="s">
        <v>1165</v>
      </c>
      <c r="L1355" t="str">
        <f>HYPERLINK("https://test.ictv.global/id/TN19981740","TN19981740@TEST")</f>
        <v>TN19981740@TEST</v>
      </c>
      <c r="M1355" t="str">
        <f>HYPERLINK("https://test.ictv.global/id/ICTV19760728","ICTV19760728@TEST")</f>
        <v>ICTV19760728@TEST</v>
      </c>
      <c r="N1355" t="str">
        <f>HYPERLINK("https://ictv.global/id/TN19981740","TN19981740@prod")</f>
        <v>TN19981740@prod</v>
      </c>
      <c r="O1355" t="str">
        <f>HYPERLINK("https://ictv.global/id/ICTV19760728","ICTV19760728@prod")</f>
        <v>ICTV19760728@prod</v>
      </c>
    </row>
    <row r="1356" spans="1:15" x14ac:dyDescent="0.2">
      <c r="A1356">
        <v>17</v>
      </c>
      <c r="B1356">
        <v>19981741</v>
      </c>
      <c r="C1356">
        <v>19760729</v>
      </c>
      <c r="D1356" t="s">
        <v>29</v>
      </c>
      <c r="E1356" t="s">
        <v>1856</v>
      </c>
      <c r="G1356" t="s">
        <v>1165</v>
      </c>
      <c r="L1356" t="str">
        <f>HYPERLINK("https://test.ictv.global/id/TN19981741","TN19981741@TEST")</f>
        <v>TN19981741@TEST</v>
      </c>
      <c r="M1356" t="str">
        <f>HYPERLINK("https://test.ictv.global/id/ICTV19760729","ICTV19760729@TEST")</f>
        <v>ICTV19760729@TEST</v>
      </c>
      <c r="N1356" t="str">
        <f>HYPERLINK("https://ictv.global/id/TN19981741","TN19981741@prod")</f>
        <v>TN19981741@prod</v>
      </c>
      <c r="O1356" t="str">
        <f>HYPERLINK("https://ictv.global/id/ICTV19760729","ICTV19760729@prod")</f>
        <v>ICTV19760729@prod</v>
      </c>
    </row>
    <row r="1357" spans="1:15" x14ac:dyDescent="0.2">
      <c r="A1357">
        <v>17</v>
      </c>
      <c r="B1357">
        <v>19981742</v>
      </c>
      <c r="C1357">
        <v>19760730</v>
      </c>
      <c r="D1357" t="s">
        <v>29</v>
      </c>
      <c r="E1357" t="s">
        <v>1857</v>
      </c>
      <c r="G1357" t="s">
        <v>1165</v>
      </c>
      <c r="L1357" t="str">
        <f>HYPERLINK("https://test.ictv.global/id/TN19981742","TN19981742@TEST")</f>
        <v>TN19981742@TEST</v>
      </c>
      <c r="M1357" t="str">
        <f>HYPERLINK("https://test.ictv.global/id/ICTV19760730","ICTV19760730@TEST")</f>
        <v>ICTV19760730@TEST</v>
      </c>
      <c r="N1357" t="str">
        <f>HYPERLINK("https://ictv.global/id/TN19981742","TN19981742@prod")</f>
        <v>TN19981742@prod</v>
      </c>
      <c r="O1357" t="str">
        <f>HYPERLINK("https://ictv.global/id/ICTV19760730","ICTV19760730@prod")</f>
        <v>ICTV19760730@prod</v>
      </c>
    </row>
    <row r="1358" spans="1:15" x14ac:dyDescent="0.2">
      <c r="A1358">
        <v>17</v>
      </c>
      <c r="B1358">
        <v>19981743</v>
      </c>
      <c r="C1358">
        <v>19760731</v>
      </c>
      <c r="D1358" t="s">
        <v>29</v>
      </c>
      <c r="E1358" t="s">
        <v>1858</v>
      </c>
      <c r="G1358" t="s">
        <v>1165</v>
      </c>
      <c r="L1358" t="str">
        <f>HYPERLINK("https://test.ictv.global/id/TN19981743","TN19981743@TEST")</f>
        <v>TN19981743@TEST</v>
      </c>
      <c r="M1358" t="str">
        <f>HYPERLINK("https://test.ictv.global/id/ICTV19760731","ICTV19760731@TEST")</f>
        <v>ICTV19760731@TEST</v>
      </c>
      <c r="N1358" t="str">
        <f>HYPERLINK("https://ictv.global/id/TN19981743","TN19981743@prod")</f>
        <v>TN19981743@prod</v>
      </c>
      <c r="O1358" t="str">
        <f>HYPERLINK("https://ictv.global/id/ICTV19760731","ICTV19760731@prod")</f>
        <v>ICTV19760731@prod</v>
      </c>
    </row>
    <row r="1359" spans="1:15" x14ac:dyDescent="0.2">
      <c r="A1359">
        <v>17</v>
      </c>
      <c r="B1359">
        <v>19981744</v>
      </c>
      <c r="C1359">
        <v>19760732</v>
      </c>
      <c r="D1359" t="s">
        <v>29</v>
      </c>
      <c r="E1359" t="s">
        <v>1859</v>
      </c>
      <c r="G1359" t="s">
        <v>1165</v>
      </c>
      <c r="L1359" t="str">
        <f>HYPERLINK("https://test.ictv.global/id/TN19981744","TN19981744@TEST")</f>
        <v>TN19981744@TEST</v>
      </c>
      <c r="M1359" t="str">
        <f>HYPERLINK("https://test.ictv.global/id/ICTV19760732","ICTV19760732@TEST")</f>
        <v>ICTV19760732@TEST</v>
      </c>
      <c r="N1359" t="str">
        <f>HYPERLINK("https://ictv.global/id/TN19981744","TN19981744@prod")</f>
        <v>TN19981744@prod</v>
      </c>
      <c r="O1359" t="str">
        <f>HYPERLINK("https://ictv.global/id/ICTV19760732","ICTV19760732@prod")</f>
        <v>ICTV19760732@prod</v>
      </c>
    </row>
    <row r="1360" spans="1:15" x14ac:dyDescent="0.2">
      <c r="A1360">
        <v>17</v>
      </c>
      <c r="B1360">
        <v>19981745</v>
      </c>
      <c r="C1360">
        <v>19910952</v>
      </c>
      <c r="D1360" t="s">
        <v>29</v>
      </c>
      <c r="E1360" t="s">
        <v>1860</v>
      </c>
      <c r="G1360" t="s">
        <v>1165</v>
      </c>
      <c r="L1360" t="str">
        <f>HYPERLINK("https://test.ictv.global/id/TN19981745","TN19981745@TEST")</f>
        <v>TN19981745@TEST</v>
      </c>
      <c r="M1360" t="str">
        <f>HYPERLINK("https://test.ictv.global/id/ICTV19910952","ICTV19910952@TEST")</f>
        <v>ICTV19910952@TEST</v>
      </c>
      <c r="N1360" t="str">
        <f>HYPERLINK("https://ictv.global/id/TN19981745","TN19981745@prod")</f>
        <v>TN19981745@prod</v>
      </c>
      <c r="O1360" t="str">
        <f>HYPERLINK("https://ictv.global/id/ICTV19910952","ICTV19910952@prod")</f>
        <v>ICTV19910952@prod</v>
      </c>
    </row>
    <row r="1361" spans="1:15" x14ac:dyDescent="0.2">
      <c r="A1361">
        <v>17</v>
      </c>
      <c r="B1361">
        <v>19981747</v>
      </c>
      <c r="C1361">
        <v>19760734</v>
      </c>
      <c r="D1361" t="s">
        <v>29</v>
      </c>
      <c r="E1361" t="s">
        <v>1861</v>
      </c>
      <c r="G1361" t="s">
        <v>1165</v>
      </c>
      <c r="L1361" t="str">
        <f>HYPERLINK("https://test.ictv.global/id/TN19981747","TN19981747@TEST")</f>
        <v>TN19981747@TEST</v>
      </c>
      <c r="M1361" t="str">
        <f>HYPERLINK("https://test.ictv.global/id/ICTV19760734","ICTV19760734@TEST")</f>
        <v>ICTV19760734@TEST</v>
      </c>
      <c r="N1361" t="str">
        <f>HYPERLINK("https://ictv.global/id/TN19981747","TN19981747@prod")</f>
        <v>TN19981747@prod</v>
      </c>
      <c r="O1361" t="str">
        <f>HYPERLINK("https://ictv.global/id/ICTV19760734","ICTV19760734@prod")</f>
        <v>ICTV19760734@prod</v>
      </c>
    </row>
    <row r="1362" spans="1:15" x14ac:dyDescent="0.2">
      <c r="A1362">
        <v>17</v>
      </c>
      <c r="B1362">
        <v>19981748</v>
      </c>
      <c r="C1362">
        <v>19760735</v>
      </c>
      <c r="D1362" t="s">
        <v>29</v>
      </c>
      <c r="E1362" t="s">
        <v>1862</v>
      </c>
      <c r="G1362" t="s">
        <v>1165</v>
      </c>
      <c r="L1362" t="str">
        <f>HYPERLINK("https://test.ictv.global/id/TN19981748","TN19981748@TEST")</f>
        <v>TN19981748@TEST</v>
      </c>
      <c r="M1362" t="str">
        <f>HYPERLINK("https://test.ictv.global/id/ICTV19760735","ICTV19760735@TEST")</f>
        <v>ICTV19760735@TEST</v>
      </c>
      <c r="N1362" t="str">
        <f>HYPERLINK("https://ictv.global/id/TN19981748","TN19981748@prod")</f>
        <v>TN19981748@prod</v>
      </c>
      <c r="O1362" t="str">
        <f>HYPERLINK("https://ictv.global/id/ICTV19760735","ICTV19760735@prod")</f>
        <v>ICTV19760735@prod</v>
      </c>
    </row>
    <row r="1363" spans="1:15" x14ac:dyDescent="0.2">
      <c r="A1363">
        <v>17</v>
      </c>
      <c r="B1363">
        <v>19981749</v>
      </c>
      <c r="C1363">
        <v>19760736</v>
      </c>
      <c r="D1363" t="s">
        <v>29</v>
      </c>
      <c r="E1363" t="s">
        <v>1863</v>
      </c>
      <c r="G1363" t="s">
        <v>1165</v>
      </c>
      <c r="L1363" t="str">
        <f>HYPERLINK("https://test.ictv.global/id/TN19981749","TN19981749@TEST")</f>
        <v>TN19981749@TEST</v>
      </c>
      <c r="M1363" t="str">
        <f>HYPERLINK("https://test.ictv.global/id/ICTV19760736","ICTV19760736@TEST")</f>
        <v>ICTV19760736@TEST</v>
      </c>
      <c r="N1363" t="str">
        <f>HYPERLINK("https://ictv.global/id/TN19981749","TN19981749@prod")</f>
        <v>TN19981749@prod</v>
      </c>
      <c r="O1363" t="str">
        <f>HYPERLINK("https://ictv.global/id/ICTV19760736","ICTV19760736@prod")</f>
        <v>ICTV19760736@prod</v>
      </c>
    </row>
    <row r="1364" spans="1:15" x14ac:dyDescent="0.2">
      <c r="A1364">
        <v>17</v>
      </c>
      <c r="B1364">
        <v>19981750</v>
      </c>
      <c r="C1364">
        <v>19760737</v>
      </c>
      <c r="D1364" t="s">
        <v>29</v>
      </c>
      <c r="E1364" t="s">
        <v>1864</v>
      </c>
      <c r="G1364" t="s">
        <v>1165</v>
      </c>
      <c r="L1364" t="str">
        <f>HYPERLINK("https://test.ictv.global/id/TN19981750","TN19981750@TEST")</f>
        <v>TN19981750@TEST</v>
      </c>
      <c r="M1364" t="str">
        <f>HYPERLINK("https://test.ictv.global/id/ICTV19760737","ICTV19760737@TEST")</f>
        <v>ICTV19760737@TEST</v>
      </c>
      <c r="N1364" t="str">
        <f>HYPERLINK("https://ictv.global/id/TN19981750","TN19981750@prod")</f>
        <v>TN19981750@prod</v>
      </c>
      <c r="O1364" t="str">
        <f>HYPERLINK("https://ictv.global/id/ICTV19760737","ICTV19760737@prod")</f>
        <v>ICTV19760737@prod</v>
      </c>
    </row>
    <row r="1365" spans="1:15" x14ac:dyDescent="0.2">
      <c r="A1365">
        <v>17</v>
      </c>
      <c r="B1365">
        <v>19981751</v>
      </c>
      <c r="C1365">
        <v>19951270</v>
      </c>
      <c r="D1365" t="s">
        <v>29</v>
      </c>
      <c r="E1365" t="s">
        <v>1865</v>
      </c>
      <c r="G1365" t="s">
        <v>1165</v>
      </c>
      <c r="L1365" t="str">
        <f>HYPERLINK("https://test.ictv.global/id/TN19981751","TN19981751@TEST")</f>
        <v>TN19981751@TEST</v>
      </c>
      <c r="M1365" t="str">
        <f>HYPERLINK("https://test.ictv.global/id/ICTV19951270","ICTV19951270@TEST")</f>
        <v>ICTV19951270@TEST</v>
      </c>
      <c r="N1365" t="str">
        <f>HYPERLINK("https://ictv.global/id/TN19981751","TN19981751@prod")</f>
        <v>TN19981751@prod</v>
      </c>
      <c r="O1365" t="str">
        <f>HYPERLINK("https://ictv.global/id/ICTV19951270","ICTV19951270@prod")</f>
        <v>ICTV19951270@prod</v>
      </c>
    </row>
    <row r="1366" spans="1:15" x14ac:dyDescent="0.2">
      <c r="A1366">
        <v>17</v>
      </c>
      <c r="B1366">
        <v>19981752</v>
      </c>
      <c r="C1366">
        <v>19951271</v>
      </c>
      <c r="D1366" t="s">
        <v>29</v>
      </c>
      <c r="E1366" t="s">
        <v>1866</v>
      </c>
      <c r="G1366" t="s">
        <v>1165</v>
      </c>
      <c r="L1366" t="str">
        <f>HYPERLINK("https://test.ictv.global/id/TN19981752","TN19981752@TEST")</f>
        <v>TN19981752@TEST</v>
      </c>
      <c r="M1366" t="str">
        <f>HYPERLINK("https://test.ictv.global/id/ICTV19951271","ICTV19951271@TEST")</f>
        <v>ICTV19951271@TEST</v>
      </c>
      <c r="N1366" t="str">
        <f>HYPERLINK("https://ictv.global/id/TN19981752","TN19981752@prod")</f>
        <v>TN19981752@prod</v>
      </c>
      <c r="O1366" t="str">
        <f>HYPERLINK("https://ictv.global/id/ICTV19951271","ICTV19951271@prod")</f>
        <v>ICTV19951271@prod</v>
      </c>
    </row>
    <row r="1367" spans="1:15" x14ac:dyDescent="0.2">
      <c r="A1367">
        <v>17</v>
      </c>
      <c r="B1367">
        <v>19981753</v>
      </c>
      <c r="C1367">
        <v>19951272</v>
      </c>
      <c r="D1367" t="s">
        <v>29</v>
      </c>
      <c r="E1367" t="s">
        <v>1867</v>
      </c>
      <c r="G1367" t="s">
        <v>1165</v>
      </c>
      <c r="L1367" t="str">
        <f>HYPERLINK("https://test.ictv.global/id/TN19981753","TN19981753@TEST")</f>
        <v>TN19981753@TEST</v>
      </c>
      <c r="M1367" t="str">
        <f>HYPERLINK("https://test.ictv.global/id/ICTV19951272","ICTV19951272@TEST")</f>
        <v>ICTV19951272@TEST</v>
      </c>
      <c r="N1367" t="str">
        <f>HYPERLINK("https://ictv.global/id/TN19981753","TN19981753@prod")</f>
        <v>TN19981753@prod</v>
      </c>
      <c r="O1367" t="str">
        <f>HYPERLINK("https://ictv.global/id/ICTV19951272","ICTV19951272@prod")</f>
        <v>ICTV19951272@prod</v>
      </c>
    </row>
    <row r="1368" spans="1:15" x14ac:dyDescent="0.2">
      <c r="A1368">
        <v>17</v>
      </c>
      <c r="B1368">
        <v>19981754</v>
      </c>
      <c r="C1368">
        <v>19760738</v>
      </c>
      <c r="D1368" t="s">
        <v>29</v>
      </c>
      <c r="E1368" t="s">
        <v>1868</v>
      </c>
      <c r="G1368" t="s">
        <v>1165</v>
      </c>
      <c r="L1368" t="str">
        <f>HYPERLINK("https://test.ictv.global/id/TN19981754","TN19981754@TEST")</f>
        <v>TN19981754@TEST</v>
      </c>
      <c r="M1368" t="str">
        <f>HYPERLINK("https://test.ictv.global/id/ICTV19760738","ICTV19760738@TEST")</f>
        <v>ICTV19760738@TEST</v>
      </c>
      <c r="N1368" t="str">
        <f>HYPERLINK("https://ictv.global/id/TN19981754","TN19981754@prod")</f>
        <v>TN19981754@prod</v>
      </c>
      <c r="O1368" t="str">
        <f>HYPERLINK("https://ictv.global/id/ICTV19760738","ICTV19760738@prod")</f>
        <v>ICTV19760738@prod</v>
      </c>
    </row>
    <row r="1369" spans="1:15" x14ac:dyDescent="0.2">
      <c r="A1369">
        <v>17</v>
      </c>
      <c r="B1369">
        <v>19981758</v>
      </c>
      <c r="C1369">
        <v>19820566</v>
      </c>
      <c r="D1369" t="s">
        <v>29</v>
      </c>
      <c r="E1369" t="s">
        <v>1869</v>
      </c>
      <c r="G1369" t="s">
        <v>1165</v>
      </c>
      <c r="L1369" t="str">
        <f>HYPERLINK("https://test.ictv.global/id/TN19981758","TN19981758@TEST")</f>
        <v>TN19981758@TEST</v>
      </c>
      <c r="M1369" t="str">
        <f>HYPERLINK("https://test.ictv.global/id/ICTV19820566","ICTV19820566@TEST")</f>
        <v>ICTV19820566@TEST</v>
      </c>
      <c r="N1369" t="str">
        <f>HYPERLINK("https://ictv.global/id/TN19981758","TN19981758@prod")</f>
        <v>TN19981758@prod</v>
      </c>
      <c r="O1369" t="str">
        <f>HYPERLINK("https://ictv.global/id/ICTV19820566","ICTV19820566@prod")</f>
        <v>ICTV19820566@prod</v>
      </c>
    </row>
    <row r="1370" spans="1:15" x14ac:dyDescent="0.2">
      <c r="A1370">
        <v>17</v>
      </c>
      <c r="B1370">
        <v>19981759</v>
      </c>
      <c r="C1370">
        <v>19760740</v>
      </c>
      <c r="D1370" t="s">
        <v>29</v>
      </c>
      <c r="E1370" t="s">
        <v>1870</v>
      </c>
      <c r="G1370" t="s">
        <v>1165</v>
      </c>
      <c r="L1370" t="str">
        <f>HYPERLINK("https://test.ictv.global/id/TN19981759","TN19981759@TEST")</f>
        <v>TN19981759@TEST</v>
      </c>
      <c r="M1370" t="str">
        <f>HYPERLINK("https://test.ictv.global/id/ICTV19760740","ICTV19760740@TEST")</f>
        <v>ICTV19760740@TEST</v>
      </c>
      <c r="N1370" t="str">
        <f>HYPERLINK("https://ictv.global/id/TN19981759","TN19981759@prod")</f>
        <v>TN19981759@prod</v>
      </c>
      <c r="O1370" t="str">
        <f>HYPERLINK("https://ictv.global/id/ICTV19760740","ICTV19760740@prod")</f>
        <v>ICTV19760740@prod</v>
      </c>
    </row>
    <row r="1371" spans="1:15" x14ac:dyDescent="0.2">
      <c r="A1371">
        <v>17</v>
      </c>
      <c r="B1371">
        <v>19981760</v>
      </c>
      <c r="C1371">
        <v>19760741</v>
      </c>
      <c r="D1371" t="s">
        <v>29</v>
      </c>
      <c r="E1371" t="s">
        <v>1871</v>
      </c>
      <c r="G1371" t="s">
        <v>1165</v>
      </c>
      <c r="L1371" t="str">
        <f>HYPERLINK("https://test.ictv.global/id/TN19981760","TN19981760@TEST")</f>
        <v>TN19981760@TEST</v>
      </c>
      <c r="M1371" t="str">
        <f>HYPERLINK("https://test.ictv.global/id/ICTV19760741","ICTV19760741@TEST")</f>
        <v>ICTV19760741@TEST</v>
      </c>
      <c r="N1371" t="str">
        <f>HYPERLINK("https://ictv.global/id/TN19981760","TN19981760@prod")</f>
        <v>TN19981760@prod</v>
      </c>
      <c r="O1371" t="str">
        <f>HYPERLINK("https://ictv.global/id/ICTV19760741","ICTV19760741@prod")</f>
        <v>ICTV19760741@prod</v>
      </c>
    </row>
    <row r="1372" spans="1:15" x14ac:dyDescent="0.2">
      <c r="A1372">
        <v>17</v>
      </c>
      <c r="B1372">
        <v>19981761</v>
      </c>
      <c r="C1372">
        <v>19910965</v>
      </c>
      <c r="D1372" t="s">
        <v>29</v>
      </c>
      <c r="E1372" t="s">
        <v>1872</v>
      </c>
      <c r="G1372" t="s">
        <v>1165</v>
      </c>
      <c r="L1372" t="str">
        <f>HYPERLINK("https://test.ictv.global/id/TN19981761","TN19981761@TEST")</f>
        <v>TN19981761@TEST</v>
      </c>
      <c r="M1372" t="str">
        <f>HYPERLINK("https://test.ictv.global/id/ICTV19910965","ICTV19910965@TEST")</f>
        <v>ICTV19910965@TEST</v>
      </c>
      <c r="N1372" t="str">
        <f>HYPERLINK("https://ictv.global/id/TN19981761","TN19981761@prod")</f>
        <v>TN19981761@prod</v>
      </c>
      <c r="O1372" t="str">
        <f>HYPERLINK("https://ictv.global/id/ICTV19910965","ICTV19910965@prod")</f>
        <v>ICTV19910965@prod</v>
      </c>
    </row>
    <row r="1373" spans="1:15" x14ac:dyDescent="0.2">
      <c r="A1373">
        <v>17</v>
      </c>
      <c r="B1373">
        <v>19981762</v>
      </c>
      <c r="C1373">
        <v>19760742</v>
      </c>
      <c r="D1373" t="s">
        <v>29</v>
      </c>
      <c r="E1373" t="s">
        <v>1873</v>
      </c>
      <c r="G1373" t="s">
        <v>1165</v>
      </c>
      <c r="L1373" t="str">
        <f>HYPERLINK("https://test.ictv.global/id/TN19981762","TN19981762@TEST")</f>
        <v>TN19981762@TEST</v>
      </c>
      <c r="M1373" t="str">
        <f>HYPERLINK("https://test.ictv.global/id/ICTV19760742","ICTV19760742@TEST")</f>
        <v>ICTV19760742@TEST</v>
      </c>
      <c r="N1373" t="str">
        <f>HYPERLINK("https://ictv.global/id/TN19981762","TN19981762@prod")</f>
        <v>TN19981762@prod</v>
      </c>
      <c r="O1373" t="str">
        <f>HYPERLINK("https://ictv.global/id/ICTV19760742","ICTV19760742@prod")</f>
        <v>ICTV19760742@prod</v>
      </c>
    </row>
    <row r="1374" spans="1:15" x14ac:dyDescent="0.2">
      <c r="A1374">
        <v>17</v>
      </c>
      <c r="B1374">
        <v>19981784</v>
      </c>
      <c r="C1374">
        <v>19951381</v>
      </c>
      <c r="D1374" t="s">
        <v>29</v>
      </c>
      <c r="E1374" t="s">
        <v>271</v>
      </c>
      <c r="G1374" t="s">
        <v>33</v>
      </c>
      <c r="H1374" t="s">
        <v>722</v>
      </c>
      <c r="I1374" t="s">
        <v>29</v>
      </c>
      <c r="J1374">
        <v>19991139</v>
      </c>
      <c r="K1374">
        <v>19991139</v>
      </c>
      <c r="L1374" t="str">
        <f>HYPERLINK("https://test.ictv.global/id/TN19981784","TN19981784@TEST")</f>
        <v>TN19981784@TEST</v>
      </c>
      <c r="M1374" t="str">
        <f>HYPERLINK("https://test.ictv.global/id/ICTV19951381","ICTV19951381@TEST")</f>
        <v>ICTV19951381@TEST</v>
      </c>
      <c r="N1374" t="str">
        <f>HYPERLINK("https://ictv.global/id/TN19981784","TN19981784@prod")</f>
        <v>TN19981784@prod</v>
      </c>
      <c r="O1374" t="str">
        <f>HYPERLINK("https://ictv.global/id/ICTV19951381","ICTV19951381@prod")</f>
        <v>ICTV19951381@prod</v>
      </c>
    </row>
    <row r="1375" spans="1:15" x14ac:dyDescent="0.2">
      <c r="A1375">
        <v>17</v>
      </c>
      <c r="B1375">
        <v>19981785</v>
      </c>
      <c r="C1375">
        <v>19951382</v>
      </c>
      <c r="D1375" t="s">
        <v>29</v>
      </c>
      <c r="E1375" t="s">
        <v>272</v>
      </c>
      <c r="G1375" t="s">
        <v>33</v>
      </c>
      <c r="H1375" t="s">
        <v>722</v>
      </c>
      <c r="I1375" t="s">
        <v>29</v>
      </c>
      <c r="J1375">
        <v>19991139</v>
      </c>
      <c r="K1375">
        <v>19991139</v>
      </c>
      <c r="L1375" t="str">
        <f>HYPERLINK("https://test.ictv.global/id/TN19981785","TN19981785@TEST")</f>
        <v>TN19981785@TEST</v>
      </c>
      <c r="M1375" t="str">
        <f>HYPERLINK("https://test.ictv.global/id/ICTV19951382","ICTV19951382@TEST")</f>
        <v>ICTV19951382@TEST</v>
      </c>
      <c r="N1375" t="str">
        <f>HYPERLINK("https://ictv.global/id/TN19981785","TN19981785@prod")</f>
        <v>TN19981785@prod</v>
      </c>
      <c r="O1375" t="str">
        <f>HYPERLINK("https://ictv.global/id/ICTV19951382","ICTV19951382@prod")</f>
        <v>ICTV19951382@prod</v>
      </c>
    </row>
    <row r="1376" spans="1:15" x14ac:dyDescent="0.2">
      <c r="A1376">
        <v>17</v>
      </c>
      <c r="B1376">
        <v>19981786</v>
      </c>
      <c r="C1376">
        <v>19951383</v>
      </c>
      <c r="D1376" t="s">
        <v>29</v>
      </c>
      <c r="E1376" t="s">
        <v>273</v>
      </c>
      <c r="G1376" t="s">
        <v>33</v>
      </c>
      <c r="H1376" t="s">
        <v>722</v>
      </c>
      <c r="I1376" t="s">
        <v>29</v>
      </c>
      <c r="J1376">
        <v>19991139</v>
      </c>
      <c r="K1376">
        <v>19991139</v>
      </c>
      <c r="L1376" t="str">
        <f>HYPERLINK("https://test.ictv.global/id/TN19981786","TN19981786@TEST")</f>
        <v>TN19981786@TEST</v>
      </c>
      <c r="M1376" t="str">
        <f>HYPERLINK("https://test.ictv.global/id/ICTV19951383","ICTV19951383@TEST")</f>
        <v>ICTV19951383@TEST</v>
      </c>
      <c r="N1376" t="str">
        <f>HYPERLINK("https://ictv.global/id/TN19981786","TN19981786@prod")</f>
        <v>TN19981786@prod</v>
      </c>
      <c r="O1376" t="str">
        <f>HYPERLINK("https://ictv.global/id/ICTV19951383","ICTV19951383@prod")</f>
        <v>ICTV19951383@prod</v>
      </c>
    </row>
    <row r="1377" spans="1:15" x14ac:dyDescent="0.2">
      <c r="A1377">
        <v>17</v>
      </c>
      <c r="B1377">
        <v>19981788</v>
      </c>
      <c r="C1377">
        <v>19951385</v>
      </c>
      <c r="D1377" t="s">
        <v>29</v>
      </c>
      <c r="E1377" t="s">
        <v>1874</v>
      </c>
      <c r="G1377" t="s">
        <v>1165</v>
      </c>
      <c r="L1377" t="str">
        <f>HYPERLINK("https://test.ictv.global/id/TN19981788","TN19981788@TEST")</f>
        <v>TN19981788@TEST</v>
      </c>
      <c r="M1377" t="str">
        <f>HYPERLINK("https://test.ictv.global/id/ICTV19951385","ICTV19951385@TEST")</f>
        <v>ICTV19951385@TEST</v>
      </c>
      <c r="N1377" t="str">
        <f>HYPERLINK("https://ictv.global/id/TN19981788","TN19981788@prod")</f>
        <v>TN19981788@prod</v>
      </c>
      <c r="O1377" t="str">
        <f>HYPERLINK("https://ictv.global/id/ICTV19951385","ICTV19951385@prod")</f>
        <v>ICTV19951385@prod</v>
      </c>
    </row>
    <row r="1378" spans="1:15" x14ac:dyDescent="0.2">
      <c r="A1378">
        <v>17</v>
      </c>
      <c r="B1378">
        <v>19981791</v>
      </c>
      <c r="C1378">
        <v>19951388</v>
      </c>
      <c r="D1378" t="s">
        <v>29</v>
      </c>
      <c r="E1378" t="s">
        <v>1875</v>
      </c>
      <c r="G1378" t="s">
        <v>1165</v>
      </c>
      <c r="L1378" t="str">
        <f>HYPERLINK("https://test.ictv.global/id/TN19981791","TN19981791@TEST")</f>
        <v>TN19981791@TEST</v>
      </c>
      <c r="M1378" t="str">
        <f>HYPERLINK("https://test.ictv.global/id/ICTV19951388","ICTV19951388@TEST")</f>
        <v>ICTV19951388@TEST</v>
      </c>
      <c r="N1378" t="str">
        <f>HYPERLINK("https://ictv.global/id/TN19981791","TN19981791@prod")</f>
        <v>TN19981791@prod</v>
      </c>
      <c r="O1378" t="str">
        <f>HYPERLINK("https://ictv.global/id/ICTV19951388","ICTV19951388@prod")</f>
        <v>ICTV19951388@prod</v>
      </c>
    </row>
    <row r="1379" spans="1:15" x14ac:dyDescent="0.2">
      <c r="A1379">
        <v>17</v>
      </c>
      <c r="B1379">
        <v>19981792</v>
      </c>
      <c r="C1379">
        <v>19760270</v>
      </c>
      <c r="D1379" t="s">
        <v>29</v>
      </c>
      <c r="E1379" t="s">
        <v>1876</v>
      </c>
      <c r="G1379" t="s">
        <v>1165</v>
      </c>
      <c r="L1379" t="str">
        <f>HYPERLINK("https://test.ictv.global/id/TN19981792","TN19981792@TEST")</f>
        <v>TN19981792@TEST</v>
      </c>
      <c r="M1379" t="str">
        <f>HYPERLINK("https://test.ictv.global/id/ICTV19760270","ICTV19760270@TEST")</f>
        <v>ICTV19760270@TEST</v>
      </c>
      <c r="N1379" t="str">
        <f>HYPERLINK("https://ictv.global/id/TN19981792","TN19981792@prod")</f>
        <v>TN19981792@prod</v>
      </c>
      <c r="O1379" t="str">
        <f>HYPERLINK("https://ictv.global/id/ICTV19760270","ICTV19760270@prod")</f>
        <v>ICTV19760270@prod</v>
      </c>
    </row>
    <row r="1380" spans="1:15" x14ac:dyDescent="0.2">
      <c r="A1380">
        <v>17</v>
      </c>
      <c r="B1380">
        <v>19981794</v>
      </c>
      <c r="C1380">
        <v>19951391</v>
      </c>
      <c r="D1380" t="s">
        <v>29</v>
      </c>
      <c r="E1380" t="s">
        <v>275</v>
      </c>
      <c r="G1380" t="s">
        <v>33</v>
      </c>
      <c r="H1380" t="s">
        <v>723</v>
      </c>
      <c r="I1380" t="s">
        <v>29</v>
      </c>
      <c r="J1380">
        <v>19991144</v>
      </c>
      <c r="K1380">
        <v>19991144</v>
      </c>
      <c r="L1380" t="str">
        <f>HYPERLINK("https://test.ictv.global/id/TN19981794","TN19981794@TEST")</f>
        <v>TN19981794@TEST</v>
      </c>
      <c r="M1380" t="str">
        <f>HYPERLINK("https://test.ictv.global/id/ICTV19951391","ICTV19951391@TEST")</f>
        <v>ICTV19951391@TEST</v>
      </c>
      <c r="N1380" t="str">
        <f>HYPERLINK("https://ictv.global/id/TN19981794","TN19981794@prod")</f>
        <v>TN19981794@prod</v>
      </c>
      <c r="O1380" t="str">
        <f>HYPERLINK("https://ictv.global/id/ICTV19951391","ICTV19951391@prod")</f>
        <v>ICTV19951391@prod</v>
      </c>
    </row>
    <row r="1381" spans="1:15" x14ac:dyDescent="0.2">
      <c r="A1381">
        <v>17</v>
      </c>
      <c r="B1381">
        <v>19981795</v>
      </c>
      <c r="C1381">
        <v>19951392</v>
      </c>
      <c r="D1381" t="s">
        <v>29</v>
      </c>
      <c r="E1381" t="s">
        <v>276</v>
      </c>
      <c r="G1381" t="s">
        <v>33</v>
      </c>
      <c r="H1381" t="s">
        <v>723</v>
      </c>
      <c r="I1381" t="s">
        <v>29</v>
      </c>
      <c r="J1381">
        <v>19991144</v>
      </c>
      <c r="K1381">
        <v>19991144</v>
      </c>
      <c r="L1381" t="str">
        <f>HYPERLINK("https://test.ictv.global/id/TN19981795","TN19981795@TEST")</f>
        <v>TN19981795@TEST</v>
      </c>
      <c r="M1381" t="str">
        <f>HYPERLINK("https://test.ictv.global/id/ICTV19951392","ICTV19951392@TEST")</f>
        <v>ICTV19951392@TEST</v>
      </c>
      <c r="N1381" t="str">
        <f>HYPERLINK("https://ictv.global/id/TN19981795","TN19981795@prod")</f>
        <v>TN19981795@prod</v>
      </c>
      <c r="O1381" t="str">
        <f>HYPERLINK("https://ictv.global/id/ICTV19951392","ICTV19951392@prod")</f>
        <v>ICTV19951392@prod</v>
      </c>
    </row>
    <row r="1382" spans="1:15" x14ac:dyDescent="0.2">
      <c r="A1382">
        <v>17</v>
      </c>
      <c r="B1382">
        <v>19981796</v>
      </c>
      <c r="C1382">
        <v>19951393</v>
      </c>
      <c r="D1382" t="s">
        <v>29</v>
      </c>
      <c r="E1382" t="s">
        <v>277</v>
      </c>
      <c r="G1382" t="s">
        <v>33</v>
      </c>
      <c r="H1382" t="s">
        <v>723</v>
      </c>
      <c r="I1382" t="s">
        <v>29</v>
      </c>
      <c r="J1382">
        <v>19991144</v>
      </c>
      <c r="K1382">
        <v>19991144</v>
      </c>
      <c r="L1382" t="str">
        <f>HYPERLINK("https://test.ictv.global/id/TN19981796","TN19981796@TEST")</f>
        <v>TN19981796@TEST</v>
      </c>
      <c r="M1382" t="str">
        <f>HYPERLINK("https://test.ictv.global/id/ICTV19951393","ICTV19951393@TEST")</f>
        <v>ICTV19951393@TEST</v>
      </c>
      <c r="N1382" t="str">
        <f>HYPERLINK("https://ictv.global/id/TN19981796","TN19981796@prod")</f>
        <v>TN19981796@prod</v>
      </c>
      <c r="O1382" t="str">
        <f>HYPERLINK("https://ictv.global/id/ICTV19951393","ICTV19951393@prod")</f>
        <v>ICTV19951393@prod</v>
      </c>
    </row>
    <row r="1383" spans="1:15" x14ac:dyDescent="0.2">
      <c r="A1383">
        <v>17</v>
      </c>
      <c r="B1383">
        <v>19981797</v>
      </c>
      <c r="C1383">
        <v>19951394</v>
      </c>
      <c r="D1383" t="s">
        <v>29</v>
      </c>
      <c r="E1383" t="s">
        <v>278</v>
      </c>
      <c r="G1383" t="s">
        <v>33</v>
      </c>
      <c r="H1383" t="s">
        <v>723</v>
      </c>
      <c r="I1383" t="s">
        <v>29</v>
      </c>
      <c r="J1383">
        <v>19991144</v>
      </c>
      <c r="K1383">
        <v>19991144</v>
      </c>
      <c r="L1383" t="str">
        <f>HYPERLINK("https://test.ictv.global/id/TN19981797","TN19981797@TEST")</f>
        <v>TN19981797@TEST</v>
      </c>
      <c r="M1383" t="str">
        <f>HYPERLINK("https://test.ictv.global/id/ICTV19951394","ICTV19951394@TEST")</f>
        <v>ICTV19951394@TEST</v>
      </c>
      <c r="N1383" t="str">
        <f>HYPERLINK("https://ictv.global/id/TN19981797","TN19981797@prod")</f>
        <v>TN19981797@prod</v>
      </c>
      <c r="O1383" t="str">
        <f>HYPERLINK("https://ictv.global/id/ICTV19951394","ICTV19951394@prod")</f>
        <v>ICTV19951394@prod</v>
      </c>
    </row>
    <row r="1384" spans="1:15" x14ac:dyDescent="0.2">
      <c r="A1384">
        <v>17</v>
      </c>
      <c r="B1384">
        <v>19981798</v>
      </c>
      <c r="C1384">
        <v>19951395</v>
      </c>
      <c r="D1384" t="s">
        <v>29</v>
      </c>
      <c r="E1384" t="s">
        <v>279</v>
      </c>
      <c r="G1384" t="s">
        <v>33</v>
      </c>
      <c r="H1384" t="s">
        <v>723</v>
      </c>
      <c r="I1384" t="s">
        <v>29</v>
      </c>
      <c r="J1384">
        <v>19991144</v>
      </c>
      <c r="K1384">
        <v>19991144</v>
      </c>
      <c r="L1384" t="str">
        <f>HYPERLINK("https://test.ictv.global/id/TN19981798","TN19981798@TEST")</f>
        <v>TN19981798@TEST</v>
      </c>
      <c r="M1384" t="str">
        <f>HYPERLINK("https://test.ictv.global/id/ICTV19951395","ICTV19951395@TEST")</f>
        <v>ICTV19951395@TEST</v>
      </c>
      <c r="N1384" t="str">
        <f>HYPERLINK("https://ictv.global/id/TN19981798","TN19981798@prod")</f>
        <v>TN19981798@prod</v>
      </c>
      <c r="O1384" t="str">
        <f>HYPERLINK("https://ictv.global/id/ICTV19951395","ICTV19951395@prod")</f>
        <v>ICTV19951395@prod</v>
      </c>
    </row>
    <row r="1385" spans="1:15" x14ac:dyDescent="0.2">
      <c r="A1385">
        <v>17</v>
      </c>
      <c r="B1385">
        <v>19981799</v>
      </c>
      <c r="C1385">
        <v>19951396</v>
      </c>
      <c r="D1385" t="s">
        <v>29</v>
      </c>
      <c r="E1385" t="s">
        <v>280</v>
      </c>
      <c r="G1385" t="s">
        <v>33</v>
      </c>
      <c r="H1385" t="s">
        <v>723</v>
      </c>
      <c r="I1385" t="s">
        <v>29</v>
      </c>
      <c r="J1385">
        <v>19991144</v>
      </c>
      <c r="K1385">
        <v>19991144</v>
      </c>
      <c r="L1385" t="str">
        <f>HYPERLINK("https://test.ictv.global/id/TN19981799","TN19981799@TEST")</f>
        <v>TN19981799@TEST</v>
      </c>
      <c r="M1385" t="str">
        <f>HYPERLINK("https://test.ictv.global/id/ICTV19951396","ICTV19951396@TEST")</f>
        <v>ICTV19951396@TEST</v>
      </c>
      <c r="N1385" t="str">
        <f>HYPERLINK("https://ictv.global/id/TN19981799","TN19981799@prod")</f>
        <v>TN19981799@prod</v>
      </c>
      <c r="O1385" t="str">
        <f>HYPERLINK("https://ictv.global/id/ICTV19951396","ICTV19951396@prod")</f>
        <v>ICTV19951396@prod</v>
      </c>
    </row>
    <row r="1386" spans="1:15" x14ac:dyDescent="0.2">
      <c r="A1386">
        <v>17</v>
      </c>
      <c r="B1386">
        <v>19981800</v>
      </c>
      <c r="C1386">
        <v>19951397</v>
      </c>
      <c r="D1386" t="s">
        <v>29</v>
      </c>
      <c r="E1386" t="s">
        <v>281</v>
      </c>
      <c r="G1386" t="s">
        <v>33</v>
      </c>
      <c r="H1386" t="s">
        <v>723</v>
      </c>
      <c r="I1386" t="s">
        <v>29</v>
      </c>
      <c r="J1386">
        <v>19991144</v>
      </c>
      <c r="K1386">
        <v>19991144</v>
      </c>
      <c r="L1386" t="str">
        <f>HYPERLINK("https://test.ictv.global/id/TN19981800","TN19981800@TEST")</f>
        <v>TN19981800@TEST</v>
      </c>
      <c r="M1386" t="str">
        <f>HYPERLINK("https://test.ictv.global/id/ICTV19951397","ICTV19951397@TEST")</f>
        <v>ICTV19951397@TEST</v>
      </c>
      <c r="N1386" t="str">
        <f>HYPERLINK("https://ictv.global/id/TN19981800","TN19981800@prod")</f>
        <v>TN19981800@prod</v>
      </c>
      <c r="O1386" t="str">
        <f>HYPERLINK("https://ictv.global/id/ICTV19951397","ICTV19951397@prod")</f>
        <v>ICTV19951397@prod</v>
      </c>
    </row>
    <row r="1387" spans="1:15" x14ac:dyDescent="0.2">
      <c r="A1387">
        <v>17</v>
      </c>
      <c r="B1387">
        <v>19981801</v>
      </c>
      <c r="C1387">
        <v>19951398</v>
      </c>
      <c r="D1387" t="s">
        <v>29</v>
      </c>
      <c r="E1387" t="s">
        <v>282</v>
      </c>
      <c r="G1387" t="s">
        <v>33</v>
      </c>
      <c r="H1387" t="s">
        <v>723</v>
      </c>
      <c r="I1387" t="s">
        <v>29</v>
      </c>
      <c r="J1387">
        <v>19991144</v>
      </c>
      <c r="K1387">
        <v>19991144</v>
      </c>
      <c r="L1387" t="str">
        <f>HYPERLINK("https://test.ictv.global/id/TN19981801","TN19981801@TEST")</f>
        <v>TN19981801@TEST</v>
      </c>
      <c r="M1387" t="str">
        <f>HYPERLINK("https://test.ictv.global/id/ICTV19951398","ICTV19951398@TEST")</f>
        <v>ICTV19951398@TEST</v>
      </c>
      <c r="N1387" t="str">
        <f>HYPERLINK("https://ictv.global/id/TN19981801","TN19981801@prod")</f>
        <v>TN19981801@prod</v>
      </c>
      <c r="O1387" t="str">
        <f>HYPERLINK("https://ictv.global/id/ICTV19951398","ICTV19951398@prod")</f>
        <v>ICTV19951398@prod</v>
      </c>
    </row>
    <row r="1388" spans="1:15" x14ac:dyDescent="0.2">
      <c r="A1388">
        <v>17</v>
      </c>
      <c r="B1388">
        <v>19981802</v>
      </c>
      <c r="C1388">
        <v>19951399</v>
      </c>
      <c r="D1388" t="s">
        <v>29</v>
      </c>
      <c r="E1388" t="s">
        <v>283</v>
      </c>
      <c r="G1388" t="s">
        <v>33</v>
      </c>
      <c r="H1388" t="s">
        <v>723</v>
      </c>
      <c r="I1388" t="s">
        <v>29</v>
      </c>
      <c r="J1388">
        <v>19991144</v>
      </c>
      <c r="K1388">
        <v>19991144</v>
      </c>
      <c r="L1388" t="str">
        <f>HYPERLINK("https://test.ictv.global/id/TN19981802","TN19981802@TEST")</f>
        <v>TN19981802@TEST</v>
      </c>
      <c r="M1388" t="str">
        <f>HYPERLINK("https://test.ictv.global/id/ICTV19951399","ICTV19951399@TEST")</f>
        <v>ICTV19951399@TEST</v>
      </c>
      <c r="N1388" t="str">
        <f>HYPERLINK("https://ictv.global/id/TN19981802","TN19981802@prod")</f>
        <v>TN19981802@prod</v>
      </c>
      <c r="O1388" t="str">
        <f>HYPERLINK("https://ictv.global/id/ICTV19951399","ICTV19951399@prod")</f>
        <v>ICTV19951399@prod</v>
      </c>
    </row>
    <row r="1389" spans="1:15" x14ac:dyDescent="0.2">
      <c r="A1389">
        <v>17</v>
      </c>
      <c r="B1389">
        <v>19981803</v>
      </c>
      <c r="C1389">
        <v>19951400</v>
      </c>
      <c r="D1389" t="s">
        <v>29</v>
      </c>
      <c r="E1389" t="s">
        <v>1877</v>
      </c>
      <c r="G1389" t="s">
        <v>1165</v>
      </c>
      <c r="L1389" t="str">
        <f>HYPERLINK("https://test.ictv.global/id/TN19981803","TN19981803@TEST")</f>
        <v>TN19981803@TEST</v>
      </c>
      <c r="M1389" t="str">
        <f>HYPERLINK("https://test.ictv.global/id/ICTV19951400","ICTV19951400@TEST")</f>
        <v>ICTV19951400@TEST</v>
      </c>
      <c r="N1389" t="str">
        <f>HYPERLINK("https://ictv.global/id/TN19981803","TN19981803@prod")</f>
        <v>TN19981803@prod</v>
      </c>
      <c r="O1389" t="str">
        <f>HYPERLINK("https://ictv.global/id/ICTV19951400","ICTV19951400@prod")</f>
        <v>ICTV19951400@prod</v>
      </c>
    </row>
    <row r="1390" spans="1:15" x14ac:dyDescent="0.2">
      <c r="A1390">
        <v>17</v>
      </c>
      <c r="B1390">
        <v>19981804</v>
      </c>
      <c r="C1390">
        <v>19951401</v>
      </c>
      <c r="D1390" t="s">
        <v>29</v>
      </c>
      <c r="E1390" t="s">
        <v>1878</v>
      </c>
      <c r="G1390" t="s">
        <v>1165</v>
      </c>
      <c r="L1390" t="str">
        <f>HYPERLINK("https://test.ictv.global/id/TN19981804","TN19981804@TEST")</f>
        <v>TN19981804@TEST</v>
      </c>
      <c r="M1390" t="str">
        <f>HYPERLINK("https://test.ictv.global/id/ICTV19951401","ICTV19951401@TEST")</f>
        <v>ICTV19951401@TEST</v>
      </c>
      <c r="N1390" t="str">
        <f>HYPERLINK("https://ictv.global/id/TN19981804","TN19981804@prod")</f>
        <v>TN19981804@prod</v>
      </c>
      <c r="O1390" t="str">
        <f>HYPERLINK("https://ictv.global/id/ICTV19951401","ICTV19951401@prod")</f>
        <v>ICTV19951401@prod</v>
      </c>
    </row>
    <row r="1391" spans="1:15" x14ac:dyDescent="0.2">
      <c r="A1391">
        <v>17</v>
      </c>
      <c r="B1391">
        <v>19981805</v>
      </c>
      <c r="C1391">
        <v>19951402</v>
      </c>
      <c r="D1391" t="s">
        <v>29</v>
      </c>
      <c r="E1391" t="s">
        <v>1879</v>
      </c>
      <c r="G1391" t="s">
        <v>1165</v>
      </c>
      <c r="L1391" t="str">
        <f>HYPERLINK("https://test.ictv.global/id/TN19981805","TN19981805@TEST")</f>
        <v>TN19981805@TEST</v>
      </c>
      <c r="M1391" t="str">
        <f>HYPERLINK("https://test.ictv.global/id/ICTV19951402","ICTV19951402@TEST")</f>
        <v>ICTV19951402@TEST</v>
      </c>
      <c r="N1391" t="str">
        <f>HYPERLINK("https://ictv.global/id/TN19981805","TN19981805@prod")</f>
        <v>TN19981805@prod</v>
      </c>
      <c r="O1391" t="str">
        <f>HYPERLINK("https://ictv.global/id/ICTV19951402","ICTV19951402@prod")</f>
        <v>ICTV19951402@prod</v>
      </c>
    </row>
    <row r="1392" spans="1:15" x14ac:dyDescent="0.2">
      <c r="A1392">
        <v>17</v>
      </c>
      <c r="B1392">
        <v>19981806</v>
      </c>
      <c r="C1392">
        <v>19951403</v>
      </c>
      <c r="D1392" t="s">
        <v>29</v>
      </c>
      <c r="E1392" t="s">
        <v>1880</v>
      </c>
      <c r="G1392" t="s">
        <v>1165</v>
      </c>
      <c r="L1392" t="str">
        <f>HYPERLINK("https://test.ictv.global/id/TN19981806","TN19981806@TEST")</f>
        <v>TN19981806@TEST</v>
      </c>
      <c r="M1392" t="str">
        <f>HYPERLINK("https://test.ictv.global/id/ICTV19951403","ICTV19951403@TEST")</f>
        <v>ICTV19951403@TEST</v>
      </c>
      <c r="N1392" t="str">
        <f>HYPERLINK("https://ictv.global/id/TN19981806","TN19981806@prod")</f>
        <v>TN19981806@prod</v>
      </c>
      <c r="O1392" t="str">
        <f>HYPERLINK("https://ictv.global/id/ICTV19951403","ICTV19951403@prod")</f>
        <v>ICTV19951403@prod</v>
      </c>
    </row>
    <row r="1393" spans="1:15" x14ac:dyDescent="0.2">
      <c r="A1393">
        <v>17</v>
      </c>
      <c r="B1393">
        <v>19981885</v>
      </c>
      <c r="C1393">
        <v>19911046</v>
      </c>
      <c r="D1393" t="s">
        <v>29</v>
      </c>
      <c r="E1393" t="s">
        <v>1881</v>
      </c>
      <c r="G1393" t="s">
        <v>1165</v>
      </c>
      <c r="L1393" t="str">
        <f>HYPERLINK("https://test.ictv.global/id/TN19981885","TN19981885@TEST")</f>
        <v>TN19981885@TEST</v>
      </c>
      <c r="M1393" t="str">
        <f>HYPERLINK("https://test.ictv.global/id/ICTV19911046","ICTV19911046@TEST")</f>
        <v>ICTV19911046@TEST</v>
      </c>
      <c r="N1393" t="str">
        <f>HYPERLINK("https://ictv.global/id/TN19981885","TN19981885@prod")</f>
        <v>TN19981885@prod</v>
      </c>
      <c r="O1393" t="str">
        <f>HYPERLINK("https://ictv.global/id/ICTV19911046","ICTV19911046@prod")</f>
        <v>ICTV19911046@prod</v>
      </c>
    </row>
    <row r="1394" spans="1:15" x14ac:dyDescent="0.2">
      <c r="A1394">
        <v>17</v>
      </c>
      <c r="B1394">
        <v>19981886</v>
      </c>
      <c r="C1394">
        <v>19911047</v>
      </c>
      <c r="D1394" t="s">
        <v>29</v>
      </c>
      <c r="E1394" t="s">
        <v>1882</v>
      </c>
      <c r="G1394" t="s">
        <v>1165</v>
      </c>
      <c r="L1394" t="str">
        <f>HYPERLINK("https://test.ictv.global/id/TN19981886","TN19981886@TEST")</f>
        <v>TN19981886@TEST</v>
      </c>
      <c r="M1394" t="str">
        <f>HYPERLINK("https://test.ictv.global/id/ICTV19911047","ICTV19911047@TEST")</f>
        <v>ICTV19911047@TEST</v>
      </c>
      <c r="N1394" t="str">
        <f>HYPERLINK("https://ictv.global/id/TN19981886","TN19981886@prod")</f>
        <v>TN19981886@prod</v>
      </c>
      <c r="O1394" t="str">
        <f>HYPERLINK("https://ictv.global/id/ICTV19911047","ICTV19911047@prod")</f>
        <v>ICTV19911047@prod</v>
      </c>
    </row>
    <row r="1395" spans="1:15" x14ac:dyDescent="0.2">
      <c r="A1395">
        <v>17</v>
      </c>
      <c r="B1395">
        <v>19981891</v>
      </c>
      <c r="C1395">
        <v>19911052</v>
      </c>
      <c r="D1395" t="s">
        <v>29</v>
      </c>
      <c r="E1395" t="s">
        <v>1883</v>
      </c>
      <c r="G1395" t="s">
        <v>1165</v>
      </c>
      <c r="L1395" t="str">
        <f>HYPERLINK("https://test.ictv.global/id/TN19981891","TN19981891@TEST")</f>
        <v>TN19981891@TEST</v>
      </c>
      <c r="M1395" t="str">
        <f>HYPERLINK("https://test.ictv.global/id/ICTV19911052","ICTV19911052@TEST")</f>
        <v>ICTV19911052@TEST</v>
      </c>
      <c r="N1395" t="str">
        <f>HYPERLINK("https://ictv.global/id/TN19981891","TN19981891@prod")</f>
        <v>TN19981891@prod</v>
      </c>
      <c r="O1395" t="str">
        <f>HYPERLINK("https://ictv.global/id/ICTV19911052","ICTV19911052@prod")</f>
        <v>ICTV19911052@prod</v>
      </c>
    </row>
    <row r="1396" spans="1:15" x14ac:dyDescent="0.2">
      <c r="A1396">
        <v>17</v>
      </c>
      <c r="B1396">
        <v>19981892</v>
      </c>
      <c r="C1396">
        <v>19911053</v>
      </c>
      <c r="D1396" t="s">
        <v>29</v>
      </c>
      <c r="E1396" t="s">
        <v>1884</v>
      </c>
      <c r="G1396" t="s">
        <v>1165</v>
      </c>
      <c r="L1396" t="str">
        <f>HYPERLINK("https://test.ictv.global/id/TN19981892","TN19981892@TEST")</f>
        <v>TN19981892@TEST</v>
      </c>
      <c r="M1396" t="str">
        <f>HYPERLINK("https://test.ictv.global/id/ICTV19911053","ICTV19911053@TEST")</f>
        <v>ICTV19911053@TEST</v>
      </c>
      <c r="N1396" t="str">
        <f>HYPERLINK("https://ictv.global/id/TN19981892","TN19981892@prod")</f>
        <v>TN19981892@prod</v>
      </c>
      <c r="O1396" t="str">
        <f>HYPERLINK("https://ictv.global/id/ICTV19911053","ICTV19911053@prod")</f>
        <v>ICTV19911053@prod</v>
      </c>
    </row>
    <row r="1397" spans="1:15" x14ac:dyDescent="0.2">
      <c r="A1397">
        <v>17</v>
      </c>
      <c r="B1397">
        <v>19981894</v>
      </c>
      <c r="C1397">
        <v>19911055</v>
      </c>
      <c r="D1397" t="s">
        <v>29</v>
      </c>
      <c r="E1397" t="s">
        <v>1885</v>
      </c>
      <c r="G1397" t="s">
        <v>1165</v>
      </c>
      <c r="L1397" t="str">
        <f>HYPERLINK("https://test.ictv.global/id/TN19981894","TN19981894@TEST")</f>
        <v>TN19981894@TEST</v>
      </c>
      <c r="M1397" t="str">
        <f>HYPERLINK("https://test.ictv.global/id/ICTV19911055","ICTV19911055@TEST")</f>
        <v>ICTV19911055@TEST</v>
      </c>
      <c r="N1397" t="str">
        <f>HYPERLINK("https://ictv.global/id/TN19981894","TN19981894@prod")</f>
        <v>TN19981894@prod</v>
      </c>
      <c r="O1397" t="str">
        <f>HYPERLINK("https://ictv.global/id/ICTV19911055","ICTV19911055@prod")</f>
        <v>ICTV19911055@prod</v>
      </c>
    </row>
    <row r="1398" spans="1:15" x14ac:dyDescent="0.2">
      <c r="A1398">
        <v>17</v>
      </c>
      <c r="B1398">
        <v>19981895</v>
      </c>
      <c r="C1398">
        <v>19911056</v>
      </c>
      <c r="D1398" t="s">
        <v>29</v>
      </c>
      <c r="E1398" t="s">
        <v>1886</v>
      </c>
      <c r="G1398" t="s">
        <v>1165</v>
      </c>
      <c r="L1398" t="str">
        <f>HYPERLINK("https://test.ictv.global/id/TN19981895","TN19981895@TEST")</f>
        <v>TN19981895@TEST</v>
      </c>
      <c r="M1398" t="str">
        <f>HYPERLINK("https://test.ictv.global/id/ICTV19911056","ICTV19911056@TEST")</f>
        <v>ICTV19911056@TEST</v>
      </c>
      <c r="N1398" t="str">
        <f>HYPERLINK("https://ictv.global/id/TN19981895","TN19981895@prod")</f>
        <v>TN19981895@prod</v>
      </c>
      <c r="O1398" t="str">
        <f>HYPERLINK("https://ictv.global/id/ICTV19911056","ICTV19911056@prod")</f>
        <v>ICTV19911056@prod</v>
      </c>
    </row>
    <row r="1399" spans="1:15" x14ac:dyDescent="0.2">
      <c r="A1399">
        <v>17</v>
      </c>
      <c r="B1399">
        <v>19981896</v>
      </c>
      <c r="C1399">
        <v>19911057</v>
      </c>
      <c r="D1399" t="s">
        <v>29</v>
      </c>
      <c r="E1399" t="s">
        <v>1887</v>
      </c>
      <c r="G1399" t="s">
        <v>1165</v>
      </c>
      <c r="L1399" t="str">
        <f>HYPERLINK("https://test.ictv.global/id/TN19981896","TN19981896@TEST")</f>
        <v>TN19981896@TEST</v>
      </c>
      <c r="M1399" t="str">
        <f>HYPERLINK("https://test.ictv.global/id/ICTV19911057","ICTV19911057@TEST")</f>
        <v>ICTV19911057@TEST</v>
      </c>
      <c r="N1399" t="str">
        <f>HYPERLINK("https://ictv.global/id/TN19981896","TN19981896@prod")</f>
        <v>TN19981896@prod</v>
      </c>
      <c r="O1399" t="str">
        <f>HYPERLINK("https://ictv.global/id/ICTV19911057","ICTV19911057@prod")</f>
        <v>ICTV19911057@prod</v>
      </c>
    </row>
    <row r="1400" spans="1:15" x14ac:dyDescent="0.2">
      <c r="A1400">
        <v>17</v>
      </c>
      <c r="B1400">
        <v>19981899</v>
      </c>
      <c r="C1400">
        <v>19911060</v>
      </c>
      <c r="D1400" t="s">
        <v>29</v>
      </c>
      <c r="E1400" t="s">
        <v>1888</v>
      </c>
      <c r="G1400" t="s">
        <v>1165</v>
      </c>
      <c r="L1400" t="str">
        <f>HYPERLINK("https://test.ictv.global/id/TN19981899","TN19981899@TEST")</f>
        <v>TN19981899@TEST</v>
      </c>
      <c r="M1400" t="str">
        <f>HYPERLINK("https://test.ictv.global/id/ICTV19911060","ICTV19911060@TEST")</f>
        <v>ICTV19911060@TEST</v>
      </c>
      <c r="N1400" t="str">
        <f>HYPERLINK("https://ictv.global/id/TN19981899","TN19981899@prod")</f>
        <v>TN19981899@prod</v>
      </c>
      <c r="O1400" t="str">
        <f>HYPERLINK("https://ictv.global/id/ICTV19911060","ICTV19911060@prod")</f>
        <v>ICTV19911060@prod</v>
      </c>
    </row>
    <row r="1401" spans="1:15" x14ac:dyDescent="0.2">
      <c r="A1401">
        <v>17</v>
      </c>
      <c r="B1401">
        <v>19981900</v>
      </c>
      <c r="C1401">
        <v>19911061</v>
      </c>
      <c r="D1401" t="s">
        <v>29</v>
      </c>
      <c r="E1401" t="s">
        <v>1889</v>
      </c>
      <c r="G1401" t="s">
        <v>1165</v>
      </c>
      <c r="L1401" t="str">
        <f>HYPERLINK("https://test.ictv.global/id/TN19981900","TN19981900@TEST")</f>
        <v>TN19981900@TEST</v>
      </c>
      <c r="M1401" t="str">
        <f>HYPERLINK("https://test.ictv.global/id/ICTV19911061","ICTV19911061@TEST")</f>
        <v>ICTV19911061@TEST</v>
      </c>
      <c r="N1401" t="str">
        <f>HYPERLINK("https://ictv.global/id/TN19981900","TN19981900@prod")</f>
        <v>TN19981900@prod</v>
      </c>
      <c r="O1401" t="str">
        <f>HYPERLINK("https://ictv.global/id/ICTV19911061","ICTV19911061@prod")</f>
        <v>ICTV19911061@prod</v>
      </c>
    </row>
    <row r="1402" spans="1:15" x14ac:dyDescent="0.2">
      <c r="A1402">
        <v>17</v>
      </c>
      <c r="B1402">
        <v>19981901</v>
      </c>
      <c r="C1402">
        <v>19911062</v>
      </c>
      <c r="D1402" t="s">
        <v>29</v>
      </c>
      <c r="E1402" t="s">
        <v>1890</v>
      </c>
      <c r="G1402" t="s">
        <v>1165</v>
      </c>
      <c r="L1402" t="str">
        <f>HYPERLINK("https://test.ictv.global/id/TN19981901","TN19981901@TEST")</f>
        <v>TN19981901@TEST</v>
      </c>
      <c r="M1402" t="str">
        <f>HYPERLINK("https://test.ictv.global/id/ICTV19911062","ICTV19911062@TEST")</f>
        <v>ICTV19911062@TEST</v>
      </c>
      <c r="N1402" t="str">
        <f>HYPERLINK("https://ictv.global/id/TN19981901","TN19981901@prod")</f>
        <v>TN19981901@prod</v>
      </c>
      <c r="O1402" t="str">
        <f>HYPERLINK("https://ictv.global/id/ICTV19911062","ICTV19911062@prod")</f>
        <v>ICTV19911062@prod</v>
      </c>
    </row>
    <row r="1403" spans="1:15" x14ac:dyDescent="0.2">
      <c r="A1403">
        <v>17</v>
      </c>
      <c r="B1403">
        <v>19981903</v>
      </c>
      <c r="C1403">
        <v>19911064</v>
      </c>
      <c r="D1403" t="s">
        <v>29</v>
      </c>
      <c r="E1403" t="s">
        <v>1891</v>
      </c>
      <c r="G1403" t="s">
        <v>1165</v>
      </c>
      <c r="L1403" t="str">
        <f>HYPERLINK("https://test.ictv.global/id/TN19981903","TN19981903@TEST")</f>
        <v>TN19981903@TEST</v>
      </c>
      <c r="M1403" t="str">
        <f>HYPERLINK("https://test.ictv.global/id/ICTV19911064","ICTV19911064@TEST")</f>
        <v>ICTV19911064@TEST</v>
      </c>
      <c r="N1403" t="str">
        <f>HYPERLINK("https://ictv.global/id/TN19981903","TN19981903@prod")</f>
        <v>TN19981903@prod</v>
      </c>
      <c r="O1403" t="str">
        <f>HYPERLINK("https://ictv.global/id/ICTV19911064","ICTV19911064@prod")</f>
        <v>ICTV19911064@prod</v>
      </c>
    </row>
    <row r="1404" spans="1:15" x14ac:dyDescent="0.2">
      <c r="A1404">
        <v>17</v>
      </c>
      <c r="B1404">
        <v>19981904</v>
      </c>
      <c r="C1404">
        <v>19911065</v>
      </c>
      <c r="D1404" t="s">
        <v>29</v>
      </c>
      <c r="E1404" t="s">
        <v>1892</v>
      </c>
      <c r="G1404" t="s">
        <v>1165</v>
      </c>
      <c r="L1404" t="str">
        <f>HYPERLINK("https://test.ictv.global/id/TN19981904","TN19981904@TEST")</f>
        <v>TN19981904@TEST</v>
      </c>
      <c r="M1404" t="str">
        <f>HYPERLINK("https://test.ictv.global/id/ICTV19911065","ICTV19911065@TEST")</f>
        <v>ICTV19911065@TEST</v>
      </c>
      <c r="N1404" t="str">
        <f>HYPERLINK("https://ictv.global/id/TN19981904","TN19981904@prod")</f>
        <v>TN19981904@prod</v>
      </c>
      <c r="O1404" t="str">
        <f>HYPERLINK("https://ictv.global/id/ICTV19911065","ICTV19911065@prod")</f>
        <v>ICTV19911065@prod</v>
      </c>
    </row>
    <row r="1405" spans="1:15" x14ac:dyDescent="0.2">
      <c r="A1405">
        <v>17</v>
      </c>
      <c r="B1405">
        <v>19981905</v>
      </c>
      <c r="C1405">
        <v>19911066</v>
      </c>
      <c r="D1405" t="s">
        <v>29</v>
      </c>
      <c r="E1405" t="s">
        <v>1893</v>
      </c>
      <c r="G1405" t="s">
        <v>1165</v>
      </c>
      <c r="L1405" t="str">
        <f>HYPERLINK("https://test.ictv.global/id/TN19981905","TN19981905@TEST")</f>
        <v>TN19981905@TEST</v>
      </c>
      <c r="M1405" t="str">
        <f>HYPERLINK("https://test.ictv.global/id/ICTV19911066","ICTV19911066@TEST")</f>
        <v>ICTV19911066@TEST</v>
      </c>
      <c r="N1405" t="str">
        <f>HYPERLINK("https://ictv.global/id/TN19981905","TN19981905@prod")</f>
        <v>TN19981905@prod</v>
      </c>
      <c r="O1405" t="str">
        <f>HYPERLINK("https://ictv.global/id/ICTV19911066","ICTV19911066@prod")</f>
        <v>ICTV19911066@prod</v>
      </c>
    </row>
    <row r="1406" spans="1:15" x14ac:dyDescent="0.2">
      <c r="A1406">
        <v>17</v>
      </c>
      <c r="B1406">
        <v>19981906</v>
      </c>
      <c r="C1406">
        <v>19911067</v>
      </c>
      <c r="D1406" t="s">
        <v>29</v>
      </c>
      <c r="E1406" t="s">
        <v>1894</v>
      </c>
      <c r="G1406" t="s">
        <v>1165</v>
      </c>
      <c r="L1406" t="str">
        <f>HYPERLINK("https://test.ictv.global/id/TN19981906","TN19981906@TEST")</f>
        <v>TN19981906@TEST</v>
      </c>
      <c r="M1406" t="str">
        <f>HYPERLINK("https://test.ictv.global/id/ICTV19911067","ICTV19911067@TEST")</f>
        <v>ICTV19911067@TEST</v>
      </c>
      <c r="N1406" t="str">
        <f>HYPERLINK("https://ictv.global/id/TN19981906","TN19981906@prod")</f>
        <v>TN19981906@prod</v>
      </c>
      <c r="O1406" t="str">
        <f>HYPERLINK("https://ictv.global/id/ICTV19911067","ICTV19911067@prod")</f>
        <v>ICTV19911067@prod</v>
      </c>
    </row>
    <row r="1407" spans="1:15" x14ac:dyDescent="0.2">
      <c r="A1407">
        <v>17</v>
      </c>
      <c r="B1407">
        <v>19981907</v>
      </c>
      <c r="C1407">
        <v>19911068</v>
      </c>
      <c r="D1407" t="s">
        <v>29</v>
      </c>
      <c r="E1407" t="s">
        <v>1895</v>
      </c>
      <c r="G1407" t="s">
        <v>1165</v>
      </c>
      <c r="L1407" t="str">
        <f>HYPERLINK("https://test.ictv.global/id/TN19981907","TN19981907@TEST")</f>
        <v>TN19981907@TEST</v>
      </c>
      <c r="M1407" t="str">
        <f>HYPERLINK("https://test.ictv.global/id/ICTV19911068","ICTV19911068@TEST")</f>
        <v>ICTV19911068@TEST</v>
      </c>
      <c r="N1407" t="str">
        <f>HYPERLINK("https://ictv.global/id/TN19981907","TN19981907@prod")</f>
        <v>TN19981907@prod</v>
      </c>
      <c r="O1407" t="str">
        <f>HYPERLINK("https://ictv.global/id/ICTV19911068","ICTV19911068@prod")</f>
        <v>ICTV19911068@prod</v>
      </c>
    </row>
    <row r="1408" spans="1:15" x14ac:dyDescent="0.2">
      <c r="A1408">
        <v>17</v>
      </c>
      <c r="B1408">
        <v>19981909</v>
      </c>
      <c r="C1408">
        <v>19911070</v>
      </c>
      <c r="D1408" t="s">
        <v>29</v>
      </c>
      <c r="E1408" t="s">
        <v>1896</v>
      </c>
      <c r="G1408" t="s">
        <v>1165</v>
      </c>
      <c r="L1408" t="str">
        <f>HYPERLINK("https://test.ictv.global/id/TN19981909","TN19981909@TEST")</f>
        <v>TN19981909@TEST</v>
      </c>
      <c r="M1408" t="str">
        <f>HYPERLINK("https://test.ictv.global/id/ICTV19911070","ICTV19911070@TEST")</f>
        <v>ICTV19911070@TEST</v>
      </c>
      <c r="N1408" t="str">
        <f>HYPERLINK("https://ictv.global/id/TN19981909","TN19981909@prod")</f>
        <v>TN19981909@prod</v>
      </c>
      <c r="O1408" t="str">
        <f>HYPERLINK("https://ictv.global/id/ICTV19911070","ICTV19911070@prod")</f>
        <v>ICTV19911070@prod</v>
      </c>
    </row>
    <row r="1409" spans="1:15" x14ac:dyDescent="0.2">
      <c r="A1409">
        <v>17</v>
      </c>
      <c r="B1409">
        <v>19981910</v>
      </c>
      <c r="C1409">
        <v>19911071</v>
      </c>
      <c r="D1409" t="s">
        <v>29</v>
      </c>
      <c r="E1409" t="s">
        <v>1897</v>
      </c>
      <c r="G1409" t="s">
        <v>1165</v>
      </c>
      <c r="L1409" t="str">
        <f>HYPERLINK("https://test.ictv.global/id/TN19981910","TN19981910@TEST")</f>
        <v>TN19981910@TEST</v>
      </c>
      <c r="M1409" t="str">
        <f>HYPERLINK("https://test.ictv.global/id/ICTV19911071","ICTV19911071@TEST")</f>
        <v>ICTV19911071@TEST</v>
      </c>
      <c r="N1409" t="str">
        <f>HYPERLINK("https://ictv.global/id/TN19981910","TN19981910@prod")</f>
        <v>TN19981910@prod</v>
      </c>
      <c r="O1409" t="str">
        <f>HYPERLINK("https://ictv.global/id/ICTV19911071","ICTV19911071@prod")</f>
        <v>ICTV19911071@prod</v>
      </c>
    </row>
    <row r="1410" spans="1:15" x14ac:dyDescent="0.2">
      <c r="A1410">
        <v>17</v>
      </c>
      <c r="B1410">
        <v>19981911</v>
      </c>
      <c r="C1410">
        <v>19911072</v>
      </c>
      <c r="D1410" t="s">
        <v>29</v>
      </c>
      <c r="E1410" t="s">
        <v>1898</v>
      </c>
      <c r="G1410" t="s">
        <v>1165</v>
      </c>
      <c r="L1410" t="str">
        <f>HYPERLINK("https://test.ictv.global/id/TN19981911","TN19981911@TEST")</f>
        <v>TN19981911@TEST</v>
      </c>
      <c r="M1410" t="str">
        <f>HYPERLINK("https://test.ictv.global/id/ICTV19911072","ICTV19911072@TEST")</f>
        <v>ICTV19911072@TEST</v>
      </c>
      <c r="N1410" t="str">
        <f>HYPERLINK("https://ictv.global/id/TN19981911","TN19981911@prod")</f>
        <v>TN19981911@prod</v>
      </c>
      <c r="O1410" t="str">
        <f>HYPERLINK("https://ictv.global/id/ICTV19911072","ICTV19911072@prod")</f>
        <v>ICTV19911072@prod</v>
      </c>
    </row>
    <row r="1411" spans="1:15" x14ac:dyDescent="0.2">
      <c r="A1411">
        <v>17</v>
      </c>
      <c r="B1411">
        <v>19981913</v>
      </c>
      <c r="C1411">
        <v>19911074</v>
      </c>
      <c r="D1411" t="s">
        <v>29</v>
      </c>
      <c r="E1411" t="s">
        <v>1899</v>
      </c>
      <c r="G1411" t="s">
        <v>1165</v>
      </c>
      <c r="L1411" t="str">
        <f>HYPERLINK("https://test.ictv.global/id/TN19981913","TN19981913@TEST")</f>
        <v>TN19981913@TEST</v>
      </c>
      <c r="M1411" t="str">
        <f>HYPERLINK("https://test.ictv.global/id/ICTV19911074","ICTV19911074@TEST")</f>
        <v>ICTV19911074@TEST</v>
      </c>
      <c r="N1411" t="str">
        <f>HYPERLINK("https://ictv.global/id/TN19981913","TN19981913@prod")</f>
        <v>TN19981913@prod</v>
      </c>
      <c r="O1411" t="str">
        <f>HYPERLINK("https://ictv.global/id/ICTV19911074","ICTV19911074@prod")</f>
        <v>ICTV19911074@prod</v>
      </c>
    </row>
    <row r="1412" spans="1:15" x14ac:dyDescent="0.2">
      <c r="A1412">
        <v>17</v>
      </c>
      <c r="B1412">
        <v>19981915</v>
      </c>
      <c r="C1412">
        <v>19911076</v>
      </c>
      <c r="D1412" t="s">
        <v>29</v>
      </c>
      <c r="E1412" t="s">
        <v>1900</v>
      </c>
      <c r="G1412" t="s">
        <v>1165</v>
      </c>
      <c r="L1412" t="str">
        <f>HYPERLINK("https://test.ictv.global/id/TN19981915","TN19981915@TEST")</f>
        <v>TN19981915@TEST</v>
      </c>
      <c r="M1412" t="str">
        <f>HYPERLINK("https://test.ictv.global/id/ICTV19911076","ICTV19911076@TEST")</f>
        <v>ICTV19911076@TEST</v>
      </c>
      <c r="N1412" t="str">
        <f>HYPERLINK("https://ictv.global/id/TN19981915","TN19981915@prod")</f>
        <v>TN19981915@prod</v>
      </c>
      <c r="O1412" t="str">
        <f>HYPERLINK("https://ictv.global/id/ICTV19911076","ICTV19911076@prod")</f>
        <v>ICTV19911076@prod</v>
      </c>
    </row>
    <row r="1413" spans="1:15" x14ac:dyDescent="0.2">
      <c r="A1413">
        <v>17</v>
      </c>
      <c r="B1413">
        <v>19981916</v>
      </c>
      <c r="C1413">
        <v>19911077</v>
      </c>
      <c r="D1413" t="s">
        <v>29</v>
      </c>
      <c r="E1413" t="s">
        <v>1901</v>
      </c>
      <c r="G1413" t="s">
        <v>1165</v>
      </c>
      <c r="L1413" t="str">
        <f>HYPERLINK("https://test.ictv.global/id/TN19981916","TN19981916@TEST")</f>
        <v>TN19981916@TEST</v>
      </c>
      <c r="M1413" t="str">
        <f>HYPERLINK("https://test.ictv.global/id/ICTV19911077","ICTV19911077@TEST")</f>
        <v>ICTV19911077@TEST</v>
      </c>
      <c r="N1413" t="str">
        <f>HYPERLINK("https://ictv.global/id/TN19981916","TN19981916@prod")</f>
        <v>TN19981916@prod</v>
      </c>
      <c r="O1413" t="str">
        <f>HYPERLINK("https://ictv.global/id/ICTV19911077","ICTV19911077@prod")</f>
        <v>ICTV19911077@prod</v>
      </c>
    </row>
    <row r="1414" spans="1:15" x14ac:dyDescent="0.2">
      <c r="A1414">
        <v>17</v>
      </c>
      <c r="B1414">
        <v>19981917</v>
      </c>
      <c r="C1414">
        <v>19911078</v>
      </c>
      <c r="D1414" t="s">
        <v>29</v>
      </c>
      <c r="E1414" t="s">
        <v>1902</v>
      </c>
      <c r="G1414" t="s">
        <v>1165</v>
      </c>
      <c r="L1414" t="str">
        <f>HYPERLINK("https://test.ictv.global/id/TN19981917","TN19981917@TEST")</f>
        <v>TN19981917@TEST</v>
      </c>
      <c r="M1414" t="str">
        <f>HYPERLINK("https://test.ictv.global/id/ICTV19911078","ICTV19911078@TEST")</f>
        <v>ICTV19911078@TEST</v>
      </c>
      <c r="N1414" t="str">
        <f>HYPERLINK("https://ictv.global/id/TN19981917","TN19981917@prod")</f>
        <v>TN19981917@prod</v>
      </c>
      <c r="O1414" t="str">
        <f>HYPERLINK("https://ictv.global/id/ICTV19911078","ICTV19911078@prod")</f>
        <v>ICTV19911078@prod</v>
      </c>
    </row>
    <row r="1415" spans="1:15" x14ac:dyDescent="0.2">
      <c r="A1415">
        <v>17</v>
      </c>
      <c r="B1415">
        <v>19981918</v>
      </c>
      <c r="C1415">
        <v>19911079</v>
      </c>
      <c r="D1415" t="s">
        <v>29</v>
      </c>
      <c r="E1415" t="s">
        <v>1903</v>
      </c>
      <c r="G1415" t="s">
        <v>1165</v>
      </c>
      <c r="L1415" t="str">
        <f>HYPERLINK("https://test.ictv.global/id/TN19981918","TN19981918@TEST")</f>
        <v>TN19981918@TEST</v>
      </c>
      <c r="M1415" t="str">
        <f>HYPERLINK("https://test.ictv.global/id/ICTV19911079","ICTV19911079@TEST")</f>
        <v>ICTV19911079@TEST</v>
      </c>
      <c r="N1415" t="str">
        <f>HYPERLINK("https://ictv.global/id/TN19981918","TN19981918@prod")</f>
        <v>TN19981918@prod</v>
      </c>
      <c r="O1415" t="str">
        <f>HYPERLINK("https://ictv.global/id/ICTV19911079","ICTV19911079@prod")</f>
        <v>ICTV19911079@prod</v>
      </c>
    </row>
    <row r="1416" spans="1:15" x14ac:dyDescent="0.2">
      <c r="A1416">
        <v>17</v>
      </c>
      <c r="B1416">
        <v>19981920</v>
      </c>
      <c r="C1416">
        <v>19911081</v>
      </c>
      <c r="D1416" t="s">
        <v>29</v>
      </c>
      <c r="E1416" t="s">
        <v>1904</v>
      </c>
      <c r="G1416" t="s">
        <v>1165</v>
      </c>
      <c r="L1416" t="str">
        <f>HYPERLINK("https://test.ictv.global/id/TN19981920","TN19981920@TEST")</f>
        <v>TN19981920@TEST</v>
      </c>
      <c r="M1416" t="str">
        <f>HYPERLINK("https://test.ictv.global/id/ICTV19911081","ICTV19911081@TEST")</f>
        <v>ICTV19911081@TEST</v>
      </c>
      <c r="N1416" t="str">
        <f>HYPERLINK("https://ictv.global/id/TN19981920","TN19981920@prod")</f>
        <v>TN19981920@prod</v>
      </c>
      <c r="O1416" t="str">
        <f>HYPERLINK("https://ictv.global/id/ICTV19911081","ICTV19911081@prod")</f>
        <v>ICTV19911081@prod</v>
      </c>
    </row>
    <row r="1417" spans="1:15" x14ac:dyDescent="0.2">
      <c r="A1417">
        <v>17</v>
      </c>
      <c r="B1417">
        <v>19981922</v>
      </c>
      <c r="C1417">
        <v>19911083</v>
      </c>
      <c r="D1417" t="s">
        <v>29</v>
      </c>
      <c r="E1417" t="s">
        <v>1905</v>
      </c>
      <c r="G1417" t="s">
        <v>1165</v>
      </c>
      <c r="L1417" t="str">
        <f>HYPERLINK("https://test.ictv.global/id/TN19981922","TN19981922@TEST")</f>
        <v>TN19981922@TEST</v>
      </c>
      <c r="M1417" t="str">
        <f>HYPERLINK("https://test.ictv.global/id/ICTV19911083","ICTV19911083@TEST")</f>
        <v>ICTV19911083@TEST</v>
      </c>
      <c r="N1417" t="str">
        <f>HYPERLINK("https://ictv.global/id/TN19981922","TN19981922@prod")</f>
        <v>TN19981922@prod</v>
      </c>
      <c r="O1417" t="str">
        <f>HYPERLINK("https://ictv.global/id/ICTV19911083","ICTV19911083@prod")</f>
        <v>ICTV19911083@prod</v>
      </c>
    </row>
    <row r="1418" spans="1:15" x14ac:dyDescent="0.2">
      <c r="A1418">
        <v>17</v>
      </c>
      <c r="B1418">
        <v>19981923</v>
      </c>
      <c r="C1418">
        <v>19911084</v>
      </c>
      <c r="D1418" t="s">
        <v>29</v>
      </c>
      <c r="E1418" t="s">
        <v>1906</v>
      </c>
      <c r="G1418" t="s">
        <v>1165</v>
      </c>
      <c r="L1418" t="str">
        <f>HYPERLINK("https://test.ictv.global/id/TN19981923","TN19981923@TEST")</f>
        <v>TN19981923@TEST</v>
      </c>
      <c r="M1418" t="str">
        <f>HYPERLINK("https://test.ictv.global/id/ICTV19911084","ICTV19911084@TEST")</f>
        <v>ICTV19911084@TEST</v>
      </c>
      <c r="N1418" t="str">
        <f>HYPERLINK("https://ictv.global/id/TN19981923","TN19981923@prod")</f>
        <v>TN19981923@prod</v>
      </c>
      <c r="O1418" t="str">
        <f>HYPERLINK("https://ictv.global/id/ICTV19911084","ICTV19911084@prod")</f>
        <v>ICTV19911084@prod</v>
      </c>
    </row>
    <row r="1419" spans="1:15" x14ac:dyDescent="0.2">
      <c r="A1419">
        <v>17</v>
      </c>
      <c r="B1419">
        <v>19981928</v>
      </c>
      <c r="C1419">
        <v>19911088</v>
      </c>
      <c r="D1419" t="s">
        <v>29</v>
      </c>
      <c r="E1419" t="s">
        <v>1907</v>
      </c>
      <c r="G1419" t="s">
        <v>1165</v>
      </c>
      <c r="L1419" t="str">
        <f>HYPERLINK("https://test.ictv.global/id/TN19981928","TN19981928@TEST")</f>
        <v>TN19981928@TEST</v>
      </c>
      <c r="M1419" t="str">
        <f>HYPERLINK("https://test.ictv.global/id/ICTV19911088","ICTV19911088@TEST")</f>
        <v>ICTV19911088@TEST</v>
      </c>
      <c r="N1419" t="str">
        <f>HYPERLINK("https://ictv.global/id/TN19981928","TN19981928@prod")</f>
        <v>TN19981928@prod</v>
      </c>
      <c r="O1419" t="str">
        <f>HYPERLINK("https://ictv.global/id/ICTV19911088","ICTV19911088@prod")</f>
        <v>ICTV19911088@prod</v>
      </c>
    </row>
    <row r="1420" spans="1:15" x14ac:dyDescent="0.2">
      <c r="A1420">
        <v>17</v>
      </c>
      <c r="B1420">
        <v>19981932</v>
      </c>
      <c r="C1420">
        <v>19820653</v>
      </c>
      <c r="D1420" t="s">
        <v>29</v>
      </c>
      <c r="E1420" t="s">
        <v>58</v>
      </c>
      <c r="G1420" t="s">
        <v>31</v>
      </c>
      <c r="H1420" t="s">
        <v>56</v>
      </c>
      <c r="I1420" t="s">
        <v>29</v>
      </c>
      <c r="J1420">
        <v>19991243</v>
      </c>
      <c r="K1420">
        <v>19991243</v>
      </c>
      <c r="L1420" t="str">
        <f>HYPERLINK("https://test.ictv.global/id/TN19981932","TN19981932@TEST")</f>
        <v>TN19981932@TEST</v>
      </c>
      <c r="M1420" t="str">
        <f>HYPERLINK("https://test.ictv.global/id/ICTV19820653","ICTV19820653@TEST")</f>
        <v>ICTV19820653@TEST</v>
      </c>
      <c r="N1420" t="str">
        <f>HYPERLINK("https://ictv.global/id/TN19981932","TN19981932@prod")</f>
        <v>TN19981932@prod</v>
      </c>
      <c r="O1420" t="str">
        <f>HYPERLINK("https://ictv.global/id/ICTV19820653","ICTV19820653@prod")</f>
        <v>ICTV19820653@prod</v>
      </c>
    </row>
    <row r="1421" spans="1:15" x14ac:dyDescent="0.2">
      <c r="A1421">
        <v>17</v>
      </c>
      <c r="B1421">
        <v>19981933</v>
      </c>
      <c r="C1421">
        <v>19790480</v>
      </c>
      <c r="D1421" t="s">
        <v>29</v>
      </c>
      <c r="E1421" t="s">
        <v>724</v>
      </c>
      <c r="G1421" t="s">
        <v>31</v>
      </c>
      <c r="H1421" t="s">
        <v>56</v>
      </c>
      <c r="I1421" t="s">
        <v>29</v>
      </c>
      <c r="J1421">
        <v>19991243</v>
      </c>
      <c r="K1421">
        <v>19991243</v>
      </c>
      <c r="L1421" t="str">
        <f>HYPERLINK("https://test.ictv.global/id/TN19981933","TN19981933@TEST")</f>
        <v>TN19981933@TEST</v>
      </c>
      <c r="M1421" t="str">
        <f>HYPERLINK("https://test.ictv.global/id/ICTV19790480","ICTV19790480@TEST")</f>
        <v>ICTV19790480@TEST</v>
      </c>
      <c r="N1421" t="str">
        <f>HYPERLINK("https://ictv.global/id/TN19981933","TN19981933@prod")</f>
        <v>TN19981933@prod</v>
      </c>
      <c r="O1421" t="str">
        <f>HYPERLINK("https://ictv.global/id/ICTV19790480","ICTV19790480@prod")</f>
        <v>ICTV19790480@prod</v>
      </c>
    </row>
    <row r="1422" spans="1:15" x14ac:dyDescent="0.2">
      <c r="A1422">
        <v>17</v>
      </c>
      <c r="B1422">
        <v>19981934</v>
      </c>
      <c r="C1422">
        <v>19790481</v>
      </c>
      <c r="D1422" t="s">
        <v>29</v>
      </c>
      <c r="E1422" t="s">
        <v>725</v>
      </c>
      <c r="G1422" t="s">
        <v>31</v>
      </c>
      <c r="H1422" t="s">
        <v>56</v>
      </c>
      <c r="I1422" t="s">
        <v>29</v>
      </c>
      <c r="J1422">
        <v>19991243</v>
      </c>
      <c r="K1422">
        <v>19991243</v>
      </c>
      <c r="L1422" t="str">
        <f>HYPERLINK("https://test.ictv.global/id/TN19981934","TN19981934@TEST")</f>
        <v>TN19981934@TEST</v>
      </c>
      <c r="M1422" t="str">
        <f>HYPERLINK("https://test.ictv.global/id/ICTV19790481","ICTV19790481@TEST")</f>
        <v>ICTV19790481@TEST</v>
      </c>
      <c r="N1422" t="str">
        <f>HYPERLINK("https://ictv.global/id/TN19981934","TN19981934@prod")</f>
        <v>TN19981934@prod</v>
      </c>
      <c r="O1422" t="str">
        <f>HYPERLINK("https://ictv.global/id/ICTV19790481","ICTV19790481@prod")</f>
        <v>ICTV19790481@prod</v>
      </c>
    </row>
    <row r="1423" spans="1:15" x14ac:dyDescent="0.2">
      <c r="A1423">
        <v>17</v>
      </c>
      <c r="B1423">
        <v>19981935</v>
      </c>
      <c r="C1423">
        <v>19820656</v>
      </c>
      <c r="D1423" t="s">
        <v>29</v>
      </c>
      <c r="E1423" t="s">
        <v>59</v>
      </c>
      <c r="G1423" t="s">
        <v>33</v>
      </c>
      <c r="H1423" t="s">
        <v>56</v>
      </c>
      <c r="I1423" t="s">
        <v>29</v>
      </c>
      <c r="J1423">
        <v>19991243</v>
      </c>
      <c r="K1423">
        <v>19991243</v>
      </c>
      <c r="L1423" t="str">
        <f>HYPERLINK("https://test.ictv.global/id/TN19981935","TN19981935@TEST")</f>
        <v>TN19981935@TEST</v>
      </c>
      <c r="M1423" t="str">
        <f>HYPERLINK("https://test.ictv.global/id/ICTV19820656","ICTV19820656@TEST")</f>
        <v>ICTV19820656@TEST</v>
      </c>
      <c r="N1423" t="str">
        <f>HYPERLINK("https://ictv.global/id/TN19981935","TN19981935@prod")</f>
        <v>TN19981935@prod</v>
      </c>
      <c r="O1423" t="str">
        <f>HYPERLINK("https://ictv.global/id/ICTV19820656","ICTV19820656@prod")</f>
        <v>ICTV19820656@prod</v>
      </c>
    </row>
    <row r="1424" spans="1:15" x14ac:dyDescent="0.2">
      <c r="A1424">
        <v>17</v>
      </c>
      <c r="B1424">
        <v>19981936</v>
      </c>
      <c r="C1424">
        <v>19790483</v>
      </c>
      <c r="D1424" t="s">
        <v>29</v>
      </c>
      <c r="E1424" t="s">
        <v>726</v>
      </c>
      <c r="G1424" t="s">
        <v>31</v>
      </c>
      <c r="H1424" t="s">
        <v>56</v>
      </c>
      <c r="I1424" t="s">
        <v>29</v>
      </c>
      <c r="J1424">
        <v>19991243</v>
      </c>
      <c r="K1424">
        <v>19991243</v>
      </c>
      <c r="L1424" t="str">
        <f>HYPERLINK("https://test.ictv.global/id/TN19981936","TN19981936@TEST")</f>
        <v>TN19981936@TEST</v>
      </c>
      <c r="M1424" t="str">
        <f>HYPERLINK("https://test.ictv.global/id/ICTV19790483","ICTV19790483@TEST")</f>
        <v>ICTV19790483@TEST</v>
      </c>
      <c r="N1424" t="str">
        <f>HYPERLINK("https://ictv.global/id/TN19981936","TN19981936@prod")</f>
        <v>TN19981936@prod</v>
      </c>
      <c r="O1424" t="str">
        <f>HYPERLINK("https://ictv.global/id/ICTV19790483","ICTV19790483@prod")</f>
        <v>ICTV19790483@prod</v>
      </c>
    </row>
    <row r="1425" spans="1:15" x14ac:dyDescent="0.2">
      <c r="A1425">
        <v>17</v>
      </c>
      <c r="B1425">
        <v>19981937</v>
      </c>
      <c r="C1425">
        <v>19790484</v>
      </c>
      <c r="D1425" t="s">
        <v>29</v>
      </c>
      <c r="E1425" t="s">
        <v>727</v>
      </c>
      <c r="G1425" t="s">
        <v>31</v>
      </c>
      <c r="H1425" t="s">
        <v>56</v>
      </c>
      <c r="I1425" t="s">
        <v>29</v>
      </c>
      <c r="J1425">
        <v>19991243</v>
      </c>
      <c r="K1425">
        <v>19991243</v>
      </c>
      <c r="L1425" t="str">
        <f>HYPERLINK("https://test.ictv.global/id/TN19981937","TN19981937@TEST")</f>
        <v>TN19981937@TEST</v>
      </c>
      <c r="M1425" t="str">
        <f>HYPERLINK("https://test.ictv.global/id/ICTV19790484","ICTV19790484@TEST")</f>
        <v>ICTV19790484@TEST</v>
      </c>
      <c r="N1425" t="str">
        <f>HYPERLINK("https://ictv.global/id/TN19981937","TN19981937@prod")</f>
        <v>TN19981937@prod</v>
      </c>
      <c r="O1425" t="str">
        <f>HYPERLINK("https://ictv.global/id/ICTV19790484","ICTV19790484@prod")</f>
        <v>ICTV19790484@prod</v>
      </c>
    </row>
    <row r="1426" spans="1:15" x14ac:dyDescent="0.2">
      <c r="A1426">
        <v>17</v>
      </c>
      <c r="B1426">
        <v>19981938</v>
      </c>
      <c r="C1426">
        <v>19790485</v>
      </c>
      <c r="D1426" t="s">
        <v>29</v>
      </c>
      <c r="E1426" t="s">
        <v>728</v>
      </c>
      <c r="G1426" t="s">
        <v>31</v>
      </c>
      <c r="H1426" t="s">
        <v>56</v>
      </c>
      <c r="I1426" t="s">
        <v>29</v>
      </c>
      <c r="J1426">
        <v>19991243</v>
      </c>
      <c r="K1426">
        <v>19991243</v>
      </c>
      <c r="L1426" t="str">
        <f>HYPERLINK("https://test.ictv.global/id/TN19981938","TN19981938@TEST")</f>
        <v>TN19981938@TEST</v>
      </c>
      <c r="M1426" t="str">
        <f>HYPERLINK("https://test.ictv.global/id/ICTV19790485","ICTV19790485@TEST")</f>
        <v>ICTV19790485@TEST</v>
      </c>
      <c r="N1426" t="str">
        <f>HYPERLINK("https://ictv.global/id/TN19981938","TN19981938@prod")</f>
        <v>TN19981938@prod</v>
      </c>
      <c r="O1426" t="str">
        <f>HYPERLINK("https://ictv.global/id/ICTV19790485","ICTV19790485@prod")</f>
        <v>ICTV19790485@prod</v>
      </c>
    </row>
    <row r="1427" spans="1:15" x14ac:dyDescent="0.2">
      <c r="A1427">
        <v>17</v>
      </c>
      <c r="B1427">
        <v>19981941</v>
      </c>
      <c r="C1427">
        <v>19951534</v>
      </c>
      <c r="D1427" t="s">
        <v>29</v>
      </c>
      <c r="E1427" t="s">
        <v>289</v>
      </c>
      <c r="G1427" t="s">
        <v>33</v>
      </c>
      <c r="H1427" t="s">
        <v>729</v>
      </c>
      <c r="I1427" t="s">
        <v>29</v>
      </c>
      <c r="J1427">
        <v>19991245</v>
      </c>
      <c r="K1427">
        <v>19991245</v>
      </c>
      <c r="L1427" t="str">
        <f>HYPERLINK("https://test.ictv.global/id/TN19981941","TN19981941@TEST")</f>
        <v>TN19981941@TEST</v>
      </c>
      <c r="M1427" t="str">
        <f>HYPERLINK("https://test.ictv.global/id/ICTV19951534","ICTV19951534@TEST")</f>
        <v>ICTV19951534@TEST</v>
      </c>
      <c r="N1427" t="str">
        <f>HYPERLINK("https://ictv.global/id/TN19981941","TN19981941@prod")</f>
        <v>TN19981941@prod</v>
      </c>
      <c r="O1427" t="str">
        <f>HYPERLINK("https://ictv.global/id/ICTV19951534","ICTV19951534@prod")</f>
        <v>ICTV19951534@prod</v>
      </c>
    </row>
    <row r="1428" spans="1:15" x14ac:dyDescent="0.2">
      <c r="A1428">
        <v>17</v>
      </c>
      <c r="B1428">
        <v>19981942</v>
      </c>
      <c r="C1428">
        <v>19961587</v>
      </c>
      <c r="D1428" t="s">
        <v>29</v>
      </c>
      <c r="E1428" t="s">
        <v>730</v>
      </c>
      <c r="G1428" t="s">
        <v>33</v>
      </c>
      <c r="H1428" t="s">
        <v>729</v>
      </c>
      <c r="I1428" t="s">
        <v>29</v>
      </c>
      <c r="J1428">
        <v>19991245</v>
      </c>
      <c r="K1428">
        <v>19991245</v>
      </c>
      <c r="L1428" t="str">
        <f>HYPERLINK("https://test.ictv.global/id/TN19981942","TN19981942@TEST")</f>
        <v>TN19981942@TEST</v>
      </c>
      <c r="M1428" t="str">
        <f>HYPERLINK("https://test.ictv.global/id/ICTV19961587","ICTV19961587@TEST")</f>
        <v>ICTV19961587@TEST</v>
      </c>
      <c r="N1428" t="str">
        <f>HYPERLINK("https://ictv.global/id/TN19981942","TN19981942@prod")</f>
        <v>TN19981942@prod</v>
      </c>
      <c r="O1428" t="str">
        <f>HYPERLINK("https://ictv.global/id/ICTV19961587","ICTV19961587@prod")</f>
        <v>ICTV19961587@prod</v>
      </c>
    </row>
    <row r="1429" spans="1:15" x14ac:dyDescent="0.2">
      <c r="A1429">
        <v>17</v>
      </c>
      <c r="B1429">
        <v>19981945</v>
      </c>
      <c r="C1429">
        <v>19820881</v>
      </c>
      <c r="D1429" t="s">
        <v>29</v>
      </c>
      <c r="E1429" t="s">
        <v>1227</v>
      </c>
      <c r="G1429" t="s">
        <v>1165</v>
      </c>
      <c r="L1429" t="str">
        <f>HYPERLINK("https://test.ictv.global/id/TN19981945","TN19981945@TEST")</f>
        <v>TN19981945@TEST</v>
      </c>
      <c r="M1429" t="str">
        <f>HYPERLINK("https://test.ictv.global/id/ICTV19820881","ICTV19820881@TEST")</f>
        <v>ICTV19820881@TEST</v>
      </c>
      <c r="N1429" t="str">
        <f>HYPERLINK("https://ictv.global/id/TN19981945","TN19981945@prod")</f>
        <v>TN19981945@prod</v>
      </c>
      <c r="O1429" t="str">
        <f>HYPERLINK("https://ictv.global/id/ICTV19820881","ICTV19820881@prod")</f>
        <v>ICTV19820881@prod</v>
      </c>
    </row>
    <row r="1430" spans="1:15" x14ac:dyDescent="0.2">
      <c r="A1430">
        <v>17</v>
      </c>
      <c r="B1430">
        <v>19981946</v>
      </c>
      <c r="C1430">
        <v>19790488</v>
      </c>
      <c r="D1430" t="s">
        <v>29</v>
      </c>
      <c r="E1430" t="s">
        <v>61</v>
      </c>
      <c r="G1430" t="s">
        <v>33</v>
      </c>
      <c r="H1430" t="s">
        <v>60</v>
      </c>
      <c r="I1430" t="s">
        <v>29</v>
      </c>
      <c r="J1430">
        <v>19991246</v>
      </c>
      <c r="K1430">
        <v>19991246</v>
      </c>
      <c r="L1430" t="str">
        <f>HYPERLINK("https://test.ictv.global/id/TN19981946","TN19981946@TEST")</f>
        <v>TN19981946@TEST</v>
      </c>
      <c r="M1430" t="str">
        <f>HYPERLINK("https://test.ictv.global/id/ICTV19790488","ICTV19790488@TEST")</f>
        <v>ICTV19790488@TEST</v>
      </c>
      <c r="N1430" t="str">
        <f>HYPERLINK("https://ictv.global/id/TN19981946","TN19981946@prod")</f>
        <v>TN19981946@prod</v>
      </c>
      <c r="O1430" t="str">
        <f>HYPERLINK("https://ictv.global/id/ICTV19790488","ICTV19790488@prod")</f>
        <v>ICTV19790488@prod</v>
      </c>
    </row>
    <row r="1431" spans="1:15" x14ac:dyDescent="0.2">
      <c r="A1431">
        <v>17</v>
      </c>
      <c r="B1431">
        <v>19981947</v>
      </c>
      <c r="C1431">
        <v>19790489</v>
      </c>
      <c r="D1431" t="s">
        <v>29</v>
      </c>
      <c r="E1431" t="s">
        <v>62</v>
      </c>
      <c r="G1431" t="s">
        <v>33</v>
      </c>
      <c r="H1431" t="s">
        <v>60</v>
      </c>
      <c r="I1431" t="s">
        <v>29</v>
      </c>
      <c r="J1431">
        <v>19991246</v>
      </c>
      <c r="K1431">
        <v>19991246</v>
      </c>
      <c r="L1431" t="str">
        <f>HYPERLINK("https://test.ictv.global/id/TN19981947","TN19981947@TEST")</f>
        <v>TN19981947@TEST</v>
      </c>
      <c r="M1431" t="str">
        <f>HYPERLINK("https://test.ictv.global/id/ICTV19790489","ICTV19790489@TEST")</f>
        <v>ICTV19790489@TEST</v>
      </c>
      <c r="N1431" t="str">
        <f>HYPERLINK("https://ictv.global/id/TN19981947","TN19981947@prod")</f>
        <v>TN19981947@prod</v>
      </c>
      <c r="O1431" t="str">
        <f>HYPERLINK("https://ictv.global/id/ICTV19790489","ICTV19790489@prod")</f>
        <v>ICTV19790489@prod</v>
      </c>
    </row>
    <row r="1432" spans="1:15" x14ac:dyDescent="0.2">
      <c r="A1432">
        <v>17</v>
      </c>
      <c r="B1432">
        <v>19981948</v>
      </c>
      <c r="C1432">
        <v>19790490</v>
      </c>
      <c r="D1432" t="s">
        <v>29</v>
      </c>
      <c r="E1432" t="s">
        <v>731</v>
      </c>
      <c r="G1432" t="s">
        <v>33</v>
      </c>
      <c r="H1432" t="s">
        <v>732</v>
      </c>
      <c r="I1432" t="s">
        <v>29</v>
      </c>
      <c r="J1432">
        <v>19991249</v>
      </c>
      <c r="K1432">
        <v>19991249</v>
      </c>
      <c r="L1432" t="str">
        <f>HYPERLINK("https://test.ictv.global/id/TN19981948","TN19981948@TEST")</f>
        <v>TN19981948@TEST</v>
      </c>
      <c r="M1432" t="str">
        <f>HYPERLINK("https://test.ictv.global/id/ICTV19790490","ICTV19790490@TEST")</f>
        <v>ICTV19790490@TEST</v>
      </c>
      <c r="N1432" t="str">
        <f>HYPERLINK("https://ictv.global/id/TN19981948","TN19981948@prod")</f>
        <v>TN19981948@prod</v>
      </c>
      <c r="O1432" t="str">
        <f>HYPERLINK("https://ictv.global/id/ICTV19790490","ICTV19790490@prod")</f>
        <v>ICTV19790490@prod</v>
      </c>
    </row>
    <row r="1433" spans="1:15" x14ac:dyDescent="0.2">
      <c r="A1433">
        <v>17</v>
      </c>
      <c r="B1433">
        <v>19981949</v>
      </c>
      <c r="C1433">
        <v>19790491</v>
      </c>
      <c r="D1433" t="s">
        <v>29</v>
      </c>
      <c r="E1433" t="s">
        <v>733</v>
      </c>
      <c r="G1433" t="s">
        <v>33</v>
      </c>
      <c r="H1433" t="s">
        <v>734</v>
      </c>
      <c r="I1433" t="s">
        <v>29</v>
      </c>
      <c r="J1433">
        <v>19991247</v>
      </c>
      <c r="K1433">
        <v>19991247</v>
      </c>
      <c r="L1433" t="str">
        <f>HYPERLINK("https://test.ictv.global/id/TN19981949","TN19981949@TEST")</f>
        <v>TN19981949@TEST</v>
      </c>
      <c r="M1433" t="str">
        <f>HYPERLINK("https://test.ictv.global/id/ICTV19790491","ICTV19790491@TEST")</f>
        <v>ICTV19790491@TEST</v>
      </c>
      <c r="N1433" t="str">
        <f>HYPERLINK("https://ictv.global/id/TN19981949","TN19981949@prod")</f>
        <v>TN19981949@prod</v>
      </c>
      <c r="O1433" t="str">
        <f>HYPERLINK("https://ictv.global/id/ICTV19790491","ICTV19790491@prod")</f>
        <v>ICTV19790491@prod</v>
      </c>
    </row>
    <row r="1434" spans="1:15" x14ac:dyDescent="0.2">
      <c r="A1434">
        <v>17</v>
      </c>
      <c r="B1434">
        <v>19981950</v>
      </c>
      <c r="C1434">
        <v>19790492</v>
      </c>
      <c r="D1434" t="s">
        <v>29</v>
      </c>
      <c r="E1434" t="s">
        <v>735</v>
      </c>
      <c r="G1434" t="s">
        <v>33</v>
      </c>
      <c r="H1434" t="s">
        <v>732</v>
      </c>
      <c r="I1434" t="s">
        <v>29</v>
      </c>
      <c r="J1434">
        <v>19991249</v>
      </c>
      <c r="K1434">
        <v>19991249</v>
      </c>
      <c r="L1434" t="str">
        <f>HYPERLINK("https://test.ictv.global/id/TN19981950","TN19981950@TEST")</f>
        <v>TN19981950@TEST</v>
      </c>
      <c r="M1434" t="str">
        <f>HYPERLINK("https://test.ictv.global/id/ICTV19790492","ICTV19790492@TEST")</f>
        <v>ICTV19790492@TEST</v>
      </c>
      <c r="N1434" t="str">
        <f>HYPERLINK("https://ictv.global/id/TN19981950","TN19981950@prod")</f>
        <v>TN19981950@prod</v>
      </c>
      <c r="O1434" t="str">
        <f>HYPERLINK("https://ictv.global/id/ICTV19790492","ICTV19790492@prod")</f>
        <v>ICTV19790492@prod</v>
      </c>
    </row>
    <row r="1435" spans="1:15" x14ac:dyDescent="0.2">
      <c r="A1435">
        <v>17</v>
      </c>
      <c r="B1435">
        <v>19981951</v>
      </c>
      <c r="C1435">
        <v>19790493</v>
      </c>
      <c r="D1435" t="s">
        <v>29</v>
      </c>
      <c r="E1435" t="s">
        <v>736</v>
      </c>
      <c r="G1435" t="s">
        <v>33</v>
      </c>
      <c r="H1435" t="s">
        <v>734</v>
      </c>
      <c r="I1435" t="s">
        <v>29</v>
      </c>
      <c r="J1435">
        <v>19991247</v>
      </c>
      <c r="K1435">
        <v>19991247</v>
      </c>
      <c r="L1435" t="str">
        <f>HYPERLINK("https://test.ictv.global/id/TN19981951","TN19981951@TEST")</f>
        <v>TN19981951@TEST</v>
      </c>
      <c r="M1435" t="str">
        <f>HYPERLINK("https://test.ictv.global/id/ICTV19790493","ICTV19790493@TEST")</f>
        <v>ICTV19790493@TEST</v>
      </c>
      <c r="N1435" t="str">
        <f>HYPERLINK("https://ictv.global/id/TN19981951","TN19981951@prod")</f>
        <v>TN19981951@prod</v>
      </c>
      <c r="O1435" t="str">
        <f>HYPERLINK("https://ictv.global/id/ICTV19790493","ICTV19790493@prod")</f>
        <v>ICTV19790493@prod</v>
      </c>
    </row>
    <row r="1436" spans="1:15" x14ac:dyDescent="0.2">
      <c r="A1436">
        <v>17</v>
      </c>
      <c r="B1436">
        <v>19981952</v>
      </c>
      <c r="C1436">
        <v>19790494</v>
      </c>
      <c r="D1436" t="s">
        <v>29</v>
      </c>
      <c r="E1436" t="s">
        <v>737</v>
      </c>
      <c r="G1436" t="s">
        <v>33</v>
      </c>
      <c r="H1436" t="s">
        <v>732</v>
      </c>
      <c r="I1436" t="s">
        <v>29</v>
      </c>
      <c r="J1436">
        <v>19991249</v>
      </c>
      <c r="K1436">
        <v>19991249</v>
      </c>
      <c r="L1436" t="str">
        <f>HYPERLINK("https://test.ictv.global/id/TN19981952","TN19981952@TEST")</f>
        <v>TN19981952@TEST</v>
      </c>
      <c r="M1436" t="str">
        <f>HYPERLINK("https://test.ictv.global/id/ICTV19790494","ICTV19790494@TEST")</f>
        <v>ICTV19790494@TEST</v>
      </c>
      <c r="N1436" t="str">
        <f>HYPERLINK("https://ictv.global/id/TN19981952","TN19981952@prod")</f>
        <v>TN19981952@prod</v>
      </c>
      <c r="O1436" t="str">
        <f>HYPERLINK("https://ictv.global/id/ICTV19790494","ICTV19790494@prod")</f>
        <v>ICTV19790494@prod</v>
      </c>
    </row>
    <row r="1437" spans="1:15" x14ac:dyDescent="0.2">
      <c r="A1437">
        <v>17</v>
      </c>
      <c r="B1437">
        <v>19981953</v>
      </c>
      <c r="C1437">
        <v>19790495</v>
      </c>
      <c r="D1437" t="s">
        <v>29</v>
      </c>
      <c r="E1437" t="s">
        <v>738</v>
      </c>
      <c r="G1437" t="s">
        <v>33</v>
      </c>
      <c r="H1437" t="s">
        <v>734</v>
      </c>
      <c r="I1437" t="s">
        <v>29</v>
      </c>
      <c r="J1437">
        <v>19991247</v>
      </c>
      <c r="K1437">
        <v>19991247</v>
      </c>
      <c r="L1437" t="str">
        <f>HYPERLINK("https://test.ictv.global/id/TN19981953","TN19981953@TEST")</f>
        <v>TN19981953@TEST</v>
      </c>
      <c r="M1437" t="str">
        <f>HYPERLINK("https://test.ictv.global/id/ICTV19790495","ICTV19790495@TEST")</f>
        <v>ICTV19790495@TEST</v>
      </c>
      <c r="N1437" t="str">
        <f>HYPERLINK("https://ictv.global/id/TN19981953","TN19981953@prod")</f>
        <v>TN19981953@prod</v>
      </c>
      <c r="O1437" t="str">
        <f>HYPERLINK("https://ictv.global/id/ICTV19790495","ICTV19790495@prod")</f>
        <v>ICTV19790495@prod</v>
      </c>
    </row>
    <row r="1438" spans="1:15" x14ac:dyDescent="0.2">
      <c r="A1438">
        <v>17</v>
      </c>
      <c r="B1438">
        <v>19981954</v>
      </c>
      <c r="C1438">
        <v>19790496</v>
      </c>
      <c r="D1438" t="s">
        <v>29</v>
      </c>
      <c r="E1438" t="s">
        <v>739</v>
      </c>
      <c r="G1438" t="s">
        <v>33</v>
      </c>
      <c r="H1438" t="s">
        <v>732</v>
      </c>
      <c r="I1438" t="s">
        <v>29</v>
      </c>
      <c r="J1438">
        <v>19991249</v>
      </c>
      <c r="K1438">
        <v>19991249</v>
      </c>
      <c r="L1438" t="str">
        <f>HYPERLINK("https://test.ictv.global/id/TN19981954","TN19981954@TEST")</f>
        <v>TN19981954@TEST</v>
      </c>
      <c r="M1438" t="str">
        <f>HYPERLINK("https://test.ictv.global/id/ICTV19790496","ICTV19790496@TEST")</f>
        <v>ICTV19790496@TEST</v>
      </c>
      <c r="N1438" t="str">
        <f>HYPERLINK("https://ictv.global/id/TN19981954","TN19981954@prod")</f>
        <v>TN19981954@prod</v>
      </c>
      <c r="O1438" t="str">
        <f>HYPERLINK("https://ictv.global/id/ICTV19790496","ICTV19790496@prod")</f>
        <v>ICTV19790496@prod</v>
      </c>
    </row>
    <row r="1439" spans="1:15" x14ac:dyDescent="0.2">
      <c r="A1439">
        <v>17</v>
      </c>
      <c r="B1439">
        <v>19981955</v>
      </c>
      <c r="C1439">
        <v>19790497</v>
      </c>
      <c r="D1439" t="s">
        <v>29</v>
      </c>
      <c r="E1439" t="s">
        <v>740</v>
      </c>
      <c r="G1439" t="s">
        <v>33</v>
      </c>
      <c r="H1439" t="s">
        <v>734</v>
      </c>
      <c r="I1439" t="s">
        <v>29</v>
      </c>
      <c r="J1439">
        <v>19991247</v>
      </c>
      <c r="K1439">
        <v>19991247</v>
      </c>
      <c r="L1439" t="str">
        <f>HYPERLINK("https://test.ictv.global/id/TN19981955","TN19981955@TEST")</f>
        <v>TN19981955@TEST</v>
      </c>
      <c r="M1439" t="str">
        <f>HYPERLINK("https://test.ictv.global/id/ICTV19790497","ICTV19790497@TEST")</f>
        <v>ICTV19790497@TEST</v>
      </c>
      <c r="N1439" t="str">
        <f>HYPERLINK("https://ictv.global/id/TN19981955","TN19981955@prod")</f>
        <v>TN19981955@prod</v>
      </c>
      <c r="O1439" t="str">
        <f>HYPERLINK("https://ictv.global/id/ICTV19790497","ICTV19790497@prod")</f>
        <v>ICTV19790497@prod</v>
      </c>
    </row>
    <row r="1440" spans="1:15" x14ac:dyDescent="0.2">
      <c r="A1440">
        <v>17</v>
      </c>
      <c r="B1440">
        <v>19981956</v>
      </c>
      <c r="C1440">
        <v>19790498</v>
      </c>
      <c r="D1440" t="s">
        <v>29</v>
      </c>
      <c r="E1440" t="s">
        <v>741</v>
      </c>
      <c r="G1440" t="s">
        <v>33</v>
      </c>
      <c r="H1440" t="s">
        <v>732</v>
      </c>
      <c r="I1440" t="s">
        <v>29</v>
      </c>
      <c r="J1440">
        <v>19991249</v>
      </c>
      <c r="K1440">
        <v>19991249</v>
      </c>
      <c r="L1440" t="str">
        <f>HYPERLINK("https://test.ictv.global/id/TN19981956","TN19981956@TEST")</f>
        <v>TN19981956@TEST</v>
      </c>
      <c r="M1440" t="str">
        <f>HYPERLINK("https://test.ictv.global/id/ICTV19790498","ICTV19790498@TEST")</f>
        <v>ICTV19790498@TEST</v>
      </c>
      <c r="N1440" t="str">
        <f>HYPERLINK("https://ictv.global/id/TN19981956","TN19981956@prod")</f>
        <v>TN19981956@prod</v>
      </c>
      <c r="O1440" t="str">
        <f>HYPERLINK("https://ictv.global/id/ICTV19790498","ICTV19790498@prod")</f>
        <v>ICTV19790498@prod</v>
      </c>
    </row>
    <row r="1441" spans="1:15" x14ac:dyDescent="0.2">
      <c r="A1441">
        <v>17</v>
      </c>
      <c r="B1441">
        <v>19981957</v>
      </c>
      <c r="C1441">
        <v>19790499</v>
      </c>
      <c r="D1441" t="s">
        <v>29</v>
      </c>
      <c r="E1441" t="s">
        <v>742</v>
      </c>
      <c r="G1441" t="s">
        <v>33</v>
      </c>
      <c r="H1441" t="s">
        <v>732</v>
      </c>
      <c r="I1441" t="s">
        <v>29</v>
      </c>
      <c r="J1441">
        <v>19991249</v>
      </c>
      <c r="K1441">
        <v>19991249</v>
      </c>
      <c r="L1441" t="str">
        <f>HYPERLINK("https://test.ictv.global/id/TN19981957","TN19981957@TEST")</f>
        <v>TN19981957@TEST</v>
      </c>
      <c r="M1441" t="str">
        <f>HYPERLINK("https://test.ictv.global/id/ICTV19790499","ICTV19790499@TEST")</f>
        <v>ICTV19790499@TEST</v>
      </c>
      <c r="N1441" t="str">
        <f>HYPERLINK("https://ictv.global/id/TN19981957","TN19981957@prod")</f>
        <v>TN19981957@prod</v>
      </c>
      <c r="O1441" t="str">
        <f>HYPERLINK("https://ictv.global/id/ICTV19790499","ICTV19790499@prod")</f>
        <v>ICTV19790499@prod</v>
      </c>
    </row>
    <row r="1442" spans="1:15" x14ac:dyDescent="0.2">
      <c r="A1442">
        <v>17</v>
      </c>
      <c r="B1442">
        <v>19981958</v>
      </c>
      <c r="C1442">
        <v>19790500</v>
      </c>
      <c r="D1442" t="s">
        <v>29</v>
      </c>
      <c r="E1442" t="s">
        <v>743</v>
      </c>
      <c r="G1442" t="s">
        <v>33</v>
      </c>
      <c r="H1442" t="s">
        <v>732</v>
      </c>
      <c r="I1442" t="s">
        <v>29</v>
      </c>
      <c r="J1442">
        <v>19991249</v>
      </c>
      <c r="K1442">
        <v>19991249</v>
      </c>
      <c r="L1442" t="str">
        <f>HYPERLINK("https://test.ictv.global/id/TN19981958","TN19981958@TEST")</f>
        <v>TN19981958@TEST</v>
      </c>
      <c r="M1442" t="str">
        <f>HYPERLINK("https://test.ictv.global/id/ICTV19790500","ICTV19790500@TEST")</f>
        <v>ICTV19790500@TEST</v>
      </c>
      <c r="N1442" t="str">
        <f>HYPERLINK("https://ictv.global/id/TN19981958","TN19981958@prod")</f>
        <v>TN19981958@prod</v>
      </c>
      <c r="O1442" t="str">
        <f>HYPERLINK("https://ictv.global/id/ICTV19790500","ICTV19790500@prod")</f>
        <v>ICTV19790500@prod</v>
      </c>
    </row>
    <row r="1443" spans="1:15" x14ac:dyDescent="0.2">
      <c r="A1443">
        <v>17</v>
      </c>
      <c r="B1443">
        <v>19981959</v>
      </c>
      <c r="C1443">
        <v>19790501</v>
      </c>
      <c r="D1443" t="s">
        <v>29</v>
      </c>
      <c r="E1443" t="s">
        <v>744</v>
      </c>
      <c r="G1443" t="s">
        <v>33</v>
      </c>
      <c r="H1443" t="s">
        <v>734</v>
      </c>
      <c r="I1443" t="s">
        <v>29</v>
      </c>
      <c r="J1443">
        <v>19991247</v>
      </c>
      <c r="K1443">
        <v>19991247</v>
      </c>
      <c r="L1443" t="str">
        <f>HYPERLINK("https://test.ictv.global/id/TN19981959","TN19981959@TEST")</f>
        <v>TN19981959@TEST</v>
      </c>
      <c r="M1443" t="str">
        <f>HYPERLINK("https://test.ictv.global/id/ICTV19790501","ICTV19790501@TEST")</f>
        <v>ICTV19790501@TEST</v>
      </c>
      <c r="N1443" t="str">
        <f>HYPERLINK("https://ictv.global/id/TN19981959","TN19981959@prod")</f>
        <v>TN19981959@prod</v>
      </c>
      <c r="O1443" t="str">
        <f>HYPERLINK("https://ictv.global/id/ICTV19790501","ICTV19790501@prod")</f>
        <v>ICTV19790501@prod</v>
      </c>
    </row>
    <row r="1444" spans="1:15" x14ac:dyDescent="0.2">
      <c r="A1444">
        <v>17</v>
      </c>
      <c r="B1444">
        <v>19981960</v>
      </c>
      <c r="C1444">
        <v>19790502</v>
      </c>
      <c r="D1444" t="s">
        <v>29</v>
      </c>
      <c r="E1444" t="s">
        <v>745</v>
      </c>
      <c r="G1444" t="s">
        <v>33</v>
      </c>
      <c r="H1444" t="s">
        <v>732</v>
      </c>
      <c r="I1444" t="s">
        <v>29</v>
      </c>
      <c r="J1444">
        <v>19991249</v>
      </c>
      <c r="K1444">
        <v>19991249</v>
      </c>
      <c r="L1444" t="str">
        <f>HYPERLINK("https://test.ictv.global/id/TN19981960","TN19981960@TEST")</f>
        <v>TN19981960@TEST</v>
      </c>
      <c r="M1444" t="str">
        <f>HYPERLINK("https://test.ictv.global/id/ICTV19790502","ICTV19790502@TEST")</f>
        <v>ICTV19790502@TEST</v>
      </c>
      <c r="N1444" t="str">
        <f>HYPERLINK("https://ictv.global/id/TN19981960","TN19981960@prod")</f>
        <v>TN19981960@prod</v>
      </c>
      <c r="O1444" t="str">
        <f>HYPERLINK("https://ictv.global/id/ICTV19790502","ICTV19790502@prod")</f>
        <v>ICTV19790502@prod</v>
      </c>
    </row>
    <row r="1445" spans="1:15" x14ac:dyDescent="0.2">
      <c r="A1445">
        <v>17</v>
      </c>
      <c r="B1445">
        <v>19981961</v>
      </c>
      <c r="C1445">
        <v>19790503</v>
      </c>
      <c r="D1445" t="s">
        <v>29</v>
      </c>
      <c r="E1445" t="s">
        <v>746</v>
      </c>
      <c r="G1445" t="s">
        <v>33</v>
      </c>
      <c r="H1445" t="s">
        <v>732</v>
      </c>
      <c r="I1445" t="s">
        <v>29</v>
      </c>
      <c r="J1445">
        <v>19991249</v>
      </c>
      <c r="K1445">
        <v>19991249</v>
      </c>
      <c r="L1445" t="str">
        <f>HYPERLINK("https://test.ictv.global/id/TN19981961","TN19981961@TEST")</f>
        <v>TN19981961@TEST</v>
      </c>
      <c r="M1445" t="str">
        <f>HYPERLINK("https://test.ictv.global/id/ICTV19790503","ICTV19790503@TEST")</f>
        <v>ICTV19790503@TEST</v>
      </c>
      <c r="N1445" t="str">
        <f>HYPERLINK("https://ictv.global/id/TN19981961","TN19981961@prod")</f>
        <v>TN19981961@prod</v>
      </c>
      <c r="O1445" t="str">
        <f>HYPERLINK("https://ictv.global/id/ICTV19790503","ICTV19790503@prod")</f>
        <v>ICTV19790503@prod</v>
      </c>
    </row>
    <row r="1446" spans="1:15" x14ac:dyDescent="0.2">
      <c r="A1446">
        <v>17</v>
      </c>
      <c r="B1446">
        <v>19981962</v>
      </c>
      <c r="C1446">
        <v>19790504</v>
      </c>
      <c r="D1446" t="s">
        <v>29</v>
      </c>
      <c r="E1446" t="s">
        <v>747</v>
      </c>
      <c r="G1446" t="s">
        <v>33</v>
      </c>
      <c r="H1446" t="s">
        <v>732</v>
      </c>
      <c r="I1446" t="s">
        <v>29</v>
      </c>
      <c r="J1446">
        <v>19991249</v>
      </c>
      <c r="K1446">
        <v>19991249</v>
      </c>
      <c r="L1446" t="str">
        <f>HYPERLINK("https://test.ictv.global/id/TN19981962","TN19981962@TEST")</f>
        <v>TN19981962@TEST</v>
      </c>
      <c r="M1446" t="str">
        <f>HYPERLINK("https://test.ictv.global/id/ICTV19790504","ICTV19790504@TEST")</f>
        <v>ICTV19790504@TEST</v>
      </c>
      <c r="N1446" t="str">
        <f>HYPERLINK("https://ictv.global/id/TN19981962","TN19981962@prod")</f>
        <v>TN19981962@prod</v>
      </c>
      <c r="O1446" t="str">
        <f>HYPERLINK("https://ictv.global/id/ICTV19790504","ICTV19790504@prod")</f>
        <v>ICTV19790504@prod</v>
      </c>
    </row>
    <row r="1447" spans="1:15" x14ac:dyDescent="0.2">
      <c r="A1447">
        <v>17</v>
      </c>
      <c r="B1447">
        <v>19981963</v>
      </c>
      <c r="C1447">
        <v>19790505</v>
      </c>
      <c r="D1447" t="s">
        <v>29</v>
      </c>
      <c r="E1447" t="s">
        <v>748</v>
      </c>
      <c r="G1447" t="s">
        <v>33</v>
      </c>
      <c r="H1447" t="s">
        <v>732</v>
      </c>
      <c r="I1447" t="s">
        <v>29</v>
      </c>
      <c r="J1447">
        <v>19991249</v>
      </c>
      <c r="K1447">
        <v>19991249</v>
      </c>
      <c r="L1447" t="str">
        <f>HYPERLINK("https://test.ictv.global/id/TN19981963","TN19981963@TEST")</f>
        <v>TN19981963@TEST</v>
      </c>
      <c r="M1447" t="str">
        <f>HYPERLINK("https://test.ictv.global/id/ICTV19790505","ICTV19790505@TEST")</f>
        <v>ICTV19790505@TEST</v>
      </c>
      <c r="N1447" t="str">
        <f>HYPERLINK("https://ictv.global/id/TN19981963","TN19981963@prod")</f>
        <v>TN19981963@prod</v>
      </c>
      <c r="O1447" t="str">
        <f>HYPERLINK("https://ictv.global/id/ICTV19790505","ICTV19790505@prod")</f>
        <v>ICTV19790505@prod</v>
      </c>
    </row>
    <row r="1448" spans="1:15" x14ac:dyDescent="0.2">
      <c r="A1448">
        <v>17</v>
      </c>
      <c r="B1448">
        <v>19981964</v>
      </c>
      <c r="C1448">
        <v>19790506</v>
      </c>
      <c r="D1448" t="s">
        <v>29</v>
      </c>
      <c r="E1448" t="s">
        <v>749</v>
      </c>
      <c r="G1448" t="s">
        <v>33</v>
      </c>
      <c r="H1448" t="s">
        <v>734</v>
      </c>
      <c r="I1448" t="s">
        <v>29</v>
      </c>
      <c r="J1448">
        <v>19991247</v>
      </c>
      <c r="K1448">
        <v>19991247</v>
      </c>
      <c r="L1448" t="str">
        <f>HYPERLINK("https://test.ictv.global/id/TN19981964","TN19981964@TEST")</f>
        <v>TN19981964@TEST</v>
      </c>
      <c r="M1448" t="str">
        <f>HYPERLINK("https://test.ictv.global/id/ICTV19790506","ICTV19790506@TEST")</f>
        <v>ICTV19790506@TEST</v>
      </c>
      <c r="N1448" t="str">
        <f>HYPERLINK("https://ictv.global/id/TN19981964","TN19981964@prod")</f>
        <v>TN19981964@prod</v>
      </c>
      <c r="O1448" t="str">
        <f>HYPERLINK("https://ictv.global/id/ICTV19790506","ICTV19790506@prod")</f>
        <v>ICTV19790506@prod</v>
      </c>
    </row>
    <row r="1449" spans="1:15" x14ac:dyDescent="0.2">
      <c r="A1449">
        <v>17</v>
      </c>
      <c r="B1449">
        <v>19981965</v>
      </c>
      <c r="C1449">
        <v>19790507</v>
      </c>
      <c r="D1449" t="s">
        <v>29</v>
      </c>
      <c r="E1449" t="s">
        <v>1908</v>
      </c>
      <c r="G1449" t="s">
        <v>1165</v>
      </c>
      <c r="L1449" t="str">
        <f>HYPERLINK("https://test.ictv.global/id/TN19981965","TN19981965@TEST")</f>
        <v>TN19981965@TEST</v>
      </c>
      <c r="M1449" t="str">
        <f>HYPERLINK("https://test.ictv.global/id/ICTV19790507","ICTV19790507@TEST")</f>
        <v>ICTV19790507@TEST</v>
      </c>
      <c r="N1449" t="str">
        <f>HYPERLINK("https://ictv.global/id/TN19981965","TN19981965@prod")</f>
        <v>TN19981965@prod</v>
      </c>
      <c r="O1449" t="str">
        <f>HYPERLINK("https://ictv.global/id/ICTV19790507","ICTV19790507@prod")</f>
        <v>ICTV19790507@prod</v>
      </c>
    </row>
    <row r="1450" spans="1:15" x14ac:dyDescent="0.2">
      <c r="A1450">
        <v>17</v>
      </c>
      <c r="B1450">
        <v>19981966</v>
      </c>
      <c r="C1450">
        <v>19790508</v>
      </c>
      <c r="D1450" t="s">
        <v>29</v>
      </c>
      <c r="E1450" t="s">
        <v>750</v>
      </c>
      <c r="G1450" t="s">
        <v>33</v>
      </c>
      <c r="H1450" t="s">
        <v>734</v>
      </c>
      <c r="I1450" t="s">
        <v>29</v>
      </c>
      <c r="J1450">
        <v>19991247</v>
      </c>
      <c r="K1450">
        <v>19991247</v>
      </c>
      <c r="L1450" t="str">
        <f>HYPERLINK("https://test.ictv.global/id/TN19981966","TN19981966@TEST")</f>
        <v>TN19981966@TEST</v>
      </c>
      <c r="M1450" t="str">
        <f>HYPERLINK("https://test.ictv.global/id/ICTV19790508","ICTV19790508@TEST")</f>
        <v>ICTV19790508@TEST</v>
      </c>
      <c r="N1450" t="str">
        <f>HYPERLINK("https://ictv.global/id/TN19981966","TN19981966@prod")</f>
        <v>TN19981966@prod</v>
      </c>
      <c r="O1450" t="str">
        <f>HYPERLINK("https://ictv.global/id/ICTV19790508","ICTV19790508@prod")</f>
        <v>ICTV19790508@prod</v>
      </c>
    </row>
    <row r="1451" spans="1:15" x14ac:dyDescent="0.2">
      <c r="A1451">
        <v>17</v>
      </c>
      <c r="B1451">
        <v>19981967</v>
      </c>
      <c r="C1451">
        <v>19790509</v>
      </c>
      <c r="D1451" t="s">
        <v>29</v>
      </c>
      <c r="E1451" t="s">
        <v>1909</v>
      </c>
      <c r="G1451" t="s">
        <v>1165</v>
      </c>
      <c r="L1451" t="str">
        <f>HYPERLINK("https://test.ictv.global/id/TN19981967","TN19981967@TEST")</f>
        <v>TN19981967@TEST</v>
      </c>
      <c r="M1451" t="str">
        <f>HYPERLINK("https://test.ictv.global/id/ICTV19790509","ICTV19790509@TEST")</f>
        <v>ICTV19790509@TEST</v>
      </c>
      <c r="N1451" t="str">
        <f>HYPERLINK("https://ictv.global/id/TN19981967","TN19981967@prod")</f>
        <v>TN19981967@prod</v>
      </c>
      <c r="O1451" t="str">
        <f>HYPERLINK("https://ictv.global/id/ICTV19790509","ICTV19790509@prod")</f>
        <v>ICTV19790509@prod</v>
      </c>
    </row>
    <row r="1452" spans="1:15" x14ac:dyDescent="0.2">
      <c r="A1452">
        <v>17</v>
      </c>
      <c r="B1452">
        <v>19981968</v>
      </c>
      <c r="C1452">
        <v>19790510</v>
      </c>
      <c r="D1452" t="s">
        <v>29</v>
      </c>
      <c r="E1452" t="s">
        <v>751</v>
      </c>
      <c r="G1452" t="s">
        <v>33</v>
      </c>
      <c r="H1452" t="s">
        <v>734</v>
      </c>
      <c r="I1452" t="s">
        <v>29</v>
      </c>
      <c r="J1452">
        <v>19991247</v>
      </c>
      <c r="K1452">
        <v>19991247</v>
      </c>
      <c r="L1452" t="str">
        <f>HYPERLINK("https://test.ictv.global/id/TN19981968","TN19981968@TEST")</f>
        <v>TN19981968@TEST</v>
      </c>
      <c r="M1452" t="str">
        <f>HYPERLINK("https://test.ictv.global/id/ICTV19790510","ICTV19790510@TEST")</f>
        <v>ICTV19790510@TEST</v>
      </c>
      <c r="N1452" t="str">
        <f>HYPERLINK("https://ictv.global/id/TN19981968","TN19981968@prod")</f>
        <v>TN19981968@prod</v>
      </c>
      <c r="O1452" t="str">
        <f>HYPERLINK("https://ictv.global/id/ICTV19790510","ICTV19790510@prod")</f>
        <v>ICTV19790510@prod</v>
      </c>
    </row>
    <row r="1453" spans="1:15" x14ac:dyDescent="0.2">
      <c r="A1453">
        <v>17</v>
      </c>
      <c r="B1453">
        <v>19981969</v>
      </c>
      <c r="C1453">
        <v>19790511</v>
      </c>
      <c r="D1453" t="s">
        <v>29</v>
      </c>
      <c r="E1453" t="s">
        <v>752</v>
      </c>
      <c r="G1453" t="s">
        <v>33</v>
      </c>
      <c r="H1453" t="s">
        <v>734</v>
      </c>
      <c r="I1453" t="s">
        <v>29</v>
      </c>
      <c r="J1453">
        <v>19991247</v>
      </c>
      <c r="K1453">
        <v>19991247</v>
      </c>
      <c r="L1453" t="str">
        <f>HYPERLINK("https://test.ictv.global/id/TN19981969","TN19981969@TEST")</f>
        <v>TN19981969@TEST</v>
      </c>
      <c r="M1453" t="str">
        <f>HYPERLINK("https://test.ictv.global/id/ICTV19790511","ICTV19790511@TEST")</f>
        <v>ICTV19790511@TEST</v>
      </c>
      <c r="N1453" t="str">
        <f>HYPERLINK("https://ictv.global/id/TN19981969","TN19981969@prod")</f>
        <v>TN19981969@prod</v>
      </c>
      <c r="O1453" t="str">
        <f>HYPERLINK("https://ictv.global/id/ICTV19790511","ICTV19790511@prod")</f>
        <v>ICTV19790511@prod</v>
      </c>
    </row>
    <row r="1454" spans="1:15" x14ac:dyDescent="0.2">
      <c r="A1454">
        <v>17</v>
      </c>
      <c r="B1454">
        <v>19981970</v>
      </c>
      <c r="C1454">
        <v>19790512</v>
      </c>
      <c r="D1454" t="s">
        <v>29</v>
      </c>
      <c r="E1454" t="s">
        <v>753</v>
      </c>
      <c r="G1454" t="s">
        <v>33</v>
      </c>
      <c r="H1454" t="s">
        <v>754</v>
      </c>
      <c r="I1454" t="s">
        <v>29</v>
      </c>
      <c r="J1454">
        <v>19991248</v>
      </c>
      <c r="K1454">
        <v>19991248</v>
      </c>
      <c r="L1454" t="str">
        <f>HYPERLINK("https://test.ictv.global/id/TN19981970","TN19981970@TEST")</f>
        <v>TN19981970@TEST</v>
      </c>
      <c r="M1454" t="str">
        <f>HYPERLINK("https://test.ictv.global/id/ICTV19790512","ICTV19790512@TEST")</f>
        <v>ICTV19790512@TEST</v>
      </c>
      <c r="N1454" t="str">
        <f>HYPERLINK("https://ictv.global/id/TN19981970","TN19981970@prod")</f>
        <v>TN19981970@prod</v>
      </c>
      <c r="O1454" t="str">
        <f>HYPERLINK("https://ictv.global/id/ICTV19790512","ICTV19790512@prod")</f>
        <v>ICTV19790512@prod</v>
      </c>
    </row>
    <row r="1455" spans="1:15" x14ac:dyDescent="0.2">
      <c r="A1455">
        <v>17</v>
      </c>
      <c r="B1455">
        <v>19981971</v>
      </c>
      <c r="C1455">
        <v>19790513</v>
      </c>
      <c r="D1455" t="s">
        <v>29</v>
      </c>
      <c r="E1455" t="s">
        <v>755</v>
      </c>
      <c r="G1455" t="s">
        <v>33</v>
      </c>
      <c r="H1455" t="s">
        <v>754</v>
      </c>
      <c r="I1455" t="s">
        <v>29</v>
      </c>
      <c r="J1455">
        <v>19991248</v>
      </c>
      <c r="K1455">
        <v>19991248</v>
      </c>
      <c r="L1455" t="str">
        <f>HYPERLINK("https://test.ictv.global/id/TN19981971","TN19981971@TEST")</f>
        <v>TN19981971@TEST</v>
      </c>
      <c r="M1455" t="str">
        <f>HYPERLINK("https://test.ictv.global/id/ICTV19790513","ICTV19790513@TEST")</f>
        <v>ICTV19790513@TEST</v>
      </c>
      <c r="N1455" t="str">
        <f>HYPERLINK("https://ictv.global/id/TN19981971","TN19981971@prod")</f>
        <v>TN19981971@prod</v>
      </c>
      <c r="O1455" t="str">
        <f>HYPERLINK("https://ictv.global/id/ICTV19790513","ICTV19790513@prod")</f>
        <v>ICTV19790513@prod</v>
      </c>
    </row>
    <row r="1456" spans="1:15" x14ac:dyDescent="0.2">
      <c r="A1456">
        <v>17</v>
      </c>
      <c r="B1456">
        <v>19981972</v>
      </c>
      <c r="C1456">
        <v>19790514</v>
      </c>
      <c r="D1456" t="s">
        <v>29</v>
      </c>
      <c r="E1456" t="s">
        <v>756</v>
      </c>
      <c r="G1456" t="s">
        <v>33</v>
      </c>
      <c r="H1456" t="s">
        <v>754</v>
      </c>
      <c r="I1456" t="s">
        <v>29</v>
      </c>
      <c r="J1456">
        <v>19991248</v>
      </c>
      <c r="K1456">
        <v>19991248</v>
      </c>
      <c r="L1456" t="str">
        <f>HYPERLINK("https://test.ictv.global/id/TN19981972","TN19981972@TEST")</f>
        <v>TN19981972@TEST</v>
      </c>
      <c r="M1456" t="str">
        <f>HYPERLINK("https://test.ictv.global/id/ICTV19790514","ICTV19790514@TEST")</f>
        <v>ICTV19790514@TEST</v>
      </c>
      <c r="N1456" t="str">
        <f>HYPERLINK("https://ictv.global/id/TN19981972","TN19981972@prod")</f>
        <v>TN19981972@prod</v>
      </c>
      <c r="O1456" t="str">
        <f>HYPERLINK("https://ictv.global/id/ICTV19790514","ICTV19790514@prod")</f>
        <v>ICTV19790514@prod</v>
      </c>
    </row>
    <row r="1457" spans="1:15" x14ac:dyDescent="0.2">
      <c r="A1457">
        <v>17</v>
      </c>
      <c r="B1457">
        <v>19981973</v>
      </c>
      <c r="C1457">
        <v>19790515</v>
      </c>
      <c r="D1457" t="s">
        <v>29</v>
      </c>
      <c r="E1457" t="s">
        <v>757</v>
      </c>
      <c r="G1457" t="s">
        <v>33</v>
      </c>
      <c r="H1457" t="s">
        <v>754</v>
      </c>
      <c r="I1457" t="s">
        <v>29</v>
      </c>
      <c r="J1457">
        <v>19991248</v>
      </c>
      <c r="K1457">
        <v>19991248</v>
      </c>
      <c r="L1457" t="str">
        <f>HYPERLINK("https://test.ictv.global/id/TN19981973","TN19981973@TEST")</f>
        <v>TN19981973@TEST</v>
      </c>
      <c r="M1457" t="str">
        <f>HYPERLINK("https://test.ictv.global/id/ICTV19790515","ICTV19790515@TEST")</f>
        <v>ICTV19790515@TEST</v>
      </c>
      <c r="N1457" t="str">
        <f>HYPERLINK("https://ictv.global/id/TN19981973","TN19981973@prod")</f>
        <v>TN19981973@prod</v>
      </c>
      <c r="O1457" t="str">
        <f>HYPERLINK("https://ictv.global/id/ICTV19790515","ICTV19790515@prod")</f>
        <v>ICTV19790515@prod</v>
      </c>
    </row>
    <row r="1458" spans="1:15" x14ac:dyDescent="0.2">
      <c r="A1458">
        <v>17</v>
      </c>
      <c r="B1458">
        <v>19981974</v>
      </c>
      <c r="C1458">
        <v>19790516</v>
      </c>
      <c r="D1458" t="s">
        <v>29</v>
      </c>
      <c r="E1458" t="s">
        <v>758</v>
      </c>
      <c r="G1458" t="s">
        <v>33</v>
      </c>
      <c r="H1458" t="s">
        <v>754</v>
      </c>
      <c r="I1458" t="s">
        <v>29</v>
      </c>
      <c r="J1458">
        <v>19991248</v>
      </c>
      <c r="K1458">
        <v>19991248</v>
      </c>
      <c r="L1458" t="str">
        <f>HYPERLINK("https://test.ictv.global/id/TN19981974","TN19981974@TEST")</f>
        <v>TN19981974@TEST</v>
      </c>
      <c r="M1458" t="str">
        <f>HYPERLINK("https://test.ictv.global/id/ICTV19790516","ICTV19790516@TEST")</f>
        <v>ICTV19790516@TEST</v>
      </c>
      <c r="N1458" t="str">
        <f>HYPERLINK("https://ictv.global/id/TN19981974","TN19981974@prod")</f>
        <v>TN19981974@prod</v>
      </c>
      <c r="O1458" t="str">
        <f>HYPERLINK("https://ictv.global/id/ICTV19790516","ICTV19790516@prod")</f>
        <v>ICTV19790516@prod</v>
      </c>
    </row>
    <row r="1459" spans="1:15" x14ac:dyDescent="0.2">
      <c r="A1459">
        <v>17</v>
      </c>
      <c r="B1459">
        <v>19981975</v>
      </c>
      <c r="C1459">
        <v>19790517</v>
      </c>
      <c r="D1459" t="s">
        <v>29</v>
      </c>
      <c r="E1459" t="s">
        <v>759</v>
      </c>
      <c r="G1459" t="s">
        <v>33</v>
      </c>
      <c r="H1459" t="s">
        <v>754</v>
      </c>
      <c r="I1459" t="s">
        <v>29</v>
      </c>
      <c r="J1459">
        <v>19991248</v>
      </c>
      <c r="K1459">
        <v>19991248</v>
      </c>
      <c r="L1459" t="str">
        <f>HYPERLINK("https://test.ictv.global/id/TN19981975","TN19981975@TEST")</f>
        <v>TN19981975@TEST</v>
      </c>
      <c r="M1459" t="str">
        <f>HYPERLINK("https://test.ictv.global/id/ICTV19790517","ICTV19790517@TEST")</f>
        <v>ICTV19790517@TEST</v>
      </c>
      <c r="N1459" t="str">
        <f>HYPERLINK("https://ictv.global/id/TN19981975","TN19981975@prod")</f>
        <v>TN19981975@prod</v>
      </c>
      <c r="O1459" t="str">
        <f>HYPERLINK("https://ictv.global/id/ICTV19790517","ICTV19790517@prod")</f>
        <v>ICTV19790517@prod</v>
      </c>
    </row>
    <row r="1460" spans="1:15" x14ac:dyDescent="0.2">
      <c r="A1460">
        <v>17</v>
      </c>
      <c r="B1460">
        <v>19981976</v>
      </c>
      <c r="C1460">
        <v>19790518</v>
      </c>
      <c r="D1460" t="s">
        <v>29</v>
      </c>
      <c r="E1460" t="s">
        <v>760</v>
      </c>
      <c r="G1460" t="s">
        <v>33</v>
      </c>
      <c r="H1460" t="s">
        <v>754</v>
      </c>
      <c r="I1460" t="s">
        <v>29</v>
      </c>
      <c r="J1460">
        <v>19991248</v>
      </c>
      <c r="K1460">
        <v>19991248</v>
      </c>
      <c r="L1460" t="str">
        <f>HYPERLINK("https://test.ictv.global/id/TN19981976","TN19981976@TEST")</f>
        <v>TN19981976@TEST</v>
      </c>
      <c r="M1460" t="str">
        <f>HYPERLINK("https://test.ictv.global/id/ICTV19790518","ICTV19790518@TEST")</f>
        <v>ICTV19790518@TEST</v>
      </c>
      <c r="N1460" t="str">
        <f>HYPERLINK("https://ictv.global/id/TN19981976","TN19981976@prod")</f>
        <v>TN19981976@prod</v>
      </c>
      <c r="O1460" t="str">
        <f>HYPERLINK("https://ictv.global/id/ICTV19790518","ICTV19790518@prod")</f>
        <v>ICTV19790518@prod</v>
      </c>
    </row>
    <row r="1461" spans="1:15" x14ac:dyDescent="0.2">
      <c r="A1461">
        <v>17</v>
      </c>
      <c r="B1461">
        <v>19981977</v>
      </c>
      <c r="C1461">
        <v>19790519</v>
      </c>
      <c r="D1461" t="s">
        <v>29</v>
      </c>
      <c r="E1461" t="s">
        <v>761</v>
      </c>
      <c r="G1461" t="s">
        <v>33</v>
      </c>
      <c r="H1461" t="s">
        <v>754</v>
      </c>
      <c r="I1461" t="s">
        <v>29</v>
      </c>
      <c r="J1461">
        <v>19991248</v>
      </c>
      <c r="K1461">
        <v>19991248</v>
      </c>
      <c r="L1461" t="str">
        <f>HYPERLINK("https://test.ictv.global/id/TN19981977","TN19981977@TEST")</f>
        <v>TN19981977@TEST</v>
      </c>
      <c r="M1461" t="str">
        <f>HYPERLINK("https://test.ictv.global/id/ICTV19790519","ICTV19790519@TEST")</f>
        <v>ICTV19790519@TEST</v>
      </c>
      <c r="N1461" t="str">
        <f>HYPERLINK("https://ictv.global/id/TN19981977","TN19981977@prod")</f>
        <v>TN19981977@prod</v>
      </c>
      <c r="O1461" t="str">
        <f>HYPERLINK("https://ictv.global/id/ICTV19790519","ICTV19790519@prod")</f>
        <v>ICTV19790519@prod</v>
      </c>
    </row>
    <row r="1462" spans="1:15" x14ac:dyDescent="0.2">
      <c r="A1462">
        <v>17</v>
      </c>
      <c r="B1462">
        <v>19981978</v>
      </c>
      <c r="C1462">
        <v>19790520</v>
      </c>
      <c r="D1462" t="s">
        <v>29</v>
      </c>
      <c r="E1462" t="s">
        <v>762</v>
      </c>
      <c r="G1462" t="s">
        <v>33</v>
      </c>
      <c r="H1462" t="s">
        <v>754</v>
      </c>
      <c r="I1462" t="s">
        <v>29</v>
      </c>
      <c r="J1462">
        <v>19991248</v>
      </c>
      <c r="K1462">
        <v>19991248</v>
      </c>
      <c r="L1462" t="str">
        <f>HYPERLINK("https://test.ictv.global/id/TN19981978","TN19981978@TEST")</f>
        <v>TN19981978@TEST</v>
      </c>
      <c r="M1462" t="str">
        <f>HYPERLINK("https://test.ictv.global/id/ICTV19790520","ICTV19790520@TEST")</f>
        <v>ICTV19790520@TEST</v>
      </c>
      <c r="N1462" t="str">
        <f>HYPERLINK("https://ictv.global/id/TN19981978","TN19981978@prod")</f>
        <v>TN19981978@prod</v>
      </c>
      <c r="O1462" t="str">
        <f>HYPERLINK("https://ictv.global/id/ICTV19790520","ICTV19790520@prod")</f>
        <v>ICTV19790520@prod</v>
      </c>
    </row>
    <row r="1463" spans="1:15" x14ac:dyDescent="0.2">
      <c r="A1463">
        <v>17</v>
      </c>
      <c r="B1463">
        <v>19981979</v>
      </c>
      <c r="C1463">
        <v>19790521</v>
      </c>
      <c r="D1463" t="s">
        <v>29</v>
      </c>
      <c r="E1463" t="s">
        <v>763</v>
      </c>
      <c r="G1463" t="s">
        <v>33</v>
      </c>
      <c r="H1463" t="s">
        <v>754</v>
      </c>
      <c r="I1463" t="s">
        <v>29</v>
      </c>
      <c r="J1463">
        <v>19991248</v>
      </c>
      <c r="K1463">
        <v>19991248</v>
      </c>
      <c r="L1463" t="str">
        <f>HYPERLINK("https://test.ictv.global/id/TN19981979","TN19981979@TEST")</f>
        <v>TN19981979@TEST</v>
      </c>
      <c r="M1463" t="str">
        <f>HYPERLINK("https://test.ictv.global/id/ICTV19790521","ICTV19790521@TEST")</f>
        <v>ICTV19790521@TEST</v>
      </c>
      <c r="N1463" t="str">
        <f>HYPERLINK("https://ictv.global/id/TN19981979","TN19981979@prod")</f>
        <v>TN19981979@prod</v>
      </c>
      <c r="O1463" t="str">
        <f>HYPERLINK("https://ictv.global/id/ICTV19790521","ICTV19790521@prod")</f>
        <v>ICTV19790521@prod</v>
      </c>
    </row>
    <row r="1464" spans="1:15" x14ac:dyDescent="0.2">
      <c r="A1464">
        <v>17</v>
      </c>
      <c r="B1464">
        <v>19981980</v>
      </c>
      <c r="C1464">
        <v>19790522</v>
      </c>
      <c r="D1464" t="s">
        <v>29</v>
      </c>
      <c r="E1464" t="s">
        <v>764</v>
      </c>
      <c r="G1464" t="s">
        <v>33</v>
      </c>
      <c r="H1464" t="s">
        <v>754</v>
      </c>
      <c r="I1464" t="s">
        <v>29</v>
      </c>
      <c r="J1464">
        <v>19991248</v>
      </c>
      <c r="K1464">
        <v>19991248</v>
      </c>
      <c r="L1464" t="str">
        <f>HYPERLINK("https://test.ictv.global/id/TN19981980","TN19981980@TEST")</f>
        <v>TN19981980@TEST</v>
      </c>
      <c r="M1464" t="str">
        <f>HYPERLINK("https://test.ictv.global/id/ICTV19790522","ICTV19790522@TEST")</f>
        <v>ICTV19790522@TEST</v>
      </c>
      <c r="N1464" t="str">
        <f>HYPERLINK("https://ictv.global/id/TN19981980","TN19981980@prod")</f>
        <v>TN19981980@prod</v>
      </c>
      <c r="O1464" t="str">
        <f>HYPERLINK("https://ictv.global/id/ICTV19790522","ICTV19790522@prod")</f>
        <v>ICTV19790522@prod</v>
      </c>
    </row>
    <row r="1465" spans="1:15" x14ac:dyDescent="0.2">
      <c r="A1465">
        <v>17</v>
      </c>
      <c r="B1465">
        <v>19981981</v>
      </c>
      <c r="C1465">
        <v>19790523</v>
      </c>
      <c r="D1465" t="s">
        <v>29</v>
      </c>
      <c r="E1465" t="s">
        <v>765</v>
      </c>
      <c r="G1465" t="s">
        <v>33</v>
      </c>
      <c r="H1465" t="s">
        <v>754</v>
      </c>
      <c r="I1465" t="s">
        <v>29</v>
      </c>
      <c r="J1465">
        <v>19991248</v>
      </c>
      <c r="K1465">
        <v>19991248</v>
      </c>
      <c r="L1465" t="str">
        <f>HYPERLINK("https://test.ictv.global/id/TN19981981","TN19981981@TEST")</f>
        <v>TN19981981@TEST</v>
      </c>
      <c r="M1465" t="str">
        <f>HYPERLINK("https://test.ictv.global/id/ICTV19790523","ICTV19790523@TEST")</f>
        <v>ICTV19790523@TEST</v>
      </c>
      <c r="N1465" t="str">
        <f>HYPERLINK("https://ictv.global/id/TN19981981","TN19981981@prod")</f>
        <v>TN19981981@prod</v>
      </c>
      <c r="O1465" t="str">
        <f>HYPERLINK("https://ictv.global/id/ICTV19790523","ICTV19790523@prod")</f>
        <v>ICTV19790523@prod</v>
      </c>
    </row>
    <row r="1466" spans="1:15" x14ac:dyDescent="0.2">
      <c r="A1466">
        <v>17</v>
      </c>
      <c r="B1466">
        <v>19981982</v>
      </c>
      <c r="C1466">
        <v>19790524</v>
      </c>
      <c r="D1466" t="s">
        <v>29</v>
      </c>
      <c r="E1466" t="s">
        <v>766</v>
      </c>
      <c r="G1466" t="s">
        <v>33</v>
      </c>
      <c r="H1466" t="s">
        <v>754</v>
      </c>
      <c r="I1466" t="s">
        <v>29</v>
      </c>
      <c r="J1466">
        <v>19991248</v>
      </c>
      <c r="K1466">
        <v>19991248</v>
      </c>
      <c r="L1466" t="str">
        <f>HYPERLINK("https://test.ictv.global/id/TN19981982","TN19981982@TEST")</f>
        <v>TN19981982@TEST</v>
      </c>
      <c r="M1466" t="str">
        <f>HYPERLINK("https://test.ictv.global/id/ICTV19790524","ICTV19790524@TEST")</f>
        <v>ICTV19790524@TEST</v>
      </c>
      <c r="N1466" t="str">
        <f>HYPERLINK("https://ictv.global/id/TN19981982","TN19981982@prod")</f>
        <v>TN19981982@prod</v>
      </c>
      <c r="O1466" t="str">
        <f>HYPERLINK("https://ictv.global/id/ICTV19790524","ICTV19790524@prod")</f>
        <v>ICTV19790524@prod</v>
      </c>
    </row>
    <row r="1467" spans="1:15" x14ac:dyDescent="0.2">
      <c r="A1467">
        <v>17</v>
      </c>
      <c r="B1467">
        <v>19981983</v>
      </c>
      <c r="C1467">
        <v>19790525</v>
      </c>
      <c r="D1467" t="s">
        <v>29</v>
      </c>
      <c r="E1467" t="s">
        <v>767</v>
      </c>
      <c r="G1467" t="s">
        <v>33</v>
      </c>
      <c r="H1467" t="s">
        <v>754</v>
      </c>
      <c r="I1467" t="s">
        <v>29</v>
      </c>
      <c r="J1467">
        <v>19991248</v>
      </c>
      <c r="K1467">
        <v>19991248</v>
      </c>
      <c r="L1467" t="str">
        <f>HYPERLINK("https://test.ictv.global/id/TN19981983","TN19981983@TEST")</f>
        <v>TN19981983@TEST</v>
      </c>
      <c r="M1467" t="str">
        <f>HYPERLINK("https://test.ictv.global/id/ICTV19790525","ICTV19790525@TEST")</f>
        <v>ICTV19790525@TEST</v>
      </c>
      <c r="N1467" t="str">
        <f>HYPERLINK("https://ictv.global/id/TN19981983","TN19981983@prod")</f>
        <v>TN19981983@prod</v>
      </c>
      <c r="O1467" t="str">
        <f>HYPERLINK("https://ictv.global/id/ICTV19790525","ICTV19790525@prod")</f>
        <v>ICTV19790525@prod</v>
      </c>
    </row>
    <row r="1468" spans="1:15" x14ac:dyDescent="0.2">
      <c r="A1468">
        <v>17</v>
      </c>
      <c r="B1468">
        <v>19981984</v>
      </c>
      <c r="C1468">
        <v>19790526</v>
      </c>
      <c r="D1468" t="s">
        <v>29</v>
      </c>
      <c r="E1468" t="s">
        <v>768</v>
      </c>
      <c r="G1468" t="s">
        <v>33</v>
      </c>
      <c r="H1468" t="s">
        <v>754</v>
      </c>
      <c r="I1468" t="s">
        <v>29</v>
      </c>
      <c r="J1468">
        <v>19991248</v>
      </c>
      <c r="K1468">
        <v>19991248</v>
      </c>
      <c r="L1468" t="str">
        <f>HYPERLINK("https://test.ictv.global/id/TN19981984","TN19981984@TEST")</f>
        <v>TN19981984@TEST</v>
      </c>
      <c r="M1468" t="str">
        <f>HYPERLINK("https://test.ictv.global/id/ICTV19790526","ICTV19790526@TEST")</f>
        <v>ICTV19790526@TEST</v>
      </c>
      <c r="N1468" t="str">
        <f>HYPERLINK("https://ictv.global/id/TN19981984","TN19981984@prod")</f>
        <v>TN19981984@prod</v>
      </c>
      <c r="O1468" t="str">
        <f>HYPERLINK("https://ictv.global/id/ICTV19790526","ICTV19790526@prod")</f>
        <v>ICTV19790526@prod</v>
      </c>
    </row>
    <row r="1469" spans="1:15" x14ac:dyDescent="0.2">
      <c r="A1469">
        <v>17</v>
      </c>
      <c r="B1469">
        <v>19981985</v>
      </c>
      <c r="C1469">
        <v>19790527</v>
      </c>
      <c r="D1469" t="s">
        <v>29</v>
      </c>
      <c r="E1469" t="s">
        <v>769</v>
      </c>
      <c r="G1469" t="s">
        <v>33</v>
      </c>
      <c r="H1469" t="s">
        <v>754</v>
      </c>
      <c r="I1469" t="s">
        <v>29</v>
      </c>
      <c r="J1469">
        <v>19991248</v>
      </c>
      <c r="K1469">
        <v>19991248</v>
      </c>
      <c r="L1469" t="str">
        <f>HYPERLINK("https://test.ictv.global/id/TN19981985","TN19981985@TEST")</f>
        <v>TN19981985@TEST</v>
      </c>
      <c r="M1469" t="str">
        <f>HYPERLINK("https://test.ictv.global/id/ICTV19790527","ICTV19790527@TEST")</f>
        <v>ICTV19790527@TEST</v>
      </c>
      <c r="N1469" t="str">
        <f>HYPERLINK("https://ictv.global/id/TN19981985","TN19981985@prod")</f>
        <v>TN19981985@prod</v>
      </c>
      <c r="O1469" t="str">
        <f>HYPERLINK("https://ictv.global/id/ICTV19790527","ICTV19790527@prod")</f>
        <v>ICTV19790527@prod</v>
      </c>
    </row>
    <row r="1470" spans="1:15" x14ac:dyDescent="0.2">
      <c r="A1470">
        <v>17</v>
      </c>
      <c r="B1470">
        <v>19981986</v>
      </c>
      <c r="C1470">
        <v>19790528</v>
      </c>
      <c r="D1470" t="s">
        <v>29</v>
      </c>
      <c r="E1470" t="s">
        <v>770</v>
      </c>
      <c r="G1470" t="s">
        <v>33</v>
      </c>
      <c r="H1470" t="s">
        <v>754</v>
      </c>
      <c r="I1470" t="s">
        <v>29</v>
      </c>
      <c r="J1470">
        <v>19991248</v>
      </c>
      <c r="K1470">
        <v>19991248</v>
      </c>
      <c r="L1470" t="str">
        <f>HYPERLINK("https://test.ictv.global/id/TN19981986","TN19981986@TEST")</f>
        <v>TN19981986@TEST</v>
      </c>
      <c r="M1470" t="str">
        <f>HYPERLINK("https://test.ictv.global/id/ICTV19790528","ICTV19790528@TEST")</f>
        <v>ICTV19790528@TEST</v>
      </c>
      <c r="N1470" t="str">
        <f>HYPERLINK("https://ictv.global/id/TN19981986","TN19981986@prod")</f>
        <v>TN19981986@prod</v>
      </c>
      <c r="O1470" t="str">
        <f>HYPERLINK("https://ictv.global/id/ICTV19790528","ICTV19790528@prod")</f>
        <v>ICTV19790528@prod</v>
      </c>
    </row>
    <row r="1471" spans="1:15" x14ac:dyDescent="0.2">
      <c r="A1471">
        <v>17</v>
      </c>
      <c r="B1471">
        <v>19981987</v>
      </c>
      <c r="C1471">
        <v>19790529</v>
      </c>
      <c r="D1471" t="s">
        <v>29</v>
      </c>
      <c r="E1471" t="s">
        <v>771</v>
      </c>
      <c r="G1471" t="s">
        <v>33</v>
      </c>
      <c r="H1471" t="s">
        <v>754</v>
      </c>
      <c r="I1471" t="s">
        <v>29</v>
      </c>
      <c r="J1471">
        <v>19991248</v>
      </c>
      <c r="K1471">
        <v>19991248</v>
      </c>
      <c r="L1471" t="str">
        <f>HYPERLINK("https://test.ictv.global/id/TN19981987","TN19981987@TEST")</f>
        <v>TN19981987@TEST</v>
      </c>
      <c r="M1471" t="str">
        <f>HYPERLINK("https://test.ictv.global/id/ICTV19790529","ICTV19790529@TEST")</f>
        <v>ICTV19790529@TEST</v>
      </c>
      <c r="N1471" t="str">
        <f>HYPERLINK("https://ictv.global/id/TN19981987","TN19981987@prod")</f>
        <v>TN19981987@prod</v>
      </c>
      <c r="O1471" t="str">
        <f>HYPERLINK("https://ictv.global/id/ICTV19790529","ICTV19790529@prod")</f>
        <v>ICTV19790529@prod</v>
      </c>
    </row>
    <row r="1472" spans="1:15" x14ac:dyDescent="0.2">
      <c r="A1472">
        <v>17</v>
      </c>
      <c r="B1472">
        <v>19981988</v>
      </c>
      <c r="C1472">
        <v>19790530</v>
      </c>
      <c r="D1472" t="s">
        <v>29</v>
      </c>
      <c r="E1472" t="s">
        <v>772</v>
      </c>
      <c r="G1472" t="s">
        <v>33</v>
      </c>
      <c r="H1472" t="s">
        <v>754</v>
      </c>
      <c r="I1472" t="s">
        <v>29</v>
      </c>
      <c r="J1472">
        <v>19991248</v>
      </c>
      <c r="K1472">
        <v>19991248</v>
      </c>
      <c r="L1472" t="str">
        <f>HYPERLINK("https://test.ictv.global/id/TN19981988","TN19981988@TEST")</f>
        <v>TN19981988@TEST</v>
      </c>
      <c r="M1472" t="str">
        <f>HYPERLINK("https://test.ictv.global/id/ICTV19790530","ICTV19790530@TEST")</f>
        <v>ICTV19790530@TEST</v>
      </c>
      <c r="N1472" t="str">
        <f>HYPERLINK("https://ictv.global/id/TN19981988","TN19981988@prod")</f>
        <v>TN19981988@prod</v>
      </c>
      <c r="O1472" t="str">
        <f>HYPERLINK("https://ictv.global/id/ICTV19790530","ICTV19790530@prod")</f>
        <v>ICTV19790530@prod</v>
      </c>
    </row>
    <row r="1473" spans="1:15" x14ac:dyDescent="0.2">
      <c r="A1473">
        <v>17</v>
      </c>
      <c r="B1473">
        <v>19981989</v>
      </c>
      <c r="C1473">
        <v>19790531</v>
      </c>
      <c r="D1473" t="s">
        <v>29</v>
      </c>
      <c r="E1473" t="s">
        <v>773</v>
      </c>
      <c r="G1473" t="s">
        <v>33</v>
      </c>
      <c r="H1473" t="s">
        <v>754</v>
      </c>
      <c r="I1473" t="s">
        <v>29</v>
      </c>
      <c r="J1473">
        <v>19991248</v>
      </c>
      <c r="K1473">
        <v>19991248</v>
      </c>
      <c r="L1473" t="str">
        <f>HYPERLINK("https://test.ictv.global/id/TN19981989","TN19981989@TEST")</f>
        <v>TN19981989@TEST</v>
      </c>
      <c r="M1473" t="str">
        <f>HYPERLINK("https://test.ictv.global/id/ICTV19790531","ICTV19790531@TEST")</f>
        <v>ICTV19790531@TEST</v>
      </c>
      <c r="N1473" t="str">
        <f>HYPERLINK("https://ictv.global/id/TN19981989","TN19981989@prod")</f>
        <v>TN19981989@prod</v>
      </c>
      <c r="O1473" t="str">
        <f>HYPERLINK("https://ictv.global/id/ICTV19790531","ICTV19790531@prod")</f>
        <v>ICTV19790531@prod</v>
      </c>
    </row>
    <row r="1474" spans="1:15" x14ac:dyDescent="0.2">
      <c r="A1474">
        <v>17</v>
      </c>
      <c r="B1474">
        <v>19981990</v>
      </c>
      <c r="C1474">
        <v>19790534</v>
      </c>
      <c r="D1474" t="s">
        <v>29</v>
      </c>
      <c r="E1474" t="s">
        <v>774</v>
      </c>
      <c r="G1474" t="s">
        <v>33</v>
      </c>
      <c r="H1474" t="s">
        <v>754</v>
      </c>
      <c r="I1474" t="s">
        <v>29</v>
      </c>
      <c r="J1474">
        <v>19991248</v>
      </c>
      <c r="K1474">
        <v>19991248</v>
      </c>
      <c r="L1474" t="str">
        <f>HYPERLINK("https://test.ictv.global/id/TN19981990","TN19981990@TEST")</f>
        <v>TN19981990@TEST</v>
      </c>
      <c r="M1474" t="str">
        <f>HYPERLINK("https://test.ictv.global/id/ICTV19790534","ICTV19790534@TEST")</f>
        <v>ICTV19790534@TEST</v>
      </c>
      <c r="N1474" t="str">
        <f>HYPERLINK("https://ictv.global/id/TN19981990","TN19981990@prod")</f>
        <v>TN19981990@prod</v>
      </c>
      <c r="O1474" t="str">
        <f>HYPERLINK("https://ictv.global/id/ICTV19790534","ICTV19790534@prod")</f>
        <v>ICTV19790534@prod</v>
      </c>
    </row>
    <row r="1475" spans="1:15" x14ac:dyDescent="0.2">
      <c r="A1475">
        <v>17</v>
      </c>
      <c r="B1475">
        <v>19981991</v>
      </c>
      <c r="C1475">
        <v>19790535</v>
      </c>
      <c r="D1475" t="s">
        <v>29</v>
      </c>
      <c r="E1475" t="s">
        <v>775</v>
      </c>
      <c r="G1475" t="s">
        <v>33</v>
      </c>
      <c r="H1475" t="s">
        <v>754</v>
      </c>
      <c r="I1475" t="s">
        <v>29</v>
      </c>
      <c r="J1475">
        <v>19991248</v>
      </c>
      <c r="K1475">
        <v>19991248</v>
      </c>
      <c r="L1475" t="str">
        <f>HYPERLINK("https://test.ictv.global/id/TN19981991","TN19981991@TEST")</f>
        <v>TN19981991@TEST</v>
      </c>
      <c r="M1475" t="str">
        <f>HYPERLINK("https://test.ictv.global/id/ICTV19790535","ICTV19790535@TEST")</f>
        <v>ICTV19790535@TEST</v>
      </c>
      <c r="N1475" t="str">
        <f>HYPERLINK("https://ictv.global/id/TN19981991","TN19981991@prod")</f>
        <v>TN19981991@prod</v>
      </c>
      <c r="O1475" t="str">
        <f>HYPERLINK("https://ictv.global/id/ICTV19790535","ICTV19790535@prod")</f>
        <v>ICTV19790535@prod</v>
      </c>
    </row>
    <row r="1476" spans="1:15" x14ac:dyDescent="0.2">
      <c r="A1476">
        <v>17</v>
      </c>
      <c r="B1476">
        <v>19981992</v>
      </c>
      <c r="C1476">
        <v>19790536</v>
      </c>
      <c r="D1476" t="s">
        <v>29</v>
      </c>
      <c r="E1476" t="s">
        <v>776</v>
      </c>
      <c r="G1476" t="s">
        <v>33</v>
      </c>
      <c r="H1476" t="s">
        <v>754</v>
      </c>
      <c r="I1476" t="s">
        <v>29</v>
      </c>
      <c r="J1476">
        <v>19991248</v>
      </c>
      <c r="K1476">
        <v>19991248</v>
      </c>
      <c r="L1476" t="str">
        <f>HYPERLINK("https://test.ictv.global/id/TN19981992","TN19981992@TEST")</f>
        <v>TN19981992@TEST</v>
      </c>
      <c r="M1476" t="str">
        <f>HYPERLINK("https://test.ictv.global/id/ICTV19790536","ICTV19790536@TEST")</f>
        <v>ICTV19790536@TEST</v>
      </c>
      <c r="N1476" t="str">
        <f>HYPERLINK("https://ictv.global/id/TN19981992","TN19981992@prod")</f>
        <v>TN19981992@prod</v>
      </c>
      <c r="O1476" t="str">
        <f>HYPERLINK("https://ictv.global/id/ICTV19790536","ICTV19790536@prod")</f>
        <v>ICTV19790536@prod</v>
      </c>
    </row>
    <row r="1477" spans="1:15" x14ac:dyDescent="0.2">
      <c r="A1477">
        <v>17</v>
      </c>
      <c r="B1477">
        <v>19981993</v>
      </c>
      <c r="C1477">
        <v>19790537</v>
      </c>
      <c r="D1477" t="s">
        <v>29</v>
      </c>
      <c r="E1477" t="s">
        <v>777</v>
      </c>
      <c r="G1477" t="s">
        <v>33</v>
      </c>
      <c r="H1477" t="s">
        <v>754</v>
      </c>
      <c r="I1477" t="s">
        <v>29</v>
      </c>
      <c r="J1477">
        <v>19991248</v>
      </c>
      <c r="K1477">
        <v>19991248</v>
      </c>
      <c r="L1477" t="str">
        <f>HYPERLINK("https://test.ictv.global/id/TN19981993","TN19981993@TEST")</f>
        <v>TN19981993@TEST</v>
      </c>
      <c r="M1477" t="str">
        <f>HYPERLINK("https://test.ictv.global/id/ICTV19790537","ICTV19790537@TEST")</f>
        <v>ICTV19790537@TEST</v>
      </c>
      <c r="N1477" t="str">
        <f>HYPERLINK("https://ictv.global/id/TN19981993","TN19981993@prod")</f>
        <v>TN19981993@prod</v>
      </c>
      <c r="O1477" t="str">
        <f>HYPERLINK("https://ictv.global/id/ICTV19790537","ICTV19790537@prod")</f>
        <v>ICTV19790537@prod</v>
      </c>
    </row>
    <row r="1478" spans="1:15" x14ac:dyDescent="0.2">
      <c r="A1478">
        <v>17</v>
      </c>
      <c r="B1478">
        <v>19981994</v>
      </c>
      <c r="C1478">
        <v>19790538</v>
      </c>
      <c r="D1478" t="s">
        <v>29</v>
      </c>
      <c r="E1478" t="s">
        <v>778</v>
      </c>
      <c r="G1478" t="s">
        <v>33</v>
      </c>
      <c r="H1478" t="s">
        <v>754</v>
      </c>
      <c r="I1478" t="s">
        <v>29</v>
      </c>
      <c r="J1478">
        <v>19991248</v>
      </c>
      <c r="K1478">
        <v>19991248</v>
      </c>
      <c r="L1478" t="str">
        <f>HYPERLINK("https://test.ictv.global/id/TN19981994","TN19981994@TEST")</f>
        <v>TN19981994@TEST</v>
      </c>
      <c r="M1478" t="str">
        <f>HYPERLINK("https://test.ictv.global/id/ICTV19790538","ICTV19790538@TEST")</f>
        <v>ICTV19790538@TEST</v>
      </c>
      <c r="N1478" t="str">
        <f>HYPERLINK("https://ictv.global/id/TN19981994","TN19981994@prod")</f>
        <v>TN19981994@prod</v>
      </c>
      <c r="O1478" t="str">
        <f>HYPERLINK("https://ictv.global/id/ICTV19790538","ICTV19790538@prod")</f>
        <v>ICTV19790538@prod</v>
      </c>
    </row>
    <row r="1479" spans="1:15" x14ac:dyDescent="0.2">
      <c r="A1479">
        <v>17</v>
      </c>
      <c r="B1479">
        <v>19981995</v>
      </c>
      <c r="C1479">
        <v>19790539</v>
      </c>
      <c r="D1479" t="s">
        <v>29</v>
      </c>
      <c r="E1479" t="s">
        <v>779</v>
      </c>
      <c r="G1479" t="s">
        <v>33</v>
      </c>
      <c r="H1479" t="s">
        <v>754</v>
      </c>
      <c r="I1479" t="s">
        <v>29</v>
      </c>
      <c r="J1479">
        <v>19991248</v>
      </c>
      <c r="K1479">
        <v>19991248</v>
      </c>
      <c r="L1479" t="str">
        <f>HYPERLINK("https://test.ictv.global/id/TN19981995","TN19981995@TEST")</f>
        <v>TN19981995@TEST</v>
      </c>
      <c r="M1479" t="str">
        <f>HYPERLINK("https://test.ictv.global/id/ICTV19790539","ICTV19790539@TEST")</f>
        <v>ICTV19790539@TEST</v>
      </c>
      <c r="N1479" t="str">
        <f>HYPERLINK("https://ictv.global/id/TN19981995","TN19981995@prod")</f>
        <v>TN19981995@prod</v>
      </c>
      <c r="O1479" t="str">
        <f>HYPERLINK("https://ictv.global/id/ICTV19790539","ICTV19790539@prod")</f>
        <v>ICTV19790539@prod</v>
      </c>
    </row>
    <row r="1480" spans="1:15" x14ac:dyDescent="0.2">
      <c r="A1480">
        <v>17</v>
      </c>
      <c r="B1480">
        <v>19981996</v>
      </c>
      <c r="C1480">
        <v>19790540</v>
      </c>
      <c r="D1480" t="s">
        <v>29</v>
      </c>
      <c r="E1480" t="s">
        <v>780</v>
      </c>
      <c r="G1480" t="s">
        <v>33</v>
      </c>
      <c r="H1480" t="s">
        <v>754</v>
      </c>
      <c r="I1480" t="s">
        <v>29</v>
      </c>
      <c r="J1480">
        <v>19991248</v>
      </c>
      <c r="K1480">
        <v>19991248</v>
      </c>
      <c r="L1480" t="str">
        <f>HYPERLINK("https://test.ictv.global/id/TN19981996","TN19981996@TEST")</f>
        <v>TN19981996@TEST</v>
      </c>
      <c r="M1480" t="str">
        <f>HYPERLINK("https://test.ictv.global/id/ICTV19790540","ICTV19790540@TEST")</f>
        <v>ICTV19790540@TEST</v>
      </c>
      <c r="N1480" t="str">
        <f>HYPERLINK("https://ictv.global/id/TN19981996","TN19981996@prod")</f>
        <v>TN19981996@prod</v>
      </c>
      <c r="O1480" t="str">
        <f>HYPERLINK("https://ictv.global/id/ICTV19790540","ICTV19790540@prod")</f>
        <v>ICTV19790540@prod</v>
      </c>
    </row>
    <row r="1481" spans="1:15" x14ac:dyDescent="0.2">
      <c r="A1481">
        <v>17</v>
      </c>
      <c r="B1481">
        <v>19981997</v>
      </c>
      <c r="C1481">
        <v>19790541</v>
      </c>
      <c r="D1481" t="s">
        <v>29</v>
      </c>
      <c r="E1481" t="s">
        <v>781</v>
      </c>
      <c r="G1481" t="s">
        <v>33</v>
      </c>
      <c r="H1481" t="s">
        <v>754</v>
      </c>
      <c r="I1481" t="s">
        <v>29</v>
      </c>
      <c r="J1481">
        <v>19991248</v>
      </c>
      <c r="K1481">
        <v>19991248</v>
      </c>
      <c r="L1481" t="str">
        <f>HYPERLINK("https://test.ictv.global/id/TN19981997","TN19981997@TEST")</f>
        <v>TN19981997@TEST</v>
      </c>
      <c r="M1481" t="str">
        <f>HYPERLINK("https://test.ictv.global/id/ICTV19790541","ICTV19790541@TEST")</f>
        <v>ICTV19790541@TEST</v>
      </c>
      <c r="N1481" t="str">
        <f>HYPERLINK("https://ictv.global/id/TN19981997","TN19981997@prod")</f>
        <v>TN19981997@prod</v>
      </c>
      <c r="O1481" t="str">
        <f>HYPERLINK("https://ictv.global/id/ICTV19790541","ICTV19790541@prod")</f>
        <v>ICTV19790541@prod</v>
      </c>
    </row>
    <row r="1482" spans="1:15" x14ac:dyDescent="0.2">
      <c r="A1482">
        <v>17</v>
      </c>
      <c r="B1482">
        <v>19981998</v>
      </c>
      <c r="C1482">
        <v>19790542</v>
      </c>
      <c r="D1482" t="s">
        <v>29</v>
      </c>
      <c r="E1482" t="s">
        <v>782</v>
      </c>
      <c r="G1482" t="s">
        <v>33</v>
      </c>
      <c r="H1482" t="s">
        <v>754</v>
      </c>
      <c r="I1482" t="s">
        <v>29</v>
      </c>
      <c r="J1482">
        <v>19991248</v>
      </c>
      <c r="K1482">
        <v>19991248</v>
      </c>
      <c r="L1482" t="str">
        <f>HYPERLINK("https://test.ictv.global/id/TN19981998","TN19981998@TEST")</f>
        <v>TN19981998@TEST</v>
      </c>
      <c r="M1482" t="str">
        <f>HYPERLINK("https://test.ictv.global/id/ICTV19790542","ICTV19790542@TEST")</f>
        <v>ICTV19790542@TEST</v>
      </c>
      <c r="N1482" t="str">
        <f>HYPERLINK("https://ictv.global/id/TN19981998","TN19981998@prod")</f>
        <v>TN19981998@prod</v>
      </c>
      <c r="O1482" t="str">
        <f>HYPERLINK("https://ictv.global/id/ICTV19790542","ICTV19790542@prod")</f>
        <v>ICTV19790542@prod</v>
      </c>
    </row>
    <row r="1483" spans="1:15" x14ac:dyDescent="0.2">
      <c r="A1483">
        <v>17</v>
      </c>
      <c r="B1483">
        <v>19981999</v>
      </c>
      <c r="C1483">
        <v>19790543</v>
      </c>
      <c r="D1483" t="s">
        <v>29</v>
      </c>
      <c r="E1483" t="s">
        <v>783</v>
      </c>
      <c r="G1483" t="s">
        <v>33</v>
      </c>
      <c r="H1483" t="s">
        <v>754</v>
      </c>
      <c r="I1483" t="s">
        <v>29</v>
      </c>
      <c r="J1483">
        <v>19991248</v>
      </c>
      <c r="K1483">
        <v>19991248</v>
      </c>
      <c r="L1483" t="str">
        <f>HYPERLINK("https://test.ictv.global/id/TN19981999","TN19981999@TEST")</f>
        <v>TN19981999@TEST</v>
      </c>
      <c r="M1483" t="str">
        <f>HYPERLINK("https://test.ictv.global/id/ICTV19790543","ICTV19790543@TEST")</f>
        <v>ICTV19790543@TEST</v>
      </c>
      <c r="N1483" t="str">
        <f>HYPERLINK("https://ictv.global/id/TN19981999","TN19981999@prod")</f>
        <v>TN19981999@prod</v>
      </c>
      <c r="O1483" t="str">
        <f>HYPERLINK("https://ictv.global/id/ICTV19790543","ICTV19790543@prod")</f>
        <v>ICTV19790543@prod</v>
      </c>
    </row>
    <row r="1484" spans="1:15" x14ac:dyDescent="0.2">
      <c r="A1484">
        <v>17</v>
      </c>
      <c r="B1484">
        <v>19982000</v>
      </c>
      <c r="C1484">
        <v>19790545</v>
      </c>
      <c r="D1484" t="s">
        <v>29</v>
      </c>
      <c r="E1484" t="s">
        <v>784</v>
      </c>
      <c r="G1484" t="s">
        <v>33</v>
      </c>
      <c r="H1484" t="s">
        <v>754</v>
      </c>
      <c r="I1484" t="s">
        <v>29</v>
      </c>
      <c r="J1484">
        <v>19991248</v>
      </c>
      <c r="K1484">
        <v>19991248</v>
      </c>
      <c r="L1484" t="str">
        <f>HYPERLINK("https://test.ictv.global/id/TN19982000","TN19982000@TEST")</f>
        <v>TN19982000@TEST</v>
      </c>
      <c r="M1484" t="str">
        <f>HYPERLINK("https://test.ictv.global/id/ICTV19790545","ICTV19790545@TEST")</f>
        <v>ICTV19790545@TEST</v>
      </c>
      <c r="N1484" t="str">
        <f>HYPERLINK("https://ictv.global/id/TN19982000","TN19982000@prod")</f>
        <v>TN19982000@prod</v>
      </c>
      <c r="O1484" t="str">
        <f>HYPERLINK("https://ictv.global/id/ICTV19790545","ICTV19790545@prod")</f>
        <v>ICTV19790545@prod</v>
      </c>
    </row>
    <row r="1485" spans="1:15" x14ac:dyDescent="0.2">
      <c r="A1485">
        <v>17</v>
      </c>
      <c r="B1485">
        <v>19982001</v>
      </c>
      <c r="C1485">
        <v>19790546</v>
      </c>
      <c r="D1485" t="s">
        <v>29</v>
      </c>
      <c r="E1485" t="s">
        <v>785</v>
      </c>
      <c r="G1485" t="s">
        <v>33</v>
      </c>
      <c r="H1485" t="s">
        <v>754</v>
      </c>
      <c r="I1485" t="s">
        <v>29</v>
      </c>
      <c r="J1485">
        <v>19991248</v>
      </c>
      <c r="K1485">
        <v>19991248</v>
      </c>
      <c r="L1485" t="str">
        <f>HYPERLINK("https://test.ictv.global/id/TN19982001","TN19982001@TEST")</f>
        <v>TN19982001@TEST</v>
      </c>
      <c r="M1485" t="str">
        <f>HYPERLINK("https://test.ictv.global/id/ICTV19790546","ICTV19790546@TEST")</f>
        <v>ICTV19790546@TEST</v>
      </c>
      <c r="N1485" t="str">
        <f>HYPERLINK("https://ictv.global/id/TN19982001","TN19982001@prod")</f>
        <v>TN19982001@prod</v>
      </c>
      <c r="O1485" t="str">
        <f>HYPERLINK("https://ictv.global/id/ICTV19790546","ICTV19790546@prod")</f>
        <v>ICTV19790546@prod</v>
      </c>
    </row>
    <row r="1486" spans="1:15" x14ac:dyDescent="0.2">
      <c r="A1486">
        <v>17</v>
      </c>
      <c r="B1486">
        <v>19982002</v>
      </c>
      <c r="C1486">
        <v>19790547</v>
      </c>
      <c r="D1486" t="s">
        <v>29</v>
      </c>
      <c r="E1486" t="s">
        <v>786</v>
      </c>
      <c r="G1486" t="s">
        <v>33</v>
      </c>
      <c r="H1486" t="s">
        <v>754</v>
      </c>
      <c r="I1486" t="s">
        <v>29</v>
      </c>
      <c r="J1486">
        <v>19991248</v>
      </c>
      <c r="K1486">
        <v>19991248</v>
      </c>
      <c r="L1486" t="str">
        <f>HYPERLINK("https://test.ictv.global/id/TN19982002","TN19982002@TEST")</f>
        <v>TN19982002@TEST</v>
      </c>
      <c r="M1486" t="str">
        <f>HYPERLINK("https://test.ictv.global/id/ICTV19790547","ICTV19790547@TEST")</f>
        <v>ICTV19790547@TEST</v>
      </c>
      <c r="N1486" t="str">
        <f>HYPERLINK("https://ictv.global/id/TN19982002","TN19982002@prod")</f>
        <v>TN19982002@prod</v>
      </c>
      <c r="O1486" t="str">
        <f>HYPERLINK("https://ictv.global/id/ICTV19790547","ICTV19790547@prod")</f>
        <v>ICTV19790547@prod</v>
      </c>
    </row>
    <row r="1487" spans="1:15" x14ac:dyDescent="0.2">
      <c r="A1487">
        <v>17</v>
      </c>
      <c r="B1487">
        <v>19982003</v>
      </c>
      <c r="C1487">
        <v>19790548</v>
      </c>
      <c r="D1487" t="s">
        <v>29</v>
      </c>
      <c r="E1487" t="s">
        <v>787</v>
      </c>
      <c r="G1487" t="s">
        <v>33</v>
      </c>
      <c r="H1487" t="s">
        <v>754</v>
      </c>
      <c r="I1487" t="s">
        <v>29</v>
      </c>
      <c r="J1487">
        <v>19991248</v>
      </c>
      <c r="K1487">
        <v>19991248</v>
      </c>
      <c r="L1487" t="str">
        <f>HYPERLINK("https://test.ictv.global/id/TN19982003","TN19982003@TEST")</f>
        <v>TN19982003@TEST</v>
      </c>
      <c r="M1487" t="str">
        <f>HYPERLINK("https://test.ictv.global/id/ICTV19790548","ICTV19790548@TEST")</f>
        <v>ICTV19790548@TEST</v>
      </c>
      <c r="N1487" t="str">
        <f>HYPERLINK("https://ictv.global/id/TN19982003","TN19982003@prod")</f>
        <v>TN19982003@prod</v>
      </c>
      <c r="O1487" t="str">
        <f>HYPERLINK("https://ictv.global/id/ICTV19790548","ICTV19790548@prod")</f>
        <v>ICTV19790548@prod</v>
      </c>
    </row>
    <row r="1488" spans="1:15" x14ac:dyDescent="0.2">
      <c r="A1488">
        <v>17</v>
      </c>
      <c r="B1488">
        <v>19982004</v>
      </c>
      <c r="C1488">
        <v>19790550</v>
      </c>
      <c r="D1488" t="s">
        <v>29</v>
      </c>
      <c r="E1488" t="s">
        <v>788</v>
      </c>
      <c r="G1488" t="s">
        <v>33</v>
      </c>
      <c r="H1488" t="s">
        <v>754</v>
      </c>
      <c r="I1488" t="s">
        <v>29</v>
      </c>
      <c r="J1488">
        <v>19991248</v>
      </c>
      <c r="K1488">
        <v>19991248</v>
      </c>
      <c r="L1488" t="str">
        <f>HYPERLINK("https://test.ictv.global/id/TN19982004","TN19982004@TEST")</f>
        <v>TN19982004@TEST</v>
      </c>
      <c r="M1488" t="str">
        <f>HYPERLINK("https://test.ictv.global/id/ICTV19790550","ICTV19790550@TEST")</f>
        <v>ICTV19790550@TEST</v>
      </c>
      <c r="N1488" t="str">
        <f>HYPERLINK("https://ictv.global/id/TN19982004","TN19982004@prod")</f>
        <v>TN19982004@prod</v>
      </c>
      <c r="O1488" t="str">
        <f>HYPERLINK("https://ictv.global/id/ICTV19790550","ICTV19790550@prod")</f>
        <v>ICTV19790550@prod</v>
      </c>
    </row>
    <row r="1489" spans="1:15" x14ac:dyDescent="0.2">
      <c r="A1489">
        <v>17</v>
      </c>
      <c r="B1489">
        <v>19982005</v>
      </c>
      <c r="C1489">
        <v>19790551</v>
      </c>
      <c r="D1489" t="s">
        <v>29</v>
      </c>
      <c r="E1489" t="s">
        <v>64</v>
      </c>
      <c r="G1489" t="s">
        <v>33</v>
      </c>
      <c r="H1489" t="s">
        <v>789</v>
      </c>
      <c r="I1489" t="s">
        <v>29</v>
      </c>
      <c r="J1489">
        <v>19991250</v>
      </c>
      <c r="K1489">
        <v>19991250</v>
      </c>
      <c r="L1489" t="str">
        <f>HYPERLINK("https://test.ictv.global/id/TN19982005","TN19982005@TEST")</f>
        <v>TN19982005@TEST</v>
      </c>
      <c r="M1489" t="str">
        <f>HYPERLINK("https://test.ictv.global/id/ICTV19790551","ICTV19790551@TEST")</f>
        <v>ICTV19790551@TEST</v>
      </c>
      <c r="N1489" t="str">
        <f>HYPERLINK("https://ictv.global/id/TN19982005","TN19982005@prod")</f>
        <v>TN19982005@prod</v>
      </c>
      <c r="O1489" t="str">
        <f>HYPERLINK("https://ictv.global/id/ICTV19790551","ICTV19790551@prod")</f>
        <v>ICTV19790551@prod</v>
      </c>
    </row>
    <row r="1490" spans="1:15" x14ac:dyDescent="0.2">
      <c r="A1490">
        <v>17</v>
      </c>
      <c r="B1490">
        <v>19982006</v>
      </c>
      <c r="C1490">
        <v>19790552</v>
      </c>
      <c r="D1490" t="s">
        <v>29</v>
      </c>
      <c r="E1490" t="s">
        <v>65</v>
      </c>
      <c r="G1490" t="s">
        <v>33</v>
      </c>
      <c r="H1490" t="s">
        <v>754</v>
      </c>
      <c r="I1490" t="s">
        <v>29</v>
      </c>
      <c r="J1490">
        <v>19991248</v>
      </c>
      <c r="K1490">
        <v>19991248</v>
      </c>
      <c r="L1490" t="str">
        <f>HYPERLINK("https://test.ictv.global/id/TN19982006","TN19982006@TEST")</f>
        <v>TN19982006@TEST</v>
      </c>
      <c r="M1490" t="str">
        <f>HYPERLINK("https://test.ictv.global/id/ICTV19790552","ICTV19790552@TEST")</f>
        <v>ICTV19790552@TEST</v>
      </c>
      <c r="N1490" t="str">
        <f>HYPERLINK("https://ictv.global/id/TN19982006","TN19982006@prod")</f>
        <v>TN19982006@prod</v>
      </c>
      <c r="O1490" t="str">
        <f>HYPERLINK("https://ictv.global/id/ICTV19790552","ICTV19790552@prod")</f>
        <v>ICTV19790552@prod</v>
      </c>
    </row>
    <row r="1491" spans="1:15" x14ac:dyDescent="0.2">
      <c r="A1491">
        <v>17</v>
      </c>
      <c r="B1491">
        <v>19982007</v>
      </c>
      <c r="C1491">
        <v>19790553</v>
      </c>
      <c r="D1491" t="s">
        <v>29</v>
      </c>
      <c r="E1491" t="s">
        <v>66</v>
      </c>
      <c r="G1491" t="s">
        <v>33</v>
      </c>
      <c r="H1491" t="s">
        <v>789</v>
      </c>
      <c r="I1491" t="s">
        <v>29</v>
      </c>
      <c r="J1491">
        <v>19991250</v>
      </c>
      <c r="K1491">
        <v>19991250</v>
      </c>
      <c r="L1491" t="str">
        <f>HYPERLINK("https://test.ictv.global/id/TN19982007","TN19982007@TEST")</f>
        <v>TN19982007@TEST</v>
      </c>
      <c r="M1491" t="str">
        <f>HYPERLINK("https://test.ictv.global/id/ICTV19790553","ICTV19790553@TEST")</f>
        <v>ICTV19790553@TEST</v>
      </c>
      <c r="N1491" t="str">
        <f>HYPERLINK("https://ictv.global/id/TN19982007","TN19982007@prod")</f>
        <v>TN19982007@prod</v>
      </c>
      <c r="O1491" t="str">
        <f>HYPERLINK("https://ictv.global/id/ICTV19790553","ICTV19790553@prod")</f>
        <v>ICTV19790553@prod</v>
      </c>
    </row>
    <row r="1492" spans="1:15" x14ac:dyDescent="0.2">
      <c r="A1492">
        <v>17</v>
      </c>
      <c r="B1492">
        <v>19982008</v>
      </c>
      <c r="C1492">
        <v>19790554</v>
      </c>
      <c r="D1492" t="s">
        <v>29</v>
      </c>
      <c r="E1492" t="s">
        <v>67</v>
      </c>
      <c r="G1492" t="s">
        <v>33</v>
      </c>
      <c r="H1492" t="s">
        <v>734</v>
      </c>
      <c r="I1492" t="s">
        <v>29</v>
      </c>
      <c r="J1492">
        <v>19991247</v>
      </c>
      <c r="K1492">
        <v>19991247</v>
      </c>
      <c r="L1492" t="str">
        <f>HYPERLINK("https://test.ictv.global/id/TN19982008","TN19982008@TEST")</f>
        <v>TN19982008@TEST</v>
      </c>
      <c r="M1492" t="str">
        <f>HYPERLINK("https://test.ictv.global/id/ICTV19790554","ICTV19790554@TEST")</f>
        <v>ICTV19790554@TEST</v>
      </c>
      <c r="N1492" t="str">
        <f>HYPERLINK("https://ictv.global/id/TN19982008","TN19982008@prod")</f>
        <v>TN19982008@prod</v>
      </c>
      <c r="O1492" t="str">
        <f>HYPERLINK("https://ictv.global/id/ICTV19790554","ICTV19790554@prod")</f>
        <v>ICTV19790554@prod</v>
      </c>
    </row>
    <row r="1493" spans="1:15" x14ac:dyDescent="0.2">
      <c r="A1493">
        <v>17</v>
      </c>
      <c r="B1493">
        <v>19982009</v>
      </c>
      <c r="C1493">
        <v>19820730</v>
      </c>
      <c r="D1493" t="s">
        <v>29</v>
      </c>
      <c r="E1493" t="s">
        <v>1910</v>
      </c>
      <c r="G1493" t="s">
        <v>1165</v>
      </c>
      <c r="L1493" t="str">
        <f>HYPERLINK("https://test.ictv.global/id/TN19982009","TN19982009@TEST")</f>
        <v>TN19982009@TEST</v>
      </c>
      <c r="M1493" t="str">
        <f>HYPERLINK("https://test.ictv.global/id/ICTV19820730","ICTV19820730@TEST")</f>
        <v>ICTV19820730@TEST</v>
      </c>
      <c r="N1493" t="str">
        <f>HYPERLINK("https://ictv.global/id/TN19982009","TN19982009@prod")</f>
        <v>TN19982009@prod</v>
      </c>
      <c r="O1493" t="str">
        <f>HYPERLINK("https://ictv.global/id/ICTV19820730","ICTV19820730@prod")</f>
        <v>ICTV19820730@prod</v>
      </c>
    </row>
    <row r="1494" spans="1:15" x14ac:dyDescent="0.2">
      <c r="A1494">
        <v>17</v>
      </c>
      <c r="B1494">
        <v>19982010</v>
      </c>
      <c r="C1494">
        <v>20083305</v>
      </c>
      <c r="D1494" t="s">
        <v>29</v>
      </c>
      <c r="E1494" t="s">
        <v>790</v>
      </c>
      <c r="G1494" t="s">
        <v>33</v>
      </c>
      <c r="H1494" t="s">
        <v>791</v>
      </c>
      <c r="I1494" t="s">
        <v>29</v>
      </c>
      <c r="J1494">
        <v>20083305</v>
      </c>
      <c r="K1494">
        <v>19991251</v>
      </c>
      <c r="L1494" t="str">
        <f>HYPERLINK("https://test.ictv.global/id/TN19982010","TN19982010@TEST")</f>
        <v>TN19982010@TEST</v>
      </c>
      <c r="M1494" t="str">
        <f>HYPERLINK("https://test.ictv.global/id/ICTV20083305","ICTV20083305@TEST")</f>
        <v>ICTV20083305@TEST</v>
      </c>
      <c r="N1494" t="str">
        <f>HYPERLINK("https://ictv.global/id/TN19982010","TN19982010@prod")</f>
        <v>TN19982010@prod</v>
      </c>
      <c r="O1494" t="str">
        <f>HYPERLINK("https://ictv.global/id/ICTV20083305","ICTV20083305@prod")</f>
        <v>ICTV20083305@prod</v>
      </c>
    </row>
    <row r="1495" spans="1:15" x14ac:dyDescent="0.2">
      <c r="A1495">
        <v>17</v>
      </c>
      <c r="B1495">
        <v>19982011</v>
      </c>
      <c r="C1495">
        <v>19790556</v>
      </c>
      <c r="D1495" t="s">
        <v>29</v>
      </c>
      <c r="E1495" t="s">
        <v>792</v>
      </c>
      <c r="G1495" t="s">
        <v>31</v>
      </c>
      <c r="H1495" t="s">
        <v>791</v>
      </c>
      <c r="I1495" t="s">
        <v>29</v>
      </c>
      <c r="J1495">
        <v>20083305</v>
      </c>
      <c r="K1495">
        <v>19991251</v>
      </c>
      <c r="L1495" t="str">
        <f>HYPERLINK("https://test.ictv.global/id/TN19982011","TN19982011@TEST")</f>
        <v>TN19982011@TEST</v>
      </c>
      <c r="M1495" t="str">
        <f>HYPERLINK("https://test.ictv.global/id/ICTV19790556","ICTV19790556@TEST")</f>
        <v>ICTV19790556@TEST</v>
      </c>
      <c r="N1495" t="str">
        <f>HYPERLINK("https://ictv.global/id/TN19982011","TN19982011@prod")</f>
        <v>TN19982011@prod</v>
      </c>
      <c r="O1495" t="str">
        <f>HYPERLINK("https://ictv.global/id/ICTV19790556","ICTV19790556@prod")</f>
        <v>ICTV19790556@prod</v>
      </c>
    </row>
    <row r="1496" spans="1:15" x14ac:dyDescent="0.2">
      <c r="A1496">
        <v>17</v>
      </c>
      <c r="B1496">
        <v>19982012</v>
      </c>
      <c r="C1496">
        <v>19790557</v>
      </c>
      <c r="D1496" t="s">
        <v>29</v>
      </c>
      <c r="E1496" t="s">
        <v>793</v>
      </c>
      <c r="G1496" t="s">
        <v>31</v>
      </c>
      <c r="H1496" t="s">
        <v>791</v>
      </c>
      <c r="I1496" t="s">
        <v>29</v>
      </c>
      <c r="J1496">
        <v>20083305</v>
      </c>
      <c r="K1496">
        <v>19991251</v>
      </c>
      <c r="L1496" t="str">
        <f>HYPERLINK("https://test.ictv.global/id/TN19982012","TN19982012@TEST")</f>
        <v>TN19982012@TEST</v>
      </c>
      <c r="M1496" t="str">
        <f>HYPERLINK("https://test.ictv.global/id/ICTV19790557","ICTV19790557@TEST")</f>
        <v>ICTV19790557@TEST</v>
      </c>
      <c r="N1496" t="str">
        <f>HYPERLINK("https://ictv.global/id/TN19982012","TN19982012@prod")</f>
        <v>TN19982012@prod</v>
      </c>
      <c r="O1496" t="str">
        <f>HYPERLINK("https://ictv.global/id/ICTV19790557","ICTV19790557@prod")</f>
        <v>ICTV19790557@prod</v>
      </c>
    </row>
    <row r="1497" spans="1:15" x14ac:dyDescent="0.2">
      <c r="A1497">
        <v>17</v>
      </c>
      <c r="B1497">
        <v>19982014</v>
      </c>
      <c r="C1497">
        <v>19790560</v>
      </c>
      <c r="D1497" t="s">
        <v>29</v>
      </c>
      <c r="E1497" t="s">
        <v>70</v>
      </c>
      <c r="G1497" t="s">
        <v>1165</v>
      </c>
      <c r="L1497" t="str">
        <f>HYPERLINK("https://test.ictv.global/id/TN19982014","TN19982014@TEST")</f>
        <v>TN19982014@TEST</v>
      </c>
      <c r="M1497" t="str">
        <f>HYPERLINK("https://test.ictv.global/id/ICTV19790560","ICTV19790560@TEST")</f>
        <v>ICTV19790560@TEST</v>
      </c>
      <c r="N1497" t="str">
        <f>HYPERLINK("https://ictv.global/id/TN19982014","TN19982014@prod")</f>
        <v>TN19982014@prod</v>
      </c>
      <c r="O1497" t="str">
        <f>HYPERLINK("https://ictv.global/id/ICTV19790560","ICTV19790560@prod")</f>
        <v>ICTV19790560@prod</v>
      </c>
    </row>
    <row r="1498" spans="1:15" x14ac:dyDescent="0.2">
      <c r="A1498">
        <v>17</v>
      </c>
      <c r="B1498">
        <v>19982015</v>
      </c>
      <c r="C1498">
        <v>19790561</v>
      </c>
      <c r="D1498" t="s">
        <v>29</v>
      </c>
      <c r="E1498" t="s">
        <v>71</v>
      </c>
      <c r="G1498" t="s">
        <v>1165</v>
      </c>
      <c r="L1498" t="str">
        <f>HYPERLINK("https://test.ictv.global/id/TN19982015","TN19982015@TEST")</f>
        <v>TN19982015@TEST</v>
      </c>
      <c r="M1498" t="str">
        <f>HYPERLINK("https://test.ictv.global/id/ICTV19790561","ICTV19790561@TEST")</f>
        <v>ICTV19790561@TEST</v>
      </c>
      <c r="N1498" t="str">
        <f>HYPERLINK("https://ictv.global/id/TN19982015","TN19982015@prod")</f>
        <v>TN19982015@prod</v>
      </c>
      <c r="O1498" t="str">
        <f>HYPERLINK("https://ictv.global/id/ICTV19790561","ICTV19790561@prod")</f>
        <v>ICTV19790561@prod</v>
      </c>
    </row>
    <row r="1499" spans="1:15" x14ac:dyDescent="0.2">
      <c r="A1499">
        <v>17</v>
      </c>
      <c r="B1499">
        <v>19982016</v>
      </c>
      <c r="C1499">
        <v>19790562</v>
      </c>
      <c r="D1499" t="s">
        <v>29</v>
      </c>
      <c r="E1499" t="s">
        <v>72</v>
      </c>
      <c r="G1499" t="s">
        <v>1165</v>
      </c>
      <c r="L1499" t="str">
        <f>HYPERLINK("https://test.ictv.global/id/TN19982016","TN19982016@TEST")</f>
        <v>TN19982016@TEST</v>
      </c>
      <c r="M1499" t="str">
        <f>HYPERLINK("https://test.ictv.global/id/ICTV19790562","ICTV19790562@TEST")</f>
        <v>ICTV19790562@TEST</v>
      </c>
      <c r="N1499" t="str">
        <f>HYPERLINK("https://ictv.global/id/TN19982016","TN19982016@prod")</f>
        <v>TN19982016@prod</v>
      </c>
      <c r="O1499" t="str">
        <f>HYPERLINK("https://ictv.global/id/ICTV19790562","ICTV19790562@prod")</f>
        <v>ICTV19790562@prod</v>
      </c>
    </row>
    <row r="1500" spans="1:15" x14ac:dyDescent="0.2">
      <c r="A1500">
        <v>17</v>
      </c>
      <c r="B1500">
        <v>19982017</v>
      </c>
      <c r="C1500">
        <v>19790563</v>
      </c>
      <c r="D1500" t="s">
        <v>29</v>
      </c>
      <c r="E1500" t="s">
        <v>73</v>
      </c>
      <c r="G1500" t="s">
        <v>1165</v>
      </c>
      <c r="L1500" t="str">
        <f>HYPERLINK("https://test.ictv.global/id/TN19982017","TN19982017@TEST")</f>
        <v>TN19982017@TEST</v>
      </c>
      <c r="M1500" t="str">
        <f>HYPERLINK("https://test.ictv.global/id/ICTV19790563","ICTV19790563@TEST")</f>
        <v>ICTV19790563@TEST</v>
      </c>
      <c r="N1500" t="str">
        <f>HYPERLINK("https://ictv.global/id/TN19982017","TN19982017@prod")</f>
        <v>TN19982017@prod</v>
      </c>
      <c r="O1500" t="str">
        <f>HYPERLINK("https://ictv.global/id/ICTV19790563","ICTV19790563@prod")</f>
        <v>ICTV19790563@prod</v>
      </c>
    </row>
    <row r="1501" spans="1:15" x14ac:dyDescent="0.2">
      <c r="A1501">
        <v>17</v>
      </c>
      <c r="B1501">
        <v>19982018</v>
      </c>
      <c r="C1501">
        <v>19790564</v>
      </c>
      <c r="D1501" t="s">
        <v>29</v>
      </c>
      <c r="E1501" t="s">
        <v>74</v>
      </c>
      <c r="G1501" t="s">
        <v>1165</v>
      </c>
      <c r="L1501" t="str">
        <f>HYPERLINK("https://test.ictv.global/id/TN19982018","TN19982018@TEST")</f>
        <v>TN19982018@TEST</v>
      </c>
      <c r="M1501" t="str">
        <f>HYPERLINK("https://test.ictv.global/id/ICTV19790564","ICTV19790564@TEST")</f>
        <v>ICTV19790564@TEST</v>
      </c>
      <c r="N1501" t="str">
        <f>HYPERLINK("https://ictv.global/id/TN19982018","TN19982018@prod")</f>
        <v>TN19982018@prod</v>
      </c>
      <c r="O1501" t="str">
        <f>HYPERLINK("https://ictv.global/id/ICTV19790564","ICTV19790564@prod")</f>
        <v>ICTV19790564@prod</v>
      </c>
    </row>
    <row r="1502" spans="1:15" x14ac:dyDescent="0.2">
      <c r="A1502">
        <v>17</v>
      </c>
      <c r="B1502">
        <v>19982019</v>
      </c>
      <c r="C1502">
        <v>19790565</v>
      </c>
      <c r="D1502" t="s">
        <v>29</v>
      </c>
      <c r="E1502" t="s">
        <v>75</v>
      </c>
      <c r="G1502" t="s">
        <v>1165</v>
      </c>
      <c r="L1502" t="str">
        <f>HYPERLINK("https://test.ictv.global/id/TN19982019","TN19982019@TEST")</f>
        <v>TN19982019@TEST</v>
      </c>
      <c r="M1502" t="str">
        <f>HYPERLINK("https://test.ictv.global/id/ICTV19790565","ICTV19790565@TEST")</f>
        <v>ICTV19790565@TEST</v>
      </c>
      <c r="N1502" t="str">
        <f>HYPERLINK("https://ictv.global/id/TN19982019","TN19982019@prod")</f>
        <v>TN19982019@prod</v>
      </c>
      <c r="O1502" t="str">
        <f>HYPERLINK("https://ictv.global/id/ICTV19790565","ICTV19790565@prod")</f>
        <v>ICTV19790565@prod</v>
      </c>
    </row>
    <row r="1503" spans="1:15" x14ac:dyDescent="0.2">
      <c r="A1503">
        <v>17</v>
      </c>
      <c r="B1503">
        <v>19982021</v>
      </c>
      <c r="C1503">
        <v>19790567</v>
      </c>
      <c r="D1503" t="s">
        <v>29</v>
      </c>
      <c r="E1503" t="s">
        <v>78</v>
      </c>
      <c r="G1503" t="s">
        <v>1165</v>
      </c>
      <c r="L1503" t="str">
        <f>HYPERLINK("https://test.ictv.global/id/TN19982021","TN19982021@TEST")</f>
        <v>TN19982021@TEST</v>
      </c>
      <c r="M1503" t="str">
        <f>HYPERLINK("https://test.ictv.global/id/ICTV19790567","ICTV19790567@TEST")</f>
        <v>ICTV19790567@TEST</v>
      </c>
      <c r="N1503" t="str">
        <f>HYPERLINK("https://ictv.global/id/TN19982021","TN19982021@prod")</f>
        <v>TN19982021@prod</v>
      </c>
      <c r="O1503" t="str">
        <f>HYPERLINK("https://ictv.global/id/ICTV19790567","ICTV19790567@prod")</f>
        <v>ICTV19790567@prod</v>
      </c>
    </row>
    <row r="1504" spans="1:15" x14ac:dyDescent="0.2">
      <c r="A1504">
        <v>17</v>
      </c>
      <c r="B1504">
        <v>19982022</v>
      </c>
      <c r="C1504">
        <v>19790568</v>
      </c>
      <c r="D1504" t="s">
        <v>29</v>
      </c>
      <c r="E1504" t="s">
        <v>79</v>
      </c>
      <c r="G1504" t="s">
        <v>1165</v>
      </c>
      <c r="L1504" t="str">
        <f>HYPERLINK("https://test.ictv.global/id/TN19982022","TN19982022@TEST")</f>
        <v>TN19982022@TEST</v>
      </c>
      <c r="M1504" t="str">
        <f>HYPERLINK("https://test.ictv.global/id/ICTV19790568","ICTV19790568@TEST")</f>
        <v>ICTV19790568@TEST</v>
      </c>
      <c r="N1504" t="str">
        <f>HYPERLINK("https://ictv.global/id/TN19982022","TN19982022@prod")</f>
        <v>TN19982022@prod</v>
      </c>
      <c r="O1504" t="str">
        <f>HYPERLINK("https://ictv.global/id/ICTV19790568","ICTV19790568@prod")</f>
        <v>ICTV19790568@prod</v>
      </c>
    </row>
    <row r="1505" spans="1:15" x14ac:dyDescent="0.2">
      <c r="A1505">
        <v>17</v>
      </c>
      <c r="B1505">
        <v>19982023</v>
      </c>
      <c r="C1505">
        <v>19790569</v>
      </c>
      <c r="D1505" t="s">
        <v>29</v>
      </c>
      <c r="E1505" t="s">
        <v>80</v>
      </c>
      <c r="G1505" t="s">
        <v>1165</v>
      </c>
      <c r="L1505" t="str">
        <f>HYPERLINK("https://test.ictv.global/id/TN19982023","TN19982023@TEST")</f>
        <v>TN19982023@TEST</v>
      </c>
      <c r="M1505" t="str">
        <f>HYPERLINK("https://test.ictv.global/id/ICTV19790569","ICTV19790569@TEST")</f>
        <v>ICTV19790569@TEST</v>
      </c>
      <c r="N1505" t="str">
        <f>HYPERLINK("https://ictv.global/id/TN19982023","TN19982023@prod")</f>
        <v>TN19982023@prod</v>
      </c>
      <c r="O1505" t="str">
        <f>HYPERLINK("https://ictv.global/id/ICTV19790569","ICTV19790569@prod")</f>
        <v>ICTV19790569@prod</v>
      </c>
    </row>
    <row r="1506" spans="1:15" x14ac:dyDescent="0.2">
      <c r="A1506">
        <v>17</v>
      </c>
      <c r="B1506">
        <v>19982024</v>
      </c>
      <c r="C1506">
        <v>19790570</v>
      </c>
      <c r="D1506" t="s">
        <v>29</v>
      </c>
      <c r="E1506" t="s">
        <v>81</v>
      </c>
      <c r="G1506" t="s">
        <v>1165</v>
      </c>
      <c r="L1506" t="str">
        <f>HYPERLINK("https://test.ictv.global/id/TN19982024","TN19982024@TEST")</f>
        <v>TN19982024@TEST</v>
      </c>
      <c r="M1506" t="str">
        <f>HYPERLINK("https://test.ictv.global/id/ICTV19790570","ICTV19790570@TEST")</f>
        <v>ICTV19790570@TEST</v>
      </c>
      <c r="N1506" t="str">
        <f>HYPERLINK("https://ictv.global/id/TN19982024","TN19982024@prod")</f>
        <v>TN19982024@prod</v>
      </c>
      <c r="O1506" t="str">
        <f>HYPERLINK("https://ictv.global/id/ICTV19790570","ICTV19790570@prod")</f>
        <v>ICTV19790570@prod</v>
      </c>
    </row>
    <row r="1507" spans="1:15" x14ac:dyDescent="0.2">
      <c r="A1507">
        <v>17</v>
      </c>
      <c r="B1507">
        <v>19982025</v>
      </c>
      <c r="C1507">
        <v>19790571</v>
      </c>
      <c r="D1507" t="s">
        <v>29</v>
      </c>
      <c r="E1507" t="s">
        <v>82</v>
      </c>
      <c r="G1507" t="s">
        <v>1165</v>
      </c>
      <c r="L1507" t="str">
        <f>HYPERLINK("https://test.ictv.global/id/TN19982025","TN19982025@TEST")</f>
        <v>TN19982025@TEST</v>
      </c>
      <c r="M1507" t="str">
        <f>HYPERLINK("https://test.ictv.global/id/ICTV19790571","ICTV19790571@TEST")</f>
        <v>ICTV19790571@TEST</v>
      </c>
      <c r="N1507" t="str">
        <f>HYPERLINK("https://ictv.global/id/TN19982025","TN19982025@prod")</f>
        <v>TN19982025@prod</v>
      </c>
      <c r="O1507" t="str">
        <f>HYPERLINK("https://ictv.global/id/ICTV19790571","ICTV19790571@prod")</f>
        <v>ICTV19790571@prod</v>
      </c>
    </row>
    <row r="1508" spans="1:15" x14ac:dyDescent="0.2">
      <c r="A1508">
        <v>17</v>
      </c>
      <c r="B1508">
        <v>19982026</v>
      </c>
      <c r="C1508">
        <v>19790572</v>
      </c>
      <c r="D1508" t="s">
        <v>29</v>
      </c>
      <c r="E1508" t="s">
        <v>83</v>
      </c>
      <c r="G1508" t="s">
        <v>1165</v>
      </c>
      <c r="L1508" t="str">
        <f>HYPERLINK("https://test.ictv.global/id/TN19982026","TN19982026@TEST")</f>
        <v>TN19982026@TEST</v>
      </c>
      <c r="M1508" t="str">
        <f>HYPERLINK("https://test.ictv.global/id/ICTV19790572","ICTV19790572@TEST")</f>
        <v>ICTV19790572@TEST</v>
      </c>
      <c r="N1508" t="str">
        <f>HYPERLINK("https://ictv.global/id/TN19982026","TN19982026@prod")</f>
        <v>TN19982026@prod</v>
      </c>
      <c r="O1508" t="str">
        <f>HYPERLINK("https://ictv.global/id/ICTV19790572","ICTV19790572@prod")</f>
        <v>ICTV19790572@prod</v>
      </c>
    </row>
    <row r="1509" spans="1:15" x14ac:dyDescent="0.2">
      <c r="A1509">
        <v>17</v>
      </c>
      <c r="B1509">
        <v>19982027</v>
      </c>
      <c r="C1509">
        <v>19790573</v>
      </c>
      <c r="D1509" t="s">
        <v>29</v>
      </c>
      <c r="E1509" t="s">
        <v>84</v>
      </c>
      <c r="G1509" t="s">
        <v>1165</v>
      </c>
      <c r="L1509" t="str">
        <f>HYPERLINK("https://test.ictv.global/id/TN19982027","TN19982027@TEST")</f>
        <v>TN19982027@TEST</v>
      </c>
      <c r="M1509" t="str">
        <f>HYPERLINK("https://test.ictv.global/id/ICTV19790573","ICTV19790573@TEST")</f>
        <v>ICTV19790573@TEST</v>
      </c>
      <c r="N1509" t="str">
        <f>HYPERLINK("https://ictv.global/id/TN19982027","TN19982027@prod")</f>
        <v>TN19982027@prod</v>
      </c>
      <c r="O1509" t="str">
        <f>HYPERLINK("https://ictv.global/id/ICTV19790573","ICTV19790573@prod")</f>
        <v>ICTV19790573@prod</v>
      </c>
    </row>
    <row r="1510" spans="1:15" x14ac:dyDescent="0.2">
      <c r="A1510">
        <v>17</v>
      </c>
      <c r="B1510">
        <v>19982028</v>
      </c>
      <c r="C1510">
        <v>19790574</v>
      </c>
      <c r="D1510" t="s">
        <v>29</v>
      </c>
      <c r="E1510" t="s">
        <v>85</v>
      </c>
      <c r="G1510" t="s">
        <v>1165</v>
      </c>
      <c r="L1510" t="str">
        <f>HYPERLINK("https://test.ictv.global/id/TN19982028","TN19982028@TEST")</f>
        <v>TN19982028@TEST</v>
      </c>
      <c r="M1510" t="str">
        <f>HYPERLINK("https://test.ictv.global/id/ICTV19790574","ICTV19790574@TEST")</f>
        <v>ICTV19790574@TEST</v>
      </c>
      <c r="N1510" t="str">
        <f>HYPERLINK("https://ictv.global/id/TN19982028","TN19982028@prod")</f>
        <v>TN19982028@prod</v>
      </c>
      <c r="O1510" t="str">
        <f>HYPERLINK("https://ictv.global/id/ICTV19790574","ICTV19790574@prod")</f>
        <v>ICTV19790574@prod</v>
      </c>
    </row>
    <row r="1511" spans="1:15" x14ac:dyDescent="0.2">
      <c r="A1511">
        <v>17</v>
      </c>
      <c r="B1511">
        <v>19982029</v>
      </c>
      <c r="C1511">
        <v>19790575</v>
      </c>
      <c r="D1511" t="s">
        <v>29</v>
      </c>
      <c r="E1511" t="s">
        <v>86</v>
      </c>
      <c r="G1511" t="s">
        <v>1165</v>
      </c>
      <c r="L1511" t="str">
        <f>HYPERLINK("https://test.ictv.global/id/TN19982029","TN19982029@TEST")</f>
        <v>TN19982029@TEST</v>
      </c>
      <c r="M1511" t="str">
        <f>HYPERLINK("https://test.ictv.global/id/ICTV19790575","ICTV19790575@TEST")</f>
        <v>ICTV19790575@TEST</v>
      </c>
      <c r="N1511" t="str">
        <f>HYPERLINK("https://ictv.global/id/TN19982029","TN19982029@prod")</f>
        <v>TN19982029@prod</v>
      </c>
      <c r="O1511" t="str">
        <f>HYPERLINK("https://ictv.global/id/ICTV19790575","ICTV19790575@prod")</f>
        <v>ICTV19790575@prod</v>
      </c>
    </row>
    <row r="1512" spans="1:15" x14ac:dyDescent="0.2">
      <c r="A1512">
        <v>17</v>
      </c>
      <c r="B1512">
        <v>19982030</v>
      </c>
      <c r="C1512">
        <v>19790576</v>
      </c>
      <c r="D1512" t="s">
        <v>29</v>
      </c>
      <c r="E1512" t="s">
        <v>87</v>
      </c>
      <c r="G1512" t="s">
        <v>1165</v>
      </c>
      <c r="L1512" t="str">
        <f>HYPERLINK("https://test.ictv.global/id/TN19982030","TN19982030@TEST")</f>
        <v>TN19982030@TEST</v>
      </c>
      <c r="M1512" t="str">
        <f>HYPERLINK("https://test.ictv.global/id/ICTV19790576","ICTV19790576@TEST")</f>
        <v>ICTV19790576@TEST</v>
      </c>
      <c r="N1512" t="str">
        <f>HYPERLINK("https://ictv.global/id/TN19982030","TN19982030@prod")</f>
        <v>TN19982030@prod</v>
      </c>
      <c r="O1512" t="str">
        <f>HYPERLINK("https://ictv.global/id/ICTV19790576","ICTV19790576@prod")</f>
        <v>ICTV19790576@prod</v>
      </c>
    </row>
    <row r="1513" spans="1:15" x14ac:dyDescent="0.2">
      <c r="A1513">
        <v>17</v>
      </c>
      <c r="B1513">
        <v>19982031</v>
      </c>
      <c r="C1513">
        <v>19790577</v>
      </c>
      <c r="D1513" t="s">
        <v>29</v>
      </c>
      <c r="E1513" t="s">
        <v>88</v>
      </c>
      <c r="G1513" t="s">
        <v>1165</v>
      </c>
      <c r="L1513" t="str">
        <f>HYPERLINK("https://test.ictv.global/id/TN19982031","TN19982031@TEST")</f>
        <v>TN19982031@TEST</v>
      </c>
      <c r="M1513" t="str">
        <f>HYPERLINK("https://test.ictv.global/id/ICTV19790577","ICTV19790577@TEST")</f>
        <v>ICTV19790577@TEST</v>
      </c>
      <c r="N1513" t="str">
        <f>HYPERLINK("https://ictv.global/id/TN19982031","TN19982031@prod")</f>
        <v>TN19982031@prod</v>
      </c>
      <c r="O1513" t="str">
        <f>HYPERLINK("https://ictv.global/id/ICTV19790577","ICTV19790577@prod")</f>
        <v>ICTV19790577@prod</v>
      </c>
    </row>
    <row r="1514" spans="1:15" x14ac:dyDescent="0.2">
      <c r="A1514">
        <v>17</v>
      </c>
      <c r="B1514">
        <v>19982032</v>
      </c>
      <c r="C1514">
        <v>19790578</v>
      </c>
      <c r="D1514" t="s">
        <v>29</v>
      </c>
      <c r="E1514" t="s">
        <v>89</v>
      </c>
      <c r="G1514" t="s">
        <v>1165</v>
      </c>
      <c r="L1514" t="str">
        <f>HYPERLINK("https://test.ictv.global/id/TN19982032","TN19982032@TEST")</f>
        <v>TN19982032@TEST</v>
      </c>
      <c r="M1514" t="str">
        <f>HYPERLINK("https://test.ictv.global/id/ICTV19790578","ICTV19790578@TEST")</f>
        <v>ICTV19790578@TEST</v>
      </c>
      <c r="N1514" t="str">
        <f>HYPERLINK("https://ictv.global/id/TN19982032","TN19982032@prod")</f>
        <v>TN19982032@prod</v>
      </c>
      <c r="O1514" t="str">
        <f>HYPERLINK("https://ictv.global/id/ICTV19790578","ICTV19790578@prod")</f>
        <v>ICTV19790578@prod</v>
      </c>
    </row>
    <row r="1515" spans="1:15" x14ac:dyDescent="0.2">
      <c r="A1515">
        <v>17</v>
      </c>
      <c r="B1515">
        <v>19982033</v>
      </c>
      <c r="C1515">
        <v>19790579</v>
      </c>
      <c r="D1515" t="s">
        <v>29</v>
      </c>
      <c r="E1515" t="s">
        <v>90</v>
      </c>
      <c r="G1515" t="s">
        <v>1165</v>
      </c>
      <c r="L1515" t="str">
        <f>HYPERLINK("https://test.ictv.global/id/TN19982033","TN19982033@TEST")</f>
        <v>TN19982033@TEST</v>
      </c>
      <c r="M1515" t="str">
        <f>HYPERLINK("https://test.ictv.global/id/ICTV19790579","ICTV19790579@TEST")</f>
        <v>ICTV19790579@TEST</v>
      </c>
      <c r="N1515" t="str">
        <f>HYPERLINK("https://ictv.global/id/TN19982033","TN19982033@prod")</f>
        <v>TN19982033@prod</v>
      </c>
      <c r="O1515" t="str">
        <f>HYPERLINK("https://ictv.global/id/ICTV19790579","ICTV19790579@prod")</f>
        <v>ICTV19790579@prod</v>
      </c>
    </row>
    <row r="1516" spans="1:15" x14ac:dyDescent="0.2">
      <c r="A1516">
        <v>17</v>
      </c>
      <c r="B1516">
        <v>19982034</v>
      </c>
      <c r="C1516">
        <v>19790580</v>
      </c>
      <c r="D1516" t="s">
        <v>29</v>
      </c>
      <c r="E1516" t="s">
        <v>91</v>
      </c>
      <c r="G1516" t="s">
        <v>1165</v>
      </c>
      <c r="L1516" t="str">
        <f>HYPERLINK("https://test.ictv.global/id/TN19982034","TN19982034@TEST")</f>
        <v>TN19982034@TEST</v>
      </c>
      <c r="M1516" t="str">
        <f>HYPERLINK("https://test.ictv.global/id/ICTV19790580","ICTV19790580@TEST")</f>
        <v>ICTV19790580@TEST</v>
      </c>
      <c r="N1516" t="str">
        <f>HYPERLINK("https://ictv.global/id/TN19982034","TN19982034@prod")</f>
        <v>TN19982034@prod</v>
      </c>
      <c r="O1516" t="str">
        <f>HYPERLINK("https://ictv.global/id/ICTV19790580","ICTV19790580@prod")</f>
        <v>ICTV19790580@prod</v>
      </c>
    </row>
    <row r="1517" spans="1:15" x14ac:dyDescent="0.2">
      <c r="A1517">
        <v>17</v>
      </c>
      <c r="B1517">
        <v>19982035</v>
      </c>
      <c r="C1517">
        <v>19790581</v>
      </c>
      <c r="D1517" t="s">
        <v>29</v>
      </c>
      <c r="E1517" t="s">
        <v>92</v>
      </c>
      <c r="G1517" t="s">
        <v>1165</v>
      </c>
      <c r="L1517" t="str">
        <f>HYPERLINK("https://test.ictv.global/id/TN19982035","TN19982035@TEST")</f>
        <v>TN19982035@TEST</v>
      </c>
      <c r="M1517" t="str">
        <f>HYPERLINK("https://test.ictv.global/id/ICTV19790581","ICTV19790581@TEST")</f>
        <v>ICTV19790581@TEST</v>
      </c>
      <c r="N1517" t="str">
        <f>HYPERLINK("https://ictv.global/id/TN19982035","TN19982035@prod")</f>
        <v>TN19982035@prod</v>
      </c>
      <c r="O1517" t="str">
        <f>HYPERLINK("https://ictv.global/id/ICTV19790581","ICTV19790581@prod")</f>
        <v>ICTV19790581@prod</v>
      </c>
    </row>
    <row r="1518" spans="1:15" x14ac:dyDescent="0.2">
      <c r="A1518">
        <v>17</v>
      </c>
      <c r="B1518">
        <v>19982036</v>
      </c>
      <c r="C1518">
        <v>19790582</v>
      </c>
      <c r="D1518" t="s">
        <v>29</v>
      </c>
      <c r="E1518" t="s">
        <v>93</v>
      </c>
      <c r="G1518" t="s">
        <v>1165</v>
      </c>
      <c r="L1518" t="str">
        <f>HYPERLINK("https://test.ictv.global/id/TN19982036","TN19982036@TEST")</f>
        <v>TN19982036@TEST</v>
      </c>
      <c r="M1518" t="str">
        <f>HYPERLINK("https://test.ictv.global/id/ICTV19790582","ICTV19790582@TEST")</f>
        <v>ICTV19790582@TEST</v>
      </c>
      <c r="N1518" t="str">
        <f>HYPERLINK("https://ictv.global/id/TN19982036","TN19982036@prod")</f>
        <v>TN19982036@prod</v>
      </c>
      <c r="O1518" t="str">
        <f>HYPERLINK("https://ictv.global/id/ICTV19790582","ICTV19790582@prod")</f>
        <v>ICTV19790582@prod</v>
      </c>
    </row>
    <row r="1519" spans="1:15" x14ac:dyDescent="0.2">
      <c r="A1519">
        <v>17</v>
      </c>
      <c r="B1519">
        <v>19982037</v>
      </c>
      <c r="C1519">
        <v>19790583</v>
      </c>
      <c r="D1519" t="s">
        <v>29</v>
      </c>
      <c r="E1519" t="s">
        <v>94</v>
      </c>
      <c r="G1519" t="s">
        <v>1165</v>
      </c>
      <c r="L1519" t="str">
        <f>HYPERLINK("https://test.ictv.global/id/TN19982037","TN19982037@TEST")</f>
        <v>TN19982037@TEST</v>
      </c>
      <c r="M1519" t="str">
        <f>HYPERLINK("https://test.ictv.global/id/ICTV19790583","ICTV19790583@TEST")</f>
        <v>ICTV19790583@TEST</v>
      </c>
      <c r="N1519" t="str">
        <f>HYPERLINK("https://ictv.global/id/TN19982037","TN19982037@prod")</f>
        <v>TN19982037@prod</v>
      </c>
      <c r="O1519" t="str">
        <f>HYPERLINK("https://ictv.global/id/ICTV19790583","ICTV19790583@prod")</f>
        <v>ICTV19790583@prod</v>
      </c>
    </row>
    <row r="1520" spans="1:15" x14ac:dyDescent="0.2">
      <c r="A1520">
        <v>17</v>
      </c>
      <c r="B1520">
        <v>19982038</v>
      </c>
      <c r="C1520">
        <v>19790584</v>
      </c>
      <c r="D1520" t="s">
        <v>29</v>
      </c>
      <c r="E1520" t="s">
        <v>95</v>
      </c>
      <c r="G1520" t="s">
        <v>1165</v>
      </c>
      <c r="L1520" t="str">
        <f>HYPERLINK("https://test.ictv.global/id/TN19982038","TN19982038@TEST")</f>
        <v>TN19982038@TEST</v>
      </c>
      <c r="M1520" t="str">
        <f>HYPERLINK("https://test.ictv.global/id/ICTV19790584","ICTV19790584@TEST")</f>
        <v>ICTV19790584@TEST</v>
      </c>
      <c r="N1520" t="str">
        <f>HYPERLINK("https://ictv.global/id/TN19982038","TN19982038@prod")</f>
        <v>TN19982038@prod</v>
      </c>
      <c r="O1520" t="str">
        <f>HYPERLINK("https://ictv.global/id/ICTV19790584","ICTV19790584@prod")</f>
        <v>ICTV19790584@prod</v>
      </c>
    </row>
    <row r="1521" spans="1:15" x14ac:dyDescent="0.2">
      <c r="A1521">
        <v>17</v>
      </c>
      <c r="B1521">
        <v>19982039</v>
      </c>
      <c r="C1521">
        <v>19911201</v>
      </c>
      <c r="D1521" t="s">
        <v>29</v>
      </c>
      <c r="E1521" t="s">
        <v>794</v>
      </c>
      <c r="G1521" t="s">
        <v>33</v>
      </c>
      <c r="H1521" t="s">
        <v>795</v>
      </c>
      <c r="I1521" t="s">
        <v>29</v>
      </c>
      <c r="J1521">
        <v>19991254</v>
      </c>
      <c r="K1521">
        <v>19991254</v>
      </c>
      <c r="L1521" t="str">
        <f>HYPERLINK("https://test.ictv.global/id/TN19982039","TN19982039@TEST")</f>
        <v>TN19982039@TEST</v>
      </c>
      <c r="M1521" t="str">
        <f>HYPERLINK("https://test.ictv.global/id/ICTV19911201","ICTV19911201@TEST")</f>
        <v>ICTV19911201@TEST</v>
      </c>
      <c r="N1521" t="str">
        <f>HYPERLINK("https://ictv.global/id/TN19982039","TN19982039@prod")</f>
        <v>TN19982039@prod</v>
      </c>
      <c r="O1521" t="str">
        <f>HYPERLINK("https://ictv.global/id/ICTV19911201","ICTV19911201@prod")</f>
        <v>ICTV19911201@prod</v>
      </c>
    </row>
    <row r="1522" spans="1:15" x14ac:dyDescent="0.2">
      <c r="A1522">
        <v>17</v>
      </c>
      <c r="B1522">
        <v>19982040</v>
      </c>
      <c r="C1522">
        <v>19911202</v>
      </c>
      <c r="D1522" t="s">
        <v>29</v>
      </c>
      <c r="E1522" t="s">
        <v>796</v>
      </c>
      <c r="G1522" t="s">
        <v>31</v>
      </c>
      <c r="H1522" t="s">
        <v>795</v>
      </c>
      <c r="I1522" t="s">
        <v>29</v>
      </c>
      <c r="J1522">
        <v>19991254</v>
      </c>
      <c r="K1522">
        <v>19991254</v>
      </c>
      <c r="L1522" t="str">
        <f>HYPERLINK("https://test.ictv.global/id/TN19982040","TN19982040@TEST")</f>
        <v>TN19982040@TEST</v>
      </c>
      <c r="M1522" t="str">
        <f>HYPERLINK("https://test.ictv.global/id/ICTV19911202","ICTV19911202@TEST")</f>
        <v>ICTV19911202@TEST</v>
      </c>
      <c r="N1522" t="str">
        <f>HYPERLINK("https://ictv.global/id/TN19982040","TN19982040@prod")</f>
        <v>TN19982040@prod</v>
      </c>
      <c r="O1522" t="str">
        <f>HYPERLINK("https://ictv.global/id/ICTV19911202","ICTV19911202@prod")</f>
        <v>ICTV19911202@prod</v>
      </c>
    </row>
    <row r="1523" spans="1:15" x14ac:dyDescent="0.2">
      <c r="A1523">
        <v>17</v>
      </c>
      <c r="B1523">
        <v>19982041</v>
      </c>
      <c r="C1523">
        <v>19790533</v>
      </c>
      <c r="D1523" t="s">
        <v>29</v>
      </c>
      <c r="E1523" t="s">
        <v>797</v>
      </c>
      <c r="G1523" t="s">
        <v>31</v>
      </c>
      <c r="H1523" t="s">
        <v>798</v>
      </c>
      <c r="I1523" t="s">
        <v>29</v>
      </c>
      <c r="J1523">
        <v>19991255</v>
      </c>
      <c r="K1523">
        <v>19991255</v>
      </c>
      <c r="L1523" t="str">
        <f>HYPERLINK("https://test.ictv.global/id/TN19982041","TN19982041@TEST")</f>
        <v>TN19982041@TEST</v>
      </c>
      <c r="M1523" t="str">
        <f>HYPERLINK("https://test.ictv.global/id/ICTV19790533","ICTV19790533@TEST")</f>
        <v>ICTV19790533@TEST</v>
      </c>
      <c r="N1523" t="str">
        <f>HYPERLINK("https://ictv.global/id/TN19982041","TN19982041@prod")</f>
        <v>TN19982041@prod</v>
      </c>
      <c r="O1523" t="str">
        <f>HYPERLINK("https://ictv.global/id/ICTV19790533","ICTV19790533@prod")</f>
        <v>ICTV19790533@prod</v>
      </c>
    </row>
    <row r="1524" spans="1:15" x14ac:dyDescent="0.2">
      <c r="A1524">
        <v>17</v>
      </c>
      <c r="B1524">
        <v>19982042</v>
      </c>
      <c r="C1524">
        <v>19991255</v>
      </c>
      <c r="D1524" t="s">
        <v>29</v>
      </c>
      <c r="E1524" t="s">
        <v>798</v>
      </c>
      <c r="G1524" t="s">
        <v>33</v>
      </c>
      <c r="H1524" t="s">
        <v>798</v>
      </c>
      <c r="I1524" t="s">
        <v>29</v>
      </c>
      <c r="J1524">
        <v>19991255</v>
      </c>
      <c r="K1524">
        <v>19991255</v>
      </c>
      <c r="L1524" t="str">
        <f>HYPERLINK("https://test.ictv.global/id/TN19982042","TN19982042@TEST")</f>
        <v>TN19982042@TEST</v>
      </c>
      <c r="M1524" t="str">
        <f>HYPERLINK("https://test.ictv.global/id/ICTV19991255","ICTV19991255@TEST")</f>
        <v>ICTV19991255@TEST</v>
      </c>
      <c r="N1524" t="str">
        <f>HYPERLINK("https://ictv.global/id/TN19982042","TN19982042@prod")</f>
        <v>TN19982042@prod</v>
      </c>
      <c r="O1524" t="str">
        <f>HYPERLINK("https://ictv.global/id/ICTV19991255","ICTV19991255@prod")</f>
        <v>ICTV19991255@prod</v>
      </c>
    </row>
    <row r="1525" spans="1:15" x14ac:dyDescent="0.2">
      <c r="A1525">
        <v>17</v>
      </c>
      <c r="B1525">
        <v>19982043</v>
      </c>
      <c r="C1525">
        <v>19790585</v>
      </c>
      <c r="D1525" t="s">
        <v>29</v>
      </c>
      <c r="E1525" t="s">
        <v>97</v>
      </c>
      <c r="G1525" t="s">
        <v>1165</v>
      </c>
      <c r="L1525" t="str">
        <f>HYPERLINK("https://test.ictv.global/id/TN19982043","TN19982043@TEST")</f>
        <v>TN19982043@TEST</v>
      </c>
      <c r="M1525" t="str">
        <f>HYPERLINK("https://test.ictv.global/id/ICTV19790585","ICTV19790585@TEST")</f>
        <v>ICTV19790585@TEST</v>
      </c>
      <c r="N1525" t="str">
        <f>HYPERLINK("https://ictv.global/id/TN19982043","TN19982043@prod")</f>
        <v>TN19982043@prod</v>
      </c>
      <c r="O1525" t="str">
        <f>HYPERLINK("https://ictv.global/id/ICTV19790585","ICTV19790585@prod")</f>
        <v>ICTV19790585@prod</v>
      </c>
    </row>
    <row r="1526" spans="1:15" x14ac:dyDescent="0.2">
      <c r="A1526">
        <v>17</v>
      </c>
      <c r="B1526">
        <v>19982044</v>
      </c>
      <c r="C1526">
        <v>19790586</v>
      </c>
      <c r="D1526" t="s">
        <v>29</v>
      </c>
      <c r="E1526" t="s">
        <v>98</v>
      </c>
      <c r="G1526" t="s">
        <v>1165</v>
      </c>
      <c r="L1526" t="str">
        <f>HYPERLINK("https://test.ictv.global/id/TN19982044","TN19982044@TEST")</f>
        <v>TN19982044@TEST</v>
      </c>
      <c r="M1526" t="str">
        <f>HYPERLINK("https://test.ictv.global/id/ICTV19790586","ICTV19790586@TEST")</f>
        <v>ICTV19790586@TEST</v>
      </c>
      <c r="N1526" t="str">
        <f>HYPERLINK("https://ictv.global/id/TN19982044","TN19982044@prod")</f>
        <v>TN19982044@prod</v>
      </c>
      <c r="O1526" t="str">
        <f>HYPERLINK("https://ictv.global/id/ICTV19790586","ICTV19790586@prod")</f>
        <v>ICTV19790586@prod</v>
      </c>
    </row>
    <row r="1527" spans="1:15" x14ac:dyDescent="0.2">
      <c r="A1527">
        <v>17</v>
      </c>
      <c r="B1527">
        <v>19982045</v>
      </c>
      <c r="C1527">
        <v>19760332</v>
      </c>
      <c r="D1527" t="s">
        <v>29</v>
      </c>
      <c r="E1527" t="s">
        <v>1911</v>
      </c>
      <c r="G1527" t="s">
        <v>1165</v>
      </c>
      <c r="L1527" t="str">
        <f>HYPERLINK("https://test.ictv.global/id/TN19982045","TN19982045@TEST")</f>
        <v>TN19982045@TEST</v>
      </c>
      <c r="M1527" t="str">
        <f>HYPERLINK("https://test.ictv.global/id/ICTV19760332","ICTV19760332@TEST")</f>
        <v>ICTV19760332@TEST</v>
      </c>
      <c r="N1527" t="str">
        <f>HYPERLINK("https://ictv.global/id/TN19982045","TN19982045@prod")</f>
        <v>TN19982045@prod</v>
      </c>
      <c r="O1527" t="str">
        <f>HYPERLINK("https://ictv.global/id/ICTV19760332","ICTV19760332@prod")</f>
        <v>ICTV19760332@prod</v>
      </c>
    </row>
    <row r="1528" spans="1:15" x14ac:dyDescent="0.2">
      <c r="A1528">
        <v>17</v>
      </c>
      <c r="B1528">
        <v>19982046</v>
      </c>
      <c r="C1528">
        <v>19760333</v>
      </c>
      <c r="D1528" t="s">
        <v>29</v>
      </c>
      <c r="E1528" t="s">
        <v>1912</v>
      </c>
      <c r="G1528" t="s">
        <v>1165</v>
      </c>
      <c r="L1528" t="str">
        <f>HYPERLINK("https://test.ictv.global/id/TN19982046","TN19982046@TEST")</f>
        <v>TN19982046@TEST</v>
      </c>
      <c r="M1528" t="str">
        <f>HYPERLINK("https://test.ictv.global/id/ICTV19760333","ICTV19760333@TEST")</f>
        <v>ICTV19760333@TEST</v>
      </c>
      <c r="N1528" t="str">
        <f>HYPERLINK("https://ictv.global/id/TN19982046","TN19982046@prod")</f>
        <v>TN19982046@prod</v>
      </c>
      <c r="O1528" t="str">
        <f>HYPERLINK("https://ictv.global/id/ICTV19760333","ICTV19760333@prod")</f>
        <v>ICTV19760333@prod</v>
      </c>
    </row>
    <row r="1529" spans="1:15" x14ac:dyDescent="0.2">
      <c r="A1529">
        <v>17</v>
      </c>
      <c r="B1529">
        <v>19982047</v>
      </c>
      <c r="C1529">
        <v>19760343</v>
      </c>
      <c r="D1529" t="s">
        <v>29</v>
      </c>
      <c r="E1529" t="s">
        <v>799</v>
      </c>
      <c r="G1529" t="s">
        <v>31</v>
      </c>
      <c r="H1529" t="s">
        <v>800</v>
      </c>
      <c r="I1529" t="s">
        <v>29</v>
      </c>
      <c r="J1529">
        <v>19991256</v>
      </c>
      <c r="K1529">
        <v>19991256</v>
      </c>
      <c r="L1529" t="str">
        <f>HYPERLINK("https://test.ictv.global/id/TN19982047","TN19982047@TEST")</f>
        <v>TN19982047@TEST</v>
      </c>
      <c r="M1529" t="str">
        <f>HYPERLINK("https://test.ictv.global/id/ICTV19760343","ICTV19760343@TEST")</f>
        <v>ICTV19760343@TEST</v>
      </c>
      <c r="N1529" t="str">
        <f>HYPERLINK("https://ictv.global/id/TN19982047","TN19982047@prod")</f>
        <v>TN19982047@prod</v>
      </c>
      <c r="O1529" t="str">
        <f>HYPERLINK("https://ictv.global/id/ICTV19760343","ICTV19760343@prod")</f>
        <v>ICTV19760343@prod</v>
      </c>
    </row>
    <row r="1530" spans="1:15" x14ac:dyDescent="0.2">
      <c r="A1530">
        <v>17</v>
      </c>
      <c r="B1530">
        <v>19982048</v>
      </c>
      <c r="C1530">
        <v>19760348</v>
      </c>
      <c r="D1530" t="s">
        <v>29</v>
      </c>
      <c r="E1530" t="s">
        <v>1913</v>
      </c>
      <c r="G1530" t="s">
        <v>1165</v>
      </c>
      <c r="L1530" t="str">
        <f>HYPERLINK("https://test.ictv.global/id/TN19982048","TN19982048@TEST")</f>
        <v>TN19982048@TEST</v>
      </c>
      <c r="M1530" t="str">
        <f>HYPERLINK("https://test.ictv.global/id/ICTV19760348","ICTV19760348@TEST")</f>
        <v>ICTV19760348@TEST</v>
      </c>
      <c r="N1530" t="str">
        <f>HYPERLINK("https://ictv.global/id/TN19982048","TN19982048@prod")</f>
        <v>TN19982048@prod</v>
      </c>
      <c r="O1530" t="str">
        <f>HYPERLINK("https://ictv.global/id/ICTV19760348","ICTV19760348@prod")</f>
        <v>ICTV19760348@prod</v>
      </c>
    </row>
    <row r="1531" spans="1:15" x14ac:dyDescent="0.2">
      <c r="A1531">
        <v>17</v>
      </c>
      <c r="B1531">
        <v>19982049</v>
      </c>
      <c r="C1531">
        <v>19760349</v>
      </c>
      <c r="D1531" t="s">
        <v>29</v>
      </c>
      <c r="E1531" t="s">
        <v>1914</v>
      </c>
      <c r="G1531" t="s">
        <v>1165</v>
      </c>
      <c r="L1531" t="str">
        <f>HYPERLINK("https://test.ictv.global/id/TN19982049","TN19982049@TEST")</f>
        <v>TN19982049@TEST</v>
      </c>
      <c r="M1531" t="str">
        <f>HYPERLINK("https://test.ictv.global/id/ICTV19760349","ICTV19760349@TEST")</f>
        <v>ICTV19760349@TEST</v>
      </c>
      <c r="N1531" t="str">
        <f>HYPERLINK("https://ictv.global/id/TN19982049","TN19982049@prod")</f>
        <v>TN19982049@prod</v>
      </c>
      <c r="O1531" t="str">
        <f>HYPERLINK("https://ictv.global/id/ICTV19760349","ICTV19760349@prod")</f>
        <v>ICTV19760349@prod</v>
      </c>
    </row>
    <row r="1532" spans="1:15" x14ac:dyDescent="0.2">
      <c r="A1532">
        <v>17</v>
      </c>
      <c r="B1532">
        <v>19982050</v>
      </c>
      <c r="C1532">
        <v>19760350</v>
      </c>
      <c r="D1532" t="s">
        <v>29</v>
      </c>
      <c r="E1532" t="s">
        <v>801</v>
      </c>
      <c r="G1532" t="s">
        <v>33</v>
      </c>
      <c r="H1532" t="s">
        <v>802</v>
      </c>
      <c r="I1532" t="s">
        <v>29</v>
      </c>
      <c r="J1532">
        <v>19991257</v>
      </c>
      <c r="K1532">
        <v>19991257</v>
      </c>
      <c r="L1532" t="str">
        <f>HYPERLINK("https://test.ictv.global/id/TN19982050","TN19982050@TEST")</f>
        <v>TN19982050@TEST</v>
      </c>
      <c r="M1532" t="str">
        <f>HYPERLINK("https://test.ictv.global/id/ICTV19760350","ICTV19760350@TEST")</f>
        <v>ICTV19760350@TEST</v>
      </c>
      <c r="N1532" t="str">
        <f>HYPERLINK("https://ictv.global/id/TN19982050","TN19982050@prod")</f>
        <v>TN19982050@prod</v>
      </c>
      <c r="O1532" t="str">
        <f>HYPERLINK("https://ictv.global/id/ICTV19760350","ICTV19760350@prod")</f>
        <v>ICTV19760350@prod</v>
      </c>
    </row>
    <row r="1533" spans="1:15" x14ac:dyDescent="0.2">
      <c r="A1533">
        <v>17</v>
      </c>
      <c r="B1533">
        <v>19982051</v>
      </c>
      <c r="C1533">
        <v>19760351</v>
      </c>
      <c r="D1533" t="s">
        <v>29</v>
      </c>
      <c r="E1533" t="s">
        <v>803</v>
      </c>
      <c r="G1533" t="s">
        <v>31</v>
      </c>
      <c r="H1533" t="s">
        <v>800</v>
      </c>
      <c r="I1533" t="s">
        <v>29</v>
      </c>
      <c r="J1533">
        <v>19991256</v>
      </c>
      <c r="K1533">
        <v>19991256</v>
      </c>
      <c r="L1533" t="str">
        <f>HYPERLINK("https://test.ictv.global/id/TN19982051","TN19982051@TEST")</f>
        <v>TN19982051@TEST</v>
      </c>
      <c r="M1533" t="str">
        <f>HYPERLINK("https://test.ictv.global/id/ICTV19760351","ICTV19760351@TEST")</f>
        <v>ICTV19760351@TEST</v>
      </c>
      <c r="N1533" t="str">
        <f>HYPERLINK("https://ictv.global/id/TN19982051","TN19982051@prod")</f>
        <v>TN19982051@prod</v>
      </c>
      <c r="O1533" t="str">
        <f>HYPERLINK("https://ictv.global/id/ICTV19760351","ICTV19760351@prod")</f>
        <v>ICTV19760351@prod</v>
      </c>
    </row>
    <row r="1534" spans="1:15" x14ac:dyDescent="0.2">
      <c r="A1534">
        <v>17</v>
      </c>
      <c r="B1534">
        <v>19982052</v>
      </c>
      <c r="C1534">
        <v>19760352</v>
      </c>
      <c r="D1534" t="s">
        <v>29</v>
      </c>
      <c r="E1534" t="s">
        <v>804</v>
      </c>
      <c r="G1534" t="s">
        <v>31</v>
      </c>
      <c r="H1534" t="s">
        <v>800</v>
      </c>
      <c r="I1534" t="s">
        <v>29</v>
      </c>
      <c r="J1534">
        <v>19991256</v>
      </c>
      <c r="K1534">
        <v>19991256</v>
      </c>
      <c r="L1534" t="str">
        <f>HYPERLINK("https://test.ictv.global/id/TN19982052","TN19982052@TEST")</f>
        <v>TN19982052@TEST</v>
      </c>
      <c r="M1534" t="str">
        <f>HYPERLINK("https://test.ictv.global/id/ICTV19760352","ICTV19760352@TEST")</f>
        <v>ICTV19760352@TEST</v>
      </c>
      <c r="N1534" t="str">
        <f>HYPERLINK("https://ictv.global/id/TN19982052","TN19982052@prod")</f>
        <v>TN19982052@prod</v>
      </c>
      <c r="O1534" t="str">
        <f>HYPERLINK("https://ictv.global/id/ICTV19760352","ICTV19760352@prod")</f>
        <v>ICTV19760352@prod</v>
      </c>
    </row>
    <row r="1535" spans="1:15" x14ac:dyDescent="0.2">
      <c r="A1535">
        <v>17</v>
      </c>
      <c r="B1535">
        <v>19982053</v>
      </c>
      <c r="C1535">
        <v>19760353</v>
      </c>
      <c r="D1535" t="s">
        <v>29</v>
      </c>
      <c r="E1535" t="s">
        <v>1915</v>
      </c>
      <c r="G1535" t="s">
        <v>1165</v>
      </c>
      <c r="L1535" t="str">
        <f>HYPERLINK("https://test.ictv.global/id/TN19982053","TN19982053@TEST")</f>
        <v>TN19982053@TEST</v>
      </c>
      <c r="M1535" t="str">
        <f>HYPERLINK("https://test.ictv.global/id/ICTV19760353","ICTV19760353@TEST")</f>
        <v>ICTV19760353@TEST</v>
      </c>
      <c r="N1535" t="str">
        <f>HYPERLINK("https://ictv.global/id/TN19982053","TN19982053@prod")</f>
        <v>TN19982053@prod</v>
      </c>
      <c r="O1535" t="str">
        <f>HYPERLINK("https://ictv.global/id/ICTV19760353","ICTV19760353@prod")</f>
        <v>ICTV19760353@prod</v>
      </c>
    </row>
    <row r="1536" spans="1:15" x14ac:dyDescent="0.2">
      <c r="A1536">
        <v>17</v>
      </c>
      <c r="B1536">
        <v>19982054</v>
      </c>
      <c r="C1536">
        <v>19760354</v>
      </c>
      <c r="D1536" t="s">
        <v>29</v>
      </c>
      <c r="E1536" t="s">
        <v>1916</v>
      </c>
      <c r="G1536" t="s">
        <v>1165</v>
      </c>
      <c r="L1536" t="str">
        <f>HYPERLINK("https://test.ictv.global/id/TN19982054","TN19982054@TEST")</f>
        <v>TN19982054@TEST</v>
      </c>
      <c r="M1536" t="str">
        <f>HYPERLINK("https://test.ictv.global/id/ICTV19760354","ICTV19760354@TEST")</f>
        <v>ICTV19760354@TEST</v>
      </c>
      <c r="N1536" t="str">
        <f>HYPERLINK("https://ictv.global/id/TN19982054","TN19982054@prod")</f>
        <v>TN19982054@prod</v>
      </c>
      <c r="O1536" t="str">
        <f>HYPERLINK("https://ictv.global/id/ICTV19760354","ICTV19760354@prod")</f>
        <v>ICTV19760354@prod</v>
      </c>
    </row>
    <row r="1537" spans="1:15" x14ac:dyDescent="0.2">
      <c r="A1537">
        <v>17</v>
      </c>
      <c r="B1537">
        <v>19982055</v>
      </c>
      <c r="C1537">
        <v>19760355</v>
      </c>
      <c r="D1537" t="s">
        <v>29</v>
      </c>
      <c r="E1537" t="s">
        <v>1917</v>
      </c>
      <c r="G1537" t="s">
        <v>1165</v>
      </c>
      <c r="L1537" t="str">
        <f>HYPERLINK("https://test.ictv.global/id/TN19982055","TN19982055@TEST")</f>
        <v>TN19982055@TEST</v>
      </c>
      <c r="M1537" t="str">
        <f>HYPERLINK("https://test.ictv.global/id/ICTV19760355","ICTV19760355@TEST")</f>
        <v>ICTV19760355@TEST</v>
      </c>
      <c r="N1537" t="str">
        <f>HYPERLINK("https://ictv.global/id/TN19982055","TN19982055@prod")</f>
        <v>TN19982055@prod</v>
      </c>
      <c r="O1537" t="str">
        <f>HYPERLINK("https://ictv.global/id/ICTV19760355","ICTV19760355@prod")</f>
        <v>ICTV19760355@prod</v>
      </c>
    </row>
    <row r="1538" spans="1:15" x14ac:dyDescent="0.2">
      <c r="A1538">
        <v>17</v>
      </c>
      <c r="B1538">
        <v>19982056</v>
      </c>
      <c r="C1538">
        <v>19710070</v>
      </c>
      <c r="D1538" t="s">
        <v>29</v>
      </c>
      <c r="E1538" t="s">
        <v>805</v>
      </c>
      <c r="G1538" t="s">
        <v>33</v>
      </c>
      <c r="H1538" t="s">
        <v>800</v>
      </c>
      <c r="I1538" t="s">
        <v>29</v>
      </c>
      <c r="J1538">
        <v>19991256</v>
      </c>
      <c r="K1538">
        <v>19991256</v>
      </c>
      <c r="L1538" t="str">
        <f>HYPERLINK("https://test.ictv.global/id/TN19982056","TN19982056@TEST")</f>
        <v>TN19982056@TEST</v>
      </c>
      <c r="M1538" t="str">
        <f>HYPERLINK("https://test.ictv.global/id/ICTV19710070","ICTV19710070@TEST")</f>
        <v>ICTV19710070@TEST</v>
      </c>
      <c r="N1538" t="str">
        <f>HYPERLINK("https://ictv.global/id/TN19982056","TN19982056@prod")</f>
        <v>TN19982056@prod</v>
      </c>
      <c r="O1538" t="str">
        <f>HYPERLINK("https://ictv.global/id/ICTV19710070","ICTV19710070@prod")</f>
        <v>ICTV19710070@prod</v>
      </c>
    </row>
    <row r="1539" spans="1:15" x14ac:dyDescent="0.2">
      <c r="A1539">
        <v>17</v>
      </c>
      <c r="B1539">
        <v>19982057</v>
      </c>
      <c r="C1539">
        <v>19760357</v>
      </c>
      <c r="D1539" t="s">
        <v>29</v>
      </c>
      <c r="E1539" t="s">
        <v>806</v>
      </c>
      <c r="G1539" t="s">
        <v>31</v>
      </c>
      <c r="H1539" t="s">
        <v>800</v>
      </c>
      <c r="I1539" t="s">
        <v>29</v>
      </c>
      <c r="J1539">
        <v>19991256</v>
      </c>
      <c r="K1539">
        <v>19991256</v>
      </c>
      <c r="L1539" t="str">
        <f>HYPERLINK("https://test.ictv.global/id/TN19982057","TN19982057@TEST")</f>
        <v>TN19982057@TEST</v>
      </c>
      <c r="M1539" t="str">
        <f>HYPERLINK("https://test.ictv.global/id/ICTV19760357","ICTV19760357@TEST")</f>
        <v>ICTV19760357@TEST</v>
      </c>
      <c r="N1539" t="str">
        <f>HYPERLINK("https://ictv.global/id/TN19982057","TN19982057@prod")</f>
        <v>TN19982057@prod</v>
      </c>
      <c r="O1539" t="str">
        <f>HYPERLINK("https://ictv.global/id/ICTV19760357","ICTV19760357@prod")</f>
        <v>ICTV19760357@prod</v>
      </c>
    </row>
    <row r="1540" spans="1:15" x14ac:dyDescent="0.2">
      <c r="A1540">
        <v>17</v>
      </c>
      <c r="B1540">
        <v>19982058</v>
      </c>
      <c r="C1540">
        <v>19760358</v>
      </c>
      <c r="D1540" t="s">
        <v>29</v>
      </c>
      <c r="E1540" t="s">
        <v>807</v>
      </c>
      <c r="G1540" t="s">
        <v>31</v>
      </c>
      <c r="H1540" t="s">
        <v>800</v>
      </c>
      <c r="I1540" t="s">
        <v>29</v>
      </c>
      <c r="J1540">
        <v>19991256</v>
      </c>
      <c r="K1540">
        <v>19991256</v>
      </c>
      <c r="L1540" t="str">
        <f>HYPERLINK("https://test.ictv.global/id/TN19982058","TN19982058@TEST")</f>
        <v>TN19982058@TEST</v>
      </c>
      <c r="M1540" t="str">
        <f>HYPERLINK("https://test.ictv.global/id/ICTV19760358","ICTV19760358@TEST")</f>
        <v>ICTV19760358@TEST</v>
      </c>
      <c r="N1540" t="str">
        <f>HYPERLINK("https://ictv.global/id/TN19982058","TN19982058@prod")</f>
        <v>TN19982058@prod</v>
      </c>
      <c r="O1540" t="str">
        <f>HYPERLINK("https://ictv.global/id/ICTV19760358","ICTV19760358@prod")</f>
        <v>ICTV19760358@prod</v>
      </c>
    </row>
    <row r="1541" spans="1:15" x14ac:dyDescent="0.2">
      <c r="A1541">
        <v>17</v>
      </c>
      <c r="B1541">
        <v>19982059</v>
      </c>
      <c r="C1541">
        <v>19760359</v>
      </c>
      <c r="D1541" t="s">
        <v>29</v>
      </c>
      <c r="E1541" t="s">
        <v>1918</v>
      </c>
      <c r="G1541" t="s">
        <v>1165</v>
      </c>
      <c r="L1541" t="str">
        <f>HYPERLINK("https://test.ictv.global/id/TN19982059","TN19982059@TEST")</f>
        <v>TN19982059@TEST</v>
      </c>
      <c r="M1541" t="str">
        <f>HYPERLINK("https://test.ictv.global/id/ICTV19760359","ICTV19760359@TEST")</f>
        <v>ICTV19760359@TEST</v>
      </c>
      <c r="N1541" t="str">
        <f>HYPERLINK("https://ictv.global/id/TN19982059","TN19982059@prod")</f>
        <v>TN19982059@prod</v>
      </c>
      <c r="O1541" t="str">
        <f>HYPERLINK("https://ictv.global/id/ICTV19760359","ICTV19760359@prod")</f>
        <v>ICTV19760359@prod</v>
      </c>
    </row>
    <row r="1542" spans="1:15" x14ac:dyDescent="0.2">
      <c r="A1542">
        <v>17</v>
      </c>
      <c r="B1542">
        <v>19982060</v>
      </c>
      <c r="C1542">
        <v>19760360</v>
      </c>
      <c r="D1542" t="s">
        <v>29</v>
      </c>
      <c r="E1542" t="s">
        <v>808</v>
      </c>
      <c r="G1542" t="s">
        <v>31</v>
      </c>
      <c r="H1542" t="s">
        <v>800</v>
      </c>
      <c r="I1542" t="s">
        <v>29</v>
      </c>
      <c r="J1542">
        <v>19991256</v>
      </c>
      <c r="K1542">
        <v>19991256</v>
      </c>
      <c r="L1542" t="str">
        <f>HYPERLINK("https://test.ictv.global/id/TN19982060","TN19982060@TEST")</f>
        <v>TN19982060@TEST</v>
      </c>
      <c r="M1542" t="str">
        <f>HYPERLINK("https://test.ictv.global/id/ICTV19760360","ICTV19760360@TEST")</f>
        <v>ICTV19760360@TEST</v>
      </c>
      <c r="N1542" t="str">
        <f>HYPERLINK("https://ictv.global/id/TN19982060","TN19982060@prod")</f>
        <v>TN19982060@prod</v>
      </c>
      <c r="O1542" t="str">
        <f>HYPERLINK("https://ictv.global/id/ICTV19760360","ICTV19760360@prod")</f>
        <v>ICTV19760360@prod</v>
      </c>
    </row>
    <row r="1543" spans="1:15" x14ac:dyDescent="0.2">
      <c r="A1543">
        <v>17</v>
      </c>
      <c r="B1543">
        <v>19982061</v>
      </c>
      <c r="C1543">
        <v>19760361</v>
      </c>
      <c r="D1543" t="s">
        <v>29</v>
      </c>
      <c r="E1543" t="s">
        <v>1919</v>
      </c>
      <c r="G1543" t="s">
        <v>1165</v>
      </c>
      <c r="L1543" t="str">
        <f>HYPERLINK("https://test.ictv.global/id/TN19982061","TN19982061@TEST")</f>
        <v>TN19982061@TEST</v>
      </c>
      <c r="M1543" t="str">
        <f>HYPERLINK("https://test.ictv.global/id/ICTV19760361","ICTV19760361@TEST")</f>
        <v>ICTV19760361@TEST</v>
      </c>
      <c r="N1543" t="str">
        <f>HYPERLINK("https://ictv.global/id/TN19982061","TN19982061@prod")</f>
        <v>TN19982061@prod</v>
      </c>
      <c r="O1543" t="str">
        <f>HYPERLINK("https://ictv.global/id/ICTV19760361","ICTV19760361@prod")</f>
        <v>ICTV19760361@prod</v>
      </c>
    </row>
    <row r="1544" spans="1:15" x14ac:dyDescent="0.2">
      <c r="A1544">
        <v>17</v>
      </c>
      <c r="B1544">
        <v>19982062</v>
      </c>
      <c r="C1544">
        <v>19760362</v>
      </c>
      <c r="D1544" t="s">
        <v>29</v>
      </c>
      <c r="E1544" t="s">
        <v>1920</v>
      </c>
      <c r="G1544" t="s">
        <v>1165</v>
      </c>
      <c r="L1544" t="str">
        <f>HYPERLINK("https://test.ictv.global/id/TN19982062","TN19982062@TEST")</f>
        <v>TN19982062@TEST</v>
      </c>
      <c r="M1544" t="str">
        <f>HYPERLINK("https://test.ictv.global/id/ICTV19760362","ICTV19760362@TEST")</f>
        <v>ICTV19760362@TEST</v>
      </c>
      <c r="N1544" t="str">
        <f>HYPERLINK("https://ictv.global/id/TN19982062","TN19982062@prod")</f>
        <v>TN19982062@prod</v>
      </c>
      <c r="O1544" t="str">
        <f>HYPERLINK("https://ictv.global/id/ICTV19760362","ICTV19760362@prod")</f>
        <v>ICTV19760362@prod</v>
      </c>
    </row>
    <row r="1545" spans="1:15" x14ac:dyDescent="0.2">
      <c r="A1545">
        <v>17</v>
      </c>
      <c r="B1545">
        <v>19982063</v>
      </c>
      <c r="C1545">
        <v>19760363</v>
      </c>
      <c r="D1545" t="s">
        <v>29</v>
      </c>
      <c r="E1545" t="s">
        <v>1921</v>
      </c>
      <c r="G1545" t="s">
        <v>1165</v>
      </c>
      <c r="L1545" t="str">
        <f>HYPERLINK("https://test.ictv.global/id/TN19982063","TN19982063@TEST")</f>
        <v>TN19982063@TEST</v>
      </c>
      <c r="M1545" t="str">
        <f>HYPERLINK("https://test.ictv.global/id/ICTV19760363","ICTV19760363@TEST")</f>
        <v>ICTV19760363@TEST</v>
      </c>
      <c r="N1545" t="str">
        <f>HYPERLINK("https://ictv.global/id/TN19982063","TN19982063@prod")</f>
        <v>TN19982063@prod</v>
      </c>
      <c r="O1545" t="str">
        <f>HYPERLINK("https://ictv.global/id/ICTV19760363","ICTV19760363@prod")</f>
        <v>ICTV19760363@prod</v>
      </c>
    </row>
    <row r="1546" spans="1:15" x14ac:dyDescent="0.2">
      <c r="A1546">
        <v>17</v>
      </c>
      <c r="B1546">
        <v>19982064</v>
      </c>
      <c r="C1546">
        <v>19760364</v>
      </c>
      <c r="D1546" t="s">
        <v>29</v>
      </c>
      <c r="E1546" t="s">
        <v>1922</v>
      </c>
      <c r="G1546" t="s">
        <v>1165</v>
      </c>
      <c r="L1546" t="str">
        <f>HYPERLINK("https://test.ictv.global/id/TN19982064","TN19982064@TEST")</f>
        <v>TN19982064@TEST</v>
      </c>
      <c r="M1546" t="str">
        <f>HYPERLINK("https://test.ictv.global/id/ICTV19760364","ICTV19760364@TEST")</f>
        <v>ICTV19760364@TEST</v>
      </c>
      <c r="N1546" t="str">
        <f>HYPERLINK("https://ictv.global/id/TN19982064","TN19982064@prod")</f>
        <v>TN19982064@prod</v>
      </c>
      <c r="O1546" t="str">
        <f>HYPERLINK("https://ictv.global/id/ICTV19760364","ICTV19760364@prod")</f>
        <v>ICTV19760364@prod</v>
      </c>
    </row>
    <row r="1547" spans="1:15" x14ac:dyDescent="0.2">
      <c r="A1547">
        <v>17</v>
      </c>
      <c r="B1547">
        <v>19982065</v>
      </c>
      <c r="C1547">
        <v>19760365</v>
      </c>
      <c r="D1547" t="s">
        <v>29</v>
      </c>
      <c r="E1547" t="s">
        <v>1923</v>
      </c>
      <c r="G1547" t="s">
        <v>1165</v>
      </c>
      <c r="L1547" t="str">
        <f>HYPERLINK("https://test.ictv.global/id/TN19982065","TN19982065@TEST")</f>
        <v>TN19982065@TEST</v>
      </c>
      <c r="M1547" t="str">
        <f>HYPERLINK("https://test.ictv.global/id/ICTV19760365","ICTV19760365@TEST")</f>
        <v>ICTV19760365@TEST</v>
      </c>
      <c r="N1547" t="str">
        <f>HYPERLINK("https://ictv.global/id/TN19982065","TN19982065@prod")</f>
        <v>TN19982065@prod</v>
      </c>
      <c r="O1547" t="str">
        <f>HYPERLINK("https://ictv.global/id/ICTV19760365","ICTV19760365@prod")</f>
        <v>ICTV19760365@prod</v>
      </c>
    </row>
    <row r="1548" spans="1:15" x14ac:dyDescent="0.2">
      <c r="A1548">
        <v>17</v>
      </c>
      <c r="B1548">
        <v>19982066</v>
      </c>
      <c r="C1548">
        <v>19760366</v>
      </c>
      <c r="D1548" t="s">
        <v>29</v>
      </c>
      <c r="E1548" t="s">
        <v>1924</v>
      </c>
      <c r="G1548" t="s">
        <v>1165</v>
      </c>
      <c r="L1548" t="str">
        <f>HYPERLINK("https://test.ictv.global/id/TN19982066","TN19982066@TEST")</f>
        <v>TN19982066@TEST</v>
      </c>
      <c r="M1548" t="str">
        <f>HYPERLINK("https://test.ictv.global/id/ICTV19760366","ICTV19760366@TEST")</f>
        <v>ICTV19760366@TEST</v>
      </c>
      <c r="N1548" t="str">
        <f>HYPERLINK("https://ictv.global/id/TN19982066","TN19982066@prod")</f>
        <v>TN19982066@prod</v>
      </c>
      <c r="O1548" t="str">
        <f>HYPERLINK("https://ictv.global/id/ICTV19760366","ICTV19760366@prod")</f>
        <v>ICTV19760366@prod</v>
      </c>
    </row>
    <row r="1549" spans="1:15" x14ac:dyDescent="0.2">
      <c r="A1549">
        <v>17</v>
      </c>
      <c r="B1549">
        <v>19982067</v>
      </c>
      <c r="C1549">
        <v>19760367</v>
      </c>
      <c r="D1549" t="s">
        <v>29</v>
      </c>
      <c r="E1549" t="s">
        <v>1925</v>
      </c>
      <c r="G1549" t="s">
        <v>1165</v>
      </c>
      <c r="L1549" t="str">
        <f>HYPERLINK("https://test.ictv.global/id/TN19982067","TN19982067@TEST")</f>
        <v>TN19982067@TEST</v>
      </c>
      <c r="M1549" t="str">
        <f>HYPERLINK("https://test.ictv.global/id/ICTV19760367","ICTV19760367@TEST")</f>
        <v>ICTV19760367@TEST</v>
      </c>
      <c r="N1549" t="str">
        <f>HYPERLINK("https://ictv.global/id/TN19982067","TN19982067@prod")</f>
        <v>TN19982067@prod</v>
      </c>
      <c r="O1549" t="str">
        <f>HYPERLINK("https://ictv.global/id/ICTV19760367","ICTV19760367@prod")</f>
        <v>ICTV19760367@prod</v>
      </c>
    </row>
    <row r="1550" spans="1:15" x14ac:dyDescent="0.2">
      <c r="A1550">
        <v>17</v>
      </c>
      <c r="B1550">
        <v>19982068</v>
      </c>
      <c r="C1550">
        <v>19760368</v>
      </c>
      <c r="D1550" t="s">
        <v>29</v>
      </c>
      <c r="E1550" t="s">
        <v>809</v>
      </c>
      <c r="G1550" t="s">
        <v>31</v>
      </c>
      <c r="H1550" t="s">
        <v>800</v>
      </c>
      <c r="I1550" t="s">
        <v>29</v>
      </c>
      <c r="J1550">
        <v>19991256</v>
      </c>
      <c r="K1550">
        <v>19991256</v>
      </c>
      <c r="L1550" t="str">
        <f>HYPERLINK("https://test.ictv.global/id/TN19982068","TN19982068@TEST")</f>
        <v>TN19982068@TEST</v>
      </c>
      <c r="M1550" t="str">
        <f>HYPERLINK("https://test.ictv.global/id/ICTV19760368","ICTV19760368@TEST")</f>
        <v>ICTV19760368@TEST</v>
      </c>
      <c r="N1550" t="str">
        <f>HYPERLINK("https://ictv.global/id/TN19982068","TN19982068@prod")</f>
        <v>TN19982068@prod</v>
      </c>
      <c r="O1550" t="str">
        <f>HYPERLINK("https://ictv.global/id/ICTV19760368","ICTV19760368@prod")</f>
        <v>ICTV19760368@prod</v>
      </c>
    </row>
    <row r="1551" spans="1:15" x14ac:dyDescent="0.2">
      <c r="A1551">
        <v>17</v>
      </c>
      <c r="B1551">
        <v>19982069</v>
      </c>
      <c r="C1551">
        <v>19760369</v>
      </c>
      <c r="D1551" t="s">
        <v>29</v>
      </c>
      <c r="E1551" t="s">
        <v>810</v>
      </c>
      <c r="G1551" t="s">
        <v>33</v>
      </c>
      <c r="H1551" t="s">
        <v>802</v>
      </c>
      <c r="I1551" t="s">
        <v>29</v>
      </c>
      <c r="J1551">
        <v>19991257</v>
      </c>
      <c r="K1551">
        <v>19991257</v>
      </c>
      <c r="L1551" t="str">
        <f>HYPERLINK("https://test.ictv.global/id/TN19982069","TN19982069@TEST")</f>
        <v>TN19982069@TEST</v>
      </c>
      <c r="M1551" t="str">
        <f>HYPERLINK("https://test.ictv.global/id/ICTV19760369","ICTV19760369@TEST")</f>
        <v>ICTV19760369@TEST</v>
      </c>
      <c r="N1551" t="str">
        <f>HYPERLINK("https://ictv.global/id/TN19982069","TN19982069@prod")</f>
        <v>TN19982069@prod</v>
      </c>
      <c r="O1551" t="str">
        <f>HYPERLINK("https://ictv.global/id/ICTV19760369","ICTV19760369@prod")</f>
        <v>ICTV19760369@prod</v>
      </c>
    </row>
    <row r="1552" spans="1:15" x14ac:dyDescent="0.2">
      <c r="A1552">
        <v>17</v>
      </c>
      <c r="B1552">
        <v>19982070</v>
      </c>
      <c r="C1552">
        <v>19760370</v>
      </c>
      <c r="D1552" t="s">
        <v>29</v>
      </c>
      <c r="E1552" t="s">
        <v>1926</v>
      </c>
      <c r="G1552" t="s">
        <v>1165</v>
      </c>
      <c r="L1552" t="str">
        <f>HYPERLINK("https://test.ictv.global/id/TN19982070","TN19982070@TEST")</f>
        <v>TN19982070@TEST</v>
      </c>
      <c r="M1552" t="str">
        <f>HYPERLINK("https://test.ictv.global/id/ICTV19760370","ICTV19760370@TEST")</f>
        <v>ICTV19760370@TEST</v>
      </c>
      <c r="N1552" t="str">
        <f>HYPERLINK("https://ictv.global/id/TN19982070","TN19982070@prod")</f>
        <v>TN19982070@prod</v>
      </c>
      <c r="O1552" t="str">
        <f>HYPERLINK("https://ictv.global/id/ICTV19760370","ICTV19760370@prod")</f>
        <v>ICTV19760370@prod</v>
      </c>
    </row>
    <row r="1553" spans="1:15" x14ac:dyDescent="0.2">
      <c r="A1553">
        <v>17</v>
      </c>
      <c r="B1553">
        <v>19982071</v>
      </c>
      <c r="C1553">
        <v>19760371</v>
      </c>
      <c r="D1553" t="s">
        <v>29</v>
      </c>
      <c r="E1553" t="s">
        <v>1927</v>
      </c>
      <c r="G1553" t="s">
        <v>1165</v>
      </c>
      <c r="L1553" t="str">
        <f>HYPERLINK("https://test.ictv.global/id/TN19982071","TN19982071@TEST")</f>
        <v>TN19982071@TEST</v>
      </c>
      <c r="M1553" t="str">
        <f>HYPERLINK("https://test.ictv.global/id/ICTV19760371","ICTV19760371@TEST")</f>
        <v>ICTV19760371@TEST</v>
      </c>
      <c r="N1553" t="str">
        <f>HYPERLINK("https://ictv.global/id/TN19982071","TN19982071@prod")</f>
        <v>TN19982071@prod</v>
      </c>
      <c r="O1553" t="str">
        <f>HYPERLINK("https://ictv.global/id/ICTV19760371","ICTV19760371@prod")</f>
        <v>ICTV19760371@prod</v>
      </c>
    </row>
    <row r="1554" spans="1:15" x14ac:dyDescent="0.2">
      <c r="A1554">
        <v>17</v>
      </c>
      <c r="B1554">
        <v>19982072</v>
      </c>
      <c r="C1554">
        <v>19760372</v>
      </c>
      <c r="D1554" t="s">
        <v>29</v>
      </c>
      <c r="E1554" t="s">
        <v>1928</v>
      </c>
      <c r="G1554" t="s">
        <v>1165</v>
      </c>
      <c r="L1554" t="str">
        <f>HYPERLINK("https://test.ictv.global/id/TN19982072","TN19982072@TEST")</f>
        <v>TN19982072@TEST</v>
      </c>
      <c r="M1554" t="str">
        <f>HYPERLINK("https://test.ictv.global/id/ICTV19760372","ICTV19760372@TEST")</f>
        <v>ICTV19760372@TEST</v>
      </c>
      <c r="N1554" t="str">
        <f>HYPERLINK("https://ictv.global/id/TN19982072","TN19982072@prod")</f>
        <v>TN19982072@prod</v>
      </c>
      <c r="O1554" t="str">
        <f>HYPERLINK("https://ictv.global/id/ICTV19760372","ICTV19760372@prod")</f>
        <v>ICTV19760372@prod</v>
      </c>
    </row>
    <row r="1555" spans="1:15" x14ac:dyDescent="0.2">
      <c r="A1555">
        <v>17</v>
      </c>
      <c r="B1555">
        <v>19982073</v>
      </c>
      <c r="C1555">
        <v>19760373</v>
      </c>
      <c r="D1555" t="s">
        <v>29</v>
      </c>
      <c r="E1555" t="s">
        <v>1929</v>
      </c>
      <c r="G1555" t="s">
        <v>1165</v>
      </c>
      <c r="L1555" t="str">
        <f>HYPERLINK("https://test.ictv.global/id/TN19982073","TN19982073@TEST")</f>
        <v>TN19982073@TEST</v>
      </c>
      <c r="M1555" t="str">
        <f>HYPERLINK("https://test.ictv.global/id/ICTV19760373","ICTV19760373@TEST")</f>
        <v>ICTV19760373@TEST</v>
      </c>
      <c r="N1555" t="str">
        <f>HYPERLINK("https://ictv.global/id/TN19982073","TN19982073@prod")</f>
        <v>TN19982073@prod</v>
      </c>
      <c r="O1555" t="str">
        <f>HYPERLINK("https://ictv.global/id/ICTV19760373","ICTV19760373@prod")</f>
        <v>ICTV19760373@prod</v>
      </c>
    </row>
    <row r="1556" spans="1:15" x14ac:dyDescent="0.2">
      <c r="A1556">
        <v>17</v>
      </c>
      <c r="B1556">
        <v>19982074</v>
      </c>
      <c r="C1556">
        <v>19760374</v>
      </c>
      <c r="D1556" t="s">
        <v>29</v>
      </c>
      <c r="E1556" t="s">
        <v>1930</v>
      </c>
      <c r="G1556" t="s">
        <v>1165</v>
      </c>
      <c r="L1556" t="str">
        <f>HYPERLINK("https://test.ictv.global/id/TN19982074","TN19982074@TEST")</f>
        <v>TN19982074@TEST</v>
      </c>
      <c r="M1556" t="str">
        <f>HYPERLINK("https://test.ictv.global/id/ICTV19760374","ICTV19760374@TEST")</f>
        <v>ICTV19760374@TEST</v>
      </c>
      <c r="N1556" t="str">
        <f>HYPERLINK("https://ictv.global/id/TN19982074","TN19982074@prod")</f>
        <v>TN19982074@prod</v>
      </c>
      <c r="O1556" t="str">
        <f>HYPERLINK("https://ictv.global/id/ICTV19760374","ICTV19760374@prod")</f>
        <v>ICTV19760374@prod</v>
      </c>
    </row>
    <row r="1557" spans="1:15" x14ac:dyDescent="0.2">
      <c r="A1557">
        <v>17</v>
      </c>
      <c r="B1557">
        <v>19982075</v>
      </c>
      <c r="C1557">
        <v>19760375</v>
      </c>
      <c r="D1557" t="s">
        <v>29</v>
      </c>
      <c r="E1557" t="s">
        <v>1931</v>
      </c>
      <c r="G1557" t="s">
        <v>1165</v>
      </c>
      <c r="L1557" t="str">
        <f>HYPERLINK("https://test.ictv.global/id/TN19982075","TN19982075@TEST")</f>
        <v>TN19982075@TEST</v>
      </c>
      <c r="M1557" t="str">
        <f>HYPERLINK("https://test.ictv.global/id/ICTV19760375","ICTV19760375@TEST")</f>
        <v>ICTV19760375@TEST</v>
      </c>
      <c r="N1557" t="str">
        <f>HYPERLINK("https://ictv.global/id/TN19982075","TN19982075@prod")</f>
        <v>TN19982075@prod</v>
      </c>
      <c r="O1557" t="str">
        <f>HYPERLINK("https://ictv.global/id/ICTV19760375","ICTV19760375@prod")</f>
        <v>ICTV19760375@prod</v>
      </c>
    </row>
    <row r="1558" spans="1:15" x14ac:dyDescent="0.2">
      <c r="A1558">
        <v>17</v>
      </c>
      <c r="B1558">
        <v>19982076</v>
      </c>
      <c r="C1558">
        <v>19760376</v>
      </c>
      <c r="D1558" t="s">
        <v>29</v>
      </c>
      <c r="E1558" t="s">
        <v>811</v>
      </c>
      <c r="G1558" t="s">
        <v>31</v>
      </c>
      <c r="H1558" t="s">
        <v>800</v>
      </c>
      <c r="I1558" t="s">
        <v>29</v>
      </c>
      <c r="J1558">
        <v>19991256</v>
      </c>
      <c r="K1558">
        <v>19991256</v>
      </c>
      <c r="L1558" t="str">
        <f>HYPERLINK("https://test.ictv.global/id/TN19982076","TN19982076@TEST")</f>
        <v>TN19982076@TEST</v>
      </c>
      <c r="M1558" t="str">
        <f>HYPERLINK("https://test.ictv.global/id/ICTV19760376","ICTV19760376@TEST")</f>
        <v>ICTV19760376@TEST</v>
      </c>
      <c r="N1558" t="str">
        <f>HYPERLINK("https://ictv.global/id/TN19982076","TN19982076@prod")</f>
        <v>TN19982076@prod</v>
      </c>
      <c r="O1558" t="str">
        <f>HYPERLINK("https://ictv.global/id/ICTV19760376","ICTV19760376@prod")</f>
        <v>ICTV19760376@prod</v>
      </c>
    </row>
    <row r="1559" spans="1:15" x14ac:dyDescent="0.2">
      <c r="A1559">
        <v>17</v>
      </c>
      <c r="B1559">
        <v>19982077</v>
      </c>
      <c r="C1559">
        <v>19760377</v>
      </c>
      <c r="D1559" t="s">
        <v>29</v>
      </c>
      <c r="E1559" t="s">
        <v>1932</v>
      </c>
      <c r="G1559" t="s">
        <v>1165</v>
      </c>
      <c r="L1559" t="str">
        <f>HYPERLINK("https://test.ictv.global/id/TN19982077","TN19982077@TEST")</f>
        <v>TN19982077@TEST</v>
      </c>
      <c r="M1559" t="str">
        <f>HYPERLINK("https://test.ictv.global/id/ICTV19760377","ICTV19760377@TEST")</f>
        <v>ICTV19760377@TEST</v>
      </c>
      <c r="N1559" t="str">
        <f>HYPERLINK("https://ictv.global/id/TN19982077","TN19982077@prod")</f>
        <v>TN19982077@prod</v>
      </c>
      <c r="O1559" t="str">
        <f>HYPERLINK("https://ictv.global/id/ICTV19760377","ICTV19760377@prod")</f>
        <v>ICTV19760377@prod</v>
      </c>
    </row>
    <row r="1560" spans="1:15" x14ac:dyDescent="0.2">
      <c r="A1560">
        <v>17</v>
      </c>
      <c r="B1560">
        <v>19982078</v>
      </c>
      <c r="C1560">
        <v>19760378</v>
      </c>
      <c r="D1560" t="s">
        <v>29</v>
      </c>
      <c r="E1560" t="s">
        <v>1933</v>
      </c>
      <c r="G1560" t="s">
        <v>1165</v>
      </c>
      <c r="L1560" t="str">
        <f>HYPERLINK("https://test.ictv.global/id/TN19982078","TN19982078@TEST")</f>
        <v>TN19982078@TEST</v>
      </c>
      <c r="M1560" t="str">
        <f>HYPERLINK("https://test.ictv.global/id/ICTV19760378","ICTV19760378@TEST")</f>
        <v>ICTV19760378@TEST</v>
      </c>
      <c r="N1560" t="str">
        <f>HYPERLINK("https://ictv.global/id/TN19982078","TN19982078@prod")</f>
        <v>TN19982078@prod</v>
      </c>
      <c r="O1560" t="str">
        <f>HYPERLINK("https://ictv.global/id/ICTV19760378","ICTV19760378@prod")</f>
        <v>ICTV19760378@prod</v>
      </c>
    </row>
    <row r="1561" spans="1:15" x14ac:dyDescent="0.2">
      <c r="A1561">
        <v>17</v>
      </c>
      <c r="B1561">
        <v>19982079</v>
      </c>
      <c r="C1561">
        <v>19760379</v>
      </c>
      <c r="D1561" t="s">
        <v>29</v>
      </c>
      <c r="E1561" t="s">
        <v>812</v>
      </c>
      <c r="G1561" t="s">
        <v>31</v>
      </c>
      <c r="H1561" t="s">
        <v>800</v>
      </c>
      <c r="I1561" t="s">
        <v>29</v>
      </c>
      <c r="J1561">
        <v>19991256</v>
      </c>
      <c r="K1561">
        <v>19991256</v>
      </c>
      <c r="L1561" t="str">
        <f>HYPERLINK("https://test.ictv.global/id/TN19982079","TN19982079@TEST")</f>
        <v>TN19982079@TEST</v>
      </c>
      <c r="M1561" t="str">
        <f>HYPERLINK("https://test.ictv.global/id/ICTV19760379","ICTV19760379@TEST")</f>
        <v>ICTV19760379@TEST</v>
      </c>
      <c r="N1561" t="str">
        <f>HYPERLINK("https://ictv.global/id/TN19982079","TN19982079@prod")</f>
        <v>TN19982079@prod</v>
      </c>
      <c r="O1561" t="str">
        <f>HYPERLINK("https://ictv.global/id/ICTV19760379","ICTV19760379@prod")</f>
        <v>ICTV19760379@prod</v>
      </c>
    </row>
    <row r="1562" spans="1:15" x14ac:dyDescent="0.2">
      <c r="A1562">
        <v>17</v>
      </c>
      <c r="B1562">
        <v>19982080</v>
      </c>
      <c r="C1562">
        <v>19760380</v>
      </c>
      <c r="D1562" t="s">
        <v>29</v>
      </c>
      <c r="E1562" t="s">
        <v>1934</v>
      </c>
      <c r="G1562" t="s">
        <v>1165</v>
      </c>
      <c r="L1562" t="str">
        <f>HYPERLINK("https://test.ictv.global/id/TN19982080","TN19982080@TEST")</f>
        <v>TN19982080@TEST</v>
      </c>
      <c r="M1562" t="str">
        <f>HYPERLINK("https://test.ictv.global/id/ICTV19760380","ICTV19760380@TEST")</f>
        <v>ICTV19760380@TEST</v>
      </c>
      <c r="N1562" t="str">
        <f>HYPERLINK("https://ictv.global/id/TN19982080","TN19982080@prod")</f>
        <v>TN19982080@prod</v>
      </c>
      <c r="O1562" t="str">
        <f>HYPERLINK("https://ictv.global/id/ICTV19760380","ICTV19760380@prod")</f>
        <v>ICTV19760380@prod</v>
      </c>
    </row>
    <row r="1563" spans="1:15" x14ac:dyDescent="0.2">
      <c r="A1563">
        <v>17</v>
      </c>
      <c r="B1563">
        <v>19982081</v>
      </c>
      <c r="C1563">
        <v>19760381</v>
      </c>
      <c r="D1563" t="s">
        <v>29</v>
      </c>
      <c r="E1563" t="s">
        <v>1935</v>
      </c>
      <c r="G1563" t="s">
        <v>1165</v>
      </c>
      <c r="L1563" t="str">
        <f>HYPERLINK("https://test.ictv.global/id/TN19982081","TN19982081@TEST")</f>
        <v>TN19982081@TEST</v>
      </c>
      <c r="M1563" t="str">
        <f>HYPERLINK("https://test.ictv.global/id/ICTV19760381","ICTV19760381@TEST")</f>
        <v>ICTV19760381@TEST</v>
      </c>
      <c r="N1563" t="str">
        <f>HYPERLINK("https://ictv.global/id/TN19982081","TN19982081@prod")</f>
        <v>TN19982081@prod</v>
      </c>
      <c r="O1563" t="str">
        <f>HYPERLINK("https://ictv.global/id/ICTV19760381","ICTV19760381@prod")</f>
        <v>ICTV19760381@prod</v>
      </c>
    </row>
    <row r="1564" spans="1:15" x14ac:dyDescent="0.2">
      <c r="A1564">
        <v>17</v>
      </c>
      <c r="B1564">
        <v>19982082</v>
      </c>
      <c r="C1564">
        <v>19760382</v>
      </c>
      <c r="D1564" t="s">
        <v>29</v>
      </c>
      <c r="E1564" t="s">
        <v>1936</v>
      </c>
      <c r="G1564" t="s">
        <v>1165</v>
      </c>
      <c r="L1564" t="str">
        <f>HYPERLINK("https://test.ictv.global/id/TN19982082","TN19982082@TEST")</f>
        <v>TN19982082@TEST</v>
      </c>
      <c r="M1564" t="str">
        <f>HYPERLINK("https://test.ictv.global/id/ICTV19760382","ICTV19760382@TEST")</f>
        <v>ICTV19760382@TEST</v>
      </c>
      <c r="N1564" t="str">
        <f>HYPERLINK("https://ictv.global/id/TN19982082","TN19982082@prod")</f>
        <v>TN19982082@prod</v>
      </c>
      <c r="O1564" t="str">
        <f>HYPERLINK("https://ictv.global/id/ICTV19760382","ICTV19760382@prod")</f>
        <v>ICTV19760382@prod</v>
      </c>
    </row>
    <row r="1565" spans="1:15" x14ac:dyDescent="0.2">
      <c r="A1565">
        <v>17</v>
      </c>
      <c r="B1565">
        <v>19982083</v>
      </c>
      <c r="C1565">
        <v>19760383</v>
      </c>
      <c r="D1565" t="s">
        <v>29</v>
      </c>
      <c r="E1565" t="s">
        <v>1937</v>
      </c>
      <c r="G1565" t="s">
        <v>1165</v>
      </c>
      <c r="L1565" t="str">
        <f>HYPERLINK("https://test.ictv.global/id/TN19982083","TN19982083@TEST")</f>
        <v>TN19982083@TEST</v>
      </c>
      <c r="M1565" t="str">
        <f>HYPERLINK("https://test.ictv.global/id/ICTV19760383","ICTV19760383@TEST")</f>
        <v>ICTV19760383@TEST</v>
      </c>
      <c r="N1565" t="str">
        <f>HYPERLINK("https://ictv.global/id/TN19982083","TN19982083@prod")</f>
        <v>TN19982083@prod</v>
      </c>
      <c r="O1565" t="str">
        <f>HYPERLINK("https://ictv.global/id/ICTV19760383","ICTV19760383@prod")</f>
        <v>ICTV19760383@prod</v>
      </c>
    </row>
    <row r="1566" spans="1:15" x14ac:dyDescent="0.2">
      <c r="A1566">
        <v>17</v>
      </c>
      <c r="B1566">
        <v>19982084</v>
      </c>
      <c r="C1566">
        <v>19760384</v>
      </c>
      <c r="D1566" t="s">
        <v>29</v>
      </c>
      <c r="E1566" t="s">
        <v>1938</v>
      </c>
      <c r="G1566" t="s">
        <v>1165</v>
      </c>
      <c r="L1566" t="str">
        <f>HYPERLINK("https://test.ictv.global/id/TN19982084","TN19982084@TEST")</f>
        <v>TN19982084@TEST</v>
      </c>
      <c r="M1566" t="str">
        <f>HYPERLINK("https://test.ictv.global/id/ICTV19760384","ICTV19760384@TEST")</f>
        <v>ICTV19760384@TEST</v>
      </c>
      <c r="N1566" t="str">
        <f>HYPERLINK("https://ictv.global/id/TN19982084","TN19982084@prod")</f>
        <v>TN19982084@prod</v>
      </c>
      <c r="O1566" t="str">
        <f>HYPERLINK("https://ictv.global/id/ICTV19760384","ICTV19760384@prod")</f>
        <v>ICTV19760384@prod</v>
      </c>
    </row>
    <row r="1567" spans="1:15" x14ac:dyDescent="0.2">
      <c r="A1567">
        <v>17</v>
      </c>
      <c r="B1567">
        <v>19982085</v>
      </c>
      <c r="C1567">
        <v>19760385</v>
      </c>
      <c r="D1567" t="s">
        <v>29</v>
      </c>
      <c r="E1567" t="s">
        <v>1939</v>
      </c>
      <c r="G1567" t="s">
        <v>1165</v>
      </c>
      <c r="L1567" t="str">
        <f>HYPERLINK("https://test.ictv.global/id/TN19982085","TN19982085@TEST")</f>
        <v>TN19982085@TEST</v>
      </c>
      <c r="M1567" t="str">
        <f>HYPERLINK("https://test.ictv.global/id/ICTV19760385","ICTV19760385@TEST")</f>
        <v>ICTV19760385@TEST</v>
      </c>
      <c r="N1567" t="str">
        <f>HYPERLINK("https://ictv.global/id/TN19982085","TN19982085@prod")</f>
        <v>TN19982085@prod</v>
      </c>
      <c r="O1567" t="str">
        <f>HYPERLINK("https://ictv.global/id/ICTV19760385","ICTV19760385@prod")</f>
        <v>ICTV19760385@prod</v>
      </c>
    </row>
    <row r="1568" spans="1:15" x14ac:dyDescent="0.2">
      <c r="A1568">
        <v>17</v>
      </c>
      <c r="B1568">
        <v>19982086</v>
      </c>
      <c r="C1568">
        <v>19760386</v>
      </c>
      <c r="D1568" t="s">
        <v>29</v>
      </c>
      <c r="E1568" t="s">
        <v>1940</v>
      </c>
      <c r="G1568" t="s">
        <v>1165</v>
      </c>
      <c r="L1568" t="str">
        <f>HYPERLINK("https://test.ictv.global/id/TN19982086","TN19982086@TEST")</f>
        <v>TN19982086@TEST</v>
      </c>
      <c r="M1568" t="str">
        <f>HYPERLINK("https://test.ictv.global/id/ICTV19760386","ICTV19760386@TEST")</f>
        <v>ICTV19760386@TEST</v>
      </c>
      <c r="N1568" t="str">
        <f>HYPERLINK("https://ictv.global/id/TN19982086","TN19982086@prod")</f>
        <v>TN19982086@prod</v>
      </c>
      <c r="O1568" t="str">
        <f>HYPERLINK("https://ictv.global/id/ICTV19760386","ICTV19760386@prod")</f>
        <v>ICTV19760386@prod</v>
      </c>
    </row>
    <row r="1569" spans="1:15" x14ac:dyDescent="0.2">
      <c r="A1569">
        <v>17</v>
      </c>
      <c r="B1569">
        <v>19982087</v>
      </c>
      <c r="C1569">
        <v>19760387</v>
      </c>
      <c r="D1569" t="s">
        <v>29</v>
      </c>
      <c r="E1569" t="s">
        <v>1941</v>
      </c>
      <c r="G1569" t="s">
        <v>1165</v>
      </c>
      <c r="L1569" t="str">
        <f>HYPERLINK("https://test.ictv.global/id/TN19982087","TN19982087@TEST")</f>
        <v>TN19982087@TEST</v>
      </c>
      <c r="M1569" t="str">
        <f>HYPERLINK("https://test.ictv.global/id/ICTV19760387","ICTV19760387@TEST")</f>
        <v>ICTV19760387@TEST</v>
      </c>
      <c r="N1569" t="str">
        <f>HYPERLINK("https://ictv.global/id/TN19982087","TN19982087@prod")</f>
        <v>TN19982087@prod</v>
      </c>
      <c r="O1569" t="str">
        <f>HYPERLINK("https://ictv.global/id/ICTV19760387","ICTV19760387@prod")</f>
        <v>ICTV19760387@prod</v>
      </c>
    </row>
    <row r="1570" spans="1:15" x14ac:dyDescent="0.2">
      <c r="A1570">
        <v>17</v>
      </c>
      <c r="B1570">
        <v>19982088</v>
      </c>
      <c r="C1570">
        <v>19760388</v>
      </c>
      <c r="D1570" t="s">
        <v>29</v>
      </c>
      <c r="E1570" t="s">
        <v>1942</v>
      </c>
      <c r="G1570" t="s">
        <v>1165</v>
      </c>
      <c r="L1570" t="str">
        <f>HYPERLINK("https://test.ictv.global/id/TN19982088","TN19982088@TEST")</f>
        <v>TN19982088@TEST</v>
      </c>
      <c r="M1570" t="str">
        <f>HYPERLINK("https://test.ictv.global/id/ICTV19760388","ICTV19760388@TEST")</f>
        <v>ICTV19760388@TEST</v>
      </c>
      <c r="N1570" t="str">
        <f>HYPERLINK("https://ictv.global/id/TN19982088","TN19982088@prod")</f>
        <v>TN19982088@prod</v>
      </c>
      <c r="O1570" t="str">
        <f>HYPERLINK("https://ictv.global/id/ICTV19760388","ICTV19760388@prod")</f>
        <v>ICTV19760388@prod</v>
      </c>
    </row>
    <row r="1571" spans="1:15" x14ac:dyDescent="0.2">
      <c r="A1571">
        <v>17</v>
      </c>
      <c r="B1571">
        <v>19982089</v>
      </c>
      <c r="C1571">
        <v>19760389</v>
      </c>
      <c r="D1571" t="s">
        <v>29</v>
      </c>
      <c r="E1571" t="s">
        <v>1943</v>
      </c>
      <c r="G1571" t="s">
        <v>1165</v>
      </c>
      <c r="L1571" t="str">
        <f>HYPERLINK("https://test.ictv.global/id/TN19982089","TN19982089@TEST")</f>
        <v>TN19982089@TEST</v>
      </c>
      <c r="M1571" t="str">
        <f>HYPERLINK("https://test.ictv.global/id/ICTV19760389","ICTV19760389@TEST")</f>
        <v>ICTV19760389@TEST</v>
      </c>
      <c r="N1571" t="str">
        <f>HYPERLINK("https://ictv.global/id/TN19982089","TN19982089@prod")</f>
        <v>TN19982089@prod</v>
      </c>
      <c r="O1571" t="str">
        <f>HYPERLINK("https://ictv.global/id/ICTV19760389","ICTV19760389@prod")</f>
        <v>ICTV19760389@prod</v>
      </c>
    </row>
    <row r="1572" spans="1:15" x14ac:dyDescent="0.2">
      <c r="A1572">
        <v>17</v>
      </c>
      <c r="B1572">
        <v>19982090</v>
      </c>
      <c r="C1572">
        <v>19760390</v>
      </c>
      <c r="D1572" t="s">
        <v>29</v>
      </c>
      <c r="E1572" t="s">
        <v>813</v>
      </c>
      <c r="G1572" t="s">
        <v>31</v>
      </c>
      <c r="H1572" t="s">
        <v>800</v>
      </c>
      <c r="I1572" t="s">
        <v>29</v>
      </c>
      <c r="J1572">
        <v>19991256</v>
      </c>
      <c r="K1572">
        <v>19991256</v>
      </c>
      <c r="L1572" t="str">
        <f>HYPERLINK("https://test.ictv.global/id/TN19982090","TN19982090@TEST")</f>
        <v>TN19982090@TEST</v>
      </c>
      <c r="M1572" t="str">
        <f>HYPERLINK("https://test.ictv.global/id/ICTV19760390","ICTV19760390@TEST")</f>
        <v>ICTV19760390@TEST</v>
      </c>
      <c r="N1572" t="str">
        <f>HYPERLINK("https://ictv.global/id/TN19982090","TN19982090@prod")</f>
        <v>TN19982090@prod</v>
      </c>
      <c r="O1572" t="str">
        <f>HYPERLINK("https://ictv.global/id/ICTV19760390","ICTV19760390@prod")</f>
        <v>ICTV19760390@prod</v>
      </c>
    </row>
    <row r="1573" spans="1:15" x14ac:dyDescent="0.2">
      <c r="A1573">
        <v>17</v>
      </c>
      <c r="B1573">
        <v>19982091</v>
      </c>
      <c r="C1573">
        <v>19760391</v>
      </c>
      <c r="D1573" t="s">
        <v>29</v>
      </c>
      <c r="E1573" t="s">
        <v>1944</v>
      </c>
      <c r="G1573" t="s">
        <v>1165</v>
      </c>
      <c r="L1573" t="str">
        <f>HYPERLINK("https://test.ictv.global/id/TN19982091","TN19982091@TEST")</f>
        <v>TN19982091@TEST</v>
      </c>
      <c r="M1573" t="str">
        <f>HYPERLINK("https://test.ictv.global/id/ICTV19760391","ICTV19760391@TEST")</f>
        <v>ICTV19760391@TEST</v>
      </c>
      <c r="N1573" t="str">
        <f>HYPERLINK("https://ictv.global/id/TN19982091","TN19982091@prod")</f>
        <v>TN19982091@prod</v>
      </c>
      <c r="O1573" t="str">
        <f>HYPERLINK("https://ictv.global/id/ICTV19760391","ICTV19760391@prod")</f>
        <v>ICTV19760391@prod</v>
      </c>
    </row>
    <row r="1574" spans="1:15" x14ac:dyDescent="0.2">
      <c r="A1574">
        <v>17</v>
      </c>
      <c r="B1574">
        <v>19982092</v>
      </c>
      <c r="C1574">
        <v>19760392</v>
      </c>
      <c r="D1574" t="s">
        <v>29</v>
      </c>
      <c r="E1574" t="s">
        <v>814</v>
      </c>
      <c r="G1574" t="s">
        <v>31</v>
      </c>
      <c r="H1574" t="s">
        <v>800</v>
      </c>
      <c r="I1574" t="s">
        <v>29</v>
      </c>
      <c r="J1574">
        <v>19991256</v>
      </c>
      <c r="K1574">
        <v>19991256</v>
      </c>
      <c r="L1574" t="str">
        <f>HYPERLINK("https://test.ictv.global/id/TN19982092","TN19982092@TEST")</f>
        <v>TN19982092@TEST</v>
      </c>
      <c r="M1574" t="str">
        <f>HYPERLINK("https://test.ictv.global/id/ICTV19760392","ICTV19760392@TEST")</f>
        <v>ICTV19760392@TEST</v>
      </c>
      <c r="N1574" t="str">
        <f>HYPERLINK("https://ictv.global/id/TN19982092","TN19982092@prod")</f>
        <v>TN19982092@prod</v>
      </c>
      <c r="O1574" t="str">
        <f>HYPERLINK("https://ictv.global/id/ICTV19760392","ICTV19760392@prod")</f>
        <v>ICTV19760392@prod</v>
      </c>
    </row>
    <row r="1575" spans="1:15" x14ac:dyDescent="0.2">
      <c r="A1575">
        <v>17</v>
      </c>
      <c r="B1575">
        <v>19982093</v>
      </c>
      <c r="C1575">
        <v>19760393</v>
      </c>
      <c r="D1575" t="s">
        <v>29</v>
      </c>
      <c r="E1575" t="s">
        <v>1945</v>
      </c>
      <c r="G1575" t="s">
        <v>1165</v>
      </c>
      <c r="L1575" t="str">
        <f>HYPERLINK("https://test.ictv.global/id/TN19982093","TN19982093@TEST")</f>
        <v>TN19982093@TEST</v>
      </c>
      <c r="M1575" t="str">
        <f>HYPERLINK("https://test.ictv.global/id/ICTV19760393","ICTV19760393@TEST")</f>
        <v>ICTV19760393@TEST</v>
      </c>
      <c r="N1575" t="str">
        <f>HYPERLINK("https://ictv.global/id/TN19982093","TN19982093@prod")</f>
        <v>TN19982093@prod</v>
      </c>
      <c r="O1575" t="str">
        <f>HYPERLINK("https://ictv.global/id/ICTV19760393","ICTV19760393@prod")</f>
        <v>ICTV19760393@prod</v>
      </c>
    </row>
    <row r="1576" spans="1:15" x14ac:dyDescent="0.2">
      <c r="A1576">
        <v>17</v>
      </c>
      <c r="B1576">
        <v>19982094</v>
      </c>
      <c r="C1576">
        <v>19760394</v>
      </c>
      <c r="D1576" t="s">
        <v>29</v>
      </c>
      <c r="E1576" t="s">
        <v>1946</v>
      </c>
      <c r="G1576" t="s">
        <v>1165</v>
      </c>
      <c r="L1576" t="str">
        <f>HYPERLINK("https://test.ictv.global/id/TN19982094","TN19982094@TEST")</f>
        <v>TN19982094@TEST</v>
      </c>
      <c r="M1576" t="str">
        <f>HYPERLINK("https://test.ictv.global/id/ICTV19760394","ICTV19760394@TEST")</f>
        <v>ICTV19760394@TEST</v>
      </c>
      <c r="N1576" t="str">
        <f>HYPERLINK("https://ictv.global/id/TN19982094","TN19982094@prod")</f>
        <v>TN19982094@prod</v>
      </c>
      <c r="O1576" t="str">
        <f>HYPERLINK("https://ictv.global/id/ICTV19760394","ICTV19760394@prod")</f>
        <v>ICTV19760394@prod</v>
      </c>
    </row>
    <row r="1577" spans="1:15" x14ac:dyDescent="0.2">
      <c r="A1577">
        <v>17</v>
      </c>
      <c r="B1577">
        <v>19982095</v>
      </c>
      <c r="C1577">
        <v>19760395</v>
      </c>
      <c r="D1577" t="s">
        <v>29</v>
      </c>
      <c r="E1577" t="s">
        <v>1947</v>
      </c>
      <c r="G1577" t="s">
        <v>1165</v>
      </c>
      <c r="L1577" t="str">
        <f>HYPERLINK("https://test.ictv.global/id/TN19982095","TN19982095@TEST")</f>
        <v>TN19982095@TEST</v>
      </c>
      <c r="M1577" t="str">
        <f>HYPERLINK("https://test.ictv.global/id/ICTV19760395","ICTV19760395@TEST")</f>
        <v>ICTV19760395@TEST</v>
      </c>
      <c r="N1577" t="str">
        <f>HYPERLINK("https://ictv.global/id/TN19982095","TN19982095@prod")</f>
        <v>TN19982095@prod</v>
      </c>
      <c r="O1577" t="str">
        <f>HYPERLINK("https://ictv.global/id/ICTV19760395","ICTV19760395@prod")</f>
        <v>ICTV19760395@prod</v>
      </c>
    </row>
    <row r="1578" spans="1:15" x14ac:dyDescent="0.2">
      <c r="A1578">
        <v>17</v>
      </c>
      <c r="B1578">
        <v>19982096</v>
      </c>
      <c r="C1578">
        <v>19760396</v>
      </c>
      <c r="D1578" t="s">
        <v>29</v>
      </c>
      <c r="E1578" t="s">
        <v>1948</v>
      </c>
      <c r="G1578" t="s">
        <v>1165</v>
      </c>
      <c r="L1578" t="str">
        <f>HYPERLINK("https://test.ictv.global/id/TN19982096","TN19982096@TEST")</f>
        <v>TN19982096@TEST</v>
      </c>
      <c r="M1578" t="str">
        <f>HYPERLINK("https://test.ictv.global/id/ICTV19760396","ICTV19760396@TEST")</f>
        <v>ICTV19760396@TEST</v>
      </c>
      <c r="N1578" t="str">
        <f>HYPERLINK("https://ictv.global/id/TN19982096","TN19982096@prod")</f>
        <v>TN19982096@prod</v>
      </c>
      <c r="O1578" t="str">
        <f>HYPERLINK("https://ictv.global/id/ICTV19760396","ICTV19760396@prod")</f>
        <v>ICTV19760396@prod</v>
      </c>
    </row>
    <row r="1579" spans="1:15" x14ac:dyDescent="0.2">
      <c r="A1579">
        <v>17</v>
      </c>
      <c r="B1579">
        <v>19982097</v>
      </c>
      <c r="C1579">
        <v>19760397</v>
      </c>
      <c r="D1579" t="s">
        <v>29</v>
      </c>
      <c r="E1579" t="s">
        <v>1949</v>
      </c>
      <c r="G1579" t="s">
        <v>1165</v>
      </c>
      <c r="L1579" t="str">
        <f>HYPERLINK("https://test.ictv.global/id/TN19982097","TN19982097@TEST")</f>
        <v>TN19982097@TEST</v>
      </c>
      <c r="M1579" t="str">
        <f>HYPERLINK("https://test.ictv.global/id/ICTV19760397","ICTV19760397@TEST")</f>
        <v>ICTV19760397@TEST</v>
      </c>
      <c r="N1579" t="str">
        <f>HYPERLINK("https://ictv.global/id/TN19982097","TN19982097@prod")</f>
        <v>TN19982097@prod</v>
      </c>
      <c r="O1579" t="str">
        <f>HYPERLINK("https://ictv.global/id/ICTV19760397","ICTV19760397@prod")</f>
        <v>ICTV19760397@prod</v>
      </c>
    </row>
    <row r="1580" spans="1:15" x14ac:dyDescent="0.2">
      <c r="A1580">
        <v>17</v>
      </c>
      <c r="B1580">
        <v>19982098</v>
      </c>
      <c r="C1580">
        <v>19760398</v>
      </c>
      <c r="D1580" t="s">
        <v>29</v>
      </c>
      <c r="E1580" t="s">
        <v>1950</v>
      </c>
      <c r="G1580" t="s">
        <v>1165</v>
      </c>
      <c r="L1580" t="str">
        <f>HYPERLINK("https://test.ictv.global/id/TN19982098","TN19982098@TEST")</f>
        <v>TN19982098@TEST</v>
      </c>
      <c r="M1580" t="str">
        <f>HYPERLINK("https://test.ictv.global/id/ICTV19760398","ICTV19760398@TEST")</f>
        <v>ICTV19760398@TEST</v>
      </c>
      <c r="N1580" t="str">
        <f>HYPERLINK("https://ictv.global/id/TN19982098","TN19982098@prod")</f>
        <v>TN19982098@prod</v>
      </c>
      <c r="O1580" t="str">
        <f>HYPERLINK("https://ictv.global/id/ICTV19760398","ICTV19760398@prod")</f>
        <v>ICTV19760398@prod</v>
      </c>
    </row>
    <row r="1581" spans="1:15" x14ac:dyDescent="0.2">
      <c r="A1581">
        <v>17</v>
      </c>
      <c r="B1581">
        <v>19982099</v>
      </c>
      <c r="C1581">
        <v>19760399</v>
      </c>
      <c r="D1581" t="s">
        <v>29</v>
      </c>
      <c r="E1581" t="s">
        <v>1951</v>
      </c>
      <c r="G1581" t="s">
        <v>1165</v>
      </c>
      <c r="L1581" t="str">
        <f>HYPERLINK("https://test.ictv.global/id/TN19982099","TN19982099@TEST")</f>
        <v>TN19982099@TEST</v>
      </c>
      <c r="M1581" t="str">
        <f>HYPERLINK("https://test.ictv.global/id/ICTV19760399","ICTV19760399@TEST")</f>
        <v>ICTV19760399@TEST</v>
      </c>
      <c r="N1581" t="str">
        <f>HYPERLINK("https://ictv.global/id/TN19982099","TN19982099@prod")</f>
        <v>TN19982099@prod</v>
      </c>
      <c r="O1581" t="str">
        <f>HYPERLINK("https://ictv.global/id/ICTV19760399","ICTV19760399@prod")</f>
        <v>ICTV19760399@prod</v>
      </c>
    </row>
    <row r="1582" spans="1:15" x14ac:dyDescent="0.2">
      <c r="A1582">
        <v>17</v>
      </c>
      <c r="B1582">
        <v>19982100</v>
      </c>
      <c r="C1582">
        <v>19760400</v>
      </c>
      <c r="D1582" t="s">
        <v>29</v>
      </c>
      <c r="E1582" t="s">
        <v>815</v>
      </c>
      <c r="G1582" t="s">
        <v>31</v>
      </c>
      <c r="H1582" t="s">
        <v>800</v>
      </c>
      <c r="I1582" t="s">
        <v>29</v>
      </c>
      <c r="J1582">
        <v>19991256</v>
      </c>
      <c r="K1582">
        <v>19991256</v>
      </c>
      <c r="L1582" t="str">
        <f>HYPERLINK("https://test.ictv.global/id/TN19982100","TN19982100@TEST")</f>
        <v>TN19982100@TEST</v>
      </c>
      <c r="M1582" t="str">
        <f>HYPERLINK("https://test.ictv.global/id/ICTV19760400","ICTV19760400@TEST")</f>
        <v>ICTV19760400@TEST</v>
      </c>
      <c r="N1582" t="str">
        <f>HYPERLINK("https://ictv.global/id/TN19982100","TN19982100@prod")</f>
        <v>TN19982100@prod</v>
      </c>
      <c r="O1582" t="str">
        <f>HYPERLINK("https://ictv.global/id/ICTV19760400","ICTV19760400@prod")</f>
        <v>ICTV19760400@prod</v>
      </c>
    </row>
    <row r="1583" spans="1:15" x14ac:dyDescent="0.2">
      <c r="A1583">
        <v>17</v>
      </c>
      <c r="B1583">
        <v>19982101</v>
      </c>
      <c r="C1583">
        <v>19760401</v>
      </c>
      <c r="D1583" t="s">
        <v>29</v>
      </c>
      <c r="E1583" t="s">
        <v>1952</v>
      </c>
      <c r="G1583" t="s">
        <v>1165</v>
      </c>
      <c r="L1583" t="str">
        <f>HYPERLINK("https://test.ictv.global/id/TN19982101","TN19982101@TEST")</f>
        <v>TN19982101@TEST</v>
      </c>
      <c r="M1583" t="str">
        <f>HYPERLINK("https://test.ictv.global/id/ICTV19760401","ICTV19760401@TEST")</f>
        <v>ICTV19760401@TEST</v>
      </c>
      <c r="N1583" t="str">
        <f>HYPERLINK("https://ictv.global/id/TN19982101","TN19982101@prod")</f>
        <v>TN19982101@prod</v>
      </c>
      <c r="O1583" t="str">
        <f>HYPERLINK("https://ictv.global/id/ICTV19760401","ICTV19760401@prod")</f>
        <v>ICTV19760401@prod</v>
      </c>
    </row>
    <row r="1584" spans="1:15" x14ac:dyDescent="0.2">
      <c r="A1584">
        <v>17</v>
      </c>
      <c r="B1584">
        <v>19982102</v>
      </c>
      <c r="C1584">
        <v>19760402</v>
      </c>
      <c r="D1584" t="s">
        <v>29</v>
      </c>
      <c r="E1584" t="s">
        <v>1953</v>
      </c>
      <c r="G1584" t="s">
        <v>1165</v>
      </c>
      <c r="L1584" t="str">
        <f>HYPERLINK("https://test.ictv.global/id/TN19982102","TN19982102@TEST")</f>
        <v>TN19982102@TEST</v>
      </c>
      <c r="M1584" t="str">
        <f>HYPERLINK("https://test.ictv.global/id/ICTV19760402","ICTV19760402@TEST")</f>
        <v>ICTV19760402@TEST</v>
      </c>
      <c r="N1584" t="str">
        <f>HYPERLINK("https://ictv.global/id/TN19982102","TN19982102@prod")</f>
        <v>TN19982102@prod</v>
      </c>
      <c r="O1584" t="str">
        <f>HYPERLINK("https://ictv.global/id/ICTV19760402","ICTV19760402@prod")</f>
        <v>ICTV19760402@prod</v>
      </c>
    </row>
    <row r="1585" spans="1:15" x14ac:dyDescent="0.2">
      <c r="A1585">
        <v>17</v>
      </c>
      <c r="B1585">
        <v>19982103</v>
      </c>
      <c r="C1585">
        <v>19760403</v>
      </c>
      <c r="D1585" t="s">
        <v>29</v>
      </c>
      <c r="E1585" t="s">
        <v>1954</v>
      </c>
      <c r="G1585" t="s">
        <v>1165</v>
      </c>
      <c r="L1585" t="str">
        <f>HYPERLINK("https://test.ictv.global/id/TN19982103","TN19982103@TEST")</f>
        <v>TN19982103@TEST</v>
      </c>
      <c r="M1585" t="str">
        <f>HYPERLINK("https://test.ictv.global/id/ICTV19760403","ICTV19760403@TEST")</f>
        <v>ICTV19760403@TEST</v>
      </c>
      <c r="N1585" t="str">
        <f>HYPERLINK("https://ictv.global/id/TN19982103","TN19982103@prod")</f>
        <v>TN19982103@prod</v>
      </c>
      <c r="O1585" t="str">
        <f>HYPERLINK("https://ictv.global/id/ICTV19760403","ICTV19760403@prod")</f>
        <v>ICTV19760403@prod</v>
      </c>
    </row>
    <row r="1586" spans="1:15" x14ac:dyDescent="0.2">
      <c r="A1586">
        <v>17</v>
      </c>
      <c r="B1586">
        <v>19982104</v>
      </c>
      <c r="C1586">
        <v>19760404</v>
      </c>
      <c r="D1586" t="s">
        <v>29</v>
      </c>
      <c r="E1586" t="s">
        <v>1955</v>
      </c>
      <c r="G1586" t="s">
        <v>1165</v>
      </c>
      <c r="L1586" t="str">
        <f>HYPERLINK("https://test.ictv.global/id/TN19982104","TN19982104@TEST")</f>
        <v>TN19982104@TEST</v>
      </c>
      <c r="M1586" t="str">
        <f>HYPERLINK("https://test.ictv.global/id/ICTV19760404","ICTV19760404@TEST")</f>
        <v>ICTV19760404@TEST</v>
      </c>
      <c r="N1586" t="str">
        <f>HYPERLINK("https://ictv.global/id/TN19982104","TN19982104@prod")</f>
        <v>TN19982104@prod</v>
      </c>
      <c r="O1586" t="str">
        <f>HYPERLINK("https://ictv.global/id/ICTV19760404","ICTV19760404@prod")</f>
        <v>ICTV19760404@prod</v>
      </c>
    </row>
    <row r="1587" spans="1:15" x14ac:dyDescent="0.2">
      <c r="A1587">
        <v>17</v>
      </c>
      <c r="B1587">
        <v>19982105</v>
      </c>
      <c r="C1587">
        <v>19760405</v>
      </c>
      <c r="D1587" t="s">
        <v>29</v>
      </c>
      <c r="E1587" t="s">
        <v>816</v>
      </c>
      <c r="G1587" t="s">
        <v>31</v>
      </c>
      <c r="H1587" t="s">
        <v>800</v>
      </c>
      <c r="I1587" t="s">
        <v>29</v>
      </c>
      <c r="J1587">
        <v>19991256</v>
      </c>
      <c r="K1587">
        <v>19991256</v>
      </c>
      <c r="L1587" t="str">
        <f>HYPERLINK("https://test.ictv.global/id/TN19982105","TN19982105@TEST")</f>
        <v>TN19982105@TEST</v>
      </c>
      <c r="M1587" t="str">
        <f>HYPERLINK("https://test.ictv.global/id/ICTV19760405","ICTV19760405@TEST")</f>
        <v>ICTV19760405@TEST</v>
      </c>
      <c r="N1587" t="str">
        <f>HYPERLINK("https://ictv.global/id/TN19982105","TN19982105@prod")</f>
        <v>TN19982105@prod</v>
      </c>
      <c r="O1587" t="str">
        <f>HYPERLINK("https://ictv.global/id/ICTV19760405","ICTV19760405@prod")</f>
        <v>ICTV19760405@prod</v>
      </c>
    </row>
    <row r="1588" spans="1:15" x14ac:dyDescent="0.2">
      <c r="A1588">
        <v>17</v>
      </c>
      <c r="B1588">
        <v>19982106</v>
      </c>
      <c r="C1588">
        <v>19760406</v>
      </c>
      <c r="D1588" t="s">
        <v>29</v>
      </c>
      <c r="E1588" t="s">
        <v>1956</v>
      </c>
      <c r="G1588" t="s">
        <v>1165</v>
      </c>
      <c r="L1588" t="str">
        <f>HYPERLINK("https://test.ictv.global/id/TN19982106","TN19982106@TEST")</f>
        <v>TN19982106@TEST</v>
      </c>
      <c r="M1588" t="str">
        <f>HYPERLINK("https://test.ictv.global/id/ICTV19760406","ICTV19760406@TEST")</f>
        <v>ICTV19760406@TEST</v>
      </c>
      <c r="N1588" t="str">
        <f>HYPERLINK("https://ictv.global/id/TN19982106","TN19982106@prod")</f>
        <v>TN19982106@prod</v>
      </c>
      <c r="O1588" t="str">
        <f>HYPERLINK("https://ictv.global/id/ICTV19760406","ICTV19760406@prod")</f>
        <v>ICTV19760406@prod</v>
      </c>
    </row>
    <row r="1589" spans="1:15" x14ac:dyDescent="0.2">
      <c r="A1589">
        <v>17</v>
      </c>
      <c r="B1589">
        <v>19982107</v>
      </c>
      <c r="C1589">
        <v>19760407</v>
      </c>
      <c r="D1589" t="s">
        <v>29</v>
      </c>
      <c r="E1589" t="s">
        <v>1957</v>
      </c>
      <c r="G1589" t="s">
        <v>1165</v>
      </c>
      <c r="L1589" t="str">
        <f>HYPERLINK("https://test.ictv.global/id/TN19982107","TN19982107@TEST")</f>
        <v>TN19982107@TEST</v>
      </c>
      <c r="M1589" t="str">
        <f>HYPERLINK("https://test.ictv.global/id/ICTV19760407","ICTV19760407@TEST")</f>
        <v>ICTV19760407@TEST</v>
      </c>
      <c r="N1589" t="str">
        <f>HYPERLINK("https://ictv.global/id/TN19982107","TN19982107@prod")</f>
        <v>TN19982107@prod</v>
      </c>
      <c r="O1589" t="str">
        <f>HYPERLINK("https://ictv.global/id/ICTV19760407","ICTV19760407@prod")</f>
        <v>ICTV19760407@prod</v>
      </c>
    </row>
    <row r="1590" spans="1:15" x14ac:dyDescent="0.2">
      <c r="A1590">
        <v>17</v>
      </c>
      <c r="B1590">
        <v>19982108</v>
      </c>
      <c r="C1590">
        <v>19760408</v>
      </c>
      <c r="D1590" t="s">
        <v>29</v>
      </c>
      <c r="E1590" t="s">
        <v>817</v>
      </c>
      <c r="G1590" t="s">
        <v>31</v>
      </c>
      <c r="H1590" t="s">
        <v>800</v>
      </c>
      <c r="I1590" t="s">
        <v>29</v>
      </c>
      <c r="J1590">
        <v>19991256</v>
      </c>
      <c r="K1590">
        <v>19991256</v>
      </c>
      <c r="L1590" t="str">
        <f>HYPERLINK("https://test.ictv.global/id/TN19982108","TN19982108@TEST")</f>
        <v>TN19982108@TEST</v>
      </c>
      <c r="M1590" t="str">
        <f>HYPERLINK("https://test.ictv.global/id/ICTV19760408","ICTV19760408@TEST")</f>
        <v>ICTV19760408@TEST</v>
      </c>
      <c r="N1590" t="str">
        <f>HYPERLINK("https://ictv.global/id/TN19982108","TN19982108@prod")</f>
        <v>TN19982108@prod</v>
      </c>
      <c r="O1590" t="str">
        <f>HYPERLINK("https://ictv.global/id/ICTV19760408","ICTV19760408@prod")</f>
        <v>ICTV19760408@prod</v>
      </c>
    </row>
    <row r="1591" spans="1:15" x14ac:dyDescent="0.2">
      <c r="A1591">
        <v>17</v>
      </c>
      <c r="B1591">
        <v>19982109</v>
      </c>
      <c r="C1591">
        <v>19760409</v>
      </c>
      <c r="D1591" t="s">
        <v>29</v>
      </c>
      <c r="E1591" t="s">
        <v>1958</v>
      </c>
      <c r="G1591" t="s">
        <v>1165</v>
      </c>
      <c r="L1591" t="str">
        <f>HYPERLINK("https://test.ictv.global/id/TN19982109","TN19982109@TEST")</f>
        <v>TN19982109@TEST</v>
      </c>
      <c r="M1591" t="str">
        <f>HYPERLINK("https://test.ictv.global/id/ICTV19760409","ICTV19760409@TEST")</f>
        <v>ICTV19760409@TEST</v>
      </c>
      <c r="N1591" t="str">
        <f>HYPERLINK("https://ictv.global/id/TN19982109","TN19982109@prod")</f>
        <v>TN19982109@prod</v>
      </c>
      <c r="O1591" t="str">
        <f>HYPERLINK("https://ictv.global/id/ICTV19760409","ICTV19760409@prod")</f>
        <v>ICTV19760409@prod</v>
      </c>
    </row>
    <row r="1592" spans="1:15" x14ac:dyDescent="0.2">
      <c r="A1592">
        <v>17</v>
      </c>
      <c r="B1592">
        <v>19982110</v>
      </c>
      <c r="C1592">
        <v>19760410</v>
      </c>
      <c r="D1592" t="s">
        <v>29</v>
      </c>
      <c r="E1592" t="s">
        <v>1959</v>
      </c>
      <c r="G1592" t="s">
        <v>1165</v>
      </c>
      <c r="L1592" t="str">
        <f>HYPERLINK("https://test.ictv.global/id/TN19982110","TN19982110@TEST")</f>
        <v>TN19982110@TEST</v>
      </c>
      <c r="M1592" t="str">
        <f>HYPERLINK("https://test.ictv.global/id/ICTV19760410","ICTV19760410@TEST")</f>
        <v>ICTV19760410@TEST</v>
      </c>
      <c r="N1592" t="str">
        <f>HYPERLINK("https://ictv.global/id/TN19982110","TN19982110@prod")</f>
        <v>TN19982110@prod</v>
      </c>
      <c r="O1592" t="str">
        <f>HYPERLINK("https://ictv.global/id/ICTV19760410","ICTV19760410@prod")</f>
        <v>ICTV19760410@prod</v>
      </c>
    </row>
    <row r="1593" spans="1:15" x14ac:dyDescent="0.2">
      <c r="A1593">
        <v>17</v>
      </c>
      <c r="B1593">
        <v>19982111</v>
      </c>
      <c r="C1593">
        <v>19760411</v>
      </c>
      <c r="D1593" t="s">
        <v>29</v>
      </c>
      <c r="E1593" t="s">
        <v>1960</v>
      </c>
      <c r="G1593" t="s">
        <v>1165</v>
      </c>
      <c r="L1593" t="str">
        <f>HYPERLINK("https://test.ictv.global/id/TN19982111","TN19982111@TEST")</f>
        <v>TN19982111@TEST</v>
      </c>
      <c r="M1593" t="str">
        <f>HYPERLINK("https://test.ictv.global/id/ICTV19760411","ICTV19760411@TEST")</f>
        <v>ICTV19760411@TEST</v>
      </c>
      <c r="N1593" t="str">
        <f>HYPERLINK("https://ictv.global/id/TN19982111","TN19982111@prod")</f>
        <v>TN19982111@prod</v>
      </c>
      <c r="O1593" t="str">
        <f>HYPERLINK("https://ictv.global/id/ICTV19760411","ICTV19760411@prod")</f>
        <v>ICTV19760411@prod</v>
      </c>
    </row>
    <row r="1594" spans="1:15" x14ac:dyDescent="0.2">
      <c r="A1594">
        <v>17</v>
      </c>
      <c r="B1594">
        <v>19982112</v>
      </c>
      <c r="C1594">
        <v>19760412</v>
      </c>
      <c r="D1594" t="s">
        <v>29</v>
      </c>
      <c r="E1594" t="s">
        <v>1961</v>
      </c>
      <c r="G1594" t="s">
        <v>1165</v>
      </c>
      <c r="L1594" t="str">
        <f>HYPERLINK("https://test.ictv.global/id/TN19982112","TN19982112@TEST")</f>
        <v>TN19982112@TEST</v>
      </c>
      <c r="M1594" t="str">
        <f>HYPERLINK("https://test.ictv.global/id/ICTV19760412","ICTV19760412@TEST")</f>
        <v>ICTV19760412@TEST</v>
      </c>
      <c r="N1594" t="str">
        <f>HYPERLINK("https://ictv.global/id/TN19982112","TN19982112@prod")</f>
        <v>TN19982112@prod</v>
      </c>
      <c r="O1594" t="str">
        <f>HYPERLINK("https://ictv.global/id/ICTV19760412","ICTV19760412@prod")</f>
        <v>ICTV19760412@prod</v>
      </c>
    </row>
    <row r="1595" spans="1:15" x14ac:dyDescent="0.2">
      <c r="A1595">
        <v>17</v>
      </c>
      <c r="B1595">
        <v>19982113</v>
      </c>
      <c r="C1595">
        <v>19760413</v>
      </c>
      <c r="D1595" t="s">
        <v>29</v>
      </c>
      <c r="E1595" t="s">
        <v>818</v>
      </c>
      <c r="G1595" t="s">
        <v>31</v>
      </c>
      <c r="H1595" t="s">
        <v>800</v>
      </c>
      <c r="I1595" t="s">
        <v>29</v>
      </c>
      <c r="J1595">
        <v>19991256</v>
      </c>
      <c r="K1595">
        <v>19991256</v>
      </c>
      <c r="L1595" t="str">
        <f>HYPERLINK("https://test.ictv.global/id/TN19982113","TN19982113@TEST")</f>
        <v>TN19982113@TEST</v>
      </c>
      <c r="M1595" t="str">
        <f>HYPERLINK("https://test.ictv.global/id/ICTV19760413","ICTV19760413@TEST")</f>
        <v>ICTV19760413@TEST</v>
      </c>
      <c r="N1595" t="str">
        <f>HYPERLINK("https://ictv.global/id/TN19982113","TN19982113@prod")</f>
        <v>TN19982113@prod</v>
      </c>
      <c r="O1595" t="str">
        <f>HYPERLINK("https://ictv.global/id/ICTV19760413","ICTV19760413@prod")</f>
        <v>ICTV19760413@prod</v>
      </c>
    </row>
    <row r="1596" spans="1:15" x14ac:dyDescent="0.2">
      <c r="A1596">
        <v>17</v>
      </c>
      <c r="B1596">
        <v>19982114</v>
      </c>
      <c r="C1596">
        <v>19760414</v>
      </c>
      <c r="D1596" t="s">
        <v>29</v>
      </c>
      <c r="E1596" t="s">
        <v>1962</v>
      </c>
      <c r="G1596" t="s">
        <v>1165</v>
      </c>
      <c r="L1596" t="str">
        <f>HYPERLINK("https://test.ictv.global/id/TN19982114","TN19982114@TEST")</f>
        <v>TN19982114@TEST</v>
      </c>
      <c r="M1596" t="str">
        <f>HYPERLINK("https://test.ictv.global/id/ICTV19760414","ICTV19760414@TEST")</f>
        <v>ICTV19760414@TEST</v>
      </c>
      <c r="N1596" t="str">
        <f>HYPERLINK("https://ictv.global/id/TN19982114","TN19982114@prod")</f>
        <v>TN19982114@prod</v>
      </c>
      <c r="O1596" t="str">
        <f>HYPERLINK("https://ictv.global/id/ICTV19760414","ICTV19760414@prod")</f>
        <v>ICTV19760414@prod</v>
      </c>
    </row>
    <row r="1597" spans="1:15" x14ac:dyDescent="0.2">
      <c r="A1597">
        <v>17</v>
      </c>
      <c r="B1597">
        <v>19982115</v>
      </c>
      <c r="C1597">
        <v>19760415</v>
      </c>
      <c r="D1597" t="s">
        <v>29</v>
      </c>
      <c r="E1597" t="s">
        <v>1963</v>
      </c>
      <c r="G1597" t="s">
        <v>1165</v>
      </c>
      <c r="L1597" t="str">
        <f>HYPERLINK("https://test.ictv.global/id/TN19982115","TN19982115@TEST")</f>
        <v>TN19982115@TEST</v>
      </c>
      <c r="M1597" t="str">
        <f>HYPERLINK("https://test.ictv.global/id/ICTV19760415","ICTV19760415@TEST")</f>
        <v>ICTV19760415@TEST</v>
      </c>
      <c r="N1597" t="str">
        <f>HYPERLINK("https://ictv.global/id/TN19982115","TN19982115@prod")</f>
        <v>TN19982115@prod</v>
      </c>
      <c r="O1597" t="str">
        <f>HYPERLINK("https://ictv.global/id/ICTV19760415","ICTV19760415@prod")</f>
        <v>ICTV19760415@prod</v>
      </c>
    </row>
    <row r="1598" spans="1:15" x14ac:dyDescent="0.2">
      <c r="A1598">
        <v>17</v>
      </c>
      <c r="B1598">
        <v>19982116</v>
      </c>
      <c r="C1598">
        <v>19760416</v>
      </c>
      <c r="D1598" t="s">
        <v>29</v>
      </c>
      <c r="E1598" t="s">
        <v>819</v>
      </c>
      <c r="G1598" t="s">
        <v>33</v>
      </c>
      <c r="H1598" t="s">
        <v>802</v>
      </c>
      <c r="I1598" t="s">
        <v>29</v>
      </c>
      <c r="J1598">
        <v>19991257</v>
      </c>
      <c r="K1598">
        <v>19991257</v>
      </c>
      <c r="L1598" t="str">
        <f>HYPERLINK("https://test.ictv.global/id/TN19982116","TN19982116@TEST")</f>
        <v>TN19982116@TEST</v>
      </c>
      <c r="M1598" t="str">
        <f>HYPERLINK("https://test.ictv.global/id/ICTV19760416","ICTV19760416@TEST")</f>
        <v>ICTV19760416@TEST</v>
      </c>
      <c r="N1598" t="str">
        <f>HYPERLINK("https://ictv.global/id/TN19982116","TN19982116@prod")</f>
        <v>TN19982116@prod</v>
      </c>
      <c r="O1598" t="str">
        <f>HYPERLINK("https://ictv.global/id/ICTV19760416","ICTV19760416@prod")</f>
        <v>ICTV19760416@prod</v>
      </c>
    </row>
    <row r="1599" spans="1:15" x14ac:dyDescent="0.2">
      <c r="A1599">
        <v>17</v>
      </c>
      <c r="B1599">
        <v>19982117</v>
      </c>
      <c r="C1599">
        <v>19760417</v>
      </c>
      <c r="D1599" t="s">
        <v>29</v>
      </c>
      <c r="E1599" t="s">
        <v>1964</v>
      </c>
      <c r="G1599" t="s">
        <v>1165</v>
      </c>
      <c r="L1599" t="str">
        <f>HYPERLINK("https://test.ictv.global/id/TN19982117","TN19982117@TEST")</f>
        <v>TN19982117@TEST</v>
      </c>
      <c r="M1599" t="str">
        <f>HYPERLINK("https://test.ictv.global/id/ICTV19760417","ICTV19760417@TEST")</f>
        <v>ICTV19760417@TEST</v>
      </c>
      <c r="N1599" t="str">
        <f>HYPERLINK("https://ictv.global/id/TN19982117","TN19982117@prod")</f>
        <v>TN19982117@prod</v>
      </c>
      <c r="O1599" t="str">
        <f>HYPERLINK("https://ictv.global/id/ICTV19760417","ICTV19760417@prod")</f>
        <v>ICTV19760417@prod</v>
      </c>
    </row>
    <row r="1600" spans="1:15" x14ac:dyDescent="0.2">
      <c r="A1600">
        <v>17</v>
      </c>
      <c r="B1600">
        <v>19982118</v>
      </c>
      <c r="C1600">
        <v>19760418</v>
      </c>
      <c r="D1600" t="s">
        <v>29</v>
      </c>
      <c r="E1600" t="s">
        <v>1965</v>
      </c>
      <c r="G1600" t="s">
        <v>1165</v>
      </c>
      <c r="L1600" t="str">
        <f>HYPERLINK("https://test.ictv.global/id/TN19982118","TN19982118@TEST")</f>
        <v>TN19982118@TEST</v>
      </c>
      <c r="M1600" t="str">
        <f>HYPERLINK("https://test.ictv.global/id/ICTV19760418","ICTV19760418@TEST")</f>
        <v>ICTV19760418@TEST</v>
      </c>
      <c r="N1600" t="str">
        <f>HYPERLINK("https://ictv.global/id/TN19982118","TN19982118@prod")</f>
        <v>TN19982118@prod</v>
      </c>
      <c r="O1600" t="str">
        <f>HYPERLINK("https://ictv.global/id/ICTV19760418","ICTV19760418@prod")</f>
        <v>ICTV19760418@prod</v>
      </c>
    </row>
    <row r="1601" spans="1:15" x14ac:dyDescent="0.2">
      <c r="A1601">
        <v>17</v>
      </c>
      <c r="B1601">
        <v>19982119</v>
      </c>
      <c r="C1601">
        <v>19760419</v>
      </c>
      <c r="D1601" t="s">
        <v>29</v>
      </c>
      <c r="E1601" t="s">
        <v>1966</v>
      </c>
      <c r="G1601" t="s">
        <v>1165</v>
      </c>
      <c r="L1601" t="str">
        <f>HYPERLINK("https://test.ictv.global/id/TN19982119","TN19982119@TEST")</f>
        <v>TN19982119@TEST</v>
      </c>
      <c r="M1601" t="str">
        <f>HYPERLINK("https://test.ictv.global/id/ICTV19760419","ICTV19760419@TEST")</f>
        <v>ICTV19760419@TEST</v>
      </c>
      <c r="N1601" t="str">
        <f>HYPERLINK("https://ictv.global/id/TN19982119","TN19982119@prod")</f>
        <v>TN19982119@prod</v>
      </c>
      <c r="O1601" t="str">
        <f>HYPERLINK("https://ictv.global/id/ICTV19760419","ICTV19760419@prod")</f>
        <v>ICTV19760419@prod</v>
      </c>
    </row>
    <row r="1602" spans="1:15" x14ac:dyDescent="0.2">
      <c r="A1602">
        <v>17</v>
      </c>
      <c r="B1602">
        <v>19982120</v>
      </c>
      <c r="C1602">
        <v>19760420</v>
      </c>
      <c r="D1602" t="s">
        <v>29</v>
      </c>
      <c r="E1602" t="s">
        <v>1967</v>
      </c>
      <c r="G1602" t="s">
        <v>1165</v>
      </c>
      <c r="L1602" t="str">
        <f>HYPERLINK("https://test.ictv.global/id/TN19982120","TN19982120@TEST")</f>
        <v>TN19982120@TEST</v>
      </c>
      <c r="M1602" t="str">
        <f>HYPERLINK("https://test.ictv.global/id/ICTV19760420","ICTV19760420@TEST")</f>
        <v>ICTV19760420@TEST</v>
      </c>
      <c r="N1602" t="str">
        <f>HYPERLINK("https://ictv.global/id/TN19982120","TN19982120@prod")</f>
        <v>TN19982120@prod</v>
      </c>
      <c r="O1602" t="str">
        <f>HYPERLINK("https://ictv.global/id/ICTV19760420","ICTV19760420@prod")</f>
        <v>ICTV19760420@prod</v>
      </c>
    </row>
    <row r="1603" spans="1:15" x14ac:dyDescent="0.2">
      <c r="A1603">
        <v>17</v>
      </c>
      <c r="B1603">
        <v>19982121</v>
      </c>
      <c r="C1603">
        <v>19760421</v>
      </c>
      <c r="D1603" t="s">
        <v>29</v>
      </c>
      <c r="E1603" t="s">
        <v>1968</v>
      </c>
      <c r="G1603" t="s">
        <v>1165</v>
      </c>
      <c r="L1603" t="str">
        <f>HYPERLINK("https://test.ictv.global/id/TN19982121","TN19982121@TEST")</f>
        <v>TN19982121@TEST</v>
      </c>
      <c r="M1603" t="str">
        <f>HYPERLINK("https://test.ictv.global/id/ICTV19760421","ICTV19760421@TEST")</f>
        <v>ICTV19760421@TEST</v>
      </c>
      <c r="N1603" t="str">
        <f>HYPERLINK("https://ictv.global/id/TN19982121","TN19982121@prod")</f>
        <v>TN19982121@prod</v>
      </c>
      <c r="O1603" t="str">
        <f>HYPERLINK("https://ictv.global/id/ICTV19760421","ICTV19760421@prod")</f>
        <v>ICTV19760421@prod</v>
      </c>
    </row>
    <row r="1604" spans="1:15" x14ac:dyDescent="0.2">
      <c r="A1604">
        <v>17</v>
      </c>
      <c r="B1604">
        <v>19982122</v>
      </c>
      <c r="C1604">
        <v>19760422</v>
      </c>
      <c r="D1604" t="s">
        <v>29</v>
      </c>
      <c r="E1604" t="s">
        <v>1969</v>
      </c>
      <c r="G1604" t="s">
        <v>1165</v>
      </c>
      <c r="L1604" t="str">
        <f>HYPERLINK("https://test.ictv.global/id/TN19982122","TN19982122@TEST")</f>
        <v>TN19982122@TEST</v>
      </c>
      <c r="M1604" t="str">
        <f>HYPERLINK("https://test.ictv.global/id/ICTV19760422","ICTV19760422@TEST")</f>
        <v>ICTV19760422@TEST</v>
      </c>
      <c r="N1604" t="str">
        <f>HYPERLINK("https://ictv.global/id/TN19982122","TN19982122@prod")</f>
        <v>TN19982122@prod</v>
      </c>
      <c r="O1604" t="str">
        <f>HYPERLINK("https://ictv.global/id/ICTV19760422","ICTV19760422@prod")</f>
        <v>ICTV19760422@prod</v>
      </c>
    </row>
    <row r="1605" spans="1:15" x14ac:dyDescent="0.2">
      <c r="A1605">
        <v>17</v>
      </c>
      <c r="B1605">
        <v>19982123</v>
      </c>
      <c r="C1605">
        <v>19760423</v>
      </c>
      <c r="D1605" t="s">
        <v>29</v>
      </c>
      <c r="E1605" t="s">
        <v>1970</v>
      </c>
      <c r="G1605" t="s">
        <v>1165</v>
      </c>
      <c r="L1605" t="str">
        <f>HYPERLINK("https://test.ictv.global/id/TN19982123","TN19982123@TEST")</f>
        <v>TN19982123@TEST</v>
      </c>
      <c r="M1605" t="str">
        <f>HYPERLINK("https://test.ictv.global/id/ICTV19760423","ICTV19760423@TEST")</f>
        <v>ICTV19760423@TEST</v>
      </c>
      <c r="N1605" t="str">
        <f>HYPERLINK("https://ictv.global/id/TN19982123","TN19982123@prod")</f>
        <v>TN19982123@prod</v>
      </c>
      <c r="O1605" t="str">
        <f>HYPERLINK("https://ictv.global/id/ICTV19760423","ICTV19760423@prod")</f>
        <v>ICTV19760423@prod</v>
      </c>
    </row>
    <row r="1606" spans="1:15" x14ac:dyDescent="0.2">
      <c r="A1606">
        <v>17</v>
      </c>
      <c r="B1606">
        <v>19982124</v>
      </c>
      <c r="C1606">
        <v>19760424</v>
      </c>
      <c r="D1606" t="s">
        <v>29</v>
      </c>
      <c r="E1606" t="s">
        <v>1971</v>
      </c>
      <c r="G1606" t="s">
        <v>1165</v>
      </c>
      <c r="L1606" t="str">
        <f>HYPERLINK("https://test.ictv.global/id/TN19982124","TN19982124@TEST")</f>
        <v>TN19982124@TEST</v>
      </c>
      <c r="M1606" t="str">
        <f>HYPERLINK("https://test.ictv.global/id/ICTV19760424","ICTV19760424@TEST")</f>
        <v>ICTV19760424@TEST</v>
      </c>
      <c r="N1606" t="str">
        <f>HYPERLINK("https://ictv.global/id/TN19982124","TN19982124@prod")</f>
        <v>TN19982124@prod</v>
      </c>
      <c r="O1606" t="str">
        <f>HYPERLINK("https://ictv.global/id/ICTV19760424","ICTV19760424@prod")</f>
        <v>ICTV19760424@prod</v>
      </c>
    </row>
    <row r="1607" spans="1:15" x14ac:dyDescent="0.2">
      <c r="A1607">
        <v>17</v>
      </c>
      <c r="B1607">
        <v>19982125</v>
      </c>
      <c r="C1607">
        <v>19760425</v>
      </c>
      <c r="D1607" t="s">
        <v>29</v>
      </c>
      <c r="E1607" t="s">
        <v>1972</v>
      </c>
      <c r="G1607" t="s">
        <v>1165</v>
      </c>
      <c r="L1607" t="str">
        <f>HYPERLINK("https://test.ictv.global/id/TN19982125","TN19982125@TEST")</f>
        <v>TN19982125@TEST</v>
      </c>
      <c r="M1607" t="str">
        <f>HYPERLINK("https://test.ictv.global/id/ICTV19760425","ICTV19760425@TEST")</f>
        <v>ICTV19760425@TEST</v>
      </c>
      <c r="N1607" t="str">
        <f>HYPERLINK("https://ictv.global/id/TN19982125","TN19982125@prod")</f>
        <v>TN19982125@prod</v>
      </c>
      <c r="O1607" t="str">
        <f>HYPERLINK("https://ictv.global/id/ICTV19760425","ICTV19760425@prod")</f>
        <v>ICTV19760425@prod</v>
      </c>
    </row>
    <row r="1608" spans="1:15" x14ac:dyDescent="0.2">
      <c r="A1608">
        <v>17</v>
      </c>
      <c r="B1608">
        <v>19982126</v>
      </c>
      <c r="C1608">
        <v>19760426</v>
      </c>
      <c r="D1608" t="s">
        <v>29</v>
      </c>
      <c r="E1608" t="s">
        <v>1973</v>
      </c>
      <c r="G1608" t="s">
        <v>1165</v>
      </c>
      <c r="L1608" t="str">
        <f>HYPERLINK("https://test.ictv.global/id/TN19982126","TN19982126@TEST")</f>
        <v>TN19982126@TEST</v>
      </c>
      <c r="M1608" t="str">
        <f>HYPERLINK("https://test.ictv.global/id/ICTV19760426","ICTV19760426@TEST")</f>
        <v>ICTV19760426@TEST</v>
      </c>
      <c r="N1608" t="str">
        <f>HYPERLINK("https://ictv.global/id/TN19982126","TN19982126@prod")</f>
        <v>TN19982126@prod</v>
      </c>
      <c r="O1608" t="str">
        <f>HYPERLINK("https://ictv.global/id/ICTV19760426","ICTV19760426@prod")</f>
        <v>ICTV19760426@prod</v>
      </c>
    </row>
    <row r="1609" spans="1:15" x14ac:dyDescent="0.2">
      <c r="A1609">
        <v>17</v>
      </c>
      <c r="B1609">
        <v>19982127</v>
      </c>
      <c r="C1609">
        <v>19760427</v>
      </c>
      <c r="D1609" t="s">
        <v>29</v>
      </c>
      <c r="E1609" t="s">
        <v>1974</v>
      </c>
      <c r="G1609" t="s">
        <v>1165</v>
      </c>
      <c r="L1609" t="str">
        <f>HYPERLINK("https://test.ictv.global/id/TN19982127","TN19982127@TEST")</f>
        <v>TN19982127@TEST</v>
      </c>
      <c r="M1609" t="str">
        <f>HYPERLINK("https://test.ictv.global/id/ICTV19760427","ICTV19760427@TEST")</f>
        <v>ICTV19760427@TEST</v>
      </c>
      <c r="N1609" t="str">
        <f>HYPERLINK("https://ictv.global/id/TN19982127","TN19982127@prod")</f>
        <v>TN19982127@prod</v>
      </c>
      <c r="O1609" t="str">
        <f>HYPERLINK("https://ictv.global/id/ICTV19760427","ICTV19760427@prod")</f>
        <v>ICTV19760427@prod</v>
      </c>
    </row>
    <row r="1610" spans="1:15" x14ac:dyDescent="0.2">
      <c r="A1610">
        <v>17</v>
      </c>
      <c r="B1610">
        <v>19982128</v>
      </c>
      <c r="C1610">
        <v>19760428</v>
      </c>
      <c r="D1610" t="s">
        <v>29</v>
      </c>
      <c r="E1610" t="s">
        <v>1975</v>
      </c>
      <c r="G1610" t="s">
        <v>1165</v>
      </c>
      <c r="L1610" t="str">
        <f>HYPERLINK("https://test.ictv.global/id/TN19982128","TN19982128@TEST")</f>
        <v>TN19982128@TEST</v>
      </c>
      <c r="M1610" t="str">
        <f>HYPERLINK("https://test.ictv.global/id/ICTV19760428","ICTV19760428@TEST")</f>
        <v>ICTV19760428@TEST</v>
      </c>
      <c r="N1610" t="str">
        <f>HYPERLINK("https://ictv.global/id/TN19982128","TN19982128@prod")</f>
        <v>TN19982128@prod</v>
      </c>
      <c r="O1610" t="str">
        <f>HYPERLINK("https://ictv.global/id/ICTV19760428","ICTV19760428@prod")</f>
        <v>ICTV19760428@prod</v>
      </c>
    </row>
    <row r="1611" spans="1:15" x14ac:dyDescent="0.2">
      <c r="A1611">
        <v>17</v>
      </c>
      <c r="B1611">
        <v>19982129</v>
      </c>
      <c r="C1611">
        <v>19760429</v>
      </c>
      <c r="D1611" t="s">
        <v>29</v>
      </c>
      <c r="E1611" t="s">
        <v>1976</v>
      </c>
      <c r="G1611" t="s">
        <v>1165</v>
      </c>
      <c r="L1611" t="str">
        <f>HYPERLINK("https://test.ictv.global/id/TN19982129","TN19982129@TEST")</f>
        <v>TN19982129@TEST</v>
      </c>
      <c r="M1611" t="str">
        <f>HYPERLINK("https://test.ictv.global/id/ICTV19760429","ICTV19760429@TEST")</f>
        <v>ICTV19760429@TEST</v>
      </c>
      <c r="N1611" t="str">
        <f>HYPERLINK("https://ictv.global/id/TN19982129","TN19982129@prod")</f>
        <v>TN19982129@prod</v>
      </c>
      <c r="O1611" t="str">
        <f>HYPERLINK("https://ictv.global/id/ICTV19760429","ICTV19760429@prod")</f>
        <v>ICTV19760429@prod</v>
      </c>
    </row>
    <row r="1612" spans="1:15" x14ac:dyDescent="0.2">
      <c r="A1612">
        <v>17</v>
      </c>
      <c r="B1612">
        <v>19982130</v>
      </c>
      <c r="C1612">
        <v>19760430</v>
      </c>
      <c r="D1612" t="s">
        <v>29</v>
      </c>
      <c r="E1612" t="s">
        <v>820</v>
      </c>
      <c r="G1612" t="s">
        <v>31</v>
      </c>
      <c r="H1612" t="s">
        <v>800</v>
      </c>
      <c r="I1612" t="s">
        <v>29</v>
      </c>
      <c r="J1612">
        <v>19991256</v>
      </c>
      <c r="K1612">
        <v>19991256</v>
      </c>
      <c r="L1612" t="str">
        <f>HYPERLINK("https://test.ictv.global/id/TN19982130","TN19982130@TEST")</f>
        <v>TN19982130@TEST</v>
      </c>
      <c r="M1612" t="str">
        <f>HYPERLINK("https://test.ictv.global/id/ICTV19760430","ICTV19760430@TEST")</f>
        <v>ICTV19760430@TEST</v>
      </c>
      <c r="N1612" t="str">
        <f>HYPERLINK("https://ictv.global/id/TN19982130","TN19982130@prod")</f>
        <v>TN19982130@prod</v>
      </c>
      <c r="O1612" t="str">
        <f>HYPERLINK("https://ictv.global/id/ICTV19760430","ICTV19760430@prod")</f>
        <v>ICTV19760430@prod</v>
      </c>
    </row>
    <row r="1613" spans="1:15" x14ac:dyDescent="0.2">
      <c r="A1613">
        <v>17</v>
      </c>
      <c r="B1613">
        <v>19982131</v>
      </c>
      <c r="C1613">
        <v>19760431</v>
      </c>
      <c r="D1613" t="s">
        <v>29</v>
      </c>
      <c r="E1613" t="s">
        <v>1977</v>
      </c>
      <c r="G1613" t="s">
        <v>1165</v>
      </c>
      <c r="L1613" t="str">
        <f>HYPERLINK("https://test.ictv.global/id/TN19982131","TN19982131@TEST")</f>
        <v>TN19982131@TEST</v>
      </c>
      <c r="M1613" t="str">
        <f>HYPERLINK("https://test.ictv.global/id/ICTV19760431","ICTV19760431@TEST")</f>
        <v>ICTV19760431@TEST</v>
      </c>
      <c r="N1613" t="str">
        <f>HYPERLINK("https://ictv.global/id/TN19982131","TN19982131@prod")</f>
        <v>TN19982131@prod</v>
      </c>
      <c r="O1613" t="str">
        <f>HYPERLINK("https://ictv.global/id/ICTV19760431","ICTV19760431@prod")</f>
        <v>ICTV19760431@prod</v>
      </c>
    </row>
    <row r="1614" spans="1:15" x14ac:dyDescent="0.2">
      <c r="A1614">
        <v>17</v>
      </c>
      <c r="B1614">
        <v>19982132</v>
      </c>
      <c r="C1614">
        <v>19760432</v>
      </c>
      <c r="D1614" t="s">
        <v>29</v>
      </c>
      <c r="E1614" t="s">
        <v>1978</v>
      </c>
      <c r="G1614" t="s">
        <v>1165</v>
      </c>
      <c r="L1614" t="str">
        <f>HYPERLINK("https://test.ictv.global/id/TN19982132","TN19982132@TEST")</f>
        <v>TN19982132@TEST</v>
      </c>
      <c r="M1614" t="str">
        <f>HYPERLINK("https://test.ictv.global/id/ICTV19760432","ICTV19760432@TEST")</f>
        <v>ICTV19760432@TEST</v>
      </c>
      <c r="N1614" t="str">
        <f>HYPERLINK("https://ictv.global/id/TN19982132","TN19982132@prod")</f>
        <v>TN19982132@prod</v>
      </c>
      <c r="O1614" t="str">
        <f>HYPERLINK("https://ictv.global/id/ICTV19760432","ICTV19760432@prod")</f>
        <v>ICTV19760432@prod</v>
      </c>
    </row>
    <row r="1615" spans="1:15" x14ac:dyDescent="0.2">
      <c r="A1615">
        <v>17</v>
      </c>
      <c r="B1615">
        <v>19982133</v>
      </c>
      <c r="C1615">
        <v>19760433</v>
      </c>
      <c r="D1615" t="s">
        <v>29</v>
      </c>
      <c r="E1615" t="s">
        <v>1979</v>
      </c>
      <c r="G1615" t="s">
        <v>1165</v>
      </c>
      <c r="L1615" t="str">
        <f>HYPERLINK("https://test.ictv.global/id/TN19982133","TN19982133@TEST")</f>
        <v>TN19982133@TEST</v>
      </c>
      <c r="M1615" t="str">
        <f>HYPERLINK("https://test.ictv.global/id/ICTV19760433","ICTV19760433@TEST")</f>
        <v>ICTV19760433@TEST</v>
      </c>
      <c r="N1615" t="str">
        <f>HYPERLINK("https://ictv.global/id/TN19982133","TN19982133@prod")</f>
        <v>TN19982133@prod</v>
      </c>
      <c r="O1615" t="str">
        <f>HYPERLINK("https://ictv.global/id/ICTV19760433","ICTV19760433@prod")</f>
        <v>ICTV19760433@prod</v>
      </c>
    </row>
    <row r="1616" spans="1:15" x14ac:dyDescent="0.2">
      <c r="A1616">
        <v>17</v>
      </c>
      <c r="B1616">
        <v>19982134</v>
      </c>
      <c r="C1616">
        <v>19760434</v>
      </c>
      <c r="D1616" t="s">
        <v>29</v>
      </c>
      <c r="E1616" t="s">
        <v>821</v>
      </c>
      <c r="G1616" t="s">
        <v>31</v>
      </c>
      <c r="H1616" t="s">
        <v>800</v>
      </c>
      <c r="I1616" t="s">
        <v>29</v>
      </c>
      <c r="J1616">
        <v>19991256</v>
      </c>
      <c r="K1616">
        <v>19991256</v>
      </c>
      <c r="L1616" t="str">
        <f>HYPERLINK("https://test.ictv.global/id/TN19982134","TN19982134@TEST")</f>
        <v>TN19982134@TEST</v>
      </c>
      <c r="M1616" t="str">
        <f>HYPERLINK("https://test.ictv.global/id/ICTV19760434","ICTV19760434@TEST")</f>
        <v>ICTV19760434@TEST</v>
      </c>
      <c r="N1616" t="str">
        <f>HYPERLINK("https://ictv.global/id/TN19982134","TN19982134@prod")</f>
        <v>TN19982134@prod</v>
      </c>
      <c r="O1616" t="str">
        <f>HYPERLINK("https://ictv.global/id/ICTV19760434","ICTV19760434@prod")</f>
        <v>ICTV19760434@prod</v>
      </c>
    </row>
    <row r="1617" spans="1:15" x14ac:dyDescent="0.2">
      <c r="A1617">
        <v>17</v>
      </c>
      <c r="B1617">
        <v>19982135</v>
      </c>
      <c r="C1617">
        <v>19760435</v>
      </c>
      <c r="D1617" t="s">
        <v>29</v>
      </c>
      <c r="E1617" t="s">
        <v>822</v>
      </c>
      <c r="G1617" t="s">
        <v>31</v>
      </c>
      <c r="H1617" t="s">
        <v>800</v>
      </c>
      <c r="I1617" t="s">
        <v>29</v>
      </c>
      <c r="J1617">
        <v>19991256</v>
      </c>
      <c r="K1617">
        <v>19991256</v>
      </c>
      <c r="L1617" t="str">
        <f>HYPERLINK("https://test.ictv.global/id/TN19982135","TN19982135@TEST")</f>
        <v>TN19982135@TEST</v>
      </c>
      <c r="M1617" t="str">
        <f>HYPERLINK("https://test.ictv.global/id/ICTV19760435","ICTV19760435@TEST")</f>
        <v>ICTV19760435@TEST</v>
      </c>
      <c r="N1617" t="str">
        <f>HYPERLINK("https://ictv.global/id/TN19982135","TN19982135@prod")</f>
        <v>TN19982135@prod</v>
      </c>
      <c r="O1617" t="str">
        <f>HYPERLINK("https://ictv.global/id/ICTV19760435","ICTV19760435@prod")</f>
        <v>ICTV19760435@prod</v>
      </c>
    </row>
    <row r="1618" spans="1:15" x14ac:dyDescent="0.2">
      <c r="A1618">
        <v>17</v>
      </c>
      <c r="B1618">
        <v>19982136</v>
      </c>
      <c r="C1618">
        <v>19760436</v>
      </c>
      <c r="D1618" t="s">
        <v>29</v>
      </c>
      <c r="E1618" t="s">
        <v>1980</v>
      </c>
      <c r="G1618" t="s">
        <v>1165</v>
      </c>
      <c r="L1618" t="str">
        <f>HYPERLINK("https://test.ictv.global/id/TN19982136","TN19982136@TEST")</f>
        <v>TN19982136@TEST</v>
      </c>
      <c r="M1618" t="str">
        <f>HYPERLINK("https://test.ictv.global/id/ICTV19760436","ICTV19760436@TEST")</f>
        <v>ICTV19760436@TEST</v>
      </c>
      <c r="N1618" t="str">
        <f>HYPERLINK("https://ictv.global/id/TN19982136","TN19982136@prod")</f>
        <v>TN19982136@prod</v>
      </c>
      <c r="O1618" t="str">
        <f>HYPERLINK("https://ictv.global/id/ICTV19760436","ICTV19760436@prod")</f>
        <v>ICTV19760436@prod</v>
      </c>
    </row>
    <row r="1619" spans="1:15" x14ac:dyDescent="0.2">
      <c r="A1619">
        <v>17</v>
      </c>
      <c r="B1619">
        <v>19982137</v>
      </c>
      <c r="C1619">
        <v>19760437</v>
      </c>
      <c r="D1619" t="s">
        <v>29</v>
      </c>
      <c r="E1619" t="s">
        <v>1981</v>
      </c>
      <c r="G1619" t="s">
        <v>1165</v>
      </c>
      <c r="L1619" t="str">
        <f>HYPERLINK("https://test.ictv.global/id/TN19982137","TN19982137@TEST")</f>
        <v>TN19982137@TEST</v>
      </c>
      <c r="M1619" t="str">
        <f>HYPERLINK("https://test.ictv.global/id/ICTV19760437","ICTV19760437@TEST")</f>
        <v>ICTV19760437@TEST</v>
      </c>
      <c r="N1619" t="str">
        <f>HYPERLINK("https://ictv.global/id/TN19982137","TN19982137@prod")</f>
        <v>TN19982137@prod</v>
      </c>
      <c r="O1619" t="str">
        <f>HYPERLINK("https://ictv.global/id/ICTV19760437","ICTV19760437@prod")</f>
        <v>ICTV19760437@prod</v>
      </c>
    </row>
    <row r="1620" spans="1:15" x14ac:dyDescent="0.2">
      <c r="A1620">
        <v>17</v>
      </c>
      <c r="B1620">
        <v>19982138</v>
      </c>
      <c r="C1620">
        <v>19760438</v>
      </c>
      <c r="D1620" t="s">
        <v>29</v>
      </c>
      <c r="E1620" t="s">
        <v>1982</v>
      </c>
      <c r="G1620" t="s">
        <v>1165</v>
      </c>
      <c r="L1620" t="str">
        <f>HYPERLINK("https://test.ictv.global/id/TN19982138","TN19982138@TEST")</f>
        <v>TN19982138@TEST</v>
      </c>
      <c r="M1620" t="str">
        <f>HYPERLINK("https://test.ictv.global/id/ICTV19760438","ICTV19760438@TEST")</f>
        <v>ICTV19760438@TEST</v>
      </c>
      <c r="N1620" t="str">
        <f>HYPERLINK("https://ictv.global/id/TN19982138","TN19982138@prod")</f>
        <v>TN19982138@prod</v>
      </c>
      <c r="O1620" t="str">
        <f>HYPERLINK("https://ictv.global/id/ICTV19760438","ICTV19760438@prod")</f>
        <v>ICTV19760438@prod</v>
      </c>
    </row>
    <row r="1621" spans="1:15" x14ac:dyDescent="0.2">
      <c r="A1621">
        <v>17</v>
      </c>
      <c r="B1621">
        <v>19982139</v>
      </c>
      <c r="C1621">
        <v>19760439</v>
      </c>
      <c r="D1621" t="s">
        <v>29</v>
      </c>
      <c r="E1621" t="s">
        <v>1983</v>
      </c>
      <c r="G1621" t="s">
        <v>1165</v>
      </c>
      <c r="L1621" t="str">
        <f>HYPERLINK("https://test.ictv.global/id/TN19982139","TN19982139@TEST")</f>
        <v>TN19982139@TEST</v>
      </c>
      <c r="M1621" t="str">
        <f>HYPERLINK("https://test.ictv.global/id/ICTV19760439","ICTV19760439@TEST")</f>
        <v>ICTV19760439@TEST</v>
      </c>
      <c r="N1621" t="str">
        <f>HYPERLINK("https://ictv.global/id/TN19982139","TN19982139@prod")</f>
        <v>TN19982139@prod</v>
      </c>
      <c r="O1621" t="str">
        <f>HYPERLINK("https://ictv.global/id/ICTV19760439","ICTV19760439@prod")</f>
        <v>ICTV19760439@prod</v>
      </c>
    </row>
    <row r="1622" spans="1:15" x14ac:dyDescent="0.2">
      <c r="A1622">
        <v>17</v>
      </c>
      <c r="B1622">
        <v>19982140</v>
      </c>
      <c r="C1622">
        <v>19760440</v>
      </c>
      <c r="D1622" t="s">
        <v>29</v>
      </c>
      <c r="E1622" t="s">
        <v>1984</v>
      </c>
      <c r="G1622" t="s">
        <v>1165</v>
      </c>
      <c r="L1622" t="str">
        <f>HYPERLINK("https://test.ictv.global/id/TN19982140","TN19982140@TEST")</f>
        <v>TN19982140@TEST</v>
      </c>
      <c r="M1622" t="str">
        <f>HYPERLINK("https://test.ictv.global/id/ICTV19760440","ICTV19760440@TEST")</f>
        <v>ICTV19760440@TEST</v>
      </c>
      <c r="N1622" t="str">
        <f>HYPERLINK("https://ictv.global/id/TN19982140","TN19982140@prod")</f>
        <v>TN19982140@prod</v>
      </c>
      <c r="O1622" t="str">
        <f>HYPERLINK("https://ictv.global/id/ICTV19760440","ICTV19760440@prod")</f>
        <v>ICTV19760440@prod</v>
      </c>
    </row>
    <row r="1623" spans="1:15" x14ac:dyDescent="0.2">
      <c r="A1623">
        <v>17</v>
      </c>
      <c r="B1623">
        <v>19982141</v>
      </c>
      <c r="C1623">
        <v>19760441</v>
      </c>
      <c r="D1623" t="s">
        <v>29</v>
      </c>
      <c r="E1623" t="s">
        <v>1985</v>
      </c>
      <c r="G1623" t="s">
        <v>1165</v>
      </c>
      <c r="L1623" t="str">
        <f>HYPERLINK("https://test.ictv.global/id/TN19982141","TN19982141@TEST")</f>
        <v>TN19982141@TEST</v>
      </c>
      <c r="M1623" t="str">
        <f>HYPERLINK("https://test.ictv.global/id/ICTV19760441","ICTV19760441@TEST")</f>
        <v>ICTV19760441@TEST</v>
      </c>
      <c r="N1623" t="str">
        <f>HYPERLINK("https://ictv.global/id/TN19982141","TN19982141@prod")</f>
        <v>TN19982141@prod</v>
      </c>
      <c r="O1623" t="str">
        <f>HYPERLINK("https://ictv.global/id/ICTV19760441","ICTV19760441@prod")</f>
        <v>ICTV19760441@prod</v>
      </c>
    </row>
    <row r="1624" spans="1:15" x14ac:dyDescent="0.2">
      <c r="A1624">
        <v>17</v>
      </c>
      <c r="B1624">
        <v>19982142</v>
      </c>
      <c r="C1624">
        <v>19760442</v>
      </c>
      <c r="D1624" t="s">
        <v>29</v>
      </c>
      <c r="E1624" t="s">
        <v>1986</v>
      </c>
      <c r="G1624" t="s">
        <v>1165</v>
      </c>
      <c r="L1624" t="str">
        <f>HYPERLINK("https://test.ictv.global/id/TN19982142","TN19982142@TEST")</f>
        <v>TN19982142@TEST</v>
      </c>
      <c r="M1624" t="str">
        <f>HYPERLINK("https://test.ictv.global/id/ICTV19760442","ICTV19760442@TEST")</f>
        <v>ICTV19760442@TEST</v>
      </c>
      <c r="N1624" t="str">
        <f>HYPERLINK("https://ictv.global/id/TN19982142","TN19982142@prod")</f>
        <v>TN19982142@prod</v>
      </c>
      <c r="O1624" t="str">
        <f>HYPERLINK("https://ictv.global/id/ICTV19760442","ICTV19760442@prod")</f>
        <v>ICTV19760442@prod</v>
      </c>
    </row>
    <row r="1625" spans="1:15" x14ac:dyDescent="0.2">
      <c r="A1625">
        <v>17</v>
      </c>
      <c r="B1625">
        <v>19982143</v>
      </c>
      <c r="C1625">
        <v>19760443</v>
      </c>
      <c r="D1625" t="s">
        <v>29</v>
      </c>
      <c r="E1625" t="s">
        <v>1987</v>
      </c>
      <c r="G1625" t="s">
        <v>1165</v>
      </c>
      <c r="L1625" t="str">
        <f>HYPERLINK("https://test.ictv.global/id/TN19982143","TN19982143@TEST")</f>
        <v>TN19982143@TEST</v>
      </c>
      <c r="M1625" t="str">
        <f>HYPERLINK("https://test.ictv.global/id/ICTV19760443","ICTV19760443@TEST")</f>
        <v>ICTV19760443@TEST</v>
      </c>
      <c r="N1625" t="str">
        <f>HYPERLINK("https://ictv.global/id/TN19982143","TN19982143@prod")</f>
        <v>TN19982143@prod</v>
      </c>
      <c r="O1625" t="str">
        <f>HYPERLINK("https://ictv.global/id/ICTV19760443","ICTV19760443@prod")</f>
        <v>ICTV19760443@prod</v>
      </c>
    </row>
    <row r="1626" spans="1:15" x14ac:dyDescent="0.2">
      <c r="A1626">
        <v>17</v>
      </c>
      <c r="B1626">
        <v>19982144</v>
      </c>
      <c r="C1626">
        <v>19760444</v>
      </c>
      <c r="D1626" t="s">
        <v>29</v>
      </c>
      <c r="E1626" t="s">
        <v>1988</v>
      </c>
      <c r="G1626" t="s">
        <v>1165</v>
      </c>
      <c r="L1626" t="str">
        <f>HYPERLINK("https://test.ictv.global/id/TN19982144","TN19982144@TEST")</f>
        <v>TN19982144@TEST</v>
      </c>
      <c r="M1626" t="str">
        <f>HYPERLINK("https://test.ictv.global/id/ICTV19760444","ICTV19760444@TEST")</f>
        <v>ICTV19760444@TEST</v>
      </c>
      <c r="N1626" t="str">
        <f>HYPERLINK("https://ictv.global/id/TN19982144","TN19982144@prod")</f>
        <v>TN19982144@prod</v>
      </c>
      <c r="O1626" t="str">
        <f>HYPERLINK("https://ictv.global/id/ICTV19760444","ICTV19760444@prod")</f>
        <v>ICTV19760444@prod</v>
      </c>
    </row>
    <row r="1627" spans="1:15" x14ac:dyDescent="0.2">
      <c r="A1627">
        <v>17</v>
      </c>
      <c r="B1627">
        <v>19982145</v>
      </c>
      <c r="C1627">
        <v>19760445</v>
      </c>
      <c r="D1627" t="s">
        <v>29</v>
      </c>
      <c r="E1627" t="s">
        <v>1989</v>
      </c>
      <c r="G1627" t="s">
        <v>1165</v>
      </c>
      <c r="L1627" t="str">
        <f>HYPERLINK("https://test.ictv.global/id/TN19982145","TN19982145@TEST")</f>
        <v>TN19982145@TEST</v>
      </c>
      <c r="M1627" t="str">
        <f>HYPERLINK("https://test.ictv.global/id/ICTV19760445","ICTV19760445@TEST")</f>
        <v>ICTV19760445@TEST</v>
      </c>
      <c r="N1627" t="str">
        <f>HYPERLINK("https://ictv.global/id/TN19982145","TN19982145@prod")</f>
        <v>TN19982145@prod</v>
      </c>
      <c r="O1627" t="str">
        <f>HYPERLINK("https://ictv.global/id/ICTV19760445","ICTV19760445@prod")</f>
        <v>ICTV19760445@prod</v>
      </c>
    </row>
    <row r="1628" spans="1:15" x14ac:dyDescent="0.2">
      <c r="A1628">
        <v>17</v>
      </c>
      <c r="B1628">
        <v>19982148</v>
      </c>
      <c r="C1628">
        <v>19951742</v>
      </c>
      <c r="D1628" t="s">
        <v>29</v>
      </c>
      <c r="E1628" t="s">
        <v>1990</v>
      </c>
      <c r="G1628" t="s">
        <v>1165</v>
      </c>
      <c r="L1628" t="str">
        <f>HYPERLINK("https://test.ictv.global/id/TN19982148","TN19982148@TEST")</f>
        <v>TN19982148@TEST</v>
      </c>
      <c r="M1628" t="str">
        <f>HYPERLINK("https://test.ictv.global/id/ICTV19951742","ICTV19951742@TEST")</f>
        <v>ICTV19951742@TEST</v>
      </c>
      <c r="N1628" t="str">
        <f>HYPERLINK("https://ictv.global/id/TN19982148","TN19982148@prod")</f>
        <v>TN19982148@prod</v>
      </c>
      <c r="O1628" t="str">
        <f>HYPERLINK("https://ictv.global/id/ICTV19951742","ICTV19951742@prod")</f>
        <v>ICTV19951742@prod</v>
      </c>
    </row>
    <row r="1629" spans="1:15" x14ac:dyDescent="0.2">
      <c r="A1629">
        <v>17</v>
      </c>
      <c r="B1629">
        <v>19982149</v>
      </c>
      <c r="C1629">
        <v>19951743</v>
      </c>
      <c r="D1629" t="s">
        <v>29</v>
      </c>
      <c r="E1629" t="s">
        <v>1991</v>
      </c>
      <c r="G1629" t="s">
        <v>1165</v>
      </c>
      <c r="L1629" t="str">
        <f>HYPERLINK("https://test.ictv.global/id/TN19982149","TN19982149@TEST")</f>
        <v>TN19982149@TEST</v>
      </c>
      <c r="M1629" t="str">
        <f>HYPERLINK("https://test.ictv.global/id/ICTV19951743","ICTV19951743@TEST")</f>
        <v>ICTV19951743@TEST</v>
      </c>
      <c r="N1629" t="str">
        <f>HYPERLINK("https://ictv.global/id/TN19982149","TN19982149@prod")</f>
        <v>TN19982149@prod</v>
      </c>
      <c r="O1629" t="str">
        <f>HYPERLINK("https://ictv.global/id/ICTV19951743","ICTV19951743@prod")</f>
        <v>ICTV19951743@prod</v>
      </c>
    </row>
    <row r="1630" spans="1:15" x14ac:dyDescent="0.2">
      <c r="A1630">
        <v>17</v>
      </c>
      <c r="B1630">
        <v>19982150</v>
      </c>
      <c r="C1630">
        <v>19951744</v>
      </c>
      <c r="D1630" t="s">
        <v>29</v>
      </c>
      <c r="E1630" t="s">
        <v>1992</v>
      </c>
      <c r="G1630" t="s">
        <v>1165</v>
      </c>
      <c r="L1630" t="str">
        <f>HYPERLINK("https://test.ictv.global/id/TN19982150","TN19982150@TEST")</f>
        <v>TN19982150@TEST</v>
      </c>
      <c r="M1630" t="str">
        <f>HYPERLINK("https://test.ictv.global/id/ICTV19951744","ICTV19951744@TEST")</f>
        <v>ICTV19951744@TEST</v>
      </c>
      <c r="N1630" t="str">
        <f>HYPERLINK("https://ictv.global/id/TN19982150","TN19982150@prod")</f>
        <v>TN19982150@prod</v>
      </c>
      <c r="O1630" t="str">
        <f>HYPERLINK("https://ictv.global/id/ICTV19951744","ICTV19951744@prod")</f>
        <v>ICTV19951744@prod</v>
      </c>
    </row>
    <row r="1631" spans="1:15" x14ac:dyDescent="0.2">
      <c r="A1631">
        <v>17</v>
      </c>
      <c r="B1631">
        <v>19982151</v>
      </c>
      <c r="C1631">
        <v>19951745</v>
      </c>
      <c r="D1631" t="s">
        <v>29</v>
      </c>
      <c r="E1631" t="s">
        <v>1993</v>
      </c>
      <c r="G1631" t="s">
        <v>1165</v>
      </c>
      <c r="L1631" t="str">
        <f>HYPERLINK("https://test.ictv.global/id/TN19982151","TN19982151@TEST")</f>
        <v>TN19982151@TEST</v>
      </c>
      <c r="M1631" t="str">
        <f>HYPERLINK("https://test.ictv.global/id/ICTV19951745","ICTV19951745@TEST")</f>
        <v>ICTV19951745@TEST</v>
      </c>
      <c r="N1631" t="str">
        <f>HYPERLINK("https://ictv.global/id/TN19982151","TN19982151@prod")</f>
        <v>TN19982151@prod</v>
      </c>
      <c r="O1631" t="str">
        <f>HYPERLINK("https://ictv.global/id/ICTV19951745","ICTV19951745@prod")</f>
        <v>ICTV19951745@prod</v>
      </c>
    </row>
    <row r="1632" spans="1:15" x14ac:dyDescent="0.2">
      <c r="A1632">
        <v>17</v>
      </c>
      <c r="B1632">
        <v>19982152</v>
      </c>
      <c r="C1632">
        <v>19951746</v>
      </c>
      <c r="D1632" t="s">
        <v>29</v>
      </c>
      <c r="E1632" t="s">
        <v>1994</v>
      </c>
      <c r="G1632" t="s">
        <v>1165</v>
      </c>
      <c r="L1632" t="str">
        <f>HYPERLINK("https://test.ictv.global/id/TN19982152","TN19982152@TEST")</f>
        <v>TN19982152@TEST</v>
      </c>
      <c r="M1632" t="str">
        <f>HYPERLINK("https://test.ictv.global/id/ICTV19951746","ICTV19951746@TEST")</f>
        <v>ICTV19951746@TEST</v>
      </c>
      <c r="N1632" t="str">
        <f>HYPERLINK("https://ictv.global/id/TN19982152","TN19982152@prod")</f>
        <v>TN19982152@prod</v>
      </c>
      <c r="O1632" t="str">
        <f>HYPERLINK("https://ictv.global/id/ICTV19951746","ICTV19951746@prod")</f>
        <v>ICTV19951746@prod</v>
      </c>
    </row>
    <row r="1633" spans="1:15" x14ac:dyDescent="0.2">
      <c r="A1633">
        <v>17</v>
      </c>
      <c r="B1633">
        <v>19982153</v>
      </c>
      <c r="C1633">
        <v>19951747</v>
      </c>
      <c r="D1633" t="s">
        <v>29</v>
      </c>
      <c r="E1633" t="s">
        <v>1995</v>
      </c>
      <c r="G1633" t="s">
        <v>1165</v>
      </c>
      <c r="L1633" t="str">
        <f>HYPERLINK("https://test.ictv.global/id/TN19982153","TN19982153@TEST")</f>
        <v>TN19982153@TEST</v>
      </c>
      <c r="M1633" t="str">
        <f>HYPERLINK("https://test.ictv.global/id/ICTV19951747","ICTV19951747@TEST")</f>
        <v>ICTV19951747@TEST</v>
      </c>
      <c r="N1633" t="str">
        <f>HYPERLINK("https://ictv.global/id/TN19982153","TN19982153@prod")</f>
        <v>TN19982153@prod</v>
      </c>
      <c r="O1633" t="str">
        <f>HYPERLINK("https://ictv.global/id/ICTV19951747","ICTV19951747@prod")</f>
        <v>ICTV19951747@prod</v>
      </c>
    </row>
    <row r="1634" spans="1:15" x14ac:dyDescent="0.2">
      <c r="A1634">
        <v>17</v>
      </c>
      <c r="B1634">
        <v>19982154</v>
      </c>
      <c r="C1634">
        <v>19951748</v>
      </c>
      <c r="D1634" t="s">
        <v>29</v>
      </c>
      <c r="E1634" t="s">
        <v>1996</v>
      </c>
      <c r="G1634" t="s">
        <v>1165</v>
      </c>
      <c r="L1634" t="str">
        <f>HYPERLINK("https://test.ictv.global/id/TN19982154","TN19982154@TEST")</f>
        <v>TN19982154@TEST</v>
      </c>
      <c r="M1634" t="str">
        <f>HYPERLINK("https://test.ictv.global/id/ICTV19951748","ICTV19951748@TEST")</f>
        <v>ICTV19951748@TEST</v>
      </c>
      <c r="N1634" t="str">
        <f>HYPERLINK("https://ictv.global/id/TN19982154","TN19982154@prod")</f>
        <v>TN19982154@prod</v>
      </c>
      <c r="O1634" t="str">
        <f>HYPERLINK("https://ictv.global/id/ICTV19951748","ICTV19951748@prod")</f>
        <v>ICTV19951748@prod</v>
      </c>
    </row>
    <row r="1635" spans="1:15" x14ac:dyDescent="0.2">
      <c r="A1635">
        <v>17</v>
      </c>
      <c r="B1635">
        <v>19982188</v>
      </c>
      <c r="C1635">
        <v>19951829</v>
      </c>
      <c r="D1635" t="s">
        <v>29</v>
      </c>
      <c r="E1635" t="s">
        <v>1997</v>
      </c>
      <c r="G1635" t="s">
        <v>1165</v>
      </c>
      <c r="L1635" t="str">
        <f>HYPERLINK("https://test.ictv.global/id/TN19982188","TN19982188@TEST")</f>
        <v>TN19982188@TEST</v>
      </c>
      <c r="M1635" t="str">
        <f>HYPERLINK("https://test.ictv.global/id/ICTV19951829","ICTV19951829@TEST")</f>
        <v>ICTV19951829@TEST</v>
      </c>
      <c r="N1635" t="str">
        <f>HYPERLINK("https://ictv.global/id/TN19982188","TN19982188@prod")</f>
        <v>TN19982188@prod</v>
      </c>
      <c r="O1635" t="str">
        <f>HYPERLINK("https://ictv.global/id/ICTV19951829","ICTV19951829@prod")</f>
        <v>ICTV19951829@prod</v>
      </c>
    </row>
    <row r="1636" spans="1:15" x14ac:dyDescent="0.2">
      <c r="A1636">
        <v>17</v>
      </c>
      <c r="B1636">
        <v>19982192</v>
      </c>
      <c r="C1636">
        <v>19951833</v>
      </c>
      <c r="D1636" t="s">
        <v>29</v>
      </c>
      <c r="E1636" t="s">
        <v>1998</v>
      </c>
      <c r="G1636" t="s">
        <v>1165</v>
      </c>
      <c r="L1636" t="str">
        <f>HYPERLINK("https://test.ictv.global/id/TN19982192","TN19982192@TEST")</f>
        <v>TN19982192@TEST</v>
      </c>
      <c r="M1636" t="str">
        <f>HYPERLINK("https://test.ictv.global/id/ICTV19951833","ICTV19951833@TEST")</f>
        <v>ICTV19951833@TEST</v>
      </c>
      <c r="N1636" t="str">
        <f>HYPERLINK("https://ictv.global/id/TN19982192","TN19982192@prod")</f>
        <v>TN19982192@prod</v>
      </c>
      <c r="O1636" t="str">
        <f>HYPERLINK("https://ictv.global/id/ICTV19951833","ICTV19951833@prod")</f>
        <v>ICTV19951833@prod</v>
      </c>
    </row>
    <row r="1637" spans="1:15" x14ac:dyDescent="0.2">
      <c r="A1637">
        <v>17</v>
      </c>
      <c r="B1637">
        <v>19982196</v>
      </c>
      <c r="C1637">
        <v>19951837</v>
      </c>
      <c r="D1637" t="s">
        <v>29</v>
      </c>
      <c r="E1637" t="s">
        <v>1999</v>
      </c>
      <c r="G1637" t="s">
        <v>1165</v>
      </c>
      <c r="L1637" t="str">
        <f>HYPERLINK("https://test.ictv.global/id/TN19982196","TN19982196@TEST")</f>
        <v>TN19982196@TEST</v>
      </c>
      <c r="M1637" t="str">
        <f>HYPERLINK("https://test.ictv.global/id/ICTV19951837","ICTV19951837@TEST")</f>
        <v>ICTV19951837@TEST</v>
      </c>
      <c r="N1637" t="str">
        <f>HYPERLINK("https://ictv.global/id/TN19982196","TN19982196@prod")</f>
        <v>TN19982196@prod</v>
      </c>
      <c r="O1637" t="str">
        <f>HYPERLINK("https://ictv.global/id/ICTV19951837","ICTV19951837@prod")</f>
        <v>ICTV19951837@prod</v>
      </c>
    </row>
    <row r="1638" spans="1:15" x14ac:dyDescent="0.2">
      <c r="A1638">
        <v>17</v>
      </c>
      <c r="B1638">
        <v>19982200</v>
      </c>
      <c r="C1638">
        <v>19951841</v>
      </c>
      <c r="D1638" t="s">
        <v>29</v>
      </c>
      <c r="E1638" t="s">
        <v>2000</v>
      </c>
      <c r="G1638" t="s">
        <v>1165</v>
      </c>
      <c r="L1638" t="str">
        <f>HYPERLINK("https://test.ictv.global/id/TN19982200","TN19982200@TEST")</f>
        <v>TN19982200@TEST</v>
      </c>
      <c r="M1638" t="str">
        <f>HYPERLINK("https://test.ictv.global/id/ICTV19951841","ICTV19951841@TEST")</f>
        <v>ICTV19951841@TEST</v>
      </c>
      <c r="N1638" t="str">
        <f>HYPERLINK("https://ictv.global/id/TN19982200","TN19982200@prod")</f>
        <v>TN19982200@prod</v>
      </c>
      <c r="O1638" t="str">
        <f>HYPERLINK("https://ictv.global/id/ICTV19951841","ICTV19951841@prod")</f>
        <v>ICTV19951841@prod</v>
      </c>
    </row>
    <row r="1639" spans="1:15" x14ac:dyDescent="0.2">
      <c r="A1639">
        <v>17</v>
      </c>
      <c r="B1639">
        <v>19982207</v>
      </c>
      <c r="C1639">
        <v>19951848</v>
      </c>
      <c r="D1639" t="s">
        <v>29</v>
      </c>
      <c r="E1639" t="s">
        <v>2001</v>
      </c>
      <c r="G1639" t="s">
        <v>1165</v>
      </c>
      <c r="L1639" t="str">
        <f>HYPERLINK("https://test.ictv.global/id/TN19982207","TN19982207@TEST")</f>
        <v>TN19982207@TEST</v>
      </c>
      <c r="M1639" t="str">
        <f>HYPERLINK("https://test.ictv.global/id/ICTV19951848","ICTV19951848@TEST")</f>
        <v>ICTV19951848@TEST</v>
      </c>
      <c r="N1639" t="str">
        <f>HYPERLINK("https://ictv.global/id/TN19982207","TN19982207@prod")</f>
        <v>TN19982207@prod</v>
      </c>
      <c r="O1639" t="str">
        <f>HYPERLINK("https://ictv.global/id/ICTV19951848","ICTV19951848@prod")</f>
        <v>ICTV19951848@prod</v>
      </c>
    </row>
    <row r="1640" spans="1:15" x14ac:dyDescent="0.2">
      <c r="A1640">
        <v>17</v>
      </c>
      <c r="B1640">
        <v>19982211</v>
      </c>
      <c r="C1640">
        <v>19951852</v>
      </c>
      <c r="D1640" t="s">
        <v>29</v>
      </c>
      <c r="E1640" t="s">
        <v>2002</v>
      </c>
      <c r="G1640" t="s">
        <v>1165</v>
      </c>
      <c r="L1640" t="str">
        <f>HYPERLINK("https://test.ictv.global/id/TN19982211","TN19982211@TEST")</f>
        <v>TN19982211@TEST</v>
      </c>
      <c r="M1640" t="str">
        <f>HYPERLINK("https://test.ictv.global/id/ICTV19951852","ICTV19951852@TEST")</f>
        <v>ICTV19951852@TEST</v>
      </c>
      <c r="N1640" t="str">
        <f>HYPERLINK("https://ictv.global/id/TN19982211","TN19982211@prod")</f>
        <v>TN19982211@prod</v>
      </c>
      <c r="O1640" t="str">
        <f>HYPERLINK("https://ictv.global/id/ICTV19951852","ICTV19951852@prod")</f>
        <v>ICTV19951852@prod</v>
      </c>
    </row>
    <row r="1641" spans="1:15" x14ac:dyDescent="0.2">
      <c r="A1641">
        <v>17</v>
      </c>
      <c r="B1641">
        <v>19982245</v>
      </c>
      <c r="C1641">
        <v>19991368</v>
      </c>
      <c r="D1641" t="s">
        <v>29</v>
      </c>
      <c r="E1641" t="s">
        <v>291</v>
      </c>
      <c r="F1641" t="s">
        <v>1394</v>
      </c>
      <c r="G1641" t="s">
        <v>33</v>
      </c>
      <c r="H1641" t="s">
        <v>291</v>
      </c>
      <c r="I1641" t="s">
        <v>29</v>
      </c>
      <c r="J1641">
        <v>19991368</v>
      </c>
      <c r="K1641">
        <v>19991368</v>
      </c>
      <c r="L1641" t="str">
        <f>HYPERLINK("https://test.ictv.global/id/TN19982245","TN19982245@TEST")</f>
        <v>TN19982245@TEST</v>
      </c>
      <c r="M1641" t="str">
        <f>HYPERLINK("https://test.ictv.global/id/ICTV19991368","ICTV19991368@TEST")</f>
        <v>ICTV19991368@TEST</v>
      </c>
      <c r="N1641" t="str">
        <f>HYPERLINK("https://ictv.global/id/TN19982245","TN19982245@prod")</f>
        <v>TN19982245@prod</v>
      </c>
      <c r="O1641" t="str">
        <f>HYPERLINK("https://ictv.global/id/ICTV19991368","ICTV19991368@prod")</f>
        <v>ICTV19991368@prod</v>
      </c>
    </row>
    <row r="1642" spans="1:15" x14ac:dyDescent="0.2">
      <c r="A1642">
        <v>17</v>
      </c>
      <c r="B1642">
        <v>19982262</v>
      </c>
      <c r="C1642">
        <v>19911775</v>
      </c>
      <c r="D1642" t="s">
        <v>29</v>
      </c>
      <c r="E1642" t="s">
        <v>823</v>
      </c>
      <c r="G1642" t="s">
        <v>33</v>
      </c>
      <c r="H1642" t="s">
        <v>291</v>
      </c>
      <c r="I1642" t="s">
        <v>29</v>
      </c>
      <c r="J1642">
        <v>19991368</v>
      </c>
      <c r="K1642">
        <v>19991368</v>
      </c>
      <c r="L1642" t="str">
        <f>HYPERLINK("https://test.ictv.global/id/TN19982262","TN19982262@TEST")</f>
        <v>TN19982262@TEST</v>
      </c>
      <c r="M1642" t="str">
        <f>HYPERLINK("https://test.ictv.global/id/ICTV19911775","ICTV19911775@TEST")</f>
        <v>ICTV19911775@TEST</v>
      </c>
      <c r="N1642" t="str">
        <f>HYPERLINK("https://ictv.global/id/TN19982262","TN19982262@prod")</f>
        <v>TN19982262@prod</v>
      </c>
      <c r="O1642" t="str">
        <f>HYPERLINK("https://ictv.global/id/ICTV19911775","ICTV19911775@prod")</f>
        <v>ICTV19911775@prod</v>
      </c>
    </row>
    <row r="1643" spans="1:15" x14ac:dyDescent="0.2">
      <c r="A1643">
        <v>17</v>
      </c>
      <c r="B1643">
        <v>19982311</v>
      </c>
      <c r="C1643">
        <v>19951924</v>
      </c>
      <c r="D1643" t="s">
        <v>29</v>
      </c>
      <c r="E1643" t="s">
        <v>2003</v>
      </c>
      <c r="G1643" t="s">
        <v>1165</v>
      </c>
      <c r="L1643" t="str">
        <f>HYPERLINK("https://test.ictv.global/id/TN19982311","TN19982311@TEST")</f>
        <v>TN19982311@TEST</v>
      </c>
      <c r="M1643" t="str">
        <f>HYPERLINK("https://test.ictv.global/id/ICTV19951924","ICTV19951924@TEST")</f>
        <v>ICTV19951924@TEST</v>
      </c>
      <c r="N1643" t="str">
        <f>HYPERLINK("https://ictv.global/id/TN19982311","TN19982311@prod")</f>
        <v>TN19982311@prod</v>
      </c>
      <c r="O1643" t="str">
        <f>HYPERLINK("https://ictv.global/id/ICTV19951924","ICTV19951924@prod")</f>
        <v>ICTV19951924@prod</v>
      </c>
    </row>
    <row r="1644" spans="1:15" x14ac:dyDescent="0.2">
      <c r="A1644">
        <v>17</v>
      </c>
      <c r="B1644">
        <v>19982313</v>
      </c>
      <c r="C1644">
        <v>19911820</v>
      </c>
      <c r="D1644" t="s">
        <v>29</v>
      </c>
      <c r="E1644" t="s">
        <v>824</v>
      </c>
      <c r="G1644" t="s">
        <v>33</v>
      </c>
      <c r="H1644" t="s">
        <v>825</v>
      </c>
      <c r="I1644" t="s">
        <v>29</v>
      </c>
      <c r="J1644">
        <v>19991444</v>
      </c>
      <c r="K1644">
        <v>19991444</v>
      </c>
      <c r="L1644" t="str">
        <f>HYPERLINK("https://test.ictv.global/id/TN19982313","TN19982313@TEST")</f>
        <v>TN19982313@TEST</v>
      </c>
      <c r="M1644" t="str">
        <f>HYPERLINK("https://test.ictv.global/id/ICTV19911820","ICTV19911820@TEST")</f>
        <v>ICTV19911820@TEST</v>
      </c>
      <c r="N1644" t="str">
        <f>HYPERLINK("https://ictv.global/id/TN19982313","TN19982313@prod")</f>
        <v>TN19982313@prod</v>
      </c>
      <c r="O1644" t="str">
        <f>HYPERLINK("https://ictv.global/id/ICTV19911820","ICTV19911820@prod")</f>
        <v>ICTV19911820@prod</v>
      </c>
    </row>
    <row r="1645" spans="1:15" x14ac:dyDescent="0.2">
      <c r="A1645">
        <v>17</v>
      </c>
      <c r="B1645">
        <v>19982314</v>
      </c>
      <c r="C1645">
        <v>19991444</v>
      </c>
      <c r="D1645" t="s">
        <v>29</v>
      </c>
      <c r="E1645" t="s">
        <v>825</v>
      </c>
      <c r="F1645" t="s">
        <v>2004</v>
      </c>
      <c r="G1645" t="s">
        <v>33</v>
      </c>
      <c r="H1645" t="s">
        <v>825</v>
      </c>
      <c r="I1645" t="s">
        <v>29</v>
      </c>
      <c r="J1645">
        <v>19991444</v>
      </c>
      <c r="K1645">
        <v>19991444</v>
      </c>
      <c r="L1645" t="str">
        <f>HYPERLINK("https://test.ictv.global/id/TN19982314","TN19982314@TEST")</f>
        <v>TN19982314@TEST</v>
      </c>
      <c r="M1645" t="str">
        <f>HYPERLINK("https://test.ictv.global/id/ICTV19991444","ICTV19991444@TEST")</f>
        <v>ICTV19991444@TEST</v>
      </c>
      <c r="N1645" t="str">
        <f>HYPERLINK("https://ictv.global/id/TN19982314","TN19982314@prod")</f>
        <v>TN19982314@prod</v>
      </c>
      <c r="O1645" t="str">
        <f>HYPERLINK("https://ictv.global/id/ICTV19991444","ICTV19991444@prod")</f>
        <v>ICTV19991444@prod</v>
      </c>
    </row>
    <row r="1646" spans="1:15" x14ac:dyDescent="0.2">
      <c r="A1646">
        <v>17</v>
      </c>
      <c r="B1646">
        <v>19982392</v>
      </c>
      <c r="C1646">
        <v>19991541</v>
      </c>
      <c r="D1646" t="s">
        <v>29</v>
      </c>
      <c r="E1646" t="s">
        <v>826</v>
      </c>
      <c r="G1646" t="s">
        <v>33</v>
      </c>
      <c r="H1646" t="s">
        <v>826</v>
      </c>
      <c r="I1646" t="s">
        <v>29</v>
      </c>
      <c r="J1646">
        <v>19991541</v>
      </c>
      <c r="K1646">
        <v>19991541</v>
      </c>
      <c r="L1646" t="str">
        <f>HYPERLINK("https://test.ictv.global/id/TN19982392","TN19982392@TEST")</f>
        <v>TN19982392@TEST</v>
      </c>
      <c r="M1646" t="str">
        <f>HYPERLINK("https://test.ictv.global/id/ICTV19991541","ICTV19991541@TEST")</f>
        <v>ICTV19991541@TEST</v>
      </c>
      <c r="N1646" t="str">
        <f>HYPERLINK("https://ictv.global/id/TN19982392","TN19982392@prod")</f>
        <v>TN19982392@prod</v>
      </c>
      <c r="O1646" t="str">
        <f>HYPERLINK("https://ictv.global/id/ICTV19991541","ICTV19991541@prod")</f>
        <v>ICTV19991541@prod</v>
      </c>
    </row>
    <row r="1647" spans="1:15" x14ac:dyDescent="0.2">
      <c r="A1647">
        <v>17</v>
      </c>
      <c r="B1647">
        <v>19982394</v>
      </c>
      <c r="C1647">
        <v>19952004</v>
      </c>
      <c r="D1647" t="s">
        <v>29</v>
      </c>
      <c r="E1647" t="s">
        <v>827</v>
      </c>
      <c r="G1647" t="s">
        <v>31</v>
      </c>
      <c r="H1647" t="s">
        <v>826</v>
      </c>
      <c r="I1647" t="s">
        <v>29</v>
      </c>
      <c r="J1647">
        <v>19991541</v>
      </c>
      <c r="K1647">
        <v>19991541</v>
      </c>
      <c r="L1647" t="str">
        <f>HYPERLINK("https://test.ictv.global/id/TN19982394","TN19982394@TEST")</f>
        <v>TN19982394@TEST</v>
      </c>
      <c r="M1647" t="str">
        <f>HYPERLINK("https://test.ictv.global/id/ICTV19952004","ICTV19952004@TEST")</f>
        <v>ICTV19952004@TEST</v>
      </c>
      <c r="N1647" t="str">
        <f>HYPERLINK("https://ictv.global/id/TN19982394","TN19982394@prod")</f>
        <v>TN19982394@prod</v>
      </c>
      <c r="O1647" t="str">
        <f>HYPERLINK("https://ictv.global/id/ICTV19952004","ICTV19952004@prod")</f>
        <v>ICTV19952004@prod</v>
      </c>
    </row>
    <row r="1648" spans="1:15" x14ac:dyDescent="0.2">
      <c r="A1648">
        <v>17</v>
      </c>
      <c r="B1648">
        <v>19982446</v>
      </c>
      <c r="C1648">
        <v>19911429</v>
      </c>
      <c r="D1648" t="s">
        <v>29</v>
      </c>
      <c r="E1648" t="s">
        <v>2005</v>
      </c>
      <c r="G1648" t="s">
        <v>1165</v>
      </c>
      <c r="L1648" t="str">
        <f>HYPERLINK("https://test.ictv.global/id/TN19982446","TN19982446@TEST")</f>
        <v>TN19982446@TEST</v>
      </c>
      <c r="M1648" t="str">
        <f>HYPERLINK("https://test.ictv.global/id/ICTV19911429","ICTV19911429@TEST")</f>
        <v>ICTV19911429@TEST</v>
      </c>
      <c r="N1648" t="str">
        <f>HYPERLINK("https://ictv.global/id/TN19982446","TN19982446@prod")</f>
        <v>TN19982446@prod</v>
      </c>
      <c r="O1648" t="str">
        <f>HYPERLINK("https://ictv.global/id/ICTV19911429","ICTV19911429@prod")</f>
        <v>ICTV19911429@prod</v>
      </c>
    </row>
    <row r="1649" spans="1:15" x14ac:dyDescent="0.2">
      <c r="A1649">
        <v>17</v>
      </c>
      <c r="B1649">
        <v>19982457</v>
      </c>
      <c r="C1649">
        <v>19991609</v>
      </c>
      <c r="D1649" t="s">
        <v>29</v>
      </c>
      <c r="E1649" t="s">
        <v>828</v>
      </c>
      <c r="G1649" t="s">
        <v>33</v>
      </c>
      <c r="H1649" t="s">
        <v>828</v>
      </c>
      <c r="I1649" t="s">
        <v>29</v>
      </c>
      <c r="J1649">
        <v>19991609</v>
      </c>
      <c r="K1649">
        <v>19991609</v>
      </c>
      <c r="L1649" t="str">
        <f>HYPERLINK("https://test.ictv.global/id/TN19982457","TN19982457@TEST")</f>
        <v>TN19982457@TEST</v>
      </c>
      <c r="M1649" t="str">
        <f>HYPERLINK("https://test.ictv.global/id/ICTV19991609","ICTV19991609@TEST")</f>
        <v>ICTV19991609@TEST</v>
      </c>
      <c r="N1649" t="str">
        <f>HYPERLINK("https://ictv.global/id/TN19982457","TN19982457@prod")</f>
        <v>TN19982457@prod</v>
      </c>
      <c r="O1649" t="str">
        <f>HYPERLINK("https://ictv.global/id/ICTV19991609","ICTV19991609@prod")</f>
        <v>ICTV19991609@prod</v>
      </c>
    </row>
    <row r="1650" spans="1:15" x14ac:dyDescent="0.2">
      <c r="A1650">
        <v>17</v>
      </c>
      <c r="B1650">
        <v>19982460</v>
      </c>
      <c r="C1650">
        <v>19952114</v>
      </c>
      <c r="D1650" t="s">
        <v>29</v>
      </c>
      <c r="E1650" t="s">
        <v>829</v>
      </c>
      <c r="G1650" t="s">
        <v>33</v>
      </c>
      <c r="H1650" t="s">
        <v>828</v>
      </c>
      <c r="I1650" t="s">
        <v>29</v>
      </c>
      <c r="J1650">
        <v>19991609</v>
      </c>
      <c r="K1650">
        <v>19991609</v>
      </c>
      <c r="L1650" t="str">
        <f>HYPERLINK("https://test.ictv.global/id/TN19982460","TN19982460@TEST")</f>
        <v>TN19982460@TEST</v>
      </c>
      <c r="M1650" t="str">
        <f>HYPERLINK("https://test.ictv.global/id/ICTV19952114","ICTV19952114@TEST")</f>
        <v>ICTV19952114@TEST</v>
      </c>
      <c r="N1650" t="str">
        <f>HYPERLINK("https://ictv.global/id/TN19982460","TN19982460@prod")</f>
        <v>TN19982460@prod</v>
      </c>
      <c r="O1650" t="str">
        <f>HYPERLINK("https://ictv.global/id/ICTV19952114","ICTV19952114@prod")</f>
        <v>ICTV19952114@prod</v>
      </c>
    </row>
    <row r="1651" spans="1:15" x14ac:dyDescent="0.2">
      <c r="A1651">
        <v>17</v>
      </c>
      <c r="B1651">
        <v>19982465</v>
      </c>
      <c r="C1651">
        <v>19911436</v>
      </c>
      <c r="D1651" t="s">
        <v>29</v>
      </c>
      <c r="E1651" t="s">
        <v>2006</v>
      </c>
      <c r="G1651" t="s">
        <v>1165</v>
      </c>
      <c r="L1651" t="str">
        <f>HYPERLINK("https://test.ictv.global/id/TN19982465","TN19982465@TEST")</f>
        <v>TN19982465@TEST</v>
      </c>
      <c r="M1651" t="str">
        <f>HYPERLINK("https://test.ictv.global/id/ICTV19911436","ICTV19911436@TEST")</f>
        <v>ICTV19911436@TEST</v>
      </c>
      <c r="N1651" t="str">
        <f>HYPERLINK("https://ictv.global/id/TN19982465","TN19982465@prod")</f>
        <v>TN19982465@prod</v>
      </c>
      <c r="O1651" t="str">
        <f>HYPERLINK("https://ictv.global/id/ICTV19911436","ICTV19911436@prod")</f>
        <v>ICTV19911436@prod</v>
      </c>
    </row>
    <row r="1652" spans="1:15" x14ac:dyDescent="0.2">
      <c r="A1652">
        <v>17</v>
      </c>
      <c r="B1652">
        <v>19982469</v>
      </c>
      <c r="C1652">
        <v>19952087</v>
      </c>
      <c r="D1652" t="s">
        <v>29</v>
      </c>
      <c r="E1652" t="s">
        <v>830</v>
      </c>
      <c r="G1652" t="s">
        <v>31</v>
      </c>
      <c r="H1652" t="s">
        <v>831</v>
      </c>
      <c r="I1652" t="s">
        <v>29</v>
      </c>
      <c r="J1652">
        <v>19991630</v>
      </c>
      <c r="K1652">
        <v>19991630</v>
      </c>
      <c r="L1652" t="str">
        <f>HYPERLINK("https://test.ictv.global/id/TN19982469","TN19982469@TEST")</f>
        <v>TN19982469@TEST</v>
      </c>
      <c r="M1652" t="str">
        <f>HYPERLINK("https://test.ictv.global/id/ICTV19952087","ICTV19952087@TEST")</f>
        <v>ICTV19952087@TEST</v>
      </c>
      <c r="N1652" t="str">
        <f>HYPERLINK("https://ictv.global/id/TN19982469","TN19982469@prod")</f>
        <v>TN19982469@prod</v>
      </c>
      <c r="O1652" t="str">
        <f>HYPERLINK("https://ictv.global/id/ICTV19952087","ICTV19952087@prod")</f>
        <v>ICTV19952087@prod</v>
      </c>
    </row>
    <row r="1653" spans="1:15" x14ac:dyDescent="0.2">
      <c r="A1653">
        <v>17</v>
      </c>
      <c r="B1653">
        <v>19982470</v>
      </c>
      <c r="C1653">
        <v>19952088</v>
      </c>
      <c r="D1653" t="s">
        <v>29</v>
      </c>
      <c r="E1653" t="s">
        <v>832</v>
      </c>
      <c r="G1653" t="s">
        <v>31</v>
      </c>
      <c r="H1653" t="s">
        <v>831</v>
      </c>
      <c r="I1653" t="s">
        <v>29</v>
      </c>
      <c r="J1653">
        <v>19991630</v>
      </c>
      <c r="K1653">
        <v>19991630</v>
      </c>
      <c r="L1653" t="str">
        <f>HYPERLINK("https://test.ictv.global/id/TN19982470","TN19982470@TEST")</f>
        <v>TN19982470@TEST</v>
      </c>
      <c r="M1653" t="str">
        <f>HYPERLINK("https://test.ictv.global/id/ICTV19952088","ICTV19952088@TEST")</f>
        <v>ICTV19952088@TEST</v>
      </c>
      <c r="N1653" t="str">
        <f>HYPERLINK("https://ictv.global/id/TN19982470","TN19982470@prod")</f>
        <v>TN19982470@prod</v>
      </c>
      <c r="O1653" t="str">
        <f>HYPERLINK("https://ictv.global/id/ICTV19952088","ICTV19952088@prod")</f>
        <v>ICTV19952088@prod</v>
      </c>
    </row>
    <row r="1654" spans="1:15" x14ac:dyDescent="0.2">
      <c r="A1654">
        <v>17</v>
      </c>
      <c r="B1654">
        <v>19982474</v>
      </c>
      <c r="C1654">
        <v>19952092</v>
      </c>
      <c r="D1654" t="s">
        <v>29</v>
      </c>
      <c r="E1654" t="s">
        <v>833</v>
      </c>
      <c r="G1654" t="s">
        <v>31</v>
      </c>
      <c r="H1654" t="s">
        <v>831</v>
      </c>
      <c r="I1654" t="s">
        <v>29</v>
      </c>
      <c r="J1654">
        <v>19991630</v>
      </c>
      <c r="K1654">
        <v>19991630</v>
      </c>
      <c r="L1654" t="str">
        <f>HYPERLINK("https://test.ictv.global/id/TN19982474","TN19982474@TEST")</f>
        <v>TN19982474@TEST</v>
      </c>
      <c r="M1654" t="str">
        <f>HYPERLINK("https://test.ictv.global/id/ICTV19952092","ICTV19952092@TEST")</f>
        <v>ICTV19952092@TEST</v>
      </c>
      <c r="N1654" t="str">
        <f>HYPERLINK("https://ictv.global/id/TN19982474","TN19982474@prod")</f>
        <v>TN19982474@prod</v>
      </c>
      <c r="O1654" t="str">
        <f>HYPERLINK("https://ictv.global/id/ICTV19952092","ICTV19952092@prod")</f>
        <v>ICTV19952092@prod</v>
      </c>
    </row>
    <row r="1655" spans="1:15" x14ac:dyDescent="0.2">
      <c r="A1655">
        <v>17</v>
      </c>
      <c r="B1655">
        <v>19982482</v>
      </c>
      <c r="C1655">
        <v>19991630</v>
      </c>
      <c r="D1655" t="s">
        <v>29</v>
      </c>
      <c r="E1655" t="s">
        <v>831</v>
      </c>
      <c r="G1655" t="s">
        <v>33</v>
      </c>
      <c r="H1655" t="s">
        <v>831</v>
      </c>
      <c r="I1655" t="s">
        <v>29</v>
      </c>
      <c r="J1655">
        <v>19991630</v>
      </c>
      <c r="K1655">
        <v>19991630</v>
      </c>
      <c r="L1655" t="str">
        <f>HYPERLINK("https://test.ictv.global/id/TN19982482","TN19982482@TEST")</f>
        <v>TN19982482@TEST</v>
      </c>
      <c r="M1655" t="str">
        <f>HYPERLINK("https://test.ictv.global/id/ICTV19991630","ICTV19991630@TEST")</f>
        <v>ICTV19991630@TEST</v>
      </c>
      <c r="N1655" t="str">
        <f>HYPERLINK("https://ictv.global/id/TN19982482","TN19982482@prod")</f>
        <v>TN19982482@prod</v>
      </c>
      <c r="O1655" t="str">
        <f>HYPERLINK("https://ictv.global/id/ICTV19991630","ICTV19991630@prod")</f>
        <v>ICTV19991630@prod</v>
      </c>
    </row>
    <row r="1656" spans="1:15" x14ac:dyDescent="0.2">
      <c r="A1656">
        <v>17</v>
      </c>
      <c r="B1656">
        <v>19982500</v>
      </c>
      <c r="C1656">
        <v>19760545</v>
      </c>
      <c r="D1656" t="s">
        <v>29</v>
      </c>
      <c r="E1656" t="s">
        <v>834</v>
      </c>
      <c r="G1656" t="s">
        <v>53</v>
      </c>
      <c r="H1656" t="s">
        <v>835</v>
      </c>
      <c r="I1656" t="s">
        <v>29</v>
      </c>
      <c r="J1656">
        <v>19991650</v>
      </c>
      <c r="K1656">
        <v>19991650</v>
      </c>
      <c r="L1656" t="str">
        <f>HYPERLINK("https://test.ictv.global/id/TN19982500","TN19982500@TEST")</f>
        <v>TN19982500@TEST</v>
      </c>
      <c r="M1656" t="str">
        <f>HYPERLINK("https://test.ictv.global/id/ICTV19760545","ICTV19760545@TEST")</f>
        <v>ICTV19760545@TEST</v>
      </c>
      <c r="N1656" t="str">
        <f>HYPERLINK("https://ictv.global/id/TN19982500","TN19982500@prod")</f>
        <v>TN19982500@prod</v>
      </c>
      <c r="O1656" t="str">
        <f>HYPERLINK("https://ictv.global/id/ICTV19760545","ICTV19760545@prod")</f>
        <v>ICTV19760545@prod</v>
      </c>
    </row>
    <row r="1657" spans="1:15" x14ac:dyDescent="0.2">
      <c r="A1657">
        <v>17</v>
      </c>
      <c r="B1657">
        <v>19982500</v>
      </c>
      <c r="C1657">
        <v>19760545</v>
      </c>
      <c r="D1657" t="s">
        <v>29</v>
      </c>
      <c r="E1657" t="s">
        <v>834</v>
      </c>
      <c r="G1657" t="s">
        <v>53</v>
      </c>
      <c r="H1657" t="s">
        <v>836</v>
      </c>
      <c r="I1657" t="s">
        <v>29</v>
      </c>
      <c r="J1657">
        <v>19991651</v>
      </c>
      <c r="K1657">
        <v>19991651</v>
      </c>
      <c r="L1657" t="str">
        <f>HYPERLINK("https://test.ictv.global/id/TN19982500","TN19982500@TEST")</f>
        <v>TN19982500@TEST</v>
      </c>
      <c r="M1657" t="str">
        <f>HYPERLINK("https://test.ictv.global/id/ICTV19760545","ICTV19760545@TEST")</f>
        <v>ICTV19760545@TEST</v>
      </c>
      <c r="N1657" t="str">
        <f>HYPERLINK("https://ictv.global/id/TN19982500","TN19982500@prod")</f>
        <v>TN19982500@prod</v>
      </c>
      <c r="O1657" t="str">
        <f>HYPERLINK("https://ictv.global/id/ICTV19760545","ICTV19760545@prod")</f>
        <v>ICTV19760545@prod</v>
      </c>
    </row>
    <row r="1658" spans="1:15" x14ac:dyDescent="0.2">
      <c r="A1658">
        <v>17</v>
      </c>
      <c r="B1658">
        <v>19982502</v>
      </c>
      <c r="C1658">
        <v>19972220</v>
      </c>
      <c r="D1658" t="s">
        <v>29</v>
      </c>
      <c r="E1658" t="s">
        <v>2007</v>
      </c>
      <c r="G1658" t="s">
        <v>1165</v>
      </c>
      <c r="L1658" t="str">
        <f>HYPERLINK("https://test.ictv.global/id/TN19982502","TN19982502@TEST")</f>
        <v>TN19982502@TEST</v>
      </c>
      <c r="M1658" t="str">
        <f>HYPERLINK("https://test.ictv.global/id/ICTV19972220","ICTV19972220@TEST")</f>
        <v>ICTV19972220@TEST</v>
      </c>
      <c r="N1658" t="str">
        <f>HYPERLINK("https://ictv.global/id/TN19982502","TN19982502@prod")</f>
        <v>TN19982502@prod</v>
      </c>
      <c r="O1658" t="str">
        <f>HYPERLINK("https://ictv.global/id/ICTV19972220","ICTV19972220@prod")</f>
        <v>ICTV19972220@prod</v>
      </c>
    </row>
    <row r="1659" spans="1:15" x14ac:dyDescent="0.2">
      <c r="A1659">
        <v>17</v>
      </c>
      <c r="B1659">
        <v>19982514</v>
      </c>
      <c r="C1659">
        <v>19911479</v>
      </c>
      <c r="D1659" t="s">
        <v>29</v>
      </c>
      <c r="E1659" t="s">
        <v>837</v>
      </c>
      <c r="G1659" t="s">
        <v>31</v>
      </c>
      <c r="H1659" t="s">
        <v>838</v>
      </c>
      <c r="I1659" t="s">
        <v>29</v>
      </c>
      <c r="J1659">
        <v>19991691</v>
      </c>
      <c r="K1659">
        <v>19991691</v>
      </c>
      <c r="L1659" t="str">
        <f>HYPERLINK("https://test.ictv.global/id/TN19982514","TN19982514@TEST")</f>
        <v>TN19982514@TEST</v>
      </c>
      <c r="M1659" t="str">
        <f>HYPERLINK("https://test.ictv.global/id/ICTV19911479","ICTV19911479@TEST")</f>
        <v>ICTV19911479@TEST</v>
      </c>
      <c r="N1659" t="str">
        <f>HYPERLINK("https://ictv.global/id/TN19982514","TN19982514@prod")</f>
        <v>TN19982514@prod</v>
      </c>
      <c r="O1659" t="str">
        <f>HYPERLINK("https://ictv.global/id/ICTV19911479","ICTV19911479@prod")</f>
        <v>ICTV19911479@prod</v>
      </c>
    </row>
    <row r="1660" spans="1:15" x14ac:dyDescent="0.2">
      <c r="A1660">
        <v>17</v>
      </c>
      <c r="B1660">
        <v>19982517</v>
      </c>
      <c r="C1660">
        <v>19911482</v>
      </c>
      <c r="D1660" t="s">
        <v>29</v>
      </c>
      <c r="E1660" t="s">
        <v>839</v>
      </c>
      <c r="G1660" t="s">
        <v>33</v>
      </c>
      <c r="H1660" t="s">
        <v>840</v>
      </c>
      <c r="I1660" t="s">
        <v>29</v>
      </c>
      <c r="J1660">
        <v>19991680</v>
      </c>
      <c r="K1660">
        <v>19991680</v>
      </c>
      <c r="L1660" t="str">
        <f>HYPERLINK("https://test.ictv.global/id/TN19982517","TN19982517@TEST")</f>
        <v>TN19982517@TEST</v>
      </c>
      <c r="M1660" t="str">
        <f>HYPERLINK("https://test.ictv.global/id/ICTV19911482","ICTV19911482@TEST")</f>
        <v>ICTV19911482@TEST</v>
      </c>
      <c r="N1660" t="str">
        <f>HYPERLINK("https://ictv.global/id/TN19982517","TN19982517@prod")</f>
        <v>TN19982517@prod</v>
      </c>
      <c r="O1660" t="str">
        <f>HYPERLINK("https://ictv.global/id/ICTV19911482","ICTV19911482@prod")</f>
        <v>ICTV19911482@prod</v>
      </c>
    </row>
    <row r="1661" spans="1:15" x14ac:dyDescent="0.2">
      <c r="A1661">
        <v>17</v>
      </c>
      <c r="B1661">
        <v>19982521</v>
      </c>
      <c r="C1661">
        <v>19991680</v>
      </c>
      <c r="D1661" t="s">
        <v>29</v>
      </c>
      <c r="E1661" t="s">
        <v>840</v>
      </c>
      <c r="G1661" t="s">
        <v>33</v>
      </c>
      <c r="H1661" t="s">
        <v>840</v>
      </c>
      <c r="I1661" t="s">
        <v>29</v>
      </c>
      <c r="J1661">
        <v>19991680</v>
      </c>
      <c r="K1661">
        <v>19991680</v>
      </c>
      <c r="L1661" t="str">
        <f>HYPERLINK("https://test.ictv.global/id/TN19982521","TN19982521@TEST")</f>
        <v>TN19982521@TEST</v>
      </c>
      <c r="M1661" t="str">
        <f>HYPERLINK("https://test.ictv.global/id/ICTV19991680","ICTV19991680@TEST")</f>
        <v>ICTV19991680@TEST</v>
      </c>
      <c r="N1661" t="str">
        <f>HYPERLINK("https://ictv.global/id/TN19982521","TN19982521@prod")</f>
        <v>TN19982521@prod</v>
      </c>
      <c r="O1661" t="str">
        <f>HYPERLINK("https://ictv.global/id/ICTV19991680","ICTV19991680@prod")</f>
        <v>ICTV19991680@prod</v>
      </c>
    </row>
    <row r="1662" spans="1:15" x14ac:dyDescent="0.2">
      <c r="A1662">
        <v>17</v>
      </c>
      <c r="B1662">
        <v>19982524</v>
      </c>
      <c r="C1662">
        <v>19790870</v>
      </c>
      <c r="D1662" t="s">
        <v>29</v>
      </c>
      <c r="E1662" t="s">
        <v>841</v>
      </c>
      <c r="G1662" t="s">
        <v>31</v>
      </c>
      <c r="H1662" t="s">
        <v>838</v>
      </c>
      <c r="I1662" t="s">
        <v>29</v>
      </c>
      <c r="J1662">
        <v>19991691</v>
      </c>
      <c r="K1662">
        <v>19991691</v>
      </c>
      <c r="L1662" t="str">
        <f>HYPERLINK("https://test.ictv.global/id/TN19982524","TN19982524@TEST")</f>
        <v>TN19982524@TEST</v>
      </c>
      <c r="M1662" t="str">
        <f>HYPERLINK("https://test.ictv.global/id/ICTV19790870","ICTV19790870@TEST")</f>
        <v>ICTV19790870@TEST</v>
      </c>
      <c r="N1662" t="str">
        <f>HYPERLINK("https://ictv.global/id/TN19982524","TN19982524@prod")</f>
        <v>TN19982524@prod</v>
      </c>
      <c r="O1662" t="str">
        <f>HYPERLINK("https://ictv.global/id/ICTV19790870","ICTV19790870@prod")</f>
        <v>ICTV19790870@prod</v>
      </c>
    </row>
    <row r="1663" spans="1:15" x14ac:dyDescent="0.2">
      <c r="A1663">
        <v>17</v>
      </c>
      <c r="B1663">
        <v>19982529</v>
      </c>
      <c r="C1663">
        <v>19911494</v>
      </c>
      <c r="D1663" t="s">
        <v>29</v>
      </c>
      <c r="E1663" t="s">
        <v>842</v>
      </c>
      <c r="G1663" t="s">
        <v>31</v>
      </c>
      <c r="H1663" t="s">
        <v>838</v>
      </c>
      <c r="I1663" t="s">
        <v>29</v>
      </c>
      <c r="J1663">
        <v>19991691</v>
      </c>
      <c r="K1663">
        <v>19991691</v>
      </c>
      <c r="L1663" t="str">
        <f>HYPERLINK("https://test.ictv.global/id/TN19982529","TN19982529@TEST")</f>
        <v>TN19982529@TEST</v>
      </c>
      <c r="M1663" t="str">
        <f>HYPERLINK("https://test.ictv.global/id/ICTV19911494","ICTV19911494@TEST")</f>
        <v>ICTV19911494@TEST</v>
      </c>
      <c r="N1663" t="str">
        <f>HYPERLINK("https://ictv.global/id/TN19982529","TN19982529@prod")</f>
        <v>TN19982529@prod</v>
      </c>
      <c r="O1663" t="str">
        <f>HYPERLINK("https://ictv.global/id/ICTV19911494","ICTV19911494@prod")</f>
        <v>ICTV19911494@prod</v>
      </c>
    </row>
    <row r="1664" spans="1:15" x14ac:dyDescent="0.2">
      <c r="A1664">
        <v>17</v>
      </c>
      <c r="B1664">
        <v>19982532</v>
      </c>
      <c r="C1664">
        <v>19991689</v>
      </c>
      <c r="D1664" t="s">
        <v>29</v>
      </c>
      <c r="E1664" t="s">
        <v>843</v>
      </c>
      <c r="G1664" t="s">
        <v>33</v>
      </c>
      <c r="H1664" t="s">
        <v>843</v>
      </c>
      <c r="I1664" t="s">
        <v>29</v>
      </c>
      <c r="J1664">
        <v>19991689</v>
      </c>
      <c r="K1664">
        <v>19991689</v>
      </c>
      <c r="L1664" t="str">
        <f>HYPERLINK("https://test.ictv.global/id/TN19982532","TN19982532@TEST")</f>
        <v>TN19982532@TEST</v>
      </c>
      <c r="M1664" t="str">
        <f>HYPERLINK("https://test.ictv.global/id/ICTV19991689","ICTV19991689@TEST")</f>
        <v>ICTV19991689@TEST</v>
      </c>
      <c r="N1664" t="str">
        <f>HYPERLINK("https://ictv.global/id/TN19982532","TN19982532@prod")</f>
        <v>TN19982532@prod</v>
      </c>
      <c r="O1664" t="str">
        <f>HYPERLINK("https://ictv.global/id/ICTV19991689","ICTV19991689@prod")</f>
        <v>ICTV19991689@prod</v>
      </c>
    </row>
    <row r="1665" spans="1:15" x14ac:dyDescent="0.2">
      <c r="A1665">
        <v>17</v>
      </c>
      <c r="B1665">
        <v>19982533</v>
      </c>
      <c r="C1665">
        <v>19760577</v>
      </c>
      <c r="D1665" t="s">
        <v>29</v>
      </c>
      <c r="E1665" t="s">
        <v>844</v>
      </c>
      <c r="G1665" t="s">
        <v>33</v>
      </c>
      <c r="H1665" t="s">
        <v>843</v>
      </c>
      <c r="I1665" t="s">
        <v>29</v>
      </c>
      <c r="J1665">
        <v>19991689</v>
      </c>
      <c r="K1665">
        <v>19991689</v>
      </c>
      <c r="L1665" t="str">
        <f>HYPERLINK("https://test.ictv.global/id/TN19982533","TN19982533@TEST")</f>
        <v>TN19982533@TEST</v>
      </c>
      <c r="M1665" t="str">
        <f>HYPERLINK("https://test.ictv.global/id/ICTV19760577","ICTV19760577@TEST")</f>
        <v>ICTV19760577@TEST</v>
      </c>
      <c r="N1665" t="str">
        <f>HYPERLINK("https://ictv.global/id/TN19982533","TN19982533@prod")</f>
        <v>TN19982533@prod</v>
      </c>
      <c r="O1665" t="str">
        <f>HYPERLINK("https://ictv.global/id/ICTV19760577","ICTV19760577@prod")</f>
        <v>ICTV19760577@prod</v>
      </c>
    </row>
    <row r="1666" spans="1:15" x14ac:dyDescent="0.2">
      <c r="A1666">
        <v>17</v>
      </c>
      <c r="B1666">
        <v>19982535</v>
      </c>
      <c r="C1666">
        <v>19991691</v>
      </c>
      <c r="D1666" t="s">
        <v>29</v>
      </c>
      <c r="E1666" t="s">
        <v>838</v>
      </c>
      <c r="G1666" t="s">
        <v>33</v>
      </c>
      <c r="H1666" t="s">
        <v>838</v>
      </c>
      <c r="I1666" t="s">
        <v>29</v>
      </c>
      <c r="J1666">
        <v>19991691</v>
      </c>
      <c r="K1666">
        <v>19991691</v>
      </c>
      <c r="L1666" t="str">
        <f>HYPERLINK("https://test.ictv.global/id/TN19982535","TN19982535@TEST")</f>
        <v>TN19982535@TEST</v>
      </c>
      <c r="M1666" t="str">
        <f>HYPERLINK("https://test.ictv.global/id/ICTV19991691","ICTV19991691@TEST")</f>
        <v>ICTV19991691@TEST</v>
      </c>
      <c r="N1666" t="str">
        <f>HYPERLINK("https://ictv.global/id/TN19982535","TN19982535@prod")</f>
        <v>TN19982535@prod</v>
      </c>
      <c r="O1666" t="str">
        <f>HYPERLINK("https://ictv.global/id/ICTV19991691","ICTV19991691@prod")</f>
        <v>ICTV19991691@prod</v>
      </c>
    </row>
    <row r="1667" spans="1:15" x14ac:dyDescent="0.2">
      <c r="A1667">
        <v>17</v>
      </c>
      <c r="B1667">
        <v>19982541</v>
      </c>
      <c r="C1667">
        <v>19952266</v>
      </c>
      <c r="D1667" t="s">
        <v>29</v>
      </c>
      <c r="E1667" t="s">
        <v>2008</v>
      </c>
      <c r="F1667" t="s">
        <v>2009</v>
      </c>
      <c r="G1667" t="s">
        <v>1165</v>
      </c>
      <c r="L1667" t="str">
        <f>HYPERLINK("https://test.ictv.global/id/TN19982541","TN19982541@TEST")</f>
        <v>TN19982541@TEST</v>
      </c>
      <c r="M1667" t="str">
        <f>HYPERLINK("https://test.ictv.global/id/ICTV19952266","ICTV19952266@TEST")</f>
        <v>ICTV19952266@TEST</v>
      </c>
      <c r="N1667" t="str">
        <f>HYPERLINK("https://ictv.global/id/TN19982541","TN19982541@prod")</f>
        <v>TN19982541@prod</v>
      </c>
      <c r="O1667" t="str">
        <f>HYPERLINK("https://ictv.global/id/ICTV19952266","ICTV19952266@prod")</f>
        <v>ICTV19952266@prod</v>
      </c>
    </row>
    <row r="1668" spans="1:15" x14ac:dyDescent="0.2">
      <c r="A1668">
        <v>17</v>
      </c>
      <c r="B1668">
        <v>19982564</v>
      </c>
      <c r="C1668">
        <v>19982564</v>
      </c>
      <c r="D1668" t="s">
        <v>29</v>
      </c>
      <c r="E1668" t="s">
        <v>2010</v>
      </c>
      <c r="G1668" t="s">
        <v>1165</v>
      </c>
      <c r="L1668" t="str">
        <f>HYPERLINK("https://test.ictv.global/id/TN19982564","TN19982564@TEST")</f>
        <v>TN19982564@TEST</v>
      </c>
      <c r="M1668" t="str">
        <f>HYPERLINK("https://test.ictv.global/id/ICTV19982564","ICTV19982564@TEST")</f>
        <v>ICTV19982564@TEST</v>
      </c>
      <c r="N1668" t="str">
        <f>HYPERLINK("https://ictv.global/id/TN19982564","TN19982564@prod")</f>
        <v>TN19982564@prod</v>
      </c>
      <c r="O1668" t="str">
        <f>HYPERLINK("https://ictv.global/id/ICTV19982564","ICTV19982564@prod")</f>
        <v>ICTV19982564@prod</v>
      </c>
    </row>
    <row r="1669" spans="1:15" x14ac:dyDescent="0.2">
      <c r="A1669">
        <v>17</v>
      </c>
      <c r="B1669">
        <v>19982596</v>
      </c>
      <c r="C1669">
        <v>19911510</v>
      </c>
      <c r="D1669" t="s">
        <v>29</v>
      </c>
      <c r="E1669" t="s">
        <v>228</v>
      </c>
      <c r="G1669" t="s">
        <v>1165</v>
      </c>
      <c r="L1669" t="str">
        <f>HYPERLINK("https://test.ictv.global/id/TN19982596","TN19982596@TEST")</f>
        <v>TN19982596@TEST</v>
      </c>
      <c r="M1669" t="str">
        <f>HYPERLINK("https://test.ictv.global/id/ICTV19911510","ICTV19911510@TEST")</f>
        <v>ICTV19911510@TEST</v>
      </c>
      <c r="N1669" t="str">
        <f>HYPERLINK("https://ictv.global/id/TN19982596","TN19982596@prod")</f>
        <v>TN19982596@prod</v>
      </c>
      <c r="O1669" t="str">
        <f>HYPERLINK("https://ictv.global/id/ICTV19911510","ICTV19911510@prod")</f>
        <v>ICTV19911510@prod</v>
      </c>
    </row>
    <row r="1670" spans="1:15" x14ac:dyDescent="0.2">
      <c r="A1670">
        <v>17</v>
      </c>
      <c r="B1670">
        <v>19982597</v>
      </c>
      <c r="C1670">
        <v>19911511</v>
      </c>
      <c r="D1670" t="s">
        <v>29</v>
      </c>
      <c r="E1670" t="s">
        <v>229</v>
      </c>
      <c r="G1670" t="s">
        <v>1165</v>
      </c>
      <c r="L1670" t="str">
        <f>HYPERLINK("https://test.ictv.global/id/TN19982597","TN19982597@TEST")</f>
        <v>TN19982597@TEST</v>
      </c>
      <c r="M1670" t="str">
        <f>HYPERLINK("https://test.ictv.global/id/ICTV19911511","ICTV19911511@TEST")</f>
        <v>ICTV19911511@TEST</v>
      </c>
      <c r="N1670" t="str">
        <f>HYPERLINK("https://ictv.global/id/TN19982597","TN19982597@prod")</f>
        <v>TN19982597@prod</v>
      </c>
      <c r="O1670" t="str">
        <f>HYPERLINK("https://ictv.global/id/ICTV19911511","ICTV19911511@prod")</f>
        <v>ICTV19911511@prod</v>
      </c>
    </row>
    <row r="1671" spans="1:15" x14ac:dyDescent="0.2">
      <c r="A1671">
        <v>17</v>
      </c>
      <c r="B1671">
        <v>19982606</v>
      </c>
      <c r="C1671">
        <v>19991762</v>
      </c>
      <c r="D1671" t="s">
        <v>29</v>
      </c>
      <c r="E1671" t="s">
        <v>845</v>
      </c>
      <c r="F1671" t="s">
        <v>2011</v>
      </c>
      <c r="G1671" t="s">
        <v>33</v>
      </c>
      <c r="H1671" t="s">
        <v>845</v>
      </c>
      <c r="I1671" t="s">
        <v>29</v>
      </c>
      <c r="J1671">
        <v>19991762</v>
      </c>
      <c r="K1671">
        <v>19991762</v>
      </c>
      <c r="L1671" t="str">
        <f>HYPERLINK("https://test.ictv.global/id/TN19982606","TN19982606@TEST")</f>
        <v>TN19982606@TEST</v>
      </c>
      <c r="M1671" t="str">
        <f>HYPERLINK("https://test.ictv.global/id/ICTV19991762","ICTV19991762@TEST")</f>
        <v>ICTV19991762@TEST</v>
      </c>
      <c r="N1671" t="str">
        <f>HYPERLINK("https://ictv.global/id/TN19982606","TN19982606@prod")</f>
        <v>TN19982606@prod</v>
      </c>
      <c r="O1671" t="str">
        <f>HYPERLINK("https://ictv.global/id/ICTV19991762","ICTV19991762@prod")</f>
        <v>ICTV19991762@prod</v>
      </c>
    </row>
    <row r="1672" spans="1:15" x14ac:dyDescent="0.2">
      <c r="A1672">
        <v>17</v>
      </c>
      <c r="B1672">
        <v>19982608</v>
      </c>
      <c r="C1672">
        <v>19952323</v>
      </c>
      <c r="D1672" t="s">
        <v>29</v>
      </c>
      <c r="E1672" t="s">
        <v>846</v>
      </c>
      <c r="G1672" t="s">
        <v>31</v>
      </c>
      <c r="H1672" t="s">
        <v>845</v>
      </c>
      <c r="I1672" t="s">
        <v>29</v>
      </c>
      <c r="J1672">
        <v>19991762</v>
      </c>
      <c r="K1672">
        <v>19991762</v>
      </c>
      <c r="L1672" t="str">
        <f>HYPERLINK("https://test.ictv.global/id/TN19982608","TN19982608@TEST")</f>
        <v>TN19982608@TEST</v>
      </c>
      <c r="M1672" t="str">
        <f>HYPERLINK("https://test.ictv.global/id/ICTV19952323","ICTV19952323@TEST")</f>
        <v>ICTV19952323@TEST</v>
      </c>
      <c r="N1672" t="str">
        <f>HYPERLINK("https://ictv.global/id/TN19982608","TN19982608@prod")</f>
        <v>TN19982608@prod</v>
      </c>
      <c r="O1672" t="str">
        <f>HYPERLINK("https://ictv.global/id/ICTV19952323","ICTV19952323@prod")</f>
        <v>ICTV19952323@prod</v>
      </c>
    </row>
    <row r="1673" spans="1:15" x14ac:dyDescent="0.2">
      <c r="A1673">
        <v>17</v>
      </c>
      <c r="B1673">
        <v>19982642</v>
      </c>
      <c r="C1673">
        <v>19911624</v>
      </c>
      <c r="D1673" t="s">
        <v>29</v>
      </c>
      <c r="E1673" t="s">
        <v>847</v>
      </c>
      <c r="F1673" t="s">
        <v>2012</v>
      </c>
      <c r="G1673" t="s">
        <v>31</v>
      </c>
      <c r="H1673" t="s">
        <v>848</v>
      </c>
      <c r="I1673" t="s">
        <v>29</v>
      </c>
      <c r="J1673">
        <v>19991804</v>
      </c>
      <c r="K1673">
        <v>19991804</v>
      </c>
      <c r="L1673" t="str">
        <f>HYPERLINK("https://test.ictv.global/id/TN19982642","TN19982642@TEST")</f>
        <v>TN19982642@TEST</v>
      </c>
      <c r="M1673" t="str">
        <f>HYPERLINK("https://test.ictv.global/id/ICTV19911624","ICTV19911624@TEST")</f>
        <v>ICTV19911624@TEST</v>
      </c>
      <c r="N1673" t="str">
        <f>HYPERLINK("https://ictv.global/id/TN19982642","TN19982642@prod")</f>
        <v>TN19982642@prod</v>
      </c>
      <c r="O1673" t="str">
        <f>HYPERLINK("https://ictv.global/id/ICTV19911624","ICTV19911624@prod")</f>
        <v>ICTV19911624@prod</v>
      </c>
    </row>
    <row r="1674" spans="1:15" x14ac:dyDescent="0.2">
      <c r="A1674">
        <v>17</v>
      </c>
      <c r="B1674">
        <v>19982643</v>
      </c>
      <c r="C1674">
        <v>19991804</v>
      </c>
      <c r="D1674" t="s">
        <v>29</v>
      </c>
      <c r="E1674" t="s">
        <v>848</v>
      </c>
      <c r="F1674" t="s">
        <v>2013</v>
      </c>
      <c r="G1674" t="s">
        <v>33</v>
      </c>
      <c r="H1674" t="s">
        <v>848</v>
      </c>
      <c r="I1674" t="s">
        <v>29</v>
      </c>
      <c r="J1674">
        <v>19991804</v>
      </c>
      <c r="K1674">
        <v>19991804</v>
      </c>
      <c r="L1674" t="str">
        <f>HYPERLINK("https://test.ictv.global/id/TN19982643","TN19982643@TEST")</f>
        <v>TN19982643@TEST</v>
      </c>
      <c r="M1674" t="str">
        <f>HYPERLINK("https://test.ictv.global/id/ICTV19991804","ICTV19991804@TEST")</f>
        <v>ICTV19991804@TEST</v>
      </c>
      <c r="N1674" t="str">
        <f>HYPERLINK("https://ictv.global/id/TN19982643","TN19982643@prod")</f>
        <v>TN19982643@prod</v>
      </c>
      <c r="O1674" t="str">
        <f>HYPERLINK("https://ictv.global/id/ICTV19991804","ICTV19991804@prod")</f>
        <v>ICTV19991804@prod</v>
      </c>
    </row>
    <row r="1675" spans="1:15" x14ac:dyDescent="0.2">
      <c r="A1675">
        <v>17</v>
      </c>
      <c r="B1675">
        <v>19982644</v>
      </c>
      <c r="C1675">
        <v>19911628</v>
      </c>
      <c r="D1675" t="s">
        <v>29</v>
      </c>
      <c r="E1675" t="s">
        <v>2014</v>
      </c>
      <c r="F1675" t="s">
        <v>2015</v>
      </c>
      <c r="G1675" t="s">
        <v>1165</v>
      </c>
      <c r="L1675" t="str">
        <f>HYPERLINK("https://test.ictv.global/id/TN19982644","TN19982644@TEST")</f>
        <v>TN19982644@TEST</v>
      </c>
      <c r="M1675" t="str">
        <f>HYPERLINK("https://test.ictv.global/id/ICTV19911628","ICTV19911628@TEST")</f>
        <v>ICTV19911628@TEST</v>
      </c>
      <c r="N1675" t="str">
        <f>HYPERLINK("https://ictv.global/id/TN19982644","TN19982644@prod")</f>
        <v>TN19982644@prod</v>
      </c>
      <c r="O1675" t="str">
        <f>HYPERLINK("https://ictv.global/id/ICTV19911628","ICTV19911628@prod")</f>
        <v>ICTV19911628@prod</v>
      </c>
    </row>
    <row r="1676" spans="1:15" x14ac:dyDescent="0.2">
      <c r="A1676">
        <v>17</v>
      </c>
      <c r="B1676">
        <v>19982683</v>
      </c>
      <c r="C1676">
        <v>19791058</v>
      </c>
      <c r="D1676" t="s">
        <v>29</v>
      </c>
      <c r="E1676" t="s">
        <v>2016</v>
      </c>
      <c r="G1676" t="s">
        <v>1165</v>
      </c>
      <c r="L1676" t="str">
        <f>HYPERLINK("https://test.ictv.global/id/TN19982683","TN19982683@TEST")</f>
        <v>TN19982683@TEST</v>
      </c>
      <c r="M1676" t="str">
        <f>HYPERLINK("https://test.ictv.global/id/ICTV19791058","ICTV19791058@TEST")</f>
        <v>ICTV19791058@TEST</v>
      </c>
      <c r="N1676" t="str">
        <f>HYPERLINK("https://ictv.global/id/TN19982683","TN19982683@prod")</f>
        <v>TN19982683@prod</v>
      </c>
      <c r="O1676" t="str">
        <f>HYPERLINK("https://ictv.global/id/ICTV19791058","ICTV19791058@prod")</f>
        <v>ICTV19791058@prod</v>
      </c>
    </row>
    <row r="1677" spans="1:15" x14ac:dyDescent="0.2">
      <c r="A1677">
        <v>17</v>
      </c>
      <c r="B1677">
        <v>19982725</v>
      </c>
      <c r="C1677">
        <v>19982725</v>
      </c>
      <c r="D1677" t="s">
        <v>29</v>
      </c>
      <c r="E1677" t="s">
        <v>2017</v>
      </c>
      <c r="G1677" t="s">
        <v>1165</v>
      </c>
      <c r="L1677" t="str">
        <f>HYPERLINK("https://test.ictv.global/id/TN19982725","TN19982725@TEST")</f>
        <v>TN19982725@TEST</v>
      </c>
      <c r="M1677" t="str">
        <f>HYPERLINK("https://test.ictv.global/id/ICTV19982725","ICTV19982725@TEST")</f>
        <v>ICTV19982725@TEST</v>
      </c>
      <c r="N1677" t="str">
        <f>HYPERLINK("https://ictv.global/id/TN19982725","TN19982725@prod")</f>
        <v>TN19982725@prod</v>
      </c>
      <c r="O1677" t="str">
        <f>HYPERLINK("https://ictv.global/id/ICTV19982725","ICTV19982725@prod")</f>
        <v>ICTV19982725@prod</v>
      </c>
    </row>
    <row r="1678" spans="1:15" x14ac:dyDescent="0.2">
      <c r="A1678">
        <v>17</v>
      </c>
      <c r="B1678">
        <v>19982749</v>
      </c>
      <c r="C1678">
        <v>19951128</v>
      </c>
      <c r="D1678" t="s">
        <v>29</v>
      </c>
      <c r="E1678" t="s">
        <v>2018</v>
      </c>
      <c r="G1678" t="s">
        <v>1165</v>
      </c>
      <c r="L1678" t="str">
        <f>HYPERLINK("https://test.ictv.global/id/TN19982749","TN19982749@TEST")</f>
        <v>TN19982749@TEST</v>
      </c>
      <c r="M1678" t="str">
        <f>HYPERLINK("https://test.ictv.global/id/ICTV19951128","ICTV19951128@TEST")</f>
        <v>ICTV19951128@TEST</v>
      </c>
      <c r="N1678" t="str">
        <f>HYPERLINK("https://ictv.global/id/TN19982749","TN19982749@prod")</f>
        <v>TN19982749@prod</v>
      </c>
      <c r="O1678" t="str">
        <f>HYPERLINK("https://ictv.global/id/ICTV19951128","ICTV19951128@prod")</f>
        <v>ICTV19951128@prod</v>
      </c>
    </row>
    <row r="1679" spans="1:15" x14ac:dyDescent="0.2">
      <c r="A1679">
        <v>17</v>
      </c>
      <c r="B1679">
        <v>19982750</v>
      </c>
      <c r="C1679">
        <v>19982750</v>
      </c>
      <c r="D1679" t="s">
        <v>29</v>
      </c>
      <c r="E1679" t="s">
        <v>2019</v>
      </c>
      <c r="G1679" t="s">
        <v>1165</v>
      </c>
      <c r="L1679" t="str">
        <f>HYPERLINK("https://test.ictv.global/id/TN19982750","TN19982750@TEST")</f>
        <v>TN19982750@TEST</v>
      </c>
      <c r="M1679" t="str">
        <f>HYPERLINK("https://test.ictv.global/id/ICTV19982750","ICTV19982750@TEST")</f>
        <v>ICTV19982750@TEST</v>
      </c>
      <c r="N1679" t="str">
        <f>HYPERLINK("https://ictv.global/id/TN19982750","TN19982750@prod")</f>
        <v>TN19982750@prod</v>
      </c>
      <c r="O1679" t="str">
        <f>HYPERLINK("https://ictv.global/id/ICTV19982750","ICTV19982750@prod")</f>
        <v>ICTV19982750@prod</v>
      </c>
    </row>
    <row r="1680" spans="1:15" x14ac:dyDescent="0.2">
      <c r="A1680">
        <v>17</v>
      </c>
      <c r="B1680">
        <v>19982752</v>
      </c>
      <c r="C1680">
        <v>19982752</v>
      </c>
      <c r="D1680" t="s">
        <v>29</v>
      </c>
      <c r="E1680" t="s">
        <v>2020</v>
      </c>
      <c r="G1680" t="s">
        <v>1165</v>
      </c>
      <c r="L1680" t="str">
        <f>HYPERLINK("https://test.ictv.global/id/TN19982752","TN19982752@TEST")</f>
        <v>TN19982752@TEST</v>
      </c>
      <c r="M1680" t="str">
        <f>HYPERLINK("https://test.ictv.global/id/ICTV19982752","ICTV19982752@TEST")</f>
        <v>ICTV19982752@TEST</v>
      </c>
      <c r="N1680" t="str">
        <f>HYPERLINK("https://ictv.global/id/TN19982752","TN19982752@prod")</f>
        <v>TN19982752@prod</v>
      </c>
      <c r="O1680" t="str">
        <f>HYPERLINK("https://ictv.global/id/ICTV19982752","ICTV19982752@prod")</f>
        <v>ICTV19982752@prod</v>
      </c>
    </row>
    <row r="1681" spans="1:15" x14ac:dyDescent="0.2">
      <c r="A1681">
        <v>18</v>
      </c>
      <c r="B1681">
        <v>19991423</v>
      </c>
      <c r="C1681">
        <v>19991423</v>
      </c>
      <c r="D1681" t="s">
        <v>29</v>
      </c>
      <c r="E1681" t="s">
        <v>2021</v>
      </c>
      <c r="G1681" t="s">
        <v>1165</v>
      </c>
      <c r="L1681" t="str">
        <f>HYPERLINK("https://test.ictv.global/id/TN19991423","TN19991423@TEST")</f>
        <v>TN19991423@TEST</v>
      </c>
      <c r="M1681" t="str">
        <f>HYPERLINK("https://test.ictv.global/id/ICTV19991423","ICTV19991423@TEST")</f>
        <v>ICTV19991423@TEST</v>
      </c>
      <c r="N1681" t="str">
        <f>HYPERLINK("https://ictv.global/id/TN19991423","TN19991423@prod")</f>
        <v>TN19991423@prod</v>
      </c>
      <c r="O1681" t="str">
        <f>HYPERLINK("https://ictv.global/id/ICTV19991423","ICTV19991423@prod")</f>
        <v>ICTV19991423@prod</v>
      </c>
    </row>
    <row r="1682" spans="1:15" x14ac:dyDescent="0.2">
      <c r="A1682">
        <v>19</v>
      </c>
      <c r="B1682">
        <v>19995744</v>
      </c>
      <c r="C1682">
        <v>19990740</v>
      </c>
      <c r="D1682" t="s">
        <v>29</v>
      </c>
      <c r="E1682" t="s">
        <v>2022</v>
      </c>
      <c r="F1682" t="s">
        <v>2023</v>
      </c>
      <c r="G1682" t="s">
        <v>1165</v>
      </c>
      <c r="L1682" t="str">
        <f>HYPERLINK("https://test.ictv.global/id/TN19995744","TN19995744@TEST")</f>
        <v>TN19995744@TEST</v>
      </c>
      <c r="M1682" t="str">
        <f>HYPERLINK("https://test.ictv.global/id/ICTV19990740","ICTV19990740@TEST")</f>
        <v>ICTV19990740@TEST</v>
      </c>
      <c r="N1682" t="str">
        <f>HYPERLINK("https://ictv.global/id/TN19995744","TN19995744@prod")</f>
        <v>TN19995744@prod</v>
      </c>
      <c r="O1682" t="str">
        <f>HYPERLINK("https://ictv.global/id/ICTV19990740","ICTV19990740@prod")</f>
        <v>ICTV19990740@prod</v>
      </c>
    </row>
    <row r="1683" spans="1:15" x14ac:dyDescent="0.2">
      <c r="A1683">
        <v>19</v>
      </c>
      <c r="B1683">
        <v>19995753</v>
      </c>
      <c r="C1683">
        <v>20020816</v>
      </c>
      <c r="D1683" t="s">
        <v>29</v>
      </c>
      <c r="E1683" t="s">
        <v>849</v>
      </c>
      <c r="G1683" t="s">
        <v>100</v>
      </c>
      <c r="H1683" t="s">
        <v>850</v>
      </c>
      <c r="I1683" t="s">
        <v>29</v>
      </c>
      <c r="J1683">
        <v>20020795</v>
      </c>
      <c r="K1683">
        <v>20020795</v>
      </c>
      <c r="L1683" t="str">
        <f>HYPERLINK("https://test.ictv.global/id/TN19995753","TN19995753@TEST")</f>
        <v>TN19995753@TEST</v>
      </c>
      <c r="M1683" t="str">
        <f>HYPERLINK("https://test.ictv.global/id/ICTV20020816","ICTV20020816@TEST")</f>
        <v>ICTV20020816@TEST</v>
      </c>
      <c r="N1683" t="str">
        <f>HYPERLINK("https://ictv.global/id/TN19995753","TN19995753@prod")</f>
        <v>TN19995753@prod</v>
      </c>
      <c r="O1683" t="str">
        <f>HYPERLINK("https://ictv.global/id/ICTV20020816","ICTV20020816@prod")</f>
        <v>ICTV20020816@prod</v>
      </c>
    </row>
    <row r="1684" spans="1:15" x14ac:dyDescent="0.2">
      <c r="A1684">
        <v>19</v>
      </c>
      <c r="B1684">
        <v>19995753</v>
      </c>
      <c r="C1684">
        <v>20020816</v>
      </c>
      <c r="D1684" t="s">
        <v>29</v>
      </c>
      <c r="E1684" t="s">
        <v>849</v>
      </c>
      <c r="G1684" t="s">
        <v>100</v>
      </c>
      <c r="H1684" t="s">
        <v>851</v>
      </c>
      <c r="I1684" t="s">
        <v>29</v>
      </c>
      <c r="J1684">
        <v>20020816</v>
      </c>
      <c r="K1684">
        <v>20020816</v>
      </c>
      <c r="L1684" t="str">
        <f>HYPERLINK("https://test.ictv.global/id/TN19995753","TN19995753@TEST")</f>
        <v>TN19995753@TEST</v>
      </c>
      <c r="M1684" t="str">
        <f>HYPERLINK("https://test.ictv.global/id/ICTV20020816","ICTV20020816@TEST")</f>
        <v>ICTV20020816@TEST</v>
      </c>
      <c r="N1684" t="str">
        <f>HYPERLINK("https://ictv.global/id/TN19995753","TN19995753@prod")</f>
        <v>TN19995753@prod</v>
      </c>
      <c r="O1684" t="str">
        <f>HYPERLINK("https://ictv.global/id/ICTV20020816","ICTV20020816@prod")</f>
        <v>ICTV20020816@prod</v>
      </c>
    </row>
    <row r="1685" spans="1:15" x14ac:dyDescent="0.2">
      <c r="A1685">
        <v>19</v>
      </c>
      <c r="B1685">
        <v>19996127</v>
      </c>
      <c r="C1685">
        <v>19910988</v>
      </c>
      <c r="D1685" t="s">
        <v>29</v>
      </c>
      <c r="E1685" t="s">
        <v>2024</v>
      </c>
      <c r="G1685" t="s">
        <v>1165</v>
      </c>
      <c r="L1685" t="str">
        <f>HYPERLINK("https://test.ictv.global/id/TN19996127","TN19996127@TEST")</f>
        <v>TN19996127@TEST</v>
      </c>
      <c r="M1685" t="str">
        <f>HYPERLINK("https://test.ictv.global/id/ICTV19910988","ICTV19910988@TEST")</f>
        <v>ICTV19910988@TEST</v>
      </c>
      <c r="N1685" t="str">
        <f>HYPERLINK("https://ictv.global/id/TN19996127","TN19996127@prod")</f>
        <v>TN19996127@prod</v>
      </c>
      <c r="O1685" t="str">
        <f>HYPERLINK("https://ictv.global/id/ICTV19910988","ICTV19910988@prod")</f>
        <v>ICTV19910988@prod</v>
      </c>
    </row>
    <row r="1686" spans="1:15" x14ac:dyDescent="0.2">
      <c r="A1686">
        <v>19</v>
      </c>
      <c r="B1686">
        <v>19996128</v>
      </c>
      <c r="C1686">
        <v>19910989</v>
      </c>
      <c r="D1686" t="s">
        <v>29</v>
      </c>
      <c r="E1686" t="s">
        <v>2025</v>
      </c>
      <c r="G1686" t="s">
        <v>1165</v>
      </c>
      <c r="L1686" t="str">
        <f>HYPERLINK("https://test.ictv.global/id/TN19996128","TN19996128@TEST")</f>
        <v>TN19996128@TEST</v>
      </c>
      <c r="M1686" t="str">
        <f>HYPERLINK("https://test.ictv.global/id/ICTV19910989","ICTV19910989@TEST")</f>
        <v>ICTV19910989@TEST</v>
      </c>
      <c r="N1686" t="str">
        <f>HYPERLINK("https://ictv.global/id/TN19996128","TN19996128@prod")</f>
        <v>TN19996128@prod</v>
      </c>
      <c r="O1686" t="str">
        <f>HYPERLINK("https://ictv.global/id/ICTV19910989","ICTV19910989@prod")</f>
        <v>ICTV19910989@prod</v>
      </c>
    </row>
    <row r="1687" spans="1:15" x14ac:dyDescent="0.2">
      <c r="A1687">
        <v>19</v>
      </c>
      <c r="B1687">
        <v>19996129</v>
      </c>
      <c r="C1687">
        <v>19991125</v>
      </c>
      <c r="D1687" t="s">
        <v>29</v>
      </c>
      <c r="E1687" t="s">
        <v>2026</v>
      </c>
      <c r="G1687" t="s">
        <v>1165</v>
      </c>
      <c r="L1687" t="str">
        <f>HYPERLINK("https://test.ictv.global/id/TN19996129","TN19996129@TEST")</f>
        <v>TN19996129@TEST</v>
      </c>
      <c r="M1687" t="str">
        <f>HYPERLINK("https://test.ictv.global/id/ICTV19991125","ICTV19991125@TEST")</f>
        <v>ICTV19991125@TEST</v>
      </c>
      <c r="N1687" t="str">
        <f>HYPERLINK("https://ictv.global/id/TN19996129","TN19996129@prod")</f>
        <v>TN19996129@prod</v>
      </c>
      <c r="O1687" t="str">
        <f>HYPERLINK("https://ictv.global/id/ICTV19991125","ICTV19991125@prod")</f>
        <v>ICTV19991125@prod</v>
      </c>
    </row>
    <row r="1688" spans="1:15" x14ac:dyDescent="0.2">
      <c r="A1688">
        <v>19</v>
      </c>
      <c r="B1688">
        <v>19996132</v>
      </c>
      <c r="C1688">
        <v>19961422</v>
      </c>
      <c r="D1688" t="s">
        <v>29</v>
      </c>
      <c r="E1688" t="s">
        <v>2027</v>
      </c>
      <c r="G1688" t="s">
        <v>1165</v>
      </c>
      <c r="L1688" t="str">
        <f>HYPERLINK("https://test.ictv.global/id/TN19996132","TN19996132@TEST")</f>
        <v>TN19996132@TEST</v>
      </c>
      <c r="M1688" t="str">
        <f>HYPERLINK("https://test.ictv.global/id/ICTV19961422","ICTV19961422@TEST")</f>
        <v>ICTV19961422@TEST</v>
      </c>
      <c r="N1688" t="str">
        <f>HYPERLINK("https://ictv.global/id/TN19996132","TN19996132@prod")</f>
        <v>TN19996132@prod</v>
      </c>
      <c r="O1688" t="str">
        <f>HYPERLINK("https://ictv.global/id/ICTV19961422","ICTV19961422@prod")</f>
        <v>ICTV19961422@prod</v>
      </c>
    </row>
    <row r="1689" spans="1:15" x14ac:dyDescent="0.2">
      <c r="A1689">
        <v>19</v>
      </c>
      <c r="B1689">
        <v>19996133</v>
      </c>
      <c r="C1689">
        <v>19961423</v>
      </c>
      <c r="D1689" t="s">
        <v>29</v>
      </c>
      <c r="E1689" t="s">
        <v>2028</v>
      </c>
      <c r="G1689" t="s">
        <v>1165</v>
      </c>
      <c r="L1689" t="str">
        <f>HYPERLINK("https://test.ictv.global/id/TN19996133","TN19996133@TEST")</f>
        <v>TN19996133@TEST</v>
      </c>
      <c r="M1689" t="str">
        <f>HYPERLINK("https://test.ictv.global/id/ICTV19961423","ICTV19961423@TEST")</f>
        <v>ICTV19961423@TEST</v>
      </c>
      <c r="N1689" t="str">
        <f>HYPERLINK("https://ictv.global/id/TN19996133","TN19996133@prod")</f>
        <v>TN19996133@prod</v>
      </c>
      <c r="O1689" t="str">
        <f>HYPERLINK("https://ictv.global/id/ICTV19961423","ICTV19961423@prod")</f>
        <v>ICTV19961423@prod</v>
      </c>
    </row>
    <row r="1690" spans="1:15" x14ac:dyDescent="0.2">
      <c r="A1690">
        <v>19</v>
      </c>
      <c r="B1690">
        <v>19996134</v>
      </c>
      <c r="C1690">
        <v>19961424</v>
      </c>
      <c r="D1690" t="s">
        <v>29</v>
      </c>
      <c r="E1690" t="s">
        <v>2029</v>
      </c>
      <c r="G1690" t="s">
        <v>1165</v>
      </c>
      <c r="L1690" t="str">
        <f>HYPERLINK("https://test.ictv.global/id/TN19996134","TN19996134@TEST")</f>
        <v>TN19996134@TEST</v>
      </c>
      <c r="M1690" t="str">
        <f>HYPERLINK("https://test.ictv.global/id/ICTV19961424","ICTV19961424@TEST")</f>
        <v>ICTV19961424@TEST</v>
      </c>
      <c r="N1690" t="str">
        <f>HYPERLINK("https://ictv.global/id/TN19996134","TN19996134@prod")</f>
        <v>TN19996134@prod</v>
      </c>
      <c r="O1690" t="str">
        <f>HYPERLINK("https://ictv.global/id/ICTV19961424","ICTV19961424@prod")</f>
        <v>ICTV19961424@prod</v>
      </c>
    </row>
    <row r="1691" spans="1:15" x14ac:dyDescent="0.2">
      <c r="A1691">
        <v>19</v>
      </c>
      <c r="B1691">
        <v>19996920</v>
      </c>
      <c r="C1691">
        <v>19952480</v>
      </c>
      <c r="D1691" t="s">
        <v>29</v>
      </c>
      <c r="E1691" t="s">
        <v>2030</v>
      </c>
      <c r="G1691" t="s">
        <v>1165</v>
      </c>
      <c r="L1691" t="str">
        <f>HYPERLINK("https://test.ictv.global/id/TN19996920","TN19996920@TEST")</f>
        <v>TN19996920@TEST</v>
      </c>
      <c r="M1691" t="str">
        <f>HYPERLINK("https://test.ictv.global/id/ICTV19952480","ICTV19952480@TEST")</f>
        <v>ICTV19952480@TEST</v>
      </c>
      <c r="N1691" t="str">
        <f>HYPERLINK("https://ictv.global/id/TN19996920","TN19996920@prod")</f>
        <v>TN19996920@prod</v>
      </c>
      <c r="O1691" t="str">
        <f>HYPERLINK("https://ictv.global/id/ICTV19952480","ICTV19952480@prod")</f>
        <v>ICTV19952480@prod</v>
      </c>
    </row>
    <row r="1692" spans="1:15" x14ac:dyDescent="0.2">
      <c r="A1692">
        <v>20</v>
      </c>
      <c r="B1692">
        <v>20020194</v>
      </c>
      <c r="C1692">
        <v>19950124</v>
      </c>
      <c r="D1692" t="s">
        <v>19</v>
      </c>
      <c r="E1692" t="s">
        <v>852</v>
      </c>
      <c r="G1692" t="s">
        <v>53</v>
      </c>
      <c r="H1692" t="s">
        <v>853</v>
      </c>
      <c r="I1692" t="s">
        <v>19</v>
      </c>
      <c r="J1692">
        <v>20025197</v>
      </c>
      <c r="K1692">
        <v>20025197</v>
      </c>
      <c r="L1692" t="str">
        <f>HYPERLINK("https://test.ictv.global/id/TN20020194","TN20020194@TEST")</f>
        <v>TN20020194@TEST</v>
      </c>
      <c r="M1692" t="str">
        <f>HYPERLINK("https://test.ictv.global/id/ICTV19950124","ICTV19950124@TEST")</f>
        <v>ICTV19950124@TEST</v>
      </c>
      <c r="N1692" t="str">
        <f>HYPERLINK("https://ictv.global/id/TN20020194","TN20020194@prod")</f>
        <v>TN20020194@prod</v>
      </c>
      <c r="O1692" t="str">
        <f>HYPERLINK("https://ictv.global/id/ICTV19950124","ICTV19950124@prod")</f>
        <v>ICTV19950124@prod</v>
      </c>
    </row>
    <row r="1693" spans="1:15" x14ac:dyDescent="0.2">
      <c r="A1693">
        <v>20</v>
      </c>
      <c r="B1693">
        <v>20020194</v>
      </c>
      <c r="C1693">
        <v>19950124</v>
      </c>
      <c r="D1693" t="s">
        <v>19</v>
      </c>
      <c r="E1693" t="s">
        <v>852</v>
      </c>
      <c r="G1693" t="s">
        <v>53</v>
      </c>
      <c r="H1693" t="s">
        <v>854</v>
      </c>
      <c r="I1693" t="s">
        <v>19</v>
      </c>
      <c r="J1693">
        <v>20025198</v>
      </c>
      <c r="K1693">
        <v>20025198</v>
      </c>
      <c r="L1693" t="str">
        <f>HYPERLINK("https://test.ictv.global/id/TN20020194","TN20020194@TEST")</f>
        <v>TN20020194@TEST</v>
      </c>
      <c r="M1693" t="str">
        <f>HYPERLINK("https://test.ictv.global/id/ICTV19950124","ICTV19950124@TEST")</f>
        <v>ICTV19950124@TEST</v>
      </c>
      <c r="N1693" t="str">
        <f>HYPERLINK("https://ictv.global/id/TN20020194","TN20020194@prod")</f>
        <v>TN20020194@prod</v>
      </c>
      <c r="O1693" t="str">
        <f>HYPERLINK("https://ictv.global/id/ICTV19950124","ICTV19950124@prod")</f>
        <v>ICTV19950124@prod</v>
      </c>
    </row>
    <row r="1694" spans="1:15" x14ac:dyDescent="0.2">
      <c r="A1694">
        <v>20</v>
      </c>
      <c r="B1694">
        <v>20020791</v>
      </c>
      <c r="C1694">
        <v>19950823</v>
      </c>
      <c r="D1694" t="s">
        <v>29</v>
      </c>
      <c r="E1694" t="s">
        <v>855</v>
      </c>
      <c r="G1694" t="s">
        <v>53</v>
      </c>
      <c r="H1694" t="s">
        <v>856</v>
      </c>
      <c r="I1694" t="s">
        <v>29</v>
      </c>
      <c r="J1694">
        <v>20025805</v>
      </c>
      <c r="K1694">
        <v>20025805</v>
      </c>
      <c r="L1694" t="str">
        <f>HYPERLINK("https://test.ictv.global/id/TN20020791","TN20020791@TEST")</f>
        <v>TN20020791@TEST</v>
      </c>
      <c r="M1694" t="str">
        <f>HYPERLINK("https://test.ictv.global/id/ICTV19950823","ICTV19950823@TEST")</f>
        <v>ICTV19950823@TEST</v>
      </c>
      <c r="N1694" t="str">
        <f>HYPERLINK("https://ictv.global/id/TN20020791","TN20020791@prod")</f>
        <v>TN20020791@prod</v>
      </c>
      <c r="O1694" t="str">
        <f>HYPERLINK("https://ictv.global/id/ICTV19950823","ICTV19950823@prod")</f>
        <v>ICTV19950823@prod</v>
      </c>
    </row>
    <row r="1695" spans="1:15" x14ac:dyDescent="0.2">
      <c r="A1695">
        <v>20</v>
      </c>
      <c r="B1695">
        <v>20020791</v>
      </c>
      <c r="C1695">
        <v>19950823</v>
      </c>
      <c r="D1695" t="s">
        <v>29</v>
      </c>
      <c r="E1695" t="s">
        <v>855</v>
      </c>
      <c r="G1695" t="s">
        <v>57</v>
      </c>
      <c r="H1695" t="s">
        <v>857</v>
      </c>
      <c r="I1695" t="s">
        <v>29</v>
      </c>
      <c r="J1695">
        <v>20025806</v>
      </c>
      <c r="K1695">
        <v>20025806</v>
      </c>
      <c r="L1695" t="str">
        <f>HYPERLINK("https://test.ictv.global/id/TN20020791","TN20020791@TEST")</f>
        <v>TN20020791@TEST</v>
      </c>
      <c r="M1695" t="str">
        <f>HYPERLINK("https://test.ictv.global/id/ICTV19950823","ICTV19950823@TEST")</f>
        <v>ICTV19950823@TEST</v>
      </c>
      <c r="N1695" t="str">
        <f>HYPERLINK("https://ictv.global/id/TN20020791","TN20020791@prod")</f>
        <v>TN20020791@prod</v>
      </c>
      <c r="O1695" t="str">
        <f>HYPERLINK("https://ictv.global/id/ICTV19950823","ICTV19950823@prod")</f>
        <v>ICTV19950823@prod</v>
      </c>
    </row>
    <row r="1696" spans="1:15" x14ac:dyDescent="0.2">
      <c r="A1696">
        <v>20</v>
      </c>
      <c r="B1696">
        <v>20021726</v>
      </c>
      <c r="C1696">
        <v>19760544</v>
      </c>
      <c r="D1696" t="s">
        <v>29</v>
      </c>
      <c r="E1696" t="s">
        <v>858</v>
      </c>
      <c r="G1696" t="s">
        <v>33</v>
      </c>
      <c r="H1696" t="s">
        <v>834</v>
      </c>
      <c r="I1696" t="s">
        <v>29</v>
      </c>
      <c r="J1696">
        <v>20026748</v>
      </c>
      <c r="K1696">
        <v>20026748</v>
      </c>
      <c r="L1696" t="str">
        <f>HYPERLINK("https://test.ictv.global/id/TN20021726","TN20021726@TEST")</f>
        <v>TN20021726@TEST</v>
      </c>
      <c r="M1696" t="str">
        <f>HYPERLINK("https://test.ictv.global/id/ICTV19760544","ICTV19760544@TEST")</f>
        <v>ICTV19760544@TEST</v>
      </c>
      <c r="N1696" t="str">
        <f>HYPERLINK("https://ictv.global/id/TN20021726","TN20021726@prod")</f>
        <v>TN20021726@prod</v>
      </c>
      <c r="O1696" t="str">
        <f>HYPERLINK("https://ictv.global/id/ICTV19760544","ICTV19760544@prod")</f>
        <v>ICTV19760544@prod</v>
      </c>
    </row>
    <row r="1697" spans="1:15" x14ac:dyDescent="0.2">
      <c r="A1697">
        <v>20</v>
      </c>
      <c r="B1697">
        <v>20021728</v>
      </c>
      <c r="C1697">
        <v>19991650</v>
      </c>
      <c r="D1697" t="s">
        <v>29</v>
      </c>
      <c r="E1697" t="s">
        <v>835</v>
      </c>
      <c r="G1697" t="s">
        <v>31</v>
      </c>
      <c r="H1697" t="s">
        <v>834</v>
      </c>
      <c r="I1697" t="s">
        <v>29</v>
      </c>
      <c r="J1697">
        <v>20026748</v>
      </c>
      <c r="K1697">
        <v>20026748</v>
      </c>
      <c r="L1697" t="str">
        <f>HYPERLINK("https://test.ictv.global/id/TN20021728","TN20021728@TEST")</f>
        <v>TN20021728@TEST</v>
      </c>
      <c r="M1697" t="str">
        <f>HYPERLINK("https://test.ictv.global/id/ICTV19991650","ICTV19991650@TEST")</f>
        <v>ICTV19991650@TEST</v>
      </c>
      <c r="N1697" t="str">
        <f>HYPERLINK("https://ictv.global/id/TN20021728","TN20021728@prod")</f>
        <v>TN20021728@prod</v>
      </c>
      <c r="O1697" t="str">
        <f>HYPERLINK("https://ictv.global/id/ICTV19991650","ICTV19991650@prod")</f>
        <v>ICTV19991650@prod</v>
      </c>
    </row>
    <row r="1698" spans="1:15" x14ac:dyDescent="0.2">
      <c r="A1698">
        <v>20</v>
      </c>
      <c r="B1698">
        <v>20021729</v>
      </c>
      <c r="C1698">
        <v>19991651</v>
      </c>
      <c r="D1698" t="s">
        <v>29</v>
      </c>
      <c r="E1698" t="s">
        <v>836</v>
      </c>
      <c r="G1698" t="s">
        <v>31</v>
      </c>
      <c r="H1698" t="s">
        <v>834</v>
      </c>
      <c r="I1698" t="s">
        <v>29</v>
      </c>
      <c r="J1698">
        <v>20026748</v>
      </c>
      <c r="K1698">
        <v>20026748</v>
      </c>
      <c r="L1698" t="str">
        <f>HYPERLINK("https://test.ictv.global/id/TN20021729","TN20021729@TEST")</f>
        <v>TN20021729@TEST</v>
      </c>
      <c r="M1698" t="str">
        <f>HYPERLINK("https://test.ictv.global/id/ICTV19991651","ICTV19991651@TEST")</f>
        <v>ICTV19991651@TEST</v>
      </c>
      <c r="N1698" t="str">
        <f>HYPERLINK("https://ictv.global/id/TN20021729","TN20021729@prod")</f>
        <v>TN20021729@prod</v>
      </c>
      <c r="O1698" t="str">
        <f>HYPERLINK("https://ictv.global/id/ICTV19991651","ICTV19991651@prod")</f>
        <v>ICTV19991651@prod</v>
      </c>
    </row>
    <row r="1699" spans="1:15" x14ac:dyDescent="0.2">
      <c r="A1699">
        <v>21</v>
      </c>
      <c r="B1699">
        <v>20025293</v>
      </c>
      <c r="C1699">
        <v>19710008</v>
      </c>
      <c r="D1699" t="s">
        <v>19</v>
      </c>
      <c r="E1699" t="s">
        <v>2031</v>
      </c>
      <c r="G1699" t="s">
        <v>1165</v>
      </c>
      <c r="L1699" t="str">
        <f>HYPERLINK("https://test.ictv.global/id/TN20025293","TN20025293@TEST")</f>
        <v>TN20025293@TEST</v>
      </c>
      <c r="M1699" t="str">
        <f>HYPERLINK("https://test.ictv.global/id/ICTV19710008","ICTV19710008@TEST")</f>
        <v>ICTV19710008@TEST</v>
      </c>
      <c r="N1699" t="str">
        <f>HYPERLINK("https://ictv.global/id/TN20025293","TN20025293@prod")</f>
        <v>TN20025293@prod</v>
      </c>
      <c r="O1699" t="str">
        <f>HYPERLINK("https://ictv.global/id/ICTV19710008","ICTV19710008@prod")</f>
        <v>ICTV19710008@prod</v>
      </c>
    </row>
    <row r="1700" spans="1:15" x14ac:dyDescent="0.2">
      <c r="A1700">
        <v>21</v>
      </c>
      <c r="B1700">
        <v>20025956</v>
      </c>
      <c r="C1700">
        <v>19950961</v>
      </c>
      <c r="D1700" t="s">
        <v>29</v>
      </c>
      <c r="E1700" t="s">
        <v>2032</v>
      </c>
      <c r="G1700" t="s">
        <v>1165</v>
      </c>
      <c r="L1700" t="str">
        <f>HYPERLINK("https://test.ictv.global/id/TN20025956","TN20025956@TEST")</f>
        <v>TN20025956@TEST</v>
      </c>
      <c r="M1700" t="str">
        <f>HYPERLINK("https://test.ictv.global/id/ICTV19950961","ICTV19950961@TEST")</f>
        <v>ICTV19950961@TEST</v>
      </c>
      <c r="N1700" t="str">
        <f>HYPERLINK("https://ictv.global/id/TN20025956","TN20025956@prod")</f>
        <v>TN20025956@prod</v>
      </c>
      <c r="O1700" t="str">
        <f>HYPERLINK("https://ictv.global/id/ICTV19950961","ICTV19950961@prod")</f>
        <v>ICTV19950961@prod</v>
      </c>
    </row>
    <row r="1701" spans="1:15" x14ac:dyDescent="0.2">
      <c r="A1701">
        <v>21</v>
      </c>
      <c r="B1701">
        <v>20025960</v>
      </c>
      <c r="C1701">
        <v>19950964</v>
      </c>
      <c r="D1701" t="s">
        <v>29</v>
      </c>
      <c r="E1701" t="s">
        <v>2033</v>
      </c>
      <c r="G1701" t="s">
        <v>1165</v>
      </c>
      <c r="L1701" t="str">
        <f>HYPERLINK("https://test.ictv.global/id/TN20025960","TN20025960@TEST")</f>
        <v>TN20025960@TEST</v>
      </c>
      <c r="M1701" t="str">
        <f>HYPERLINK("https://test.ictv.global/id/ICTV19950964","ICTV19950964@TEST")</f>
        <v>ICTV19950964@TEST</v>
      </c>
      <c r="N1701" t="str">
        <f>HYPERLINK("https://ictv.global/id/TN20025960","TN20025960@prod")</f>
        <v>TN20025960@prod</v>
      </c>
      <c r="O1701" t="str">
        <f>HYPERLINK("https://ictv.global/id/ICTV19950964","ICTV19950964@prod")</f>
        <v>ICTV19950964@prod</v>
      </c>
    </row>
    <row r="1702" spans="1:15" x14ac:dyDescent="0.2">
      <c r="A1702">
        <v>21</v>
      </c>
      <c r="B1702">
        <v>20025968</v>
      </c>
      <c r="C1702">
        <v>19950972</v>
      </c>
      <c r="D1702" t="s">
        <v>29</v>
      </c>
      <c r="E1702" t="s">
        <v>2034</v>
      </c>
      <c r="G1702" t="s">
        <v>1165</v>
      </c>
      <c r="L1702" t="str">
        <f>HYPERLINK("https://test.ictv.global/id/TN20025968","TN20025968@TEST")</f>
        <v>TN20025968@TEST</v>
      </c>
      <c r="M1702" t="str">
        <f>HYPERLINK("https://test.ictv.global/id/ICTV19950972","ICTV19950972@TEST")</f>
        <v>ICTV19950972@TEST</v>
      </c>
      <c r="N1702" t="str">
        <f>HYPERLINK("https://ictv.global/id/TN20025968","TN20025968@prod")</f>
        <v>TN20025968@prod</v>
      </c>
      <c r="O1702" t="str">
        <f>HYPERLINK("https://ictv.global/id/ICTV19950972","ICTV19950972@prod")</f>
        <v>ICTV19950972@prod</v>
      </c>
    </row>
    <row r="1703" spans="1:15" x14ac:dyDescent="0.2">
      <c r="A1703">
        <v>21</v>
      </c>
      <c r="B1703">
        <v>20025969</v>
      </c>
      <c r="C1703">
        <v>19950973</v>
      </c>
      <c r="D1703" t="s">
        <v>29</v>
      </c>
      <c r="E1703" t="s">
        <v>2035</v>
      </c>
      <c r="G1703" t="s">
        <v>1165</v>
      </c>
      <c r="L1703" t="str">
        <f>HYPERLINK("https://test.ictv.global/id/TN20025969","TN20025969@TEST")</f>
        <v>TN20025969@TEST</v>
      </c>
      <c r="M1703" t="str">
        <f>HYPERLINK("https://test.ictv.global/id/ICTV19950973","ICTV19950973@TEST")</f>
        <v>ICTV19950973@TEST</v>
      </c>
      <c r="N1703" t="str">
        <f>HYPERLINK("https://ictv.global/id/TN20025969","TN20025969@prod")</f>
        <v>TN20025969@prod</v>
      </c>
      <c r="O1703" t="str">
        <f>HYPERLINK("https://ictv.global/id/ICTV19950973","ICTV19950973@prod")</f>
        <v>ICTV19950973@prod</v>
      </c>
    </row>
    <row r="1704" spans="1:15" x14ac:dyDescent="0.2">
      <c r="A1704">
        <v>21</v>
      </c>
      <c r="B1704">
        <v>20025971</v>
      </c>
      <c r="C1704">
        <v>19950974</v>
      </c>
      <c r="D1704" t="s">
        <v>29</v>
      </c>
      <c r="E1704" t="s">
        <v>2036</v>
      </c>
      <c r="G1704" t="s">
        <v>1165</v>
      </c>
      <c r="L1704" t="str">
        <f>HYPERLINK("https://test.ictv.global/id/TN20025971","TN20025971@TEST")</f>
        <v>TN20025971@TEST</v>
      </c>
      <c r="M1704" t="str">
        <f>HYPERLINK("https://test.ictv.global/id/ICTV19950974","ICTV19950974@TEST")</f>
        <v>ICTV19950974@TEST</v>
      </c>
      <c r="N1704" t="str">
        <f>HYPERLINK("https://ictv.global/id/TN20025971","TN20025971@prod")</f>
        <v>TN20025971@prod</v>
      </c>
      <c r="O1704" t="str">
        <f>HYPERLINK("https://ictv.global/id/ICTV19950974","ICTV19950974@prod")</f>
        <v>ICTV19950974@prod</v>
      </c>
    </row>
    <row r="1705" spans="1:15" x14ac:dyDescent="0.2">
      <c r="A1705">
        <v>21</v>
      </c>
      <c r="B1705">
        <v>20025972</v>
      </c>
      <c r="C1705">
        <v>19871305</v>
      </c>
      <c r="D1705" t="s">
        <v>29</v>
      </c>
      <c r="E1705" t="s">
        <v>2037</v>
      </c>
      <c r="G1705" t="s">
        <v>1165</v>
      </c>
      <c r="L1705" t="str">
        <f>HYPERLINK("https://test.ictv.global/id/TN20025972","TN20025972@TEST")</f>
        <v>TN20025972@TEST</v>
      </c>
      <c r="M1705" t="str">
        <f>HYPERLINK("https://test.ictv.global/id/ICTV19871305","ICTV19871305@TEST")</f>
        <v>ICTV19871305@TEST</v>
      </c>
      <c r="N1705" t="str">
        <f>HYPERLINK("https://ictv.global/id/TN20025972","TN20025972@prod")</f>
        <v>TN20025972@prod</v>
      </c>
      <c r="O1705" t="str">
        <f>HYPERLINK("https://ictv.global/id/ICTV19871305","ICTV19871305@prod")</f>
        <v>ICTV19871305@prod</v>
      </c>
    </row>
    <row r="1706" spans="1:15" x14ac:dyDescent="0.2">
      <c r="A1706">
        <v>21</v>
      </c>
      <c r="B1706">
        <v>20025973</v>
      </c>
      <c r="C1706">
        <v>19981393</v>
      </c>
      <c r="D1706" t="s">
        <v>29</v>
      </c>
      <c r="E1706" t="s">
        <v>2038</v>
      </c>
      <c r="G1706" t="s">
        <v>1165</v>
      </c>
      <c r="L1706" t="str">
        <f>HYPERLINK("https://test.ictv.global/id/TN20025973","TN20025973@TEST")</f>
        <v>TN20025973@TEST</v>
      </c>
      <c r="M1706" t="str">
        <f>HYPERLINK("https://test.ictv.global/id/ICTV19981393","ICTV19981393@TEST")</f>
        <v>ICTV19981393@TEST</v>
      </c>
      <c r="N1706" t="str">
        <f>HYPERLINK("https://ictv.global/id/TN20025973","TN20025973@prod")</f>
        <v>TN20025973@prod</v>
      </c>
      <c r="O1706" t="str">
        <f>HYPERLINK("https://ictv.global/id/ICTV19981393","ICTV19981393@prod")</f>
        <v>ICTV19981393@prod</v>
      </c>
    </row>
    <row r="1707" spans="1:15" x14ac:dyDescent="0.2">
      <c r="A1707">
        <v>21</v>
      </c>
      <c r="B1707">
        <v>20025975</v>
      </c>
      <c r="C1707">
        <v>19911645</v>
      </c>
      <c r="D1707" t="s">
        <v>29</v>
      </c>
      <c r="E1707" t="s">
        <v>2039</v>
      </c>
      <c r="G1707" t="s">
        <v>1165</v>
      </c>
      <c r="L1707" t="str">
        <f>HYPERLINK("https://test.ictv.global/id/TN20025975","TN20025975@TEST")</f>
        <v>TN20025975@TEST</v>
      </c>
      <c r="M1707" t="str">
        <f>HYPERLINK("https://test.ictv.global/id/ICTV19911645","ICTV19911645@TEST")</f>
        <v>ICTV19911645@TEST</v>
      </c>
      <c r="N1707" t="str">
        <f>HYPERLINK("https://ictv.global/id/TN20025975","TN20025975@prod")</f>
        <v>TN20025975@prod</v>
      </c>
      <c r="O1707" t="str">
        <f>HYPERLINK("https://ictv.global/id/ICTV19911645","ICTV19911645@prod")</f>
        <v>ICTV19911645@prod</v>
      </c>
    </row>
    <row r="1708" spans="1:15" x14ac:dyDescent="0.2">
      <c r="A1708">
        <v>21</v>
      </c>
      <c r="B1708">
        <v>20025977</v>
      </c>
      <c r="C1708">
        <v>19981397</v>
      </c>
      <c r="D1708" t="s">
        <v>29</v>
      </c>
      <c r="E1708" t="s">
        <v>2040</v>
      </c>
      <c r="G1708" t="s">
        <v>1165</v>
      </c>
      <c r="L1708" t="str">
        <f>HYPERLINK("https://test.ictv.global/id/TN20025977","TN20025977@TEST")</f>
        <v>TN20025977@TEST</v>
      </c>
      <c r="M1708" t="str">
        <f>HYPERLINK("https://test.ictv.global/id/ICTV19981397","ICTV19981397@TEST")</f>
        <v>ICTV19981397@TEST</v>
      </c>
      <c r="N1708" t="str">
        <f>HYPERLINK("https://ictv.global/id/TN20025977","TN20025977@prod")</f>
        <v>TN20025977@prod</v>
      </c>
      <c r="O1708" t="str">
        <f>HYPERLINK("https://ictv.global/id/ICTV19981397","ICTV19981397@prod")</f>
        <v>ICTV19981397@prod</v>
      </c>
    </row>
    <row r="1709" spans="1:15" x14ac:dyDescent="0.2">
      <c r="A1709">
        <v>21</v>
      </c>
      <c r="B1709">
        <v>20025978</v>
      </c>
      <c r="C1709">
        <v>19911647</v>
      </c>
      <c r="D1709" t="s">
        <v>29</v>
      </c>
      <c r="E1709" t="s">
        <v>2041</v>
      </c>
      <c r="G1709" t="s">
        <v>1165</v>
      </c>
      <c r="L1709" t="str">
        <f>HYPERLINK("https://test.ictv.global/id/TN20025978","TN20025978@TEST")</f>
        <v>TN20025978@TEST</v>
      </c>
      <c r="M1709" t="str">
        <f>HYPERLINK("https://test.ictv.global/id/ICTV19911647","ICTV19911647@TEST")</f>
        <v>ICTV19911647@TEST</v>
      </c>
      <c r="N1709" t="str">
        <f>HYPERLINK("https://ictv.global/id/TN20025978","TN20025978@prod")</f>
        <v>TN20025978@prod</v>
      </c>
      <c r="O1709" t="str">
        <f>HYPERLINK("https://ictv.global/id/ICTV19911647","ICTV19911647@prod")</f>
        <v>ICTV19911647@prod</v>
      </c>
    </row>
    <row r="1710" spans="1:15" x14ac:dyDescent="0.2">
      <c r="A1710">
        <v>21</v>
      </c>
      <c r="B1710">
        <v>20025979</v>
      </c>
      <c r="C1710">
        <v>19981399</v>
      </c>
      <c r="D1710" t="s">
        <v>29</v>
      </c>
      <c r="E1710" t="s">
        <v>2042</v>
      </c>
      <c r="G1710" t="s">
        <v>1165</v>
      </c>
      <c r="L1710" t="str">
        <f>HYPERLINK("https://test.ictv.global/id/TN20025979","TN20025979@TEST")</f>
        <v>TN20025979@TEST</v>
      </c>
      <c r="M1710" t="str">
        <f>HYPERLINK("https://test.ictv.global/id/ICTV19981399","ICTV19981399@TEST")</f>
        <v>ICTV19981399@TEST</v>
      </c>
      <c r="N1710" t="str">
        <f>HYPERLINK("https://ictv.global/id/TN20025979","TN20025979@prod")</f>
        <v>TN20025979@prod</v>
      </c>
      <c r="O1710" t="str">
        <f>HYPERLINK("https://ictv.global/id/ICTV19981399","ICTV19981399@prod")</f>
        <v>ICTV19981399@prod</v>
      </c>
    </row>
    <row r="1711" spans="1:15" x14ac:dyDescent="0.2">
      <c r="A1711">
        <v>21</v>
      </c>
      <c r="B1711">
        <v>20025980</v>
      </c>
      <c r="C1711">
        <v>19911648</v>
      </c>
      <c r="D1711" t="s">
        <v>29</v>
      </c>
      <c r="E1711" t="s">
        <v>2043</v>
      </c>
      <c r="G1711" t="s">
        <v>1165</v>
      </c>
      <c r="L1711" t="str">
        <f>HYPERLINK("https://test.ictv.global/id/TN20025980","TN20025980@TEST")</f>
        <v>TN20025980@TEST</v>
      </c>
      <c r="M1711" t="str">
        <f>HYPERLINK("https://test.ictv.global/id/ICTV19911648","ICTV19911648@TEST")</f>
        <v>ICTV19911648@TEST</v>
      </c>
      <c r="N1711" t="str">
        <f>HYPERLINK("https://ictv.global/id/TN20025980","TN20025980@prod")</f>
        <v>TN20025980@prod</v>
      </c>
      <c r="O1711" t="str">
        <f>HYPERLINK("https://ictv.global/id/ICTV19911648","ICTV19911648@prod")</f>
        <v>ICTV19911648@prod</v>
      </c>
    </row>
    <row r="1712" spans="1:15" x14ac:dyDescent="0.2">
      <c r="A1712">
        <v>21</v>
      </c>
      <c r="B1712">
        <v>20025981</v>
      </c>
      <c r="C1712">
        <v>19981401</v>
      </c>
      <c r="D1712" t="s">
        <v>29</v>
      </c>
      <c r="E1712" t="s">
        <v>2044</v>
      </c>
      <c r="G1712" t="s">
        <v>1165</v>
      </c>
      <c r="L1712" t="str">
        <f>HYPERLINK("https://test.ictv.global/id/TN20025981","TN20025981@TEST")</f>
        <v>TN20025981@TEST</v>
      </c>
      <c r="M1712" t="str">
        <f>HYPERLINK("https://test.ictv.global/id/ICTV19981401","ICTV19981401@TEST")</f>
        <v>ICTV19981401@TEST</v>
      </c>
      <c r="N1712" t="str">
        <f>HYPERLINK("https://ictv.global/id/TN20025981","TN20025981@prod")</f>
        <v>TN20025981@prod</v>
      </c>
      <c r="O1712" t="str">
        <f>HYPERLINK("https://ictv.global/id/ICTV19981401","ICTV19981401@prod")</f>
        <v>ICTV19981401@prod</v>
      </c>
    </row>
    <row r="1713" spans="1:15" x14ac:dyDescent="0.2">
      <c r="A1713">
        <v>21</v>
      </c>
      <c r="B1713">
        <v>20025982</v>
      </c>
      <c r="C1713">
        <v>19950981</v>
      </c>
      <c r="D1713" t="s">
        <v>29</v>
      </c>
      <c r="E1713" t="s">
        <v>2045</v>
      </c>
      <c r="G1713" t="s">
        <v>1165</v>
      </c>
      <c r="L1713" t="str">
        <f>HYPERLINK("https://test.ictv.global/id/TN20025982","TN20025982@TEST")</f>
        <v>TN20025982@TEST</v>
      </c>
      <c r="M1713" t="str">
        <f>HYPERLINK("https://test.ictv.global/id/ICTV19950981","ICTV19950981@TEST")</f>
        <v>ICTV19950981@TEST</v>
      </c>
      <c r="N1713" t="str">
        <f>HYPERLINK("https://ictv.global/id/TN20025982","TN20025982@prod")</f>
        <v>TN20025982@prod</v>
      </c>
      <c r="O1713" t="str">
        <f>HYPERLINK("https://ictv.global/id/ICTV19950981","ICTV19950981@prod")</f>
        <v>ICTV19950981@prod</v>
      </c>
    </row>
    <row r="1714" spans="1:15" x14ac:dyDescent="0.2">
      <c r="A1714">
        <v>21</v>
      </c>
      <c r="B1714">
        <v>20025983</v>
      </c>
      <c r="C1714">
        <v>19911649</v>
      </c>
      <c r="D1714" t="s">
        <v>29</v>
      </c>
      <c r="E1714" t="s">
        <v>2046</v>
      </c>
      <c r="G1714" t="s">
        <v>1165</v>
      </c>
      <c r="L1714" t="str">
        <f>HYPERLINK("https://test.ictv.global/id/TN20025983","TN20025983@TEST")</f>
        <v>TN20025983@TEST</v>
      </c>
      <c r="M1714" t="str">
        <f>HYPERLINK("https://test.ictv.global/id/ICTV19911649","ICTV19911649@TEST")</f>
        <v>ICTV19911649@TEST</v>
      </c>
      <c r="N1714" t="str">
        <f>HYPERLINK("https://ictv.global/id/TN20025983","TN20025983@prod")</f>
        <v>TN20025983@prod</v>
      </c>
      <c r="O1714" t="str">
        <f>HYPERLINK("https://ictv.global/id/ICTV19911649","ICTV19911649@prod")</f>
        <v>ICTV19911649@prod</v>
      </c>
    </row>
    <row r="1715" spans="1:15" x14ac:dyDescent="0.2">
      <c r="A1715">
        <v>21</v>
      </c>
      <c r="B1715">
        <v>20025984</v>
      </c>
      <c r="C1715">
        <v>19911650</v>
      </c>
      <c r="D1715" t="s">
        <v>29</v>
      </c>
      <c r="E1715" t="s">
        <v>2047</v>
      </c>
      <c r="G1715" t="s">
        <v>1165</v>
      </c>
      <c r="L1715" t="str">
        <f>HYPERLINK("https://test.ictv.global/id/TN20025984","TN20025984@TEST")</f>
        <v>TN20025984@TEST</v>
      </c>
      <c r="M1715" t="str">
        <f>HYPERLINK("https://test.ictv.global/id/ICTV19911650","ICTV19911650@TEST")</f>
        <v>ICTV19911650@TEST</v>
      </c>
      <c r="N1715" t="str">
        <f>HYPERLINK("https://ictv.global/id/TN20025984","TN20025984@prod")</f>
        <v>TN20025984@prod</v>
      </c>
      <c r="O1715" t="str">
        <f>HYPERLINK("https://ictv.global/id/ICTV19911650","ICTV19911650@prod")</f>
        <v>ICTV19911650@prod</v>
      </c>
    </row>
    <row r="1716" spans="1:15" x14ac:dyDescent="0.2">
      <c r="A1716">
        <v>21</v>
      </c>
      <c r="B1716">
        <v>20025986</v>
      </c>
      <c r="C1716">
        <v>19950985</v>
      </c>
      <c r="D1716" t="s">
        <v>29</v>
      </c>
      <c r="E1716" t="s">
        <v>2048</v>
      </c>
      <c r="G1716" t="s">
        <v>1165</v>
      </c>
      <c r="L1716" t="str">
        <f>HYPERLINK("https://test.ictv.global/id/TN20025986","TN20025986@TEST")</f>
        <v>TN20025986@TEST</v>
      </c>
      <c r="M1716" t="str">
        <f>HYPERLINK("https://test.ictv.global/id/ICTV19950985","ICTV19950985@TEST")</f>
        <v>ICTV19950985@TEST</v>
      </c>
      <c r="N1716" t="str">
        <f>HYPERLINK("https://ictv.global/id/TN20025986","TN20025986@prod")</f>
        <v>TN20025986@prod</v>
      </c>
      <c r="O1716" t="str">
        <f>HYPERLINK("https://ictv.global/id/ICTV19950985","ICTV19950985@prod")</f>
        <v>ICTV19950985@prod</v>
      </c>
    </row>
    <row r="1717" spans="1:15" x14ac:dyDescent="0.2">
      <c r="A1717">
        <v>21</v>
      </c>
      <c r="B1717">
        <v>20025990</v>
      </c>
      <c r="C1717">
        <v>19911655</v>
      </c>
      <c r="D1717" t="s">
        <v>29</v>
      </c>
      <c r="E1717" t="s">
        <v>2049</v>
      </c>
      <c r="G1717" t="s">
        <v>1165</v>
      </c>
      <c r="L1717" t="str">
        <f>HYPERLINK("https://test.ictv.global/id/TN20025990","TN20025990@TEST")</f>
        <v>TN20025990@TEST</v>
      </c>
      <c r="M1717" t="str">
        <f>HYPERLINK("https://test.ictv.global/id/ICTV19911655","ICTV19911655@TEST")</f>
        <v>ICTV19911655@TEST</v>
      </c>
      <c r="N1717" t="str">
        <f>HYPERLINK("https://ictv.global/id/TN20025990","TN20025990@prod")</f>
        <v>TN20025990@prod</v>
      </c>
      <c r="O1717" t="str">
        <f>HYPERLINK("https://ictv.global/id/ICTV19911655","ICTV19911655@prod")</f>
        <v>ICTV19911655@prod</v>
      </c>
    </row>
    <row r="1718" spans="1:15" x14ac:dyDescent="0.2">
      <c r="A1718">
        <v>21</v>
      </c>
      <c r="B1718">
        <v>20025992</v>
      </c>
      <c r="C1718">
        <v>19950989</v>
      </c>
      <c r="D1718" t="s">
        <v>29</v>
      </c>
      <c r="E1718" t="s">
        <v>2050</v>
      </c>
      <c r="G1718" t="s">
        <v>1165</v>
      </c>
      <c r="L1718" t="str">
        <f>HYPERLINK("https://test.ictv.global/id/TN20025992","TN20025992@TEST")</f>
        <v>TN20025992@TEST</v>
      </c>
      <c r="M1718" t="str">
        <f>HYPERLINK("https://test.ictv.global/id/ICTV19950989","ICTV19950989@TEST")</f>
        <v>ICTV19950989@TEST</v>
      </c>
      <c r="N1718" t="str">
        <f>HYPERLINK("https://ictv.global/id/TN20025992","TN20025992@prod")</f>
        <v>TN20025992@prod</v>
      </c>
      <c r="O1718" t="str">
        <f>HYPERLINK("https://ictv.global/id/ICTV19950989","ICTV19950989@prod")</f>
        <v>ICTV19950989@prod</v>
      </c>
    </row>
    <row r="1719" spans="1:15" x14ac:dyDescent="0.2">
      <c r="A1719">
        <v>21</v>
      </c>
      <c r="B1719">
        <v>20025998</v>
      </c>
      <c r="C1719">
        <v>19981418</v>
      </c>
      <c r="D1719" t="s">
        <v>29</v>
      </c>
      <c r="E1719" t="s">
        <v>2051</v>
      </c>
      <c r="G1719" t="s">
        <v>1165</v>
      </c>
      <c r="L1719" t="str">
        <f>HYPERLINK("https://test.ictv.global/id/TN20025998","TN20025998@TEST")</f>
        <v>TN20025998@TEST</v>
      </c>
      <c r="M1719" t="str">
        <f>HYPERLINK("https://test.ictv.global/id/ICTV19981418","ICTV19981418@TEST")</f>
        <v>ICTV19981418@TEST</v>
      </c>
      <c r="N1719" t="str">
        <f>HYPERLINK("https://ictv.global/id/TN20025998","TN20025998@prod")</f>
        <v>TN20025998@prod</v>
      </c>
      <c r="O1719" t="str">
        <f>HYPERLINK("https://ictv.global/id/ICTV19981418","ICTV19981418@prod")</f>
        <v>ICTV19981418@prod</v>
      </c>
    </row>
    <row r="1720" spans="1:15" x14ac:dyDescent="0.2">
      <c r="A1720">
        <v>21</v>
      </c>
      <c r="B1720">
        <v>20026010</v>
      </c>
      <c r="C1720">
        <v>19981428</v>
      </c>
      <c r="D1720" t="s">
        <v>29</v>
      </c>
      <c r="E1720" t="s">
        <v>2052</v>
      </c>
      <c r="G1720" t="s">
        <v>1165</v>
      </c>
      <c r="L1720" t="str">
        <f>HYPERLINK("https://test.ictv.global/id/TN20026010","TN20026010@TEST")</f>
        <v>TN20026010@TEST</v>
      </c>
      <c r="M1720" t="str">
        <f>HYPERLINK("https://test.ictv.global/id/ICTV19981428","ICTV19981428@TEST")</f>
        <v>ICTV19981428@TEST</v>
      </c>
      <c r="N1720" t="str">
        <f>HYPERLINK("https://ictv.global/id/TN20026010","TN20026010@prod")</f>
        <v>TN20026010@prod</v>
      </c>
      <c r="O1720" t="str">
        <f>HYPERLINK("https://ictv.global/id/ICTV19981428","ICTV19981428@prod")</f>
        <v>ICTV19981428@prod</v>
      </c>
    </row>
    <row r="1721" spans="1:15" x14ac:dyDescent="0.2">
      <c r="A1721">
        <v>21</v>
      </c>
      <c r="B1721">
        <v>20026012</v>
      </c>
      <c r="C1721">
        <v>19981430</v>
      </c>
      <c r="D1721" t="s">
        <v>29</v>
      </c>
      <c r="E1721" t="s">
        <v>2053</v>
      </c>
      <c r="G1721" t="s">
        <v>1165</v>
      </c>
      <c r="L1721" t="str">
        <f>HYPERLINK("https://test.ictv.global/id/TN20026012","TN20026012@TEST")</f>
        <v>TN20026012@TEST</v>
      </c>
      <c r="M1721" t="str">
        <f>HYPERLINK("https://test.ictv.global/id/ICTV19981430","ICTV19981430@TEST")</f>
        <v>ICTV19981430@TEST</v>
      </c>
      <c r="N1721" t="str">
        <f>HYPERLINK("https://ictv.global/id/TN20026012","TN20026012@prod")</f>
        <v>TN20026012@prod</v>
      </c>
      <c r="O1721" t="str">
        <f>HYPERLINK("https://ictv.global/id/ICTV19981430","ICTV19981430@prod")</f>
        <v>ICTV19981430@prod</v>
      </c>
    </row>
    <row r="1722" spans="1:15" x14ac:dyDescent="0.2">
      <c r="A1722">
        <v>21</v>
      </c>
      <c r="B1722">
        <v>20026015</v>
      </c>
      <c r="C1722">
        <v>19911659</v>
      </c>
      <c r="D1722" t="s">
        <v>29</v>
      </c>
      <c r="E1722" t="s">
        <v>2054</v>
      </c>
      <c r="G1722" t="s">
        <v>1165</v>
      </c>
      <c r="L1722" t="str">
        <f>HYPERLINK("https://test.ictv.global/id/TN20026015","TN20026015@TEST")</f>
        <v>TN20026015@TEST</v>
      </c>
      <c r="M1722" t="str">
        <f>HYPERLINK("https://test.ictv.global/id/ICTV19911659","ICTV19911659@TEST")</f>
        <v>ICTV19911659@TEST</v>
      </c>
      <c r="N1722" t="str">
        <f>HYPERLINK("https://ictv.global/id/TN20026015","TN20026015@prod")</f>
        <v>TN20026015@prod</v>
      </c>
      <c r="O1722" t="str">
        <f>HYPERLINK("https://ictv.global/id/ICTV19911659","ICTV19911659@prod")</f>
        <v>ICTV19911659@prod</v>
      </c>
    </row>
    <row r="1723" spans="1:15" x14ac:dyDescent="0.2">
      <c r="A1723">
        <v>21</v>
      </c>
      <c r="B1723">
        <v>20026018</v>
      </c>
      <c r="C1723">
        <v>19981436</v>
      </c>
      <c r="D1723" t="s">
        <v>29</v>
      </c>
      <c r="E1723" t="s">
        <v>2055</v>
      </c>
      <c r="G1723" t="s">
        <v>1165</v>
      </c>
      <c r="L1723" t="str">
        <f>HYPERLINK("https://test.ictv.global/id/TN20026018","TN20026018@TEST")</f>
        <v>TN20026018@TEST</v>
      </c>
      <c r="M1723" t="str">
        <f>HYPERLINK("https://test.ictv.global/id/ICTV19981436","ICTV19981436@TEST")</f>
        <v>ICTV19981436@TEST</v>
      </c>
      <c r="N1723" t="str">
        <f>HYPERLINK("https://ictv.global/id/TN20026018","TN20026018@prod")</f>
        <v>TN20026018@prod</v>
      </c>
      <c r="O1723" t="str">
        <f>HYPERLINK("https://ictv.global/id/ICTV19981436","ICTV19981436@prod")</f>
        <v>ICTV19981436@prod</v>
      </c>
    </row>
    <row r="1724" spans="1:15" x14ac:dyDescent="0.2">
      <c r="A1724">
        <v>21</v>
      </c>
      <c r="B1724">
        <v>20026020</v>
      </c>
      <c r="C1724">
        <v>19981438</v>
      </c>
      <c r="D1724" t="s">
        <v>29</v>
      </c>
      <c r="E1724" t="s">
        <v>2056</v>
      </c>
      <c r="G1724" t="s">
        <v>1165</v>
      </c>
      <c r="L1724" t="str">
        <f>HYPERLINK("https://test.ictv.global/id/TN20026020","TN20026020@TEST")</f>
        <v>TN20026020@TEST</v>
      </c>
      <c r="M1724" t="str">
        <f>HYPERLINK("https://test.ictv.global/id/ICTV19981438","ICTV19981438@TEST")</f>
        <v>ICTV19981438@TEST</v>
      </c>
      <c r="N1724" t="str">
        <f>HYPERLINK("https://ictv.global/id/TN20026020","TN20026020@prod")</f>
        <v>TN20026020@prod</v>
      </c>
      <c r="O1724" t="str">
        <f>HYPERLINK("https://ictv.global/id/ICTV19981438","ICTV19981438@prod")</f>
        <v>ICTV19981438@prod</v>
      </c>
    </row>
    <row r="1725" spans="1:15" x14ac:dyDescent="0.2">
      <c r="A1725">
        <v>21</v>
      </c>
      <c r="B1725">
        <v>20026021</v>
      </c>
      <c r="C1725">
        <v>19981439</v>
      </c>
      <c r="D1725" t="s">
        <v>29</v>
      </c>
      <c r="E1725" t="s">
        <v>2057</v>
      </c>
      <c r="G1725" t="s">
        <v>1165</v>
      </c>
      <c r="L1725" t="str">
        <f>HYPERLINK("https://test.ictv.global/id/TN20026021","TN20026021@TEST")</f>
        <v>TN20026021@TEST</v>
      </c>
      <c r="M1725" t="str">
        <f>HYPERLINK("https://test.ictv.global/id/ICTV19981439","ICTV19981439@TEST")</f>
        <v>ICTV19981439@TEST</v>
      </c>
      <c r="N1725" t="str">
        <f>HYPERLINK("https://ictv.global/id/TN20026021","TN20026021@prod")</f>
        <v>TN20026021@prod</v>
      </c>
      <c r="O1725" t="str">
        <f>HYPERLINK("https://ictv.global/id/ICTV19981439","ICTV19981439@prod")</f>
        <v>ICTV19981439@prod</v>
      </c>
    </row>
    <row r="1726" spans="1:15" x14ac:dyDescent="0.2">
      <c r="A1726">
        <v>21</v>
      </c>
      <c r="B1726">
        <v>20026023</v>
      </c>
      <c r="C1726">
        <v>19951005</v>
      </c>
      <c r="D1726" t="s">
        <v>29</v>
      </c>
      <c r="E1726" t="s">
        <v>2058</v>
      </c>
      <c r="G1726" t="s">
        <v>1165</v>
      </c>
      <c r="L1726" t="str">
        <f>HYPERLINK("https://test.ictv.global/id/TN20026023","TN20026023@TEST")</f>
        <v>TN20026023@TEST</v>
      </c>
      <c r="M1726" t="str">
        <f>HYPERLINK("https://test.ictv.global/id/ICTV19951005","ICTV19951005@TEST")</f>
        <v>ICTV19951005@TEST</v>
      </c>
      <c r="N1726" t="str">
        <f>HYPERLINK("https://ictv.global/id/TN20026023","TN20026023@prod")</f>
        <v>TN20026023@prod</v>
      </c>
      <c r="O1726" t="str">
        <f>HYPERLINK("https://ictv.global/id/ICTV19951005","ICTV19951005@prod")</f>
        <v>ICTV19951005@prod</v>
      </c>
    </row>
    <row r="1727" spans="1:15" x14ac:dyDescent="0.2">
      <c r="A1727">
        <v>21</v>
      </c>
      <c r="B1727">
        <v>20026024</v>
      </c>
      <c r="C1727">
        <v>19911661</v>
      </c>
      <c r="D1727" t="s">
        <v>29</v>
      </c>
      <c r="E1727" t="s">
        <v>2059</v>
      </c>
      <c r="G1727" t="s">
        <v>1165</v>
      </c>
      <c r="L1727" t="str">
        <f>HYPERLINK("https://test.ictv.global/id/TN20026024","TN20026024@TEST")</f>
        <v>TN20026024@TEST</v>
      </c>
      <c r="M1727" t="str">
        <f>HYPERLINK("https://test.ictv.global/id/ICTV19911661","ICTV19911661@TEST")</f>
        <v>ICTV19911661@TEST</v>
      </c>
      <c r="N1727" t="str">
        <f>HYPERLINK("https://ictv.global/id/TN20026024","TN20026024@prod")</f>
        <v>TN20026024@prod</v>
      </c>
      <c r="O1727" t="str">
        <f>HYPERLINK("https://ictv.global/id/ICTV19911661","ICTV19911661@prod")</f>
        <v>ICTV19911661@prod</v>
      </c>
    </row>
    <row r="1728" spans="1:15" x14ac:dyDescent="0.2">
      <c r="A1728">
        <v>21</v>
      </c>
      <c r="B1728">
        <v>20026025</v>
      </c>
      <c r="C1728">
        <v>19981443</v>
      </c>
      <c r="D1728" t="s">
        <v>29</v>
      </c>
      <c r="E1728" t="s">
        <v>2060</v>
      </c>
      <c r="G1728" t="s">
        <v>1165</v>
      </c>
      <c r="L1728" t="str">
        <f>HYPERLINK("https://test.ictv.global/id/TN20026025","TN20026025@TEST")</f>
        <v>TN20026025@TEST</v>
      </c>
      <c r="M1728" t="str">
        <f>HYPERLINK("https://test.ictv.global/id/ICTV19981443","ICTV19981443@TEST")</f>
        <v>ICTV19981443@TEST</v>
      </c>
      <c r="N1728" t="str">
        <f>HYPERLINK("https://ictv.global/id/TN20026025","TN20026025@prod")</f>
        <v>TN20026025@prod</v>
      </c>
      <c r="O1728" t="str">
        <f>HYPERLINK("https://ictv.global/id/ICTV19981443","ICTV19981443@prod")</f>
        <v>ICTV19981443@prod</v>
      </c>
    </row>
    <row r="1729" spans="1:15" x14ac:dyDescent="0.2">
      <c r="A1729">
        <v>21</v>
      </c>
      <c r="B1729">
        <v>20026026</v>
      </c>
      <c r="C1729">
        <v>19981444</v>
      </c>
      <c r="D1729" t="s">
        <v>29</v>
      </c>
      <c r="E1729" t="s">
        <v>2061</v>
      </c>
      <c r="G1729" t="s">
        <v>1165</v>
      </c>
      <c r="L1729" t="str">
        <f>HYPERLINK("https://test.ictv.global/id/TN20026026","TN20026026@TEST")</f>
        <v>TN20026026@TEST</v>
      </c>
      <c r="M1729" t="str">
        <f>HYPERLINK("https://test.ictv.global/id/ICTV19981444","ICTV19981444@TEST")</f>
        <v>ICTV19981444@TEST</v>
      </c>
      <c r="N1729" t="str">
        <f>HYPERLINK("https://ictv.global/id/TN20026026","TN20026026@prod")</f>
        <v>TN20026026@prod</v>
      </c>
      <c r="O1729" t="str">
        <f>HYPERLINK("https://ictv.global/id/ICTV19981444","ICTV19981444@prod")</f>
        <v>ICTV19981444@prod</v>
      </c>
    </row>
    <row r="1730" spans="1:15" x14ac:dyDescent="0.2">
      <c r="A1730">
        <v>21</v>
      </c>
      <c r="B1730">
        <v>20026028</v>
      </c>
      <c r="C1730">
        <v>19911663</v>
      </c>
      <c r="D1730" t="s">
        <v>29</v>
      </c>
      <c r="E1730" t="s">
        <v>2062</v>
      </c>
      <c r="G1730" t="s">
        <v>1165</v>
      </c>
      <c r="L1730" t="str">
        <f>HYPERLINK("https://test.ictv.global/id/TN20026028","TN20026028@TEST")</f>
        <v>TN20026028@TEST</v>
      </c>
      <c r="M1730" t="str">
        <f>HYPERLINK("https://test.ictv.global/id/ICTV19911663","ICTV19911663@TEST")</f>
        <v>ICTV19911663@TEST</v>
      </c>
      <c r="N1730" t="str">
        <f>HYPERLINK("https://ictv.global/id/TN20026028","TN20026028@prod")</f>
        <v>TN20026028@prod</v>
      </c>
      <c r="O1730" t="str">
        <f>HYPERLINK("https://ictv.global/id/ICTV19911663","ICTV19911663@prod")</f>
        <v>ICTV19911663@prod</v>
      </c>
    </row>
    <row r="1731" spans="1:15" x14ac:dyDescent="0.2">
      <c r="A1731">
        <v>21</v>
      </c>
      <c r="B1731">
        <v>20026029</v>
      </c>
      <c r="C1731">
        <v>19981447</v>
      </c>
      <c r="D1731" t="s">
        <v>29</v>
      </c>
      <c r="E1731" t="s">
        <v>2063</v>
      </c>
      <c r="G1731" t="s">
        <v>1165</v>
      </c>
      <c r="L1731" t="str">
        <f>HYPERLINK("https://test.ictv.global/id/TN20026029","TN20026029@TEST")</f>
        <v>TN20026029@TEST</v>
      </c>
      <c r="M1731" t="str">
        <f>HYPERLINK("https://test.ictv.global/id/ICTV19981447","ICTV19981447@TEST")</f>
        <v>ICTV19981447@TEST</v>
      </c>
      <c r="N1731" t="str">
        <f>HYPERLINK("https://ictv.global/id/TN20026029","TN20026029@prod")</f>
        <v>TN20026029@prod</v>
      </c>
      <c r="O1731" t="str">
        <f>HYPERLINK("https://ictv.global/id/ICTV19981447","ICTV19981447@prod")</f>
        <v>ICTV19981447@prod</v>
      </c>
    </row>
    <row r="1732" spans="1:15" x14ac:dyDescent="0.2">
      <c r="A1732">
        <v>21</v>
      </c>
      <c r="B1732">
        <v>20026030</v>
      </c>
      <c r="C1732">
        <v>19981448</v>
      </c>
      <c r="D1732" t="s">
        <v>29</v>
      </c>
      <c r="E1732" t="s">
        <v>2064</v>
      </c>
      <c r="G1732" t="s">
        <v>1165</v>
      </c>
      <c r="L1732" t="str">
        <f>HYPERLINK("https://test.ictv.global/id/TN20026030","TN20026030@TEST")</f>
        <v>TN20026030@TEST</v>
      </c>
      <c r="M1732" t="str">
        <f>HYPERLINK("https://test.ictv.global/id/ICTV19981448","ICTV19981448@TEST")</f>
        <v>ICTV19981448@TEST</v>
      </c>
      <c r="N1732" t="str">
        <f>HYPERLINK("https://ictv.global/id/TN20026030","TN20026030@prod")</f>
        <v>TN20026030@prod</v>
      </c>
      <c r="O1732" t="str">
        <f>HYPERLINK("https://ictv.global/id/ICTV19981448","ICTV19981448@prod")</f>
        <v>ICTV19981448@prod</v>
      </c>
    </row>
    <row r="1733" spans="1:15" x14ac:dyDescent="0.2">
      <c r="A1733">
        <v>21</v>
      </c>
      <c r="B1733">
        <v>20026208</v>
      </c>
      <c r="C1733">
        <v>19760739</v>
      </c>
      <c r="D1733" t="s">
        <v>29</v>
      </c>
      <c r="E1733" t="s">
        <v>2065</v>
      </c>
      <c r="G1733" t="s">
        <v>1165</v>
      </c>
      <c r="L1733" t="str">
        <f>HYPERLINK("https://test.ictv.global/id/TN20026208","TN20026208@TEST")</f>
        <v>TN20026208@TEST</v>
      </c>
      <c r="M1733" t="str">
        <f>HYPERLINK("https://test.ictv.global/id/ICTV19760739","ICTV19760739@TEST")</f>
        <v>ICTV19760739@TEST</v>
      </c>
      <c r="N1733" t="str">
        <f>HYPERLINK("https://ictv.global/id/TN20026208","TN20026208@prod")</f>
        <v>TN20026208@prod</v>
      </c>
      <c r="O1733" t="str">
        <f>HYPERLINK("https://ictv.global/id/ICTV19760739","ICTV19760739@prod")</f>
        <v>ICTV19760739@prod</v>
      </c>
    </row>
    <row r="1734" spans="1:15" x14ac:dyDescent="0.2">
      <c r="A1734">
        <v>21</v>
      </c>
      <c r="B1734">
        <v>20026238</v>
      </c>
      <c r="C1734">
        <v>19991139</v>
      </c>
      <c r="D1734" t="s">
        <v>29</v>
      </c>
      <c r="E1734" t="s">
        <v>722</v>
      </c>
      <c r="G1734" t="s">
        <v>100</v>
      </c>
      <c r="H1734" t="s">
        <v>271</v>
      </c>
      <c r="I1734" t="s">
        <v>29</v>
      </c>
      <c r="J1734">
        <v>20041476</v>
      </c>
      <c r="K1734">
        <v>20041476</v>
      </c>
      <c r="L1734" t="str">
        <f>HYPERLINK("https://test.ictv.global/id/TN20026238","TN20026238@TEST")</f>
        <v>TN20026238@TEST</v>
      </c>
      <c r="M1734" t="str">
        <f>HYPERLINK("https://test.ictv.global/id/ICTV19991139","ICTV19991139@TEST")</f>
        <v>ICTV19991139@TEST</v>
      </c>
      <c r="N1734" t="str">
        <f>HYPERLINK("https://ictv.global/id/TN20026238","TN20026238@prod")</f>
        <v>TN20026238@prod</v>
      </c>
      <c r="O1734" t="str">
        <f>HYPERLINK("https://ictv.global/id/ICTV19991139","ICTV19991139@prod")</f>
        <v>ICTV19991139@prod</v>
      </c>
    </row>
    <row r="1735" spans="1:15" x14ac:dyDescent="0.2">
      <c r="A1735">
        <v>21</v>
      </c>
      <c r="B1735">
        <v>20026238</v>
      </c>
      <c r="C1735">
        <v>19991139</v>
      </c>
      <c r="D1735" t="s">
        <v>29</v>
      </c>
      <c r="E1735" t="s">
        <v>722</v>
      </c>
      <c r="G1735" t="s">
        <v>859</v>
      </c>
      <c r="H1735" t="s">
        <v>860</v>
      </c>
      <c r="I1735" t="s">
        <v>29</v>
      </c>
      <c r="J1735">
        <v>20041480</v>
      </c>
      <c r="K1735">
        <v>20041480</v>
      </c>
      <c r="L1735" t="str">
        <f>HYPERLINK("https://test.ictv.global/id/TN20026238","TN20026238@TEST")</f>
        <v>TN20026238@TEST</v>
      </c>
      <c r="M1735" t="str">
        <f>HYPERLINK("https://test.ictv.global/id/ICTV19991139","ICTV19991139@TEST")</f>
        <v>ICTV19991139@TEST</v>
      </c>
      <c r="N1735" t="str">
        <f>HYPERLINK("https://ictv.global/id/TN20026238","TN20026238@prod")</f>
        <v>TN20026238@prod</v>
      </c>
      <c r="O1735" t="str">
        <f>HYPERLINK("https://ictv.global/id/ICTV19991139","ICTV19991139@prod")</f>
        <v>ICTV19991139@prod</v>
      </c>
    </row>
    <row r="1736" spans="1:15" x14ac:dyDescent="0.2">
      <c r="A1736">
        <v>21</v>
      </c>
      <c r="B1736">
        <v>20026238</v>
      </c>
      <c r="C1736">
        <v>19991139</v>
      </c>
      <c r="D1736" t="s">
        <v>29</v>
      </c>
      <c r="E1736" t="s">
        <v>722</v>
      </c>
      <c r="G1736" t="s">
        <v>859</v>
      </c>
      <c r="H1736" t="s">
        <v>861</v>
      </c>
      <c r="I1736" t="s">
        <v>29</v>
      </c>
      <c r="J1736">
        <v>20041498</v>
      </c>
      <c r="K1736">
        <v>20041498</v>
      </c>
      <c r="L1736" t="str">
        <f>HYPERLINK("https://test.ictv.global/id/TN20026238","TN20026238@TEST")</f>
        <v>TN20026238@TEST</v>
      </c>
      <c r="M1736" t="str">
        <f>HYPERLINK("https://test.ictv.global/id/ICTV19991139","ICTV19991139@TEST")</f>
        <v>ICTV19991139@TEST</v>
      </c>
      <c r="N1736" t="str">
        <f>HYPERLINK("https://ictv.global/id/TN20026238","TN20026238@prod")</f>
        <v>TN20026238@prod</v>
      </c>
      <c r="O1736" t="str">
        <f>HYPERLINK("https://ictv.global/id/ICTV19991139","ICTV19991139@prod")</f>
        <v>ICTV19991139@prod</v>
      </c>
    </row>
    <row r="1737" spans="1:15" x14ac:dyDescent="0.2">
      <c r="A1737">
        <v>21</v>
      </c>
      <c r="B1737">
        <v>20026243</v>
      </c>
      <c r="C1737">
        <v>19991144</v>
      </c>
      <c r="D1737" t="s">
        <v>29</v>
      </c>
      <c r="E1737" t="s">
        <v>723</v>
      </c>
      <c r="G1737" t="s">
        <v>100</v>
      </c>
      <c r="H1737" t="s">
        <v>862</v>
      </c>
      <c r="I1737" t="s">
        <v>29</v>
      </c>
      <c r="J1737">
        <v>20041457</v>
      </c>
      <c r="K1737">
        <v>20041457</v>
      </c>
      <c r="L1737" t="str">
        <f>HYPERLINK("https://test.ictv.global/id/TN20026243","TN20026243@TEST")</f>
        <v>TN20026243@TEST</v>
      </c>
      <c r="M1737" t="str">
        <f>HYPERLINK("https://test.ictv.global/id/ICTV19991144","ICTV19991144@TEST")</f>
        <v>ICTV19991144@TEST</v>
      </c>
      <c r="N1737" t="str">
        <f>HYPERLINK("https://ictv.global/id/TN20026243","TN20026243@prod")</f>
        <v>TN20026243@prod</v>
      </c>
      <c r="O1737" t="str">
        <f>HYPERLINK("https://ictv.global/id/ICTV19991144","ICTV19991144@prod")</f>
        <v>ICTV19991144@prod</v>
      </c>
    </row>
    <row r="1738" spans="1:15" x14ac:dyDescent="0.2">
      <c r="A1738">
        <v>21</v>
      </c>
      <c r="B1738">
        <v>20026243</v>
      </c>
      <c r="C1738">
        <v>19991144</v>
      </c>
      <c r="D1738" t="s">
        <v>29</v>
      </c>
      <c r="E1738" t="s">
        <v>723</v>
      </c>
      <c r="G1738" t="s">
        <v>100</v>
      </c>
      <c r="H1738" t="s">
        <v>276</v>
      </c>
      <c r="I1738" t="s">
        <v>29</v>
      </c>
      <c r="J1738">
        <v>20041458</v>
      </c>
      <c r="K1738">
        <v>20041458</v>
      </c>
      <c r="L1738" t="str">
        <f>HYPERLINK("https://test.ictv.global/id/TN20026243","TN20026243@TEST")</f>
        <v>TN20026243@TEST</v>
      </c>
      <c r="M1738" t="str">
        <f>HYPERLINK("https://test.ictv.global/id/ICTV19991144","ICTV19991144@TEST")</f>
        <v>ICTV19991144@TEST</v>
      </c>
      <c r="N1738" t="str">
        <f>HYPERLINK("https://ictv.global/id/TN20026243","TN20026243@prod")</f>
        <v>TN20026243@prod</v>
      </c>
      <c r="O1738" t="str">
        <f>HYPERLINK("https://ictv.global/id/ICTV19991144","ICTV19991144@prod")</f>
        <v>ICTV19991144@prod</v>
      </c>
    </row>
    <row r="1739" spans="1:15" x14ac:dyDescent="0.2">
      <c r="A1739">
        <v>21</v>
      </c>
      <c r="B1739">
        <v>20026243</v>
      </c>
      <c r="C1739">
        <v>19991144</v>
      </c>
      <c r="D1739" t="s">
        <v>29</v>
      </c>
      <c r="E1739" t="s">
        <v>723</v>
      </c>
      <c r="G1739" t="s">
        <v>100</v>
      </c>
      <c r="H1739" t="s">
        <v>277</v>
      </c>
      <c r="I1739" t="s">
        <v>29</v>
      </c>
      <c r="J1739">
        <v>20041459</v>
      </c>
      <c r="K1739">
        <v>20041459</v>
      </c>
      <c r="L1739" t="str">
        <f>HYPERLINK("https://test.ictv.global/id/TN20026243","TN20026243@TEST")</f>
        <v>TN20026243@TEST</v>
      </c>
      <c r="M1739" t="str">
        <f>HYPERLINK("https://test.ictv.global/id/ICTV19991144","ICTV19991144@TEST")</f>
        <v>ICTV19991144@TEST</v>
      </c>
      <c r="N1739" t="str">
        <f>HYPERLINK("https://ictv.global/id/TN20026243","TN20026243@prod")</f>
        <v>TN20026243@prod</v>
      </c>
      <c r="O1739" t="str">
        <f>HYPERLINK("https://ictv.global/id/ICTV19991144","ICTV19991144@prod")</f>
        <v>ICTV19991144@prod</v>
      </c>
    </row>
    <row r="1740" spans="1:15" x14ac:dyDescent="0.2">
      <c r="A1740">
        <v>21</v>
      </c>
      <c r="B1740">
        <v>20026243</v>
      </c>
      <c r="C1740">
        <v>19991144</v>
      </c>
      <c r="D1740" t="s">
        <v>29</v>
      </c>
      <c r="E1740" t="s">
        <v>723</v>
      </c>
      <c r="G1740" t="s">
        <v>100</v>
      </c>
      <c r="H1740" t="s">
        <v>863</v>
      </c>
      <c r="I1740" t="s">
        <v>29</v>
      </c>
      <c r="J1740">
        <v>20041460</v>
      </c>
      <c r="K1740">
        <v>20041460</v>
      </c>
      <c r="L1740" t="str">
        <f>HYPERLINK("https://test.ictv.global/id/TN20026243","TN20026243@TEST")</f>
        <v>TN20026243@TEST</v>
      </c>
      <c r="M1740" t="str">
        <f>HYPERLINK("https://test.ictv.global/id/ICTV19991144","ICTV19991144@TEST")</f>
        <v>ICTV19991144@TEST</v>
      </c>
      <c r="N1740" t="str">
        <f>HYPERLINK("https://ictv.global/id/TN20026243","TN20026243@prod")</f>
        <v>TN20026243@prod</v>
      </c>
      <c r="O1740" t="str">
        <f>HYPERLINK("https://ictv.global/id/ICTV19991144","ICTV19991144@prod")</f>
        <v>ICTV19991144@prod</v>
      </c>
    </row>
    <row r="1741" spans="1:15" x14ac:dyDescent="0.2">
      <c r="A1741">
        <v>21</v>
      </c>
      <c r="B1741">
        <v>20026243</v>
      </c>
      <c r="C1741">
        <v>19991144</v>
      </c>
      <c r="D1741" t="s">
        <v>29</v>
      </c>
      <c r="E1741" t="s">
        <v>723</v>
      </c>
      <c r="G1741" t="s">
        <v>100</v>
      </c>
      <c r="H1741" t="s">
        <v>864</v>
      </c>
      <c r="I1741" t="s">
        <v>29</v>
      </c>
      <c r="J1741">
        <v>20041461</v>
      </c>
      <c r="K1741">
        <v>20041461</v>
      </c>
      <c r="L1741" t="str">
        <f>HYPERLINK("https://test.ictv.global/id/TN20026243","TN20026243@TEST")</f>
        <v>TN20026243@TEST</v>
      </c>
      <c r="M1741" t="str">
        <f>HYPERLINK("https://test.ictv.global/id/ICTV19991144","ICTV19991144@TEST")</f>
        <v>ICTV19991144@TEST</v>
      </c>
      <c r="N1741" t="str">
        <f>HYPERLINK("https://ictv.global/id/TN20026243","TN20026243@prod")</f>
        <v>TN20026243@prod</v>
      </c>
      <c r="O1741" t="str">
        <f>HYPERLINK("https://ictv.global/id/ICTV19991144","ICTV19991144@prod")</f>
        <v>ICTV19991144@prod</v>
      </c>
    </row>
    <row r="1742" spans="1:15" x14ac:dyDescent="0.2">
      <c r="A1742">
        <v>21</v>
      </c>
      <c r="B1742">
        <v>20026243</v>
      </c>
      <c r="C1742">
        <v>19991144</v>
      </c>
      <c r="D1742" t="s">
        <v>29</v>
      </c>
      <c r="E1742" t="s">
        <v>723</v>
      </c>
      <c r="G1742" t="s">
        <v>859</v>
      </c>
      <c r="H1742" t="s">
        <v>865</v>
      </c>
      <c r="I1742" t="s">
        <v>29</v>
      </c>
      <c r="J1742">
        <v>20041462</v>
      </c>
      <c r="K1742">
        <v>20041462</v>
      </c>
      <c r="L1742" t="str">
        <f>HYPERLINK("https://test.ictv.global/id/TN20026243","TN20026243@TEST")</f>
        <v>TN20026243@TEST</v>
      </c>
      <c r="M1742" t="str">
        <f>HYPERLINK("https://test.ictv.global/id/ICTV19991144","ICTV19991144@TEST")</f>
        <v>ICTV19991144@TEST</v>
      </c>
      <c r="N1742" t="str">
        <f>HYPERLINK("https://ictv.global/id/TN20026243","TN20026243@prod")</f>
        <v>TN20026243@prod</v>
      </c>
      <c r="O1742" t="str">
        <f>HYPERLINK("https://ictv.global/id/ICTV19991144","ICTV19991144@prod")</f>
        <v>ICTV19991144@prod</v>
      </c>
    </row>
    <row r="1743" spans="1:15" x14ac:dyDescent="0.2">
      <c r="A1743">
        <v>21</v>
      </c>
      <c r="B1743">
        <v>20026243</v>
      </c>
      <c r="C1743">
        <v>19991144</v>
      </c>
      <c r="D1743" t="s">
        <v>29</v>
      </c>
      <c r="E1743" t="s">
        <v>723</v>
      </c>
      <c r="G1743" t="s">
        <v>100</v>
      </c>
      <c r="H1743" t="s">
        <v>866</v>
      </c>
      <c r="I1743" t="s">
        <v>29</v>
      </c>
      <c r="J1743">
        <v>20041463</v>
      </c>
      <c r="K1743">
        <v>20041463</v>
      </c>
      <c r="L1743" t="str">
        <f>HYPERLINK("https://test.ictv.global/id/TN20026243","TN20026243@TEST")</f>
        <v>TN20026243@TEST</v>
      </c>
      <c r="M1743" t="str">
        <f>HYPERLINK("https://test.ictv.global/id/ICTV19991144","ICTV19991144@TEST")</f>
        <v>ICTV19991144@TEST</v>
      </c>
      <c r="N1743" t="str">
        <f>HYPERLINK("https://ictv.global/id/TN20026243","TN20026243@prod")</f>
        <v>TN20026243@prod</v>
      </c>
      <c r="O1743" t="str">
        <f>HYPERLINK("https://ictv.global/id/ICTV19991144","ICTV19991144@prod")</f>
        <v>ICTV19991144@prod</v>
      </c>
    </row>
    <row r="1744" spans="1:15" x14ac:dyDescent="0.2">
      <c r="A1744">
        <v>21</v>
      </c>
      <c r="B1744">
        <v>20026243</v>
      </c>
      <c r="C1744">
        <v>19991144</v>
      </c>
      <c r="D1744" t="s">
        <v>29</v>
      </c>
      <c r="E1744" t="s">
        <v>723</v>
      </c>
      <c r="G1744" t="s">
        <v>100</v>
      </c>
      <c r="H1744" t="s">
        <v>867</v>
      </c>
      <c r="I1744" t="s">
        <v>29</v>
      </c>
      <c r="J1744">
        <v>20041464</v>
      </c>
      <c r="K1744">
        <v>20041464</v>
      </c>
      <c r="L1744" t="str">
        <f>HYPERLINK("https://test.ictv.global/id/TN20026243","TN20026243@TEST")</f>
        <v>TN20026243@TEST</v>
      </c>
      <c r="M1744" t="str">
        <f>HYPERLINK("https://test.ictv.global/id/ICTV19991144","ICTV19991144@TEST")</f>
        <v>ICTV19991144@TEST</v>
      </c>
      <c r="N1744" t="str">
        <f>HYPERLINK("https://ictv.global/id/TN20026243","TN20026243@prod")</f>
        <v>TN20026243@prod</v>
      </c>
      <c r="O1744" t="str">
        <f>HYPERLINK("https://ictv.global/id/ICTV19991144","ICTV19991144@prod")</f>
        <v>ICTV19991144@prod</v>
      </c>
    </row>
    <row r="1745" spans="1:15" x14ac:dyDescent="0.2">
      <c r="A1745">
        <v>21</v>
      </c>
      <c r="B1745">
        <v>20026243</v>
      </c>
      <c r="C1745">
        <v>19991144</v>
      </c>
      <c r="D1745" t="s">
        <v>29</v>
      </c>
      <c r="E1745" t="s">
        <v>723</v>
      </c>
      <c r="G1745" t="s">
        <v>100</v>
      </c>
      <c r="H1745" t="s">
        <v>868</v>
      </c>
      <c r="I1745" t="s">
        <v>29</v>
      </c>
      <c r="J1745">
        <v>20041465</v>
      </c>
      <c r="K1745">
        <v>20041465</v>
      </c>
      <c r="L1745" t="str">
        <f>HYPERLINK("https://test.ictv.global/id/TN20026243","TN20026243@TEST")</f>
        <v>TN20026243@TEST</v>
      </c>
      <c r="M1745" t="str">
        <f>HYPERLINK("https://test.ictv.global/id/ICTV19991144","ICTV19991144@TEST")</f>
        <v>ICTV19991144@TEST</v>
      </c>
      <c r="N1745" t="str">
        <f>HYPERLINK("https://ictv.global/id/TN20026243","TN20026243@prod")</f>
        <v>TN20026243@prod</v>
      </c>
      <c r="O1745" t="str">
        <f>HYPERLINK("https://ictv.global/id/ICTV19991144","ICTV19991144@prod")</f>
        <v>ICTV19991144@prod</v>
      </c>
    </row>
    <row r="1746" spans="1:15" x14ac:dyDescent="0.2">
      <c r="A1746">
        <v>21</v>
      </c>
      <c r="B1746">
        <v>20026243</v>
      </c>
      <c r="C1746">
        <v>19991144</v>
      </c>
      <c r="D1746" t="s">
        <v>29</v>
      </c>
      <c r="E1746" t="s">
        <v>723</v>
      </c>
      <c r="G1746" t="s">
        <v>100</v>
      </c>
      <c r="H1746" t="s">
        <v>869</v>
      </c>
      <c r="I1746" t="s">
        <v>29</v>
      </c>
      <c r="J1746">
        <v>20041466</v>
      </c>
      <c r="K1746">
        <v>20041466</v>
      </c>
      <c r="L1746" t="str">
        <f>HYPERLINK("https://test.ictv.global/id/TN20026243","TN20026243@TEST")</f>
        <v>TN20026243@TEST</v>
      </c>
      <c r="M1746" t="str">
        <f>HYPERLINK("https://test.ictv.global/id/ICTV19991144","ICTV19991144@TEST")</f>
        <v>ICTV19991144@TEST</v>
      </c>
      <c r="N1746" t="str">
        <f>HYPERLINK("https://ictv.global/id/TN20026243","TN20026243@prod")</f>
        <v>TN20026243@prod</v>
      </c>
      <c r="O1746" t="str">
        <f>HYPERLINK("https://ictv.global/id/ICTV19991144","ICTV19991144@prod")</f>
        <v>ICTV19991144@prod</v>
      </c>
    </row>
    <row r="1747" spans="1:15" x14ac:dyDescent="0.2">
      <c r="A1747">
        <v>21</v>
      </c>
      <c r="B1747">
        <v>20026243</v>
      </c>
      <c r="C1747">
        <v>19991144</v>
      </c>
      <c r="D1747" t="s">
        <v>29</v>
      </c>
      <c r="E1747" t="s">
        <v>723</v>
      </c>
      <c r="G1747" t="s">
        <v>100</v>
      </c>
      <c r="H1747" t="s">
        <v>870</v>
      </c>
      <c r="I1747" t="s">
        <v>29</v>
      </c>
      <c r="J1747">
        <v>20041467</v>
      </c>
      <c r="K1747">
        <v>20041467</v>
      </c>
      <c r="L1747" t="str">
        <f>HYPERLINK("https://test.ictv.global/id/TN20026243","TN20026243@TEST")</f>
        <v>TN20026243@TEST</v>
      </c>
      <c r="M1747" t="str">
        <f>HYPERLINK("https://test.ictv.global/id/ICTV19991144","ICTV19991144@TEST")</f>
        <v>ICTV19991144@TEST</v>
      </c>
      <c r="N1747" t="str">
        <f>HYPERLINK("https://ictv.global/id/TN20026243","TN20026243@prod")</f>
        <v>TN20026243@prod</v>
      </c>
      <c r="O1747" t="str">
        <f>HYPERLINK("https://ictv.global/id/ICTV19991144","ICTV19991144@prod")</f>
        <v>ICTV19991144@prod</v>
      </c>
    </row>
    <row r="1748" spans="1:15" x14ac:dyDescent="0.2">
      <c r="A1748">
        <v>21</v>
      </c>
      <c r="B1748">
        <v>20026243</v>
      </c>
      <c r="C1748">
        <v>19991144</v>
      </c>
      <c r="D1748" t="s">
        <v>29</v>
      </c>
      <c r="E1748" t="s">
        <v>723</v>
      </c>
      <c r="G1748" t="s">
        <v>100</v>
      </c>
      <c r="H1748" t="s">
        <v>871</v>
      </c>
      <c r="I1748" t="s">
        <v>29</v>
      </c>
      <c r="J1748">
        <v>20041468</v>
      </c>
      <c r="K1748">
        <v>20041468</v>
      </c>
      <c r="L1748" t="str">
        <f>HYPERLINK("https://test.ictv.global/id/TN20026243","TN20026243@TEST")</f>
        <v>TN20026243@TEST</v>
      </c>
      <c r="M1748" t="str">
        <f>HYPERLINK("https://test.ictv.global/id/ICTV19991144","ICTV19991144@TEST")</f>
        <v>ICTV19991144@TEST</v>
      </c>
      <c r="N1748" t="str">
        <f>HYPERLINK("https://ictv.global/id/TN20026243","TN20026243@prod")</f>
        <v>TN20026243@prod</v>
      </c>
      <c r="O1748" t="str">
        <f>HYPERLINK("https://ictv.global/id/ICTV19991144","ICTV19991144@prod")</f>
        <v>ICTV19991144@prod</v>
      </c>
    </row>
    <row r="1749" spans="1:15" x14ac:dyDescent="0.2">
      <c r="A1749">
        <v>21</v>
      </c>
      <c r="B1749">
        <v>20026243</v>
      </c>
      <c r="C1749">
        <v>19991144</v>
      </c>
      <c r="D1749" t="s">
        <v>29</v>
      </c>
      <c r="E1749" t="s">
        <v>723</v>
      </c>
      <c r="G1749" t="s">
        <v>100</v>
      </c>
      <c r="H1749" t="s">
        <v>872</v>
      </c>
      <c r="I1749" t="s">
        <v>29</v>
      </c>
      <c r="J1749">
        <v>20041469</v>
      </c>
      <c r="K1749">
        <v>20041469</v>
      </c>
      <c r="L1749" t="str">
        <f>HYPERLINK("https://test.ictv.global/id/TN20026243","TN20026243@TEST")</f>
        <v>TN20026243@TEST</v>
      </c>
      <c r="M1749" t="str">
        <f>HYPERLINK("https://test.ictv.global/id/ICTV19991144","ICTV19991144@TEST")</f>
        <v>ICTV19991144@TEST</v>
      </c>
      <c r="N1749" t="str">
        <f>HYPERLINK("https://ictv.global/id/TN20026243","TN20026243@prod")</f>
        <v>TN20026243@prod</v>
      </c>
      <c r="O1749" t="str">
        <f>HYPERLINK("https://ictv.global/id/ICTV19991144","ICTV19991144@prod")</f>
        <v>ICTV19991144@prod</v>
      </c>
    </row>
    <row r="1750" spans="1:15" x14ac:dyDescent="0.2">
      <c r="A1750">
        <v>21</v>
      </c>
      <c r="B1750">
        <v>20026243</v>
      </c>
      <c r="C1750">
        <v>19991144</v>
      </c>
      <c r="D1750" t="s">
        <v>29</v>
      </c>
      <c r="E1750" t="s">
        <v>723</v>
      </c>
      <c r="G1750" t="s">
        <v>100</v>
      </c>
      <c r="H1750" t="s">
        <v>873</v>
      </c>
      <c r="I1750" t="s">
        <v>29</v>
      </c>
      <c r="J1750">
        <v>20041470</v>
      </c>
      <c r="K1750">
        <v>20041470</v>
      </c>
      <c r="L1750" t="str">
        <f>HYPERLINK("https://test.ictv.global/id/TN20026243","TN20026243@TEST")</f>
        <v>TN20026243@TEST</v>
      </c>
      <c r="M1750" t="str">
        <f>HYPERLINK("https://test.ictv.global/id/ICTV19991144","ICTV19991144@TEST")</f>
        <v>ICTV19991144@TEST</v>
      </c>
      <c r="N1750" t="str">
        <f>HYPERLINK("https://ictv.global/id/TN20026243","TN20026243@prod")</f>
        <v>TN20026243@prod</v>
      </c>
      <c r="O1750" t="str">
        <f>HYPERLINK("https://ictv.global/id/ICTV19991144","ICTV19991144@prod")</f>
        <v>ICTV19991144@prod</v>
      </c>
    </row>
    <row r="1751" spans="1:15" x14ac:dyDescent="0.2">
      <c r="A1751">
        <v>21</v>
      </c>
      <c r="B1751">
        <v>20026243</v>
      </c>
      <c r="C1751">
        <v>19991144</v>
      </c>
      <c r="D1751" t="s">
        <v>29</v>
      </c>
      <c r="E1751" t="s">
        <v>723</v>
      </c>
      <c r="G1751" t="s">
        <v>100</v>
      </c>
      <c r="H1751" t="s">
        <v>874</v>
      </c>
      <c r="I1751" t="s">
        <v>29</v>
      </c>
      <c r="J1751">
        <v>20041472</v>
      </c>
      <c r="K1751">
        <v>20041472</v>
      </c>
      <c r="L1751" t="str">
        <f>HYPERLINK("https://test.ictv.global/id/TN20026243","TN20026243@TEST")</f>
        <v>TN20026243@TEST</v>
      </c>
      <c r="M1751" t="str">
        <f>HYPERLINK("https://test.ictv.global/id/ICTV19991144","ICTV19991144@TEST")</f>
        <v>ICTV19991144@TEST</v>
      </c>
      <c r="N1751" t="str">
        <f>HYPERLINK("https://ictv.global/id/TN20026243","TN20026243@prod")</f>
        <v>TN20026243@prod</v>
      </c>
      <c r="O1751" t="str">
        <f>HYPERLINK("https://ictv.global/id/ICTV19991144","ICTV19991144@prod")</f>
        <v>ICTV19991144@prod</v>
      </c>
    </row>
    <row r="1752" spans="1:15" x14ac:dyDescent="0.2">
      <c r="A1752">
        <v>21</v>
      </c>
      <c r="B1752">
        <v>20026243</v>
      </c>
      <c r="C1752">
        <v>19991144</v>
      </c>
      <c r="D1752" t="s">
        <v>29</v>
      </c>
      <c r="E1752" t="s">
        <v>723</v>
      </c>
      <c r="G1752" t="s">
        <v>859</v>
      </c>
      <c r="H1752" t="s">
        <v>281</v>
      </c>
      <c r="I1752" t="s">
        <v>29</v>
      </c>
      <c r="J1752">
        <v>20041473</v>
      </c>
      <c r="K1752">
        <v>20041473</v>
      </c>
      <c r="L1752" t="str">
        <f>HYPERLINK("https://test.ictv.global/id/TN20026243","TN20026243@TEST")</f>
        <v>TN20026243@TEST</v>
      </c>
      <c r="M1752" t="str">
        <f>HYPERLINK("https://test.ictv.global/id/ICTV19991144","ICTV19991144@TEST")</f>
        <v>ICTV19991144@TEST</v>
      </c>
      <c r="N1752" t="str">
        <f>HYPERLINK("https://ictv.global/id/TN20026243","TN20026243@prod")</f>
        <v>TN20026243@prod</v>
      </c>
      <c r="O1752" t="str">
        <f>HYPERLINK("https://ictv.global/id/ICTV19991144","ICTV19991144@prod")</f>
        <v>ICTV19991144@prod</v>
      </c>
    </row>
    <row r="1753" spans="1:15" x14ac:dyDescent="0.2">
      <c r="A1753">
        <v>21</v>
      </c>
      <c r="B1753">
        <v>20026243</v>
      </c>
      <c r="C1753">
        <v>19991144</v>
      </c>
      <c r="D1753" t="s">
        <v>29</v>
      </c>
      <c r="E1753" t="s">
        <v>723</v>
      </c>
      <c r="G1753" t="s">
        <v>100</v>
      </c>
      <c r="H1753" t="s">
        <v>875</v>
      </c>
      <c r="I1753" t="s">
        <v>29</v>
      </c>
      <c r="J1753">
        <v>20041474</v>
      </c>
      <c r="K1753">
        <v>20041474</v>
      </c>
      <c r="L1753" t="str">
        <f>HYPERLINK("https://test.ictv.global/id/TN20026243","TN20026243@TEST")</f>
        <v>TN20026243@TEST</v>
      </c>
      <c r="M1753" t="str">
        <f>HYPERLINK("https://test.ictv.global/id/ICTV19991144","ICTV19991144@TEST")</f>
        <v>ICTV19991144@TEST</v>
      </c>
      <c r="N1753" t="str">
        <f>HYPERLINK("https://ictv.global/id/TN20026243","TN20026243@prod")</f>
        <v>TN20026243@prod</v>
      </c>
      <c r="O1753" t="str">
        <f>HYPERLINK("https://ictv.global/id/ICTV19991144","ICTV19991144@prod")</f>
        <v>ICTV19991144@prod</v>
      </c>
    </row>
    <row r="1754" spans="1:15" x14ac:dyDescent="0.2">
      <c r="A1754">
        <v>21</v>
      </c>
      <c r="B1754">
        <v>20026243</v>
      </c>
      <c r="C1754">
        <v>19991144</v>
      </c>
      <c r="D1754" t="s">
        <v>29</v>
      </c>
      <c r="E1754" t="s">
        <v>723</v>
      </c>
      <c r="G1754" t="s">
        <v>100</v>
      </c>
      <c r="H1754" t="s">
        <v>876</v>
      </c>
      <c r="I1754" t="s">
        <v>29</v>
      </c>
      <c r="J1754">
        <v>20041475</v>
      </c>
      <c r="K1754">
        <v>20041475</v>
      </c>
      <c r="L1754" t="str">
        <f>HYPERLINK("https://test.ictv.global/id/TN20026243","TN20026243@TEST")</f>
        <v>TN20026243@TEST</v>
      </c>
      <c r="M1754" t="str">
        <f>HYPERLINK("https://test.ictv.global/id/ICTV19991144","ICTV19991144@TEST")</f>
        <v>ICTV19991144@TEST</v>
      </c>
      <c r="N1754" t="str">
        <f>HYPERLINK("https://ictv.global/id/TN20026243","TN20026243@prod")</f>
        <v>TN20026243@prod</v>
      </c>
      <c r="O1754" t="str">
        <f>HYPERLINK("https://ictv.global/id/ICTV19991144","ICTV19991144@prod")</f>
        <v>ICTV19991144@prod</v>
      </c>
    </row>
    <row r="1755" spans="1:15" x14ac:dyDescent="0.2">
      <c r="A1755">
        <v>21</v>
      </c>
      <c r="B1755">
        <v>20026243</v>
      </c>
      <c r="C1755">
        <v>19991144</v>
      </c>
      <c r="D1755" t="s">
        <v>29</v>
      </c>
      <c r="E1755" t="s">
        <v>723</v>
      </c>
      <c r="G1755" t="s">
        <v>859</v>
      </c>
      <c r="H1755" t="s">
        <v>877</v>
      </c>
      <c r="I1755" t="s">
        <v>29</v>
      </c>
      <c r="J1755">
        <v>20041482</v>
      </c>
      <c r="K1755">
        <v>20041482</v>
      </c>
      <c r="L1755" t="str">
        <f>HYPERLINK("https://test.ictv.global/id/TN20026243","TN20026243@TEST")</f>
        <v>TN20026243@TEST</v>
      </c>
      <c r="M1755" t="str">
        <f>HYPERLINK("https://test.ictv.global/id/ICTV19991144","ICTV19991144@TEST")</f>
        <v>ICTV19991144@TEST</v>
      </c>
      <c r="N1755" t="str">
        <f>HYPERLINK("https://ictv.global/id/TN20026243","TN20026243@prod")</f>
        <v>TN20026243@prod</v>
      </c>
      <c r="O1755" t="str">
        <f>HYPERLINK("https://ictv.global/id/ICTV19991144","ICTV19991144@prod")</f>
        <v>ICTV19991144@prod</v>
      </c>
    </row>
    <row r="1756" spans="1:15" x14ac:dyDescent="0.2">
      <c r="A1756">
        <v>21</v>
      </c>
      <c r="B1756">
        <v>20026243</v>
      </c>
      <c r="C1756">
        <v>19991144</v>
      </c>
      <c r="D1756" t="s">
        <v>29</v>
      </c>
      <c r="E1756" t="s">
        <v>723</v>
      </c>
      <c r="G1756" t="s">
        <v>100</v>
      </c>
      <c r="H1756" t="s">
        <v>878</v>
      </c>
      <c r="I1756" t="s">
        <v>29</v>
      </c>
      <c r="J1756">
        <v>20041483</v>
      </c>
      <c r="K1756">
        <v>20041483</v>
      </c>
      <c r="L1756" t="str">
        <f>HYPERLINK("https://test.ictv.global/id/TN20026243","TN20026243@TEST")</f>
        <v>TN20026243@TEST</v>
      </c>
      <c r="M1756" t="str">
        <f>HYPERLINK("https://test.ictv.global/id/ICTV19991144","ICTV19991144@TEST")</f>
        <v>ICTV19991144@TEST</v>
      </c>
      <c r="N1756" t="str">
        <f>HYPERLINK("https://ictv.global/id/TN20026243","TN20026243@prod")</f>
        <v>TN20026243@prod</v>
      </c>
      <c r="O1756" t="str">
        <f>HYPERLINK("https://ictv.global/id/ICTV19991144","ICTV19991144@prod")</f>
        <v>ICTV19991144@prod</v>
      </c>
    </row>
    <row r="1757" spans="1:15" x14ac:dyDescent="0.2">
      <c r="A1757">
        <v>21</v>
      </c>
      <c r="B1757">
        <v>20026243</v>
      </c>
      <c r="C1757">
        <v>19991144</v>
      </c>
      <c r="D1757" t="s">
        <v>29</v>
      </c>
      <c r="E1757" t="s">
        <v>723</v>
      </c>
      <c r="G1757" t="s">
        <v>100</v>
      </c>
      <c r="H1757" t="s">
        <v>879</v>
      </c>
      <c r="I1757" t="s">
        <v>29</v>
      </c>
      <c r="J1757">
        <v>20041484</v>
      </c>
      <c r="K1757">
        <v>20041484</v>
      </c>
      <c r="L1757" t="str">
        <f>HYPERLINK("https://test.ictv.global/id/TN20026243","TN20026243@TEST")</f>
        <v>TN20026243@TEST</v>
      </c>
      <c r="M1757" t="str">
        <f>HYPERLINK("https://test.ictv.global/id/ICTV19991144","ICTV19991144@TEST")</f>
        <v>ICTV19991144@TEST</v>
      </c>
      <c r="N1757" t="str">
        <f>HYPERLINK("https://ictv.global/id/TN20026243","TN20026243@prod")</f>
        <v>TN20026243@prod</v>
      </c>
      <c r="O1757" t="str">
        <f>HYPERLINK("https://ictv.global/id/ICTV19991144","ICTV19991144@prod")</f>
        <v>ICTV19991144@prod</v>
      </c>
    </row>
    <row r="1758" spans="1:15" x14ac:dyDescent="0.2">
      <c r="A1758">
        <v>21</v>
      </c>
      <c r="B1758">
        <v>20026243</v>
      </c>
      <c r="C1758">
        <v>19991144</v>
      </c>
      <c r="D1758" t="s">
        <v>29</v>
      </c>
      <c r="E1758" t="s">
        <v>723</v>
      </c>
      <c r="G1758" t="s">
        <v>100</v>
      </c>
      <c r="H1758" t="s">
        <v>880</v>
      </c>
      <c r="I1758" t="s">
        <v>29</v>
      </c>
      <c r="J1758">
        <v>20041485</v>
      </c>
      <c r="K1758">
        <v>20041485</v>
      </c>
      <c r="L1758" t="str">
        <f>HYPERLINK("https://test.ictv.global/id/TN20026243","TN20026243@TEST")</f>
        <v>TN20026243@TEST</v>
      </c>
      <c r="M1758" t="str">
        <f>HYPERLINK("https://test.ictv.global/id/ICTV19991144","ICTV19991144@TEST")</f>
        <v>ICTV19991144@TEST</v>
      </c>
      <c r="N1758" t="str">
        <f>HYPERLINK("https://ictv.global/id/TN20026243","TN20026243@prod")</f>
        <v>TN20026243@prod</v>
      </c>
      <c r="O1758" t="str">
        <f>HYPERLINK("https://ictv.global/id/ICTV19991144","ICTV19991144@prod")</f>
        <v>ICTV19991144@prod</v>
      </c>
    </row>
    <row r="1759" spans="1:15" x14ac:dyDescent="0.2">
      <c r="A1759">
        <v>21</v>
      </c>
      <c r="B1759">
        <v>20026243</v>
      </c>
      <c r="C1759">
        <v>19991144</v>
      </c>
      <c r="D1759" t="s">
        <v>29</v>
      </c>
      <c r="E1759" t="s">
        <v>723</v>
      </c>
      <c r="G1759" t="s">
        <v>100</v>
      </c>
      <c r="H1759" t="s">
        <v>881</v>
      </c>
      <c r="I1759" t="s">
        <v>29</v>
      </c>
      <c r="J1759">
        <v>20041486</v>
      </c>
      <c r="K1759">
        <v>20041486</v>
      </c>
      <c r="L1759" t="str">
        <f>HYPERLINK("https://test.ictv.global/id/TN20026243","TN20026243@TEST")</f>
        <v>TN20026243@TEST</v>
      </c>
      <c r="M1759" t="str">
        <f>HYPERLINK("https://test.ictv.global/id/ICTV19991144","ICTV19991144@TEST")</f>
        <v>ICTV19991144@TEST</v>
      </c>
      <c r="N1759" t="str">
        <f>HYPERLINK("https://ictv.global/id/TN20026243","TN20026243@prod")</f>
        <v>TN20026243@prod</v>
      </c>
      <c r="O1759" t="str">
        <f>HYPERLINK("https://ictv.global/id/ICTV19991144","ICTV19991144@prod")</f>
        <v>ICTV19991144@prod</v>
      </c>
    </row>
    <row r="1760" spans="1:15" x14ac:dyDescent="0.2">
      <c r="A1760">
        <v>21</v>
      </c>
      <c r="B1760">
        <v>20026243</v>
      </c>
      <c r="C1760">
        <v>19991144</v>
      </c>
      <c r="D1760" t="s">
        <v>29</v>
      </c>
      <c r="E1760" t="s">
        <v>723</v>
      </c>
      <c r="G1760" t="s">
        <v>859</v>
      </c>
      <c r="H1760" t="s">
        <v>882</v>
      </c>
      <c r="I1760" t="s">
        <v>29</v>
      </c>
      <c r="J1760">
        <v>20041492</v>
      </c>
      <c r="K1760">
        <v>20041492</v>
      </c>
      <c r="L1760" t="str">
        <f>HYPERLINK("https://test.ictv.global/id/TN20026243","TN20026243@TEST")</f>
        <v>TN20026243@TEST</v>
      </c>
      <c r="M1760" t="str">
        <f>HYPERLINK("https://test.ictv.global/id/ICTV19991144","ICTV19991144@TEST")</f>
        <v>ICTV19991144@TEST</v>
      </c>
      <c r="N1760" t="str">
        <f>HYPERLINK("https://ictv.global/id/TN20026243","TN20026243@prod")</f>
        <v>TN20026243@prod</v>
      </c>
      <c r="O1760" t="str">
        <f>HYPERLINK("https://ictv.global/id/ICTV19991144","ICTV19991144@prod")</f>
        <v>ICTV19991144@prod</v>
      </c>
    </row>
    <row r="1761" spans="1:15" x14ac:dyDescent="0.2">
      <c r="A1761">
        <v>21</v>
      </c>
      <c r="B1761">
        <v>20026243</v>
      </c>
      <c r="C1761">
        <v>19991144</v>
      </c>
      <c r="D1761" t="s">
        <v>29</v>
      </c>
      <c r="E1761" t="s">
        <v>723</v>
      </c>
      <c r="G1761" t="s">
        <v>100</v>
      </c>
      <c r="H1761" t="s">
        <v>883</v>
      </c>
      <c r="I1761" t="s">
        <v>29</v>
      </c>
      <c r="J1761">
        <v>20041493</v>
      </c>
      <c r="K1761">
        <v>20041493</v>
      </c>
      <c r="L1761" t="str">
        <f>HYPERLINK("https://test.ictv.global/id/TN20026243","TN20026243@TEST")</f>
        <v>TN20026243@TEST</v>
      </c>
      <c r="M1761" t="str">
        <f>HYPERLINK("https://test.ictv.global/id/ICTV19991144","ICTV19991144@TEST")</f>
        <v>ICTV19991144@TEST</v>
      </c>
      <c r="N1761" t="str">
        <f>HYPERLINK("https://ictv.global/id/TN20026243","TN20026243@prod")</f>
        <v>TN20026243@prod</v>
      </c>
      <c r="O1761" t="str">
        <f>HYPERLINK("https://ictv.global/id/ICTV19991144","ICTV19991144@prod")</f>
        <v>ICTV19991144@prod</v>
      </c>
    </row>
    <row r="1762" spans="1:15" x14ac:dyDescent="0.2">
      <c r="A1762">
        <v>21</v>
      </c>
      <c r="B1762">
        <v>20026243</v>
      </c>
      <c r="C1762">
        <v>19991144</v>
      </c>
      <c r="D1762" t="s">
        <v>29</v>
      </c>
      <c r="E1762" t="s">
        <v>723</v>
      </c>
      <c r="G1762" t="s">
        <v>859</v>
      </c>
      <c r="H1762" t="s">
        <v>884</v>
      </c>
      <c r="I1762" t="s">
        <v>29</v>
      </c>
      <c r="J1762">
        <v>20041494</v>
      </c>
      <c r="K1762">
        <v>20041494</v>
      </c>
      <c r="L1762" t="str">
        <f>HYPERLINK("https://test.ictv.global/id/TN20026243","TN20026243@TEST")</f>
        <v>TN20026243@TEST</v>
      </c>
      <c r="M1762" t="str">
        <f>HYPERLINK("https://test.ictv.global/id/ICTV19991144","ICTV19991144@TEST")</f>
        <v>ICTV19991144@TEST</v>
      </c>
      <c r="N1762" t="str">
        <f>HYPERLINK("https://ictv.global/id/TN20026243","TN20026243@prod")</f>
        <v>TN20026243@prod</v>
      </c>
      <c r="O1762" t="str">
        <f>HYPERLINK("https://ictv.global/id/ICTV19991144","ICTV19991144@prod")</f>
        <v>ICTV19991144@prod</v>
      </c>
    </row>
    <row r="1763" spans="1:15" x14ac:dyDescent="0.2">
      <c r="A1763">
        <v>21</v>
      </c>
      <c r="B1763">
        <v>20026294</v>
      </c>
      <c r="C1763">
        <v>19951465</v>
      </c>
      <c r="D1763" t="s">
        <v>29</v>
      </c>
      <c r="E1763" t="s">
        <v>885</v>
      </c>
      <c r="G1763" t="s">
        <v>33</v>
      </c>
      <c r="H1763" t="s">
        <v>886</v>
      </c>
      <c r="I1763" t="s">
        <v>29</v>
      </c>
      <c r="J1763">
        <v>20132614</v>
      </c>
      <c r="K1763">
        <v>20041556</v>
      </c>
      <c r="L1763" t="str">
        <f>HYPERLINK("https://test.ictv.global/id/TN20026294","TN20026294@TEST")</f>
        <v>TN20026294@TEST</v>
      </c>
      <c r="M1763" t="str">
        <f>HYPERLINK("https://test.ictv.global/id/ICTV19951465","ICTV19951465@TEST")</f>
        <v>ICTV19951465@TEST</v>
      </c>
      <c r="N1763" t="str">
        <f>HYPERLINK("https://ictv.global/id/TN20026294","TN20026294@prod")</f>
        <v>TN20026294@prod</v>
      </c>
      <c r="O1763" t="str">
        <f>HYPERLINK("https://ictv.global/id/ICTV19951465","ICTV19951465@prod")</f>
        <v>ICTV19951465@prod</v>
      </c>
    </row>
    <row r="1764" spans="1:15" x14ac:dyDescent="0.2">
      <c r="A1764">
        <v>21</v>
      </c>
      <c r="B1764">
        <v>20026296</v>
      </c>
      <c r="C1764">
        <v>20132614</v>
      </c>
      <c r="D1764" t="s">
        <v>29</v>
      </c>
      <c r="E1764" t="s">
        <v>886</v>
      </c>
      <c r="G1764" t="s">
        <v>33</v>
      </c>
      <c r="H1764" t="s">
        <v>886</v>
      </c>
      <c r="I1764" t="s">
        <v>29</v>
      </c>
      <c r="J1764">
        <v>20132614</v>
      </c>
      <c r="K1764">
        <v>20041556</v>
      </c>
      <c r="L1764" t="str">
        <f>HYPERLINK("https://test.ictv.global/id/TN20026296","TN20026296@TEST")</f>
        <v>TN20026296@TEST</v>
      </c>
      <c r="M1764" t="str">
        <f>HYPERLINK("https://test.ictv.global/id/ICTV20132614","ICTV20132614@TEST")</f>
        <v>ICTV20132614@TEST</v>
      </c>
      <c r="N1764" t="str">
        <f>HYPERLINK("https://ictv.global/id/TN20026296","TN20026296@prod")</f>
        <v>TN20026296@prod</v>
      </c>
      <c r="O1764" t="str">
        <f>HYPERLINK("https://ictv.global/id/ICTV20132614","ICTV20132614@prod")</f>
        <v>ICTV20132614@prod</v>
      </c>
    </row>
    <row r="1765" spans="1:15" x14ac:dyDescent="0.2">
      <c r="A1765">
        <v>21</v>
      </c>
      <c r="B1765">
        <v>20026297</v>
      </c>
      <c r="C1765">
        <v>19760307</v>
      </c>
      <c r="D1765" t="s">
        <v>29</v>
      </c>
      <c r="E1765" t="s">
        <v>887</v>
      </c>
      <c r="G1765" t="s">
        <v>33</v>
      </c>
      <c r="H1765" t="s">
        <v>886</v>
      </c>
      <c r="I1765" t="s">
        <v>29</v>
      </c>
      <c r="J1765">
        <v>20132614</v>
      </c>
      <c r="K1765">
        <v>20041556</v>
      </c>
      <c r="L1765" t="str">
        <f>HYPERLINK("https://test.ictv.global/id/TN20026297","TN20026297@TEST")</f>
        <v>TN20026297@TEST</v>
      </c>
      <c r="M1765" t="str">
        <f>HYPERLINK("https://test.ictv.global/id/ICTV19760307","ICTV19760307@TEST")</f>
        <v>ICTV19760307@TEST</v>
      </c>
      <c r="N1765" t="str">
        <f>HYPERLINK("https://ictv.global/id/TN20026297","TN20026297@prod")</f>
        <v>TN20026297@prod</v>
      </c>
      <c r="O1765" t="str">
        <f>HYPERLINK("https://ictv.global/id/ICTV19760307","ICTV19760307@prod")</f>
        <v>ICTV19760307@prod</v>
      </c>
    </row>
    <row r="1766" spans="1:15" x14ac:dyDescent="0.2">
      <c r="A1766">
        <v>21</v>
      </c>
      <c r="B1766">
        <v>20026305</v>
      </c>
      <c r="C1766">
        <v>19951476</v>
      </c>
      <c r="D1766" t="s">
        <v>29</v>
      </c>
      <c r="E1766" t="s">
        <v>888</v>
      </c>
      <c r="G1766" t="s">
        <v>33</v>
      </c>
      <c r="H1766" t="s">
        <v>886</v>
      </c>
      <c r="I1766" t="s">
        <v>29</v>
      </c>
      <c r="J1766">
        <v>20132614</v>
      </c>
      <c r="K1766">
        <v>20041556</v>
      </c>
      <c r="L1766" t="str">
        <f>HYPERLINK("https://test.ictv.global/id/TN20026305","TN20026305@TEST")</f>
        <v>TN20026305@TEST</v>
      </c>
      <c r="M1766" t="str">
        <f>HYPERLINK("https://test.ictv.global/id/ICTV19951476","ICTV19951476@TEST")</f>
        <v>ICTV19951476@TEST</v>
      </c>
      <c r="N1766" t="str">
        <f>HYPERLINK("https://ictv.global/id/TN20026305","TN20026305@prod")</f>
        <v>TN20026305@prod</v>
      </c>
      <c r="O1766" t="str">
        <f>HYPERLINK("https://ictv.global/id/ICTV19951476","ICTV19951476@prod")</f>
        <v>ICTV19951476@prod</v>
      </c>
    </row>
    <row r="1767" spans="1:15" x14ac:dyDescent="0.2">
      <c r="A1767">
        <v>21</v>
      </c>
      <c r="B1767">
        <v>20026309</v>
      </c>
      <c r="C1767">
        <v>19951478</v>
      </c>
      <c r="D1767" t="s">
        <v>29</v>
      </c>
      <c r="E1767" t="s">
        <v>889</v>
      </c>
      <c r="G1767" t="s">
        <v>33</v>
      </c>
      <c r="H1767" t="s">
        <v>886</v>
      </c>
      <c r="I1767" t="s">
        <v>29</v>
      </c>
      <c r="J1767">
        <v>20132614</v>
      </c>
      <c r="K1767">
        <v>20041556</v>
      </c>
      <c r="L1767" t="str">
        <f>HYPERLINK("https://test.ictv.global/id/TN20026309","TN20026309@TEST")</f>
        <v>TN20026309@TEST</v>
      </c>
      <c r="M1767" t="str">
        <f>HYPERLINK("https://test.ictv.global/id/ICTV19951478","ICTV19951478@TEST")</f>
        <v>ICTV19951478@TEST</v>
      </c>
      <c r="N1767" t="str">
        <f>HYPERLINK("https://ictv.global/id/TN20026309","TN20026309@prod")</f>
        <v>TN20026309@prod</v>
      </c>
      <c r="O1767" t="str">
        <f>HYPERLINK("https://ictv.global/id/ICTV19951478","ICTV19951478@prod")</f>
        <v>ICTV19951478@prod</v>
      </c>
    </row>
    <row r="1768" spans="1:15" x14ac:dyDescent="0.2">
      <c r="A1768">
        <v>21</v>
      </c>
      <c r="B1768">
        <v>20026528</v>
      </c>
      <c r="C1768">
        <v>19951915</v>
      </c>
      <c r="D1768" t="s">
        <v>29</v>
      </c>
      <c r="E1768" t="s">
        <v>2066</v>
      </c>
      <c r="G1768" t="s">
        <v>1165</v>
      </c>
      <c r="L1768" t="str">
        <f>HYPERLINK("https://test.ictv.global/id/TN20026528","TN20026528@TEST")</f>
        <v>TN20026528@TEST</v>
      </c>
      <c r="M1768" t="str">
        <f>HYPERLINK("https://test.ictv.global/id/ICTV19951915","ICTV19951915@TEST")</f>
        <v>ICTV19951915@TEST</v>
      </c>
      <c r="N1768" t="str">
        <f>HYPERLINK("https://ictv.global/id/TN20026528","TN20026528@prod")</f>
        <v>TN20026528@prod</v>
      </c>
      <c r="O1768" t="str">
        <f>HYPERLINK("https://ictv.global/id/ICTV19951915","ICTV19951915@prod")</f>
        <v>ICTV19951915@prod</v>
      </c>
    </row>
    <row r="1769" spans="1:15" x14ac:dyDescent="0.2">
      <c r="A1769">
        <v>21</v>
      </c>
      <c r="B1769">
        <v>20026899</v>
      </c>
      <c r="C1769">
        <v>19991775</v>
      </c>
      <c r="D1769" t="s">
        <v>29</v>
      </c>
      <c r="E1769" t="s">
        <v>2067</v>
      </c>
      <c r="G1769" t="s">
        <v>1165</v>
      </c>
      <c r="L1769" t="str">
        <f>HYPERLINK("https://test.ictv.global/id/TN20026899","TN20026899@TEST")</f>
        <v>TN20026899@TEST</v>
      </c>
      <c r="M1769" t="str">
        <f>HYPERLINK("https://test.ictv.global/id/ICTV19991775","ICTV19991775@TEST")</f>
        <v>ICTV19991775@TEST</v>
      </c>
      <c r="N1769" t="str">
        <f>HYPERLINK("https://ictv.global/id/TN20026899","TN20026899@prod")</f>
        <v>TN20026899@prod</v>
      </c>
      <c r="O1769" t="str">
        <f>HYPERLINK("https://ictv.global/id/ICTV19991775","ICTV19991775@prod")</f>
        <v>ICTV19991775@prod</v>
      </c>
    </row>
    <row r="1770" spans="1:15" x14ac:dyDescent="0.2">
      <c r="A1770">
        <v>22</v>
      </c>
      <c r="B1770">
        <v>20040463</v>
      </c>
      <c r="C1770">
        <v>20073002</v>
      </c>
      <c r="D1770" t="s">
        <v>29</v>
      </c>
      <c r="E1770" t="s">
        <v>890</v>
      </c>
      <c r="G1770" t="s">
        <v>33</v>
      </c>
      <c r="H1770" t="s">
        <v>890</v>
      </c>
      <c r="I1770" t="s">
        <v>29</v>
      </c>
      <c r="J1770">
        <v>20073002</v>
      </c>
      <c r="K1770">
        <v>20073002</v>
      </c>
      <c r="L1770" t="str">
        <f>HYPERLINK("https://test.ictv.global/id/TN20040463","TN20040463@TEST")</f>
        <v>TN20040463@TEST</v>
      </c>
      <c r="M1770" t="str">
        <f>HYPERLINK("https://test.ictv.global/id/ICTV20073002","ICTV20073002@TEST")</f>
        <v>ICTV20073002@TEST</v>
      </c>
      <c r="N1770" t="str">
        <f>HYPERLINK("https://ictv.global/id/TN20040463","TN20040463@prod")</f>
        <v>TN20040463@prod</v>
      </c>
      <c r="O1770" t="str">
        <f>HYPERLINK("https://ictv.global/id/ICTV20073002","ICTV20073002@prod")</f>
        <v>ICTV20073002@prod</v>
      </c>
    </row>
    <row r="1771" spans="1:15" x14ac:dyDescent="0.2">
      <c r="A1771">
        <v>22</v>
      </c>
      <c r="B1771">
        <v>20040464</v>
      </c>
      <c r="C1771">
        <v>19990381</v>
      </c>
      <c r="D1771" t="s">
        <v>29</v>
      </c>
      <c r="E1771" t="s">
        <v>891</v>
      </c>
      <c r="G1771" t="s">
        <v>31</v>
      </c>
      <c r="H1771" t="s">
        <v>890</v>
      </c>
      <c r="I1771" t="s">
        <v>29</v>
      </c>
      <c r="J1771">
        <v>20073002</v>
      </c>
      <c r="K1771">
        <v>20073002</v>
      </c>
      <c r="L1771" t="str">
        <f>HYPERLINK("https://test.ictv.global/id/TN20040464","TN20040464@TEST")</f>
        <v>TN20040464@TEST</v>
      </c>
      <c r="M1771" t="str">
        <f>HYPERLINK("https://test.ictv.global/id/ICTV19990381","ICTV19990381@TEST")</f>
        <v>ICTV19990381@TEST</v>
      </c>
      <c r="N1771" t="str">
        <f>HYPERLINK("https://ictv.global/id/TN20040464","TN20040464@prod")</f>
        <v>TN20040464@prod</v>
      </c>
      <c r="O1771" t="str">
        <f>HYPERLINK("https://ictv.global/id/ICTV19990381","ICTV19990381@prod")</f>
        <v>ICTV19990381@prod</v>
      </c>
    </row>
    <row r="1772" spans="1:15" x14ac:dyDescent="0.2">
      <c r="A1772">
        <v>22</v>
      </c>
      <c r="B1772">
        <v>20040692</v>
      </c>
      <c r="C1772">
        <v>20020617</v>
      </c>
      <c r="D1772" t="s">
        <v>29</v>
      </c>
      <c r="E1772" t="s">
        <v>892</v>
      </c>
      <c r="G1772" t="s">
        <v>53</v>
      </c>
      <c r="H1772" t="s">
        <v>893</v>
      </c>
      <c r="I1772" t="s">
        <v>29</v>
      </c>
      <c r="J1772">
        <v>20073239</v>
      </c>
      <c r="K1772">
        <v>20073239</v>
      </c>
      <c r="L1772" t="str">
        <f>HYPERLINK("https://test.ictv.global/id/TN20040692","TN20040692@TEST")</f>
        <v>TN20040692@TEST</v>
      </c>
      <c r="M1772" t="str">
        <f>HYPERLINK("https://test.ictv.global/id/ICTV20020617","ICTV20020617@TEST")</f>
        <v>ICTV20020617@TEST</v>
      </c>
      <c r="N1772" t="str">
        <f>HYPERLINK("https://ictv.global/id/TN20040692","TN20040692@prod")</f>
        <v>TN20040692@prod</v>
      </c>
      <c r="O1772" t="str">
        <f>HYPERLINK("https://ictv.global/id/ICTV20020617","ICTV20020617@prod")</f>
        <v>ICTV20020617@prod</v>
      </c>
    </row>
    <row r="1773" spans="1:15" x14ac:dyDescent="0.2">
      <c r="A1773">
        <v>22</v>
      </c>
      <c r="B1773">
        <v>20040692</v>
      </c>
      <c r="C1773">
        <v>20020617</v>
      </c>
      <c r="D1773" t="s">
        <v>29</v>
      </c>
      <c r="E1773" t="s">
        <v>892</v>
      </c>
      <c r="G1773" t="s">
        <v>53</v>
      </c>
      <c r="H1773" t="s">
        <v>894</v>
      </c>
      <c r="I1773" t="s">
        <v>29</v>
      </c>
      <c r="J1773">
        <v>20073240</v>
      </c>
      <c r="K1773">
        <v>20073240</v>
      </c>
      <c r="L1773" t="str">
        <f>HYPERLINK("https://test.ictv.global/id/TN20040692","TN20040692@TEST")</f>
        <v>TN20040692@TEST</v>
      </c>
      <c r="M1773" t="str">
        <f>HYPERLINK("https://test.ictv.global/id/ICTV20020617","ICTV20020617@TEST")</f>
        <v>ICTV20020617@TEST</v>
      </c>
      <c r="N1773" t="str">
        <f>HYPERLINK("https://ictv.global/id/TN20040692","TN20040692@prod")</f>
        <v>TN20040692@prod</v>
      </c>
      <c r="O1773" t="str">
        <f>HYPERLINK("https://ictv.global/id/ICTV20020617","ICTV20020617@prod")</f>
        <v>ICTV20020617@prod</v>
      </c>
    </row>
    <row r="1774" spans="1:15" x14ac:dyDescent="0.2">
      <c r="A1774">
        <v>22</v>
      </c>
      <c r="B1774">
        <v>20040707</v>
      </c>
      <c r="C1774">
        <v>20040707</v>
      </c>
      <c r="D1774" t="s">
        <v>29</v>
      </c>
      <c r="E1774" t="s">
        <v>2068</v>
      </c>
      <c r="G1774" t="s">
        <v>1165</v>
      </c>
      <c r="L1774" t="str">
        <f>HYPERLINK("https://test.ictv.global/id/TN20040707","TN20040707@TEST")</f>
        <v>TN20040707@TEST</v>
      </c>
      <c r="M1774" t="str">
        <f>HYPERLINK("https://test.ictv.global/id/ICTV20040707","ICTV20040707@TEST")</f>
        <v>ICTV20040707@TEST</v>
      </c>
      <c r="N1774" t="str">
        <f>HYPERLINK("https://ictv.global/id/TN20040707","TN20040707@prod")</f>
        <v>TN20040707@prod</v>
      </c>
      <c r="O1774" t="str">
        <f>HYPERLINK("https://ictv.global/id/ICTV20040707","ICTV20040707@prod")</f>
        <v>ICTV20040707@prod</v>
      </c>
    </row>
    <row r="1775" spans="1:15" x14ac:dyDescent="0.2">
      <c r="A1775">
        <v>22</v>
      </c>
      <c r="B1775">
        <v>20040724</v>
      </c>
      <c r="C1775">
        <v>20073273</v>
      </c>
      <c r="D1775" t="s">
        <v>29</v>
      </c>
      <c r="E1775" t="s">
        <v>895</v>
      </c>
      <c r="F1775" t="s">
        <v>2069</v>
      </c>
      <c r="G1775" t="s">
        <v>33</v>
      </c>
      <c r="H1775" t="s">
        <v>895</v>
      </c>
      <c r="I1775" t="s">
        <v>29</v>
      </c>
      <c r="J1775">
        <v>20073273</v>
      </c>
      <c r="K1775">
        <v>20073273</v>
      </c>
      <c r="L1775" t="str">
        <f>HYPERLINK("https://test.ictv.global/id/TN20040724","TN20040724@TEST")</f>
        <v>TN20040724@TEST</v>
      </c>
      <c r="M1775" t="str">
        <f>HYPERLINK("https://test.ictv.global/id/ICTV20073273","ICTV20073273@TEST")</f>
        <v>ICTV20073273@TEST</v>
      </c>
      <c r="N1775" t="str">
        <f>HYPERLINK("https://ictv.global/id/TN20040724","TN20040724@prod")</f>
        <v>TN20040724@prod</v>
      </c>
      <c r="O1775" t="str">
        <f>HYPERLINK("https://ictv.global/id/ICTV20073273","ICTV20073273@prod")</f>
        <v>ICTV20073273@prod</v>
      </c>
    </row>
    <row r="1776" spans="1:15" x14ac:dyDescent="0.2">
      <c r="A1776">
        <v>22</v>
      </c>
      <c r="B1776">
        <v>20040727</v>
      </c>
      <c r="C1776">
        <v>19911681</v>
      </c>
      <c r="D1776" t="s">
        <v>29</v>
      </c>
      <c r="E1776" t="s">
        <v>896</v>
      </c>
      <c r="G1776" t="s">
        <v>33</v>
      </c>
      <c r="H1776" t="s">
        <v>895</v>
      </c>
      <c r="I1776" t="s">
        <v>29</v>
      </c>
      <c r="J1776">
        <v>20073273</v>
      </c>
      <c r="K1776">
        <v>20073273</v>
      </c>
      <c r="L1776" t="str">
        <f>HYPERLINK("https://test.ictv.global/id/TN20040727","TN20040727@TEST")</f>
        <v>TN20040727@TEST</v>
      </c>
      <c r="M1776" t="str">
        <f>HYPERLINK("https://test.ictv.global/id/ICTV19911681","ICTV19911681@TEST")</f>
        <v>ICTV19911681@TEST</v>
      </c>
      <c r="N1776" t="str">
        <f>HYPERLINK("https://ictv.global/id/TN20040727","TN20040727@prod")</f>
        <v>TN20040727@prod</v>
      </c>
      <c r="O1776" t="str">
        <f>HYPERLINK("https://ictv.global/id/ICTV19911681","ICTV19911681@prod")</f>
        <v>ICTV19911681@prod</v>
      </c>
    </row>
    <row r="1777" spans="1:15" x14ac:dyDescent="0.2">
      <c r="A1777">
        <v>22</v>
      </c>
      <c r="B1777">
        <v>20040760</v>
      </c>
      <c r="C1777">
        <v>20073308</v>
      </c>
      <c r="D1777" t="s">
        <v>29</v>
      </c>
      <c r="E1777" t="s">
        <v>897</v>
      </c>
      <c r="G1777" t="s">
        <v>33</v>
      </c>
      <c r="H1777" t="s">
        <v>897</v>
      </c>
      <c r="I1777" t="s">
        <v>29</v>
      </c>
      <c r="J1777">
        <v>20073308</v>
      </c>
      <c r="K1777">
        <v>20073308</v>
      </c>
      <c r="L1777" t="str">
        <f>HYPERLINK("https://test.ictv.global/id/TN20040760","TN20040760@TEST")</f>
        <v>TN20040760@TEST</v>
      </c>
      <c r="M1777" t="str">
        <f>HYPERLINK("https://test.ictv.global/id/ICTV20073308","ICTV20073308@TEST")</f>
        <v>ICTV20073308@TEST</v>
      </c>
      <c r="N1777" t="str">
        <f>HYPERLINK("https://ictv.global/id/TN20040760","TN20040760@prod")</f>
        <v>TN20040760@prod</v>
      </c>
      <c r="O1777" t="str">
        <f>HYPERLINK("https://ictv.global/id/ICTV20073308","ICTV20073308@prod")</f>
        <v>ICTV20073308@prod</v>
      </c>
    </row>
    <row r="1778" spans="1:15" x14ac:dyDescent="0.2">
      <c r="A1778">
        <v>22</v>
      </c>
      <c r="B1778">
        <v>20040762</v>
      </c>
      <c r="C1778">
        <v>19790300</v>
      </c>
      <c r="D1778" t="s">
        <v>29</v>
      </c>
      <c r="E1778" t="s">
        <v>898</v>
      </c>
      <c r="G1778" t="s">
        <v>31</v>
      </c>
      <c r="H1778" t="s">
        <v>897</v>
      </c>
      <c r="I1778" t="s">
        <v>29</v>
      </c>
      <c r="J1778">
        <v>20073308</v>
      </c>
      <c r="K1778">
        <v>20073308</v>
      </c>
      <c r="L1778" t="str">
        <f>HYPERLINK("https://test.ictv.global/id/TN20040762","TN20040762@TEST")</f>
        <v>TN20040762@TEST</v>
      </c>
      <c r="M1778" t="str">
        <f>HYPERLINK("https://test.ictv.global/id/ICTV19790300","ICTV19790300@TEST")</f>
        <v>ICTV19790300@TEST</v>
      </c>
      <c r="N1778" t="str">
        <f>HYPERLINK("https://ictv.global/id/TN20040762","TN20040762@prod")</f>
        <v>TN20040762@prod</v>
      </c>
      <c r="O1778" t="str">
        <f>HYPERLINK("https://ictv.global/id/ICTV19790300","ICTV19790300@prod")</f>
        <v>ICTV19790300@prod</v>
      </c>
    </row>
    <row r="1779" spans="1:15" x14ac:dyDescent="0.2">
      <c r="A1779">
        <v>22</v>
      </c>
      <c r="B1779">
        <v>20040837</v>
      </c>
      <c r="C1779">
        <v>19911578</v>
      </c>
      <c r="D1779" t="s">
        <v>29</v>
      </c>
      <c r="E1779" t="s">
        <v>899</v>
      </c>
      <c r="G1779" t="s">
        <v>53</v>
      </c>
      <c r="H1779" t="s">
        <v>900</v>
      </c>
      <c r="I1779" t="s">
        <v>29</v>
      </c>
      <c r="J1779">
        <v>20073386</v>
      </c>
      <c r="K1779">
        <v>20073386</v>
      </c>
      <c r="L1779" t="str">
        <f>HYPERLINK("https://test.ictv.global/id/TN20040837","TN20040837@TEST")</f>
        <v>TN20040837@TEST</v>
      </c>
      <c r="M1779" t="str">
        <f>HYPERLINK("https://test.ictv.global/id/ICTV19911578","ICTV19911578@TEST")</f>
        <v>ICTV19911578@TEST</v>
      </c>
      <c r="N1779" t="str">
        <f>HYPERLINK("https://ictv.global/id/TN20040837","TN20040837@prod")</f>
        <v>TN20040837@prod</v>
      </c>
      <c r="O1779" t="str">
        <f>HYPERLINK("https://ictv.global/id/ICTV19911578","ICTV19911578@prod")</f>
        <v>ICTV19911578@prod</v>
      </c>
    </row>
    <row r="1780" spans="1:15" x14ac:dyDescent="0.2">
      <c r="A1780">
        <v>22</v>
      </c>
      <c r="B1780">
        <v>20040837</v>
      </c>
      <c r="C1780">
        <v>19911578</v>
      </c>
      <c r="D1780" t="s">
        <v>29</v>
      </c>
      <c r="E1780" t="s">
        <v>899</v>
      </c>
      <c r="G1780" t="s">
        <v>53</v>
      </c>
      <c r="H1780" t="s">
        <v>901</v>
      </c>
      <c r="I1780" t="s">
        <v>29</v>
      </c>
      <c r="J1780">
        <v>20073387</v>
      </c>
      <c r="K1780">
        <v>20073387</v>
      </c>
      <c r="L1780" t="str">
        <f>HYPERLINK("https://test.ictv.global/id/TN20040837","TN20040837@TEST")</f>
        <v>TN20040837@TEST</v>
      </c>
      <c r="M1780" t="str">
        <f>HYPERLINK("https://test.ictv.global/id/ICTV19911578","ICTV19911578@TEST")</f>
        <v>ICTV19911578@TEST</v>
      </c>
      <c r="N1780" t="str">
        <f>HYPERLINK("https://ictv.global/id/TN20040837","TN20040837@prod")</f>
        <v>TN20040837@prod</v>
      </c>
      <c r="O1780" t="str">
        <f>HYPERLINK("https://ictv.global/id/ICTV19911578","ICTV19911578@prod")</f>
        <v>ICTV19911578@prod</v>
      </c>
    </row>
    <row r="1781" spans="1:15" x14ac:dyDescent="0.2">
      <c r="A1781">
        <v>22</v>
      </c>
      <c r="B1781">
        <v>20040837</v>
      </c>
      <c r="C1781">
        <v>19911578</v>
      </c>
      <c r="D1781" t="s">
        <v>29</v>
      </c>
      <c r="E1781" t="s">
        <v>899</v>
      </c>
      <c r="G1781" t="s">
        <v>53</v>
      </c>
      <c r="H1781" t="s">
        <v>902</v>
      </c>
      <c r="I1781" t="s">
        <v>29</v>
      </c>
      <c r="J1781">
        <v>20073388</v>
      </c>
      <c r="K1781">
        <v>20073388</v>
      </c>
      <c r="L1781" t="str">
        <f>HYPERLINK("https://test.ictv.global/id/TN20040837","TN20040837@TEST")</f>
        <v>TN20040837@TEST</v>
      </c>
      <c r="M1781" t="str">
        <f>HYPERLINK("https://test.ictv.global/id/ICTV19911578","ICTV19911578@TEST")</f>
        <v>ICTV19911578@TEST</v>
      </c>
      <c r="N1781" t="str">
        <f>HYPERLINK("https://ictv.global/id/TN20040837","TN20040837@prod")</f>
        <v>TN20040837@prod</v>
      </c>
      <c r="O1781" t="str">
        <f>HYPERLINK("https://ictv.global/id/ICTV19911578","ICTV19911578@prod")</f>
        <v>ICTV19911578@prod</v>
      </c>
    </row>
    <row r="1782" spans="1:15" x14ac:dyDescent="0.2">
      <c r="A1782">
        <v>22</v>
      </c>
      <c r="B1782">
        <v>20040845</v>
      </c>
      <c r="C1782">
        <v>19990719</v>
      </c>
      <c r="D1782" t="s">
        <v>29</v>
      </c>
      <c r="E1782" t="s">
        <v>2070</v>
      </c>
      <c r="G1782" t="s">
        <v>1165</v>
      </c>
      <c r="L1782" t="str">
        <f>HYPERLINK("https://test.ictv.global/id/TN20040845","TN20040845@TEST")</f>
        <v>TN20040845@TEST</v>
      </c>
      <c r="M1782" t="str">
        <f>HYPERLINK("https://test.ictv.global/id/ICTV19990719","ICTV19990719@TEST")</f>
        <v>ICTV19990719@TEST</v>
      </c>
      <c r="N1782" t="str">
        <f>HYPERLINK("https://ictv.global/id/TN20040845","TN20040845@prod")</f>
        <v>TN20040845@prod</v>
      </c>
      <c r="O1782" t="str">
        <f>HYPERLINK("https://ictv.global/id/ICTV19990719","ICTV19990719@prod")</f>
        <v>ICTV19990719@prod</v>
      </c>
    </row>
    <row r="1783" spans="1:15" x14ac:dyDescent="0.2">
      <c r="A1783">
        <v>22</v>
      </c>
      <c r="B1783">
        <v>20040850</v>
      </c>
      <c r="C1783">
        <v>19911580</v>
      </c>
      <c r="D1783" t="s">
        <v>29</v>
      </c>
      <c r="E1783" t="s">
        <v>903</v>
      </c>
      <c r="G1783" t="s">
        <v>53</v>
      </c>
      <c r="H1783" t="s">
        <v>904</v>
      </c>
      <c r="I1783" t="s">
        <v>29</v>
      </c>
      <c r="J1783">
        <v>20073399</v>
      </c>
      <c r="K1783">
        <v>20073399</v>
      </c>
      <c r="L1783" t="str">
        <f>HYPERLINK("https://test.ictv.global/id/TN20040850","TN20040850@TEST")</f>
        <v>TN20040850@TEST</v>
      </c>
      <c r="M1783" t="str">
        <f>HYPERLINK("https://test.ictv.global/id/ICTV19911580","ICTV19911580@TEST")</f>
        <v>ICTV19911580@TEST</v>
      </c>
      <c r="N1783" t="str">
        <f>HYPERLINK("https://ictv.global/id/TN20040850","TN20040850@prod")</f>
        <v>TN20040850@prod</v>
      </c>
      <c r="O1783" t="str">
        <f>HYPERLINK("https://ictv.global/id/ICTV19911580","ICTV19911580@prod")</f>
        <v>ICTV19911580@prod</v>
      </c>
    </row>
    <row r="1784" spans="1:15" x14ac:dyDescent="0.2">
      <c r="A1784">
        <v>22</v>
      </c>
      <c r="B1784">
        <v>20040850</v>
      </c>
      <c r="C1784">
        <v>19911580</v>
      </c>
      <c r="D1784" t="s">
        <v>29</v>
      </c>
      <c r="E1784" t="s">
        <v>903</v>
      </c>
      <c r="G1784" t="s">
        <v>53</v>
      </c>
      <c r="H1784" t="s">
        <v>905</v>
      </c>
      <c r="I1784" t="s">
        <v>29</v>
      </c>
      <c r="J1784">
        <v>20073400</v>
      </c>
      <c r="K1784">
        <v>20073400</v>
      </c>
      <c r="L1784" t="str">
        <f>HYPERLINK("https://test.ictv.global/id/TN20040850","TN20040850@TEST")</f>
        <v>TN20040850@TEST</v>
      </c>
      <c r="M1784" t="str">
        <f>HYPERLINK("https://test.ictv.global/id/ICTV19911580","ICTV19911580@TEST")</f>
        <v>ICTV19911580@TEST</v>
      </c>
      <c r="N1784" t="str">
        <f>HYPERLINK("https://ictv.global/id/TN20040850","TN20040850@prod")</f>
        <v>TN20040850@prod</v>
      </c>
      <c r="O1784" t="str">
        <f>HYPERLINK("https://ictv.global/id/ICTV19911580","ICTV19911580@prod")</f>
        <v>ICTV19911580@prod</v>
      </c>
    </row>
    <row r="1785" spans="1:15" x14ac:dyDescent="0.2">
      <c r="A1785">
        <v>22</v>
      </c>
      <c r="B1785">
        <v>20040917</v>
      </c>
      <c r="C1785">
        <v>20073469</v>
      </c>
      <c r="D1785" t="s">
        <v>29</v>
      </c>
      <c r="E1785" t="s">
        <v>906</v>
      </c>
      <c r="F1785" t="s">
        <v>2071</v>
      </c>
      <c r="G1785" t="s">
        <v>33</v>
      </c>
      <c r="H1785" t="s">
        <v>906</v>
      </c>
      <c r="I1785" t="s">
        <v>29</v>
      </c>
      <c r="J1785">
        <v>20073469</v>
      </c>
      <c r="K1785">
        <v>20073469</v>
      </c>
      <c r="L1785" t="str">
        <f>HYPERLINK("https://test.ictv.global/id/TN20040917","TN20040917@TEST")</f>
        <v>TN20040917@TEST</v>
      </c>
      <c r="M1785" t="str">
        <f>HYPERLINK("https://test.ictv.global/id/ICTV20073469","ICTV20073469@TEST")</f>
        <v>ICTV20073469@TEST</v>
      </c>
      <c r="N1785" t="str">
        <f>HYPERLINK("https://ictv.global/id/TN20040917","TN20040917@prod")</f>
        <v>TN20040917@prod</v>
      </c>
      <c r="O1785" t="str">
        <f>HYPERLINK("https://ictv.global/id/ICTV20073469","ICTV20073469@prod")</f>
        <v>ICTV20073469@prod</v>
      </c>
    </row>
    <row r="1786" spans="1:15" x14ac:dyDescent="0.2">
      <c r="A1786">
        <v>22</v>
      </c>
      <c r="B1786">
        <v>20040919</v>
      </c>
      <c r="C1786">
        <v>19981278</v>
      </c>
      <c r="D1786" t="s">
        <v>29</v>
      </c>
      <c r="E1786" t="s">
        <v>907</v>
      </c>
      <c r="G1786" t="s">
        <v>33</v>
      </c>
      <c r="H1786" t="s">
        <v>906</v>
      </c>
      <c r="I1786" t="s">
        <v>29</v>
      </c>
      <c r="J1786">
        <v>20073469</v>
      </c>
      <c r="K1786">
        <v>20073469</v>
      </c>
      <c r="L1786" t="str">
        <f>HYPERLINK("https://test.ictv.global/id/TN20040919","TN20040919@TEST")</f>
        <v>TN20040919@TEST</v>
      </c>
      <c r="M1786" t="str">
        <f>HYPERLINK("https://test.ictv.global/id/ICTV19981278","ICTV19981278@TEST")</f>
        <v>ICTV19981278@TEST</v>
      </c>
      <c r="N1786" t="str">
        <f>HYPERLINK("https://ictv.global/id/TN20040919","TN20040919@prod")</f>
        <v>TN20040919@prod</v>
      </c>
      <c r="O1786" t="str">
        <f>HYPERLINK("https://ictv.global/id/ICTV19981278","ICTV19981278@prod")</f>
        <v>ICTV19981278@prod</v>
      </c>
    </row>
    <row r="1787" spans="1:15" x14ac:dyDescent="0.2">
      <c r="A1787">
        <v>22</v>
      </c>
      <c r="B1787">
        <v>20041021</v>
      </c>
      <c r="C1787">
        <v>19990868</v>
      </c>
      <c r="D1787" t="s">
        <v>29</v>
      </c>
      <c r="E1787" t="s">
        <v>2072</v>
      </c>
      <c r="G1787" t="s">
        <v>1165</v>
      </c>
      <c r="L1787" t="str">
        <f>HYPERLINK("https://test.ictv.global/id/TN20041021","TN20041021@TEST")</f>
        <v>TN20041021@TEST</v>
      </c>
      <c r="M1787" t="str">
        <f>HYPERLINK("https://test.ictv.global/id/ICTV19990868","ICTV19990868@TEST")</f>
        <v>ICTV19990868@TEST</v>
      </c>
      <c r="N1787" t="str">
        <f>HYPERLINK("https://ictv.global/id/TN20041021","TN20041021@prod")</f>
        <v>TN20041021@prod</v>
      </c>
      <c r="O1787" t="str">
        <f>HYPERLINK("https://ictv.global/id/ICTV19990868","ICTV19990868@prod")</f>
        <v>ICTV19990868@prod</v>
      </c>
    </row>
    <row r="1788" spans="1:15" x14ac:dyDescent="0.2">
      <c r="A1788">
        <v>22</v>
      </c>
      <c r="B1788">
        <v>20041022</v>
      </c>
      <c r="C1788">
        <v>19990869</v>
      </c>
      <c r="D1788" t="s">
        <v>29</v>
      </c>
      <c r="E1788" t="s">
        <v>2073</v>
      </c>
      <c r="G1788" t="s">
        <v>1165</v>
      </c>
      <c r="L1788" t="str">
        <f>HYPERLINK("https://test.ictv.global/id/TN20041022","TN20041022@TEST")</f>
        <v>TN20041022@TEST</v>
      </c>
      <c r="M1788" t="str">
        <f>HYPERLINK("https://test.ictv.global/id/ICTV19990869","ICTV19990869@TEST")</f>
        <v>ICTV19990869@TEST</v>
      </c>
      <c r="N1788" t="str">
        <f>HYPERLINK("https://ictv.global/id/TN20041022","TN20041022@prod")</f>
        <v>TN20041022@prod</v>
      </c>
      <c r="O1788" t="str">
        <f>HYPERLINK("https://ictv.global/id/ICTV19990869","ICTV19990869@prod")</f>
        <v>ICTV19990869@prod</v>
      </c>
    </row>
    <row r="1789" spans="1:15" x14ac:dyDescent="0.2">
      <c r="A1789">
        <v>22</v>
      </c>
      <c r="B1789">
        <v>20041023</v>
      </c>
      <c r="C1789">
        <v>19990870</v>
      </c>
      <c r="D1789" t="s">
        <v>29</v>
      </c>
      <c r="E1789" t="s">
        <v>2074</v>
      </c>
      <c r="G1789" t="s">
        <v>1165</v>
      </c>
      <c r="L1789" t="str">
        <f>HYPERLINK("https://test.ictv.global/id/TN20041023","TN20041023@TEST")</f>
        <v>TN20041023@TEST</v>
      </c>
      <c r="M1789" t="str">
        <f>HYPERLINK("https://test.ictv.global/id/ICTV19990870","ICTV19990870@TEST")</f>
        <v>ICTV19990870@TEST</v>
      </c>
      <c r="N1789" t="str">
        <f>HYPERLINK("https://ictv.global/id/TN20041023","TN20041023@prod")</f>
        <v>TN20041023@prod</v>
      </c>
      <c r="O1789" t="str">
        <f>HYPERLINK("https://ictv.global/id/ICTV19990870","ICTV19990870@prod")</f>
        <v>ICTV19990870@prod</v>
      </c>
    </row>
    <row r="1790" spans="1:15" x14ac:dyDescent="0.2">
      <c r="A1790">
        <v>22</v>
      </c>
      <c r="B1790">
        <v>20041139</v>
      </c>
      <c r="C1790">
        <v>20041139</v>
      </c>
      <c r="D1790" t="s">
        <v>29</v>
      </c>
      <c r="E1790" t="s">
        <v>2075</v>
      </c>
      <c r="G1790" t="s">
        <v>1165</v>
      </c>
      <c r="L1790" t="str">
        <f>HYPERLINK("https://test.ictv.global/id/TN20041139","TN20041139@TEST")</f>
        <v>TN20041139@TEST</v>
      </c>
      <c r="M1790" t="str">
        <f>HYPERLINK("https://test.ictv.global/id/ICTV20041139","ICTV20041139@TEST")</f>
        <v>ICTV20041139@TEST</v>
      </c>
      <c r="N1790" t="str">
        <f>HYPERLINK("https://ictv.global/id/TN20041139","TN20041139@prod")</f>
        <v>TN20041139@prod</v>
      </c>
      <c r="O1790" t="str">
        <f>HYPERLINK("https://ictv.global/id/ICTV20041139","ICTV20041139@prod")</f>
        <v>ICTV20041139@prod</v>
      </c>
    </row>
    <row r="1791" spans="1:15" x14ac:dyDescent="0.2">
      <c r="A1791">
        <v>22</v>
      </c>
      <c r="B1791">
        <v>20041164</v>
      </c>
      <c r="C1791">
        <v>19911653</v>
      </c>
      <c r="D1791" t="s">
        <v>29</v>
      </c>
      <c r="E1791" t="s">
        <v>2076</v>
      </c>
      <c r="G1791" t="s">
        <v>1165</v>
      </c>
      <c r="L1791" t="str">
        <f>HYPERLINK("https://test.ictv.global/id/TN20041164","TN20041164@TEST")</f>
        <v>TN20041164@TEST</v>
      </c>
      <c r="M1791" t="str">
        <f>HYPERLINK("https://test.ictv.global/id/ICTV19911653","ICTV19911653@TEST")</f>
        <v>ICTV19911653@TEST</v>
      </c>
      <c r="N1791" t="str">
        <f>HYPERLINK("https://ictv.global/id/TN20041164","TN20041164@prod")</f>
        <v>TN20041164@prod</v>
      </c>
      <c r="O1791" t="str">
        <f>HYPERLINK("https://ictv.global/id/ICTV19911653","ICTV19911653@prod")</f>
        <v>ICTV19911653@prod</v>
      </c>
    </row>
    <row r="1792" spans="1:15" x14ac:dyDescent="0.2">
      <c r="A1792">
        <v>22</v>
      </c>
      <c r="B1792">
        <v>20041174</v>
      </c>
      <c r="C1792">
        <v>19981416</v>
      </c>
      <c r="D1792" t="s">
        <v>29</v>
      </c>
      <c r="E1792" t="s">
        <v>2077</v>
      </c>
      <c r="G1792" t="s">
        <v>1165</v>
      </c>
      <c r="L1792" t="str">
        <f>HYPERLINK("https://test.ictv.global/id/TN20041174","TN20041174@TEST")</f>
        <v>TN20041174@TEST</v>
      </c>
      <c r="M1792" t="str">
        <f>HYPERLINK("https://test.ictv.global/id/ICTV19981416","ICTV19981416@TEST")</f>
        <v>ICTV19981416@TEST</v>
      </c>
      <c r="N1792" t="str">
        <f>HYPERLINK("https://ictv.global/id/TN20041174","TN20041174@prod")</f>
        <v>TN20041174@prod</v>
      </c>
      <c r="O1792" t="str">
        <f>HYPERLINK("https://ictv.global/id/ICTV19981416","ICTV19981416@prod")</f>
        <v>ICTV19981416@prod</v>
      </c>
    </row>
    <row r="1793" spans="1:15" x14ac:dyDescent="0.2">
      <c r="A1793">
        <v>22</v>
      </c>
      <c r="B1793">
        <v>20041175</v>
      </c>
      <c r="C1793">
        <v>19981417</v>
      </c>
      <c r="D1793" t="s">
        <v>29</v>
      </c>
      <c r="E1793" t="s">
        <v>2078</v>
      </c>
      <c r="G1793" t="s">
        <v>1165</v>
      </c>
      <c r="L1793" t="str">
        <f>HYPERLINK("https://test.ictv.global/id/TN20041175","TN20041175@TEST")</f>
        <v>TN20041175@TEST</v>
      </c>
      <c r="M1793" t="str">
        <f>HYPERLINK("https://test.ictv.global/id/ICTV19981417","ICTV19981417@TEST")</f>
        <v>ICTV19981417@TEST</v>
      </c>
      <c r="N1793" t="str">
        <f>HYPERLINK("https://ictv.global/id/TN20041175","TN20041175@prod")</f>
        <v>TN20041175@prod</v>
      </c>
      <c r="O1793" t="str">
        <f>HYPERLINK("https://ictv.global/id/ICTV19981417","ICTV19981417@prod")</f>
        <v>ICTV19981417@prod</v>
      </c>
    </row>
    <row r="1794" spans="1:15" x14ac:dyDescent="0.2">
      <c r="A1794">
        <v>22</v>
      </c>
      <c r="B1794">
        <v>20041190</v>
      </c>
      <c r="C1794">
        <v>19871308</v>
      </c>
      <c r="D1794" t="s">
        <v>29</v>
      </c>
      <c r="E1794" t="s">
        <v>2079</v>
      </c>
      <c r="G1794" t="s">
        <v>1165</v>
      </c>
      <c r="L1794" t="str">
        <f>HYPERLINK("https://test.ictv.global/id/TN20041190","TN20041190@TEST")</f>
        <v>TN20041190@TEST</v>
      </c>
      <c r="M1794" t="str">
        <f>HYPERLINK("https://test.ictv.global/id/ICTV19871308","ICTV19871308@TEST")</f>
        <v>ICTV19871308@TEST</v>
      </c>
      <c r="N1794" t="str">
        <f>HYPERLINK("https://ictv.global/id/TN20041190","TN20041190@prod")</f>
        <v>TN20041190@prod</v>
      </c>
      <c r="O1794" t="str">
        <f>HYPERLINK("https://ictv.global/id/ICTV19871308","ICTV19871308@prod")</f>
        <v>ICTV19871308@prod</v>
      </c>
    </row>
    <row r="1795" spans="1:15" x14ac:dyDescent="0.2">
      <c r="A1795">
        <v>22</v>
      </c>
      <c r="B1795">
        <v>20041214</v>
      </c>
      <c r="C1795">
        <v>20041214</v>
      </c>
      <c r="D1795" t="s">
        <v>29</v>
      </c>
      <c r="E1795" t="s">
        <v>908</v>
      </c>
      <c r="G1795" t="s">
        <v>33</v>
      </c>
      <c r="H1795" t="s">
        <v>909</v>
      </c>
      <c r="I1795" t="s">
        <v>29</v>
      </c>
      <c r="J1795">
        <v>20073780</v>
      </c>
      <c r="K1795">
        <v>20073780</v>
      </c>
      <c r="L1795" t="str">
        <f>HYPERLINK("https://test.ictv.global/id/TN20041214","TN20041214@TEST")</f>
        <v>TN20041214@TEST</v>
      </c>
      <c r="M1795" t="str">
        <f>HYPERLINK("https://test.ictv.global/id/ICTV20041214","ICTV20041214@TEST")</f>
        <v>ICTV20041214@TEST</v>
      </c>
      <c r="N1795" t="str">
        <f>HYPERLINK("https://ictv.global/id/TN20041214","TN20041214@prod")</f>
        <v>TN20041214@prod</v>
      </c>
      <c r="O1795" t="str">
        <f>HYPERLINK("https://ictv.global/id/ICTV20041214","ICTV20041214@prod")</f>
        <v>ICTV20041214@prod</v>
      </c>
    </row>
    <row r="1796" spans="1:15" x14ac:dyDescent="0.2">
      <c r="A1796">
        <v>22</v>
      </c>
      <c r="B1796">
        <v>20041216</v>
      </c>
      <c r="C1796">
        <v>19911660</v>
      </c>
      <c r="D1796" t="s">
        <v>29</v>
      </c>
      <c r="E1796" t="s">
        <v>910</v>
      </c>
      <c r="G1796" t="s">
        <v>33</v>
      </c>
      <c r="H1796" t="s">
        <v>909</v>
      </c>
      <c r="I1796" t="s">
        <v>29</v>
      </c>
      <c r="J1796">
        <v>20073780</v>
      </c>
      <c r="K1796">
        <v>20073780</v>
      </c>
      <c r="L1796" t="str">
        <f>HYPERLINK("https://test.ictv.global/id/TN20041216","TN20041216@TEST")</f>
        <v>TN20041216@TEST</v>
      </c>
      <c r="M1796" t="str">
        <f>HYPERLINK("https://test.ictv.global/id/ICTV19911660","ICTV19911660@TEST")</f>
        <v>ICTV19911660@TEST</v>
      </c>
      <c r="N1796" t="str">
        <f>HYPERLINK("https://ictv.global/id/TN20041216","TN20041216@prod")</f>
        <v>TN20041216@prod</v>
      </c>
      <c r="O1796" t="str">
        <f>HYPERLINK("https://ictv.global/id/ICTV19911660","ICTV19911660@prod")</f>
        <v>ICTV19911660@prod</v>
      </c>
    </row>
    <row r="1797" spans="1:15" x14ac:dyDescent="0.2">
      <c r="A1797">
        <v>22</v>
      </c>
      <c r="B1797">
        <v>20041225</v>
      </c>
      <c r="C1797">
        <v>19950946</v>
      </c>
      <c r="D1797" t="s">
        <v>29</v>
      </c>
      <c r="E1797" t="s">
        <v>2080</v>
      </c>
      <c r="G1797" t="s">
        <v>1165</v>
      </c>
      <c r="L1797" t="str">
        <f>HYPERLINK("https://test.ictv.global/id/TN20041225","TN20041225@TEST")</f>
        <v>TN20041225@TEST</v>
      </c>
      <c r="M1797" t="str">
        <f>HYPERLINK("https://test.ictv.global/id/ICTV19950946","ICTV19950946@TEST")</f>
        <v>ICTV19950946@TEST</v>
      </c>
      <c r="N1797" t="str">
        <f>HYPERLINK("https://ictv.global/id/TN20041225","TN20041225@prod")</f>
        <v>TN20041225@prod</v>
      </c>
      <c r="O1797" t="str">
        <f>HYPERLINK("https://ictv.global/id/ICTV19950946","ICTV19950946@prod")</f>
        <v>ICTV19950946@prod</v>
      </c>
    </row>
    <row r="1798" spans="1:15" x14ac:dyDescent="0.2">
      <c r="A1798">
        <v>22</v>
      </c>
      <c r="B1798">
        <v>20041228</v>
      </c>
      <c r="C1798">
        <v>19950949</v>
      </c>
      <c r="D1798" t="s">
        <v>29</v>
      </c>
      <c r="E1798" t="s">
        <v>2081</v>
      </c>
      <c r="G1798" t="s">
        <v>1165</v>
      </c>
      <c r="L1798" t="str">
        <f>HYPERLINK("https://test.ictv.global/id/TN20041228","TN20041228@TEST")</f>
        <v>TN20041228@TEST</v>
      </c>
      <c r="M1798" t="str">
        <f>HYPERLINK("https://test.ictv.global/id/ICTV19950949","ICTV19950949@TEST")</f>
        <v>ICTV19950949@TEST</v>
      </c>
      <c r="N1798" t="str">
        <f>HYPERLINK("https://ictv.global/id/TN20041228","TN20041228@prod")</f>
        <v>TN20041228@prod</v>
      </c>
      <c r="O1798" t="str">
        <f>HYPERLINK("https://ictv.global/id/ICTV19950949","ICTV19950949@prod")</f>
        <v>ICTV19950949@prod</v>
      </c>
    </row>
    <row r="1799" spans="1:15" x14ac:dyDescent="0.2">
      <c r="A1799">
        <v>22</v>
      </c>
      <c r="B1799">
        <v>20041232</v>
      </c>
      <c r="C1799">
        <v>19950953</v>
      </c>
      <c r="D1799" t="s">
        <v>29</v>
      </c>
      <c r="E1799" t="s">
        <v>2082</v>
      </c>
      <c r="G1799" t="s">
        <v>1165</v>
      </c>
      <c r="L1799" t="str">
        <f>HYPERLINK("https://test.ictv.global/id/TN20041232","TN20041232@TEST")</f>
        <v>TN20041232@TEST</v>
      </c>
      <c r="M1799" t="str">
        <f>HYPERLINK("https://test.ictv.global/id/ICTV19950953","ICTV19950953@TEST")</f>
        <v>ICTV19950953@TEST</v>
      </c>
      <c r="N1799" t="str">
        <f>HYPERLINK("https://ictv.global/id/TN20041232","TN20041232@prod")</f>
        <v>TN20041232@prod</v>
      </c>
      <c r="O1799" t="str">
        <f>HYPERLINK("https://ictv.global/id/ICTV19950953","ICTV19950953@prod")</f>
        <v>ICTV19950953@prod</v>
      </c>
    </row>
    <row r="1800" spans="1:15" x14ac:dyDescent="0.2">
      <c r="A1800">
        <v>22</v>
      </c>
      <c r="B1800">
        <v>20041364</v>
      </c>
      <c r="C1800">
        <v>19951239</v>
      </c>
      <c r="D1800" t="s">
        <v>29</v>
      </c>
      <c r="E1800" t="s">
        <v>2083</v>
      </c>
      <c r="G1800" t="s">
        <v>1165</v>
      </c>
      <c r="L1800" t="str">
        <f>HYPERLINK("https://test.ictv.global/id/TN20041364","TN20041364@TEST")</f>
        <v>TN20041364@TEST</v>
      </c>
      <c r="M1800" t="str">
        <f>HYPERLINK("https://test.ictv.global/id/ICTV19951239","ICTV19951239@TEST")</f>
        <v>ICTV19951239@TEST</v>
      </c>
      <c r="N1800" t="str">
        <f>HYPERLINK("https://ictv.global/id/TN20041364","TN20041364@prod")</f>
        <v>TN20041364@prod</v>
      </c>
      <c r="O1800" t="str">
        <f>HYPERLINK("https://ictv.global/id/ICTV19951239","ICTV19951239@prod")</f>
        <v>ICTV19951239@prod</v>
      </c>
    </row>
    <row r="1801" spans="1:15" x14ac:dyDescent="0.2">
      <c r="A1801">
        <v>22</v>
      </c>
      <c r="B1801">
        <v>20041537</v>
      </c>
      <c r="C1801">
        <v>19710233</v>
      </c>
      <c r="D1801" t="s">
        <v>29</v>
      </c>
      <c r="E1801" t="s">
        <v>911</v>
      </c>
      <c r="G1801" t="s">
        <v>33</v>
      </c>
      <c r="H1801" t="s">
        <v>912</v>
      </c>
      <c r="I1801" t="s">
        <v>29</v>
      </c>
      <c r="J1801">
        <v>20074128</v>
      </c>
      <c r="K1801">
        <v>20074128</v>
      </c>
      <c r="L1801" t="str">
        <f>HYPERLINK("https://test.ictv.global/id/TN20041537","TN20041537@TEST")</f>
        <v>TN20041537@TEST</v>
      </c>
      <c r="M1801" t="str">
        <f>HYPERLINK("https://test.ictv.global/id/ICTV19710233","ICTV19710233@TEST")</f>
        <v>ICTV19710233@TEST</v>
      </c>
      <c r="N1801" t="str">
        <f>HYPERLINK("https://ictv.global/id/TN20041537","TN20041537@prod")</f>
        <v>TN20041537@prod</v>
      </c>
      <c r="O1801" t="str">
        <f>HYPERLINK("https://ictv.global/id/ICTV19710233","ICTV19710233@prod")</f>
        <v>ICTV19710233@prod</v>
      </c>
    </row>
    <row r="1802" spans="1:15" x14ac:dyDescent="0.2">
      <c r="A1802">
        <v>22</v>
      </c>
      <c r="B1802">
        <v>20041542</v>
      </c>
      <c r="C1802">
        <v>19991186</v>
      </c>
      <c r="D1802" t="s">
        <v>29</v>
      </c>
      <c r="E1802" t="s">
        <v>913</v>
      </c>
      <c r="G1802" t="s">
        <v>33</v>
      </c>
      <c r="H1802" t="s">
        <v>912</v>
      </c>
      <c r="I1802" t="s">
        <v>29</v>
      </c>
      <c r="J1802">
        <v>20074128</v>
      </c>
      <c r="K1802">
        <v>20074128</v>
      </c>
      <c r="L1802" t="str">
        <f>HYPERLINK("https://test.ictv.global/id/TN20041542","TN20041542@TEST")</f>
        <v>TN20041542@TEST</v>
      </c>
      <c r="M1802" t="str">
        <f>HYPERLINK("https://test.ictv.global/id/ICTV19991186","ICTV19991186@TEST")</f>
        <v>ICTV19991186@TEST</v>
      </c>
      <c r="N1802" t="str">
        <f>HYPERLINK("https://ictv.global/id/TN20041542","TN20041542@prod")</f>
        <v>TN20041542@prod</v>
      </c>
      <c r="O1802" t="str">
        <f>HYPERLINK("https://ictv.global/id/ICTV19991186","ICTV19991186@prod")</f>
        <v>ICTV19991186@prod</v>
      </c>
    </row>
    <row r="1803" spans="1:15" x14ac:dyDescent="0.2">
      <c r="A1803">
        <v>22</v>
      </c>
      <c r="B1803">
        <v>20041799</v>
      </c>
      <c r="C1803">
        <v>20074395</v>
      </c>
      <c r="D1803" t="s">
        <v>29</v>
      </c>
      <c r="E1803" t="s">
        <v>914</v>
      </c>
      <c r="F1803" t="s">
        <v>2084</v>
      </c>
      <c r="G1803" t="s">
        <v>33</v>
      </c>
      <c r="H1803" t="s">
        <v>914</v>
      </c>
      <c r="I1803" t="s">
        <v>29</v>
      </c>
      <c r="J1803">
        <v>20074395</v>
      </c>
      <c r="K1803">
        <v>20074395</v>
      </c>
      <c r="L1803" t="str">
        <f>HYPERLINK("https://test.ictv.global/id/TN20041799","TN20041799@TEST")</f>
        <v>TN20041799@TEST</v>
      </c>
      <c r="M1803" t="str">
        <f>HYPERLINK("https://test.ictv.global/id/ICTV20074395","ICTV20074395@TEST")</f>
        <v>ICTV20074395@TEST</v>
      </c>
      <c r="N1803" t="str">
        <f>HYPERLINK("https://ictv.global/id/TN20041799","TN20041799@prod")</f>
        <v>TN20041799@prod</v>
      </c>
      <c r="O1803" t="str">
        <f>HYPERLINK("https://ictv.global/id/ICTV20074395","ICTV20074395@prod")</f>
        <v>ICTV20074395@prod</v>
      </c>
    </row>
    <row r="1804" spans="1:15" x14ac:dyDescent="0.2">
      <c r="A1804">
        <v>22</v>
      </c>
      <c r="B1804">
        <v>20041813</v>
      </c>
      <c r="C1804">
        <v>19821330</v>
      </c>
      <c r="D1804" t="s">
        <v>29</v>
      </c>
      <c r="E1804" t="s">
        <v>915</v>
      </c>
      <c r="G1804" t="s">
        <v>33</v>
      </c>
      <c r="H1804" t="s">
        <v>914</v>
      </c>
      <c r="I1804" t="s">
        <v>29</v>
      </c>
      <c r="J1804">
        <v>20074395</v>
      </c>
      <c r="K1804">
        <v>20074395</v>
      </c>
      <c r="L1804" t="str">
        <f>HYPERLINK("https://test.ictv.global/id/TN20041813","TN20041813@TEST")</f>
        <v>TN20041813@TEST</v>
      </c>
      <c r="M1804" t="str">
        <f>HYPERLINK("https://test.ictv.global/id/ICTV19821330","ICTV19821330@TEST")</f>
        <v>ICTV19821330@TEST</v>
      </c>
      <c r="N1804" t="str">
        <f>HYPERLINK("https://ictv.global/id/TN20041813","TN20041813@prod")</f>
        <v>TN20041813@prod</v>
      </c>
      <c r="O1804" t="str">
        <f>HYPERLINK("https://ictv.global/id/ICTV19821330","ICTV19821330@prod")</f>
        <v>ICTV19821330@prod</v>
      </c>
    </row>
    <row r="1805" spans="1:15" x14ac:dyDescent="0.2">
      <c r="A1805">
        <v>22</v>
      </c>
      <c r="B1805">
        <v>20042051</v>
      </c>
      <c r="C1805">
        <v>20074654</v>
      </c>
      <c r="D1805" t="s">
        <v>29</v>
      </c>
      <c r="E1805" t="s">
        <v>916</v>
      </c>
      <c r="G1805" t="s">
        <v>33</v>
      </c>
      <c r="H1805" t="s">
        <v>916</v>
      </c>
      <c r="I1805" t="s">
        <v>29</v>
      </c>
      <c r="J1805">
        <v>20074654</v>
      </c>
      <c r="K1805">
        <v>20074654</v>
      </c>
      <c r="L1805" t="str">
        <f>HYPERLINK("https://test.ictv.global/id/TN20042051","TN20042051@TEST")</f>
        <v>TN20042051@TEST</v>
      </c>
      <c r="M1805" t="str">
        <f>HYPERLINK("https://test.ictv.global/id/ICTV20074654","ICTV20074654@TEST")</f>
        <v>ICTV20074654@TEST</v>
      </c>
      <c r="N1805" t="str">
        <f>HYPERLINK("https://ictv.global/id/TN20042051","TN20042051@prod")</f>
        <v>TN20042051@prod</v>
      </c>
      <c r="O1805" t="str">
        <f>HYPERLINK("https://ictv.global/id/ICTV20074654","ICTV20074654@prod")</f>
        <v>ICTV20074654@prod</v>
      </c>
    </row>
    <row r="1806" spans="1:15" x14ac:dyDescent="0.2">
      <c r="A1806">
        <v>22</v>
      </c>
      <c r="B1806">
        <v>20042052</v>
      </c>
      <c r="C1806">
        <v>19991641</v>
      </c>
      <c r="D1806" t="s">
        <v>29</v>
      </c>
      <c r="E1806" t="s">
        <v>917</v>
      </c>
      <c r="G1806" t="s">
        <v>33</v>
      </c>
      <c r="H1806" t="s">
        <v>916</v>
      </c>
      <c r="I1806" t="s">
        <v>29</v>
      </c>
      <c r="J1806">
        <v>20074654</v>
      </c>
      <c r="K1806">
        <v>20074654</v>
      </c>
      <c r="L1806" t="str">
        <f>HYPERLINK("https://test.ictv.global/id/TN20042052","TN20042052@TEST")</f>
        <v>TN20042052@TEST</v>
      </c>
      <c r="M1806" t="str">
        <f>HYPERLINK("https://test.ictv.global/id/ICTV19991641","ICTV19991641@TEST")</f>
        <v>ICTV19991641@TEST</v>
      </c>
      <c r="N1806" t="str">
        <f>HYPERLINK("https://ictv.global/id/TN20042052","TN20042052@prod")</f>
        <v>TN20042052@prod</v>
      </c>
      <c r="O1806" t="str">
        <f>HYPERLINK("https://ictv.global/id/ICTV19991641","ICTV19991641@prod")</f>
        <v>ICTV19991641@prod</v>
      </c>
    </row>
    <row r="1807" spans="1:15" x14ac:dyDescent="0.2">
      <c r="A1807">
        <v>22</v>
      </c>
      <c r="B1807">
        <v>20042123</v>
      </c>
      <c r="C1807">
        <v>20042123</v>
      </c>
      <c r="D1807" t="s">
        <v>29</v>
      </c>
      <c r="E1807" t="s">
        <v>2085</v>
      </c>
      <c r="F1807" t="s">
        <v>2086</v>
      </c>
      <c r="G1807" t="s">
        <v>1165</v>
      </c>
      <c r="L1807" t="str">
        <f>HYPERLINK("https://test.ictv.global/id/TN20042123","TN20042123@TEST")</f>
        <v>TN20042123@TEST</v>
      </c>
      <c r="M1807" t="str">
        <f>HYPERLINK("https://test.ictv.global/id/ICTV20042123","ICTV20042123@TEST")</f>
        <v>ICTV20042123@TEST</v>
      </c>
      <c r="N1807" t="str">
        <f>HYPERLINK("https://ictv.global/id/TN20042123","TN20042123@prod")</f>
        <v>TN20042123@prod</v>
      </c>
      <c r="O1807" t="str">
        <f>HYPERLINK("https://ictv.global/id/ICTV20042123","ICTV20042123@prod")</f>
        <v>ICTV20042123@prod</v>
      </c>
    </row>
    <row r="1808" spans="1:15" x14ac:dyDescent="0.2">
      <c r="A1808">
        <v>22</v>
      </c>
      <c r="B1808">
        <v>20042198</v>
      </c>
      <c r="C1808">
        <v>20042198</v>
      </c>
      <c r="D1808" t="s">
        <v>29</v>
      </c>
      <c r="E1808" t="s">
        <v>2087</v>
      </c>
      <c r="G1808" t="s">
        <v>1165</v>
      </c>
      <c r="L1808" t="str">
        <f>HYPERLINK("https://test.ictv.global/id/TN20042198","TN20042198@TEST")</f>
        <v>TN20042198@TEST</v>
      </c>
      <c r="M1808" t="str">
        <f>HYPERLINK("https://test.ictv.global/id/ICTV20042198","ICTV20042198@TEST")</f>
        <v>ICTV20042198@TEST</v>
      </c>
      <c r="N1808" t="str">
        <f>HYPERLINK("https://ictv.global/id/TN20042198","TN20042198@prod")</f>
        <v>TN20042198@prod</v>
      </c>
      <c r="O1808" t="str">
        <f>HYPERLINK("https://ictv.global/id/ICTV20042198","ICTV20042198@prod")</f>
        <v>ICTV20042198@prod</v>
      </c>
    </row>
    <row r="1809" spans="1:15" x14ac:dyDescent="0.2">
      <c r="A1809">
        <v>23</v>
      </c>
      <c r="B1809">
        <v>20071050</v>
      </c>
      <c r="C1809">
        <v>19930121</v>
      </c>
      <c r="D1809" t="s">
        <v>19</v>
      </c>
      <c r="E1809" t="s">
        <v>251</v>
      </c>
      <c r="G1809" t="s">
        <v>53</v>
      </c>
      <c r="H1809" t="s">
        <v>918</v>
      </c>
      <c r="I1809" t="s">
        <v>19</v>
      </c>
      <c r="J1809">
        <v>20081089</v>
      </c>
      <c r="K1809">
        <v>20081089</v>
      </c>
      <c r="L1809" t="str">
        <f>HYPERLINK("https://test.ictv.global/id/TN20071050","TN20071050@TEST")</f>
        <v>TN20071050@TEST</v>
      </c>
      <c r="M1809" t="str">
        <f>HYPERLINK("https://test.ictv.global/id/ICTV19930121","ICTV19930121@TEST")</f>
        <v>ICTV19930121@TEST</v>
      </c>
      <c r="N1809" t="str">
        <f>HYPERLINK("https://ictv.global/id/TN20071050","TN20071050@prod")</f>
        <v>TN20071050@prod</v>
      </c>
      <c r="O1809" t="str">
        <f>HYPERLINK("https://ictv.global/id/ICTV19930121","ICTV19930121@prod")</f>
        <v>ICTV19930121@prod</v>
      </c>
    </row>
    <row r="1810" spans="1:15" x14ac:dyDescent="0.2">
      <c r="A1810">
        <v>23</v>
      </c>
      <c r="B1810">
        <v>20071050</v>
      </c>
      <c r="C1810">
        <v>19930121</v>
      </c>
      <c r="D1810" t="s">
        <v>19</v>
      </c>
      <c r="E1810" t="s">
        <v>251</v>
      </c>
      <c r="G1810" t="s">
        <v>53</v>
      </c>
      <c r="H1810" t="s">
        <v>919</v>
      </c>
      <c r="I1810" t="s">
        <v>19</v>
      </c>
      <c r="J1810">
        <v>20081091</v>
      </c>
      <c r="K1810">
        <v>20081091</v>
      </c>
      <c r="L1810" t="str">
        <f>HYPERLINK("https://test.ictv.global/id/TN20071050","TN20071050@TEST")</f>
        <v>TN20071050@TEST</v>
      </c>
      <c r="M1810" t="str">
        <f>HYPERLINK("https://test.ictv.global/id/ICTV19930121","ICTV19930121@TEST")</f>
        <v>ICTV19930121@TEST</v>
      </c>
      <c r="N1810" t="str">
        <f>HYPERLINK("https://ictv.global/id/TN20071050","TN20071050@prod")</f>
        <v>TN20071050@prod</v>
      </c>
      <c r="O1810" t="str">
        <f>HYPERLINK("https://ictv.global/id/ICTV19930121","ICTV19930121@prod")</f>
        <v>ICTV19930121@prod</v>
      </c>
    </row>
    <row r="1811" spans="1:15" x14ac:dyDescent="0.2">
      <c r="A1811">
        <v>23</v>
      </c>
      <c r="B1811">
        <v>20071050</v>
      </c>
      <c r="C1811">
        <v>19930121</v>
      </c>
      <c r="D1811" t="s">
        <v>19</v>
      </c>
      <c r="E1811" t="s">
        <v>251</v>
      </c>
      <c r="G1811" t="s">
        <v>53</v>
      </c>
      <c r="H1811" t="s">
        <v>920</v>
      </c>
      <c r="I1811" t="s">
        <v>19</v>
      </c>
      <c r="J1811">
        <v>20081092</v>
      </c>
      <c r="K1811">
        <v>20081092</v>
      </c>
      <c r="L1811" t="str">
        <f>HYPERLINK("https://test.ictv.global/id/TN20071050","TN20071050@TEST")</f>
        <v>TN20071050@TEST</v>
      </c>
      <c r="M1811" t="str">
        <f>HYPERLINK("https://test.ictv.global/id/ICTV19930121","ICTV19930121@TEST")</f>
        <v>ICTV19930121@TEST</v>
      </c>
      <c r="N1811" t="str">
        <f>HYPERLINK("https://ictv.global/id/TN20071050","TN20071050@prod")</f>
        <v>TN20071050@prod</v>
      </c>
      <c r="O1811" t="str">
        <f>HYPERLINK("https://ictv.global/id/ICTV19930121","ICTV19930121@prod")</f>
        <v>ICTV19930121@prod</v>
      </c>
    </row>
    <row r="1812" spans="1:15" x14ac:dyDescent="0.2">
      <c r="A1812">
        <v>23</v>
      </c>
      <c r="B1812">
        <v>20071202</v>
      </c>
      <c r="C1812">
        <v>19710012</v>
      </c>
      <c r="D1812" t="s">
        <v>19</v>
      </c>
      <c r="E1812" t="s">
        <v>2088</v>
      </c>
      <c r="G1812" t="s">
        <v>1165</v>
      </c>
      <c r="L1812" t="str">
        <f>HYPERLINK("https://test.ictv.global/id/TN20071202","TN20071202@TEST")</f>
        <v>TN20071202@TEST</v>
      </c>
      <c r="M1812" t="str">
        <f>HYPERLINK("https://test.ictv.global/id/ICTV19710012","ICTV19710012@TEST")</f>
        <v>ICTV19710012@TEST</v>
      </c>
      <c r="N1812" t="str">
        <f>HYPERLINK("https://ictv.global/id/TN20071202","TN20071202@prod")</f>
        <v>TN20071202@prod</v>
      </c>
      <c r="O1812" t="str">
        <f>HYPERLINK("https://ictv.global/id/ICTV19710012","ICTV19710012@prod")</f>
        <v>ICTV19710012@prod</v>
      </c>
    </row>
    <row r="1813" spans="1:15" x14ac:dyDescent="0.2">
      <c r="A1813">
        <v>23</v>
      </c>
      <c r="B1813">
        <v>20073583</v>
      </c>
      <c r="C1813">
        <v>19952324</v>
      </c>
      <c r="D1813" t="s">
        <v>29</v>
      </c>
      <c r="E1813" t="s">
        <v>1345</v>
      </c>
      <c r="G1813" t="s">
        <v>1165</v>
      </c>
      <c r="L1813" t="str">
        <f>HYPERLINK("https://test.ictv.global/id/TN20073583","TN20073583@TEST")</f>
        <v>TN20073583@TEST</v>
      </c>
      <c r="M1813" t="str">
        <f>HYPERLINK("https://test.ictv.global/id/ICTV19952324","ICTV19952324@TEST")</f>
        <v>ICTV19952324@TEST</v>
      </c>
      <c r="N1813" t="str">
        <f>HYPERLINK("https://ictv.global/id/TN20073583","TN20073583@prod")</f>
        <v>TN20073583@prod</v>
      </c>
      <c r="O1813" t="str">
        <f>HYPERLINK("https://ictv.global/id/ICTV19952324","ICTV19952324@prod")</f>
        <v>ICTV19952324@prod</v>
      </c>
    </row>
    <row r="1814" spans="1:15" x14ac:dyDescent="0.2">
      <c r="A1814">
        <v>23</v>
      </c>
      <c r="B1814">
        <v>20073624</v>
      </c>
      <c r="C1814">
        <v>20083778</v>
      </c>
      <c r="D1814" t="s">
        <v>29</v>
      </c>
      <c r="E1814" t="s">
        <v>921</v>
      </c>
      <c r="F1814" t="s">
        <v>2089</v>
      </c>
      <c r="G1814" t="s">
        <v>33</v>
      </c>
      <c r="H1814" t="s">
        <v>921</v>
      </c>
      <c r="I1814" t="s">
        <v>29</v>
      </c>
      <c r="J1814">
        <v>20083778</v>
      </c>
      <c r="K1814">
        <v>20083778</v>
      </c>
      <c r="L1814" t="str">
        <f>HYPERLINK("https://test.ictv.global/id/TN20073624","TN20073624@TEST")</f>
        <v>TN20073624@TEST</v>
      </c>
      <c r="M1814" t="str">
        <f>HYPERLINK("https://test.ictv.global/id/ICTV20083778","ICTV20083778@TEST")</f>
        <v>ICTV20083778@TEST</v>
      </c>
      <c r="N1814" t="str">
        <f>HYPERLINK("https://ictv.global/id/TN20073624","TN20073624@prod")</f>
        <v>TN20073624@prod</v>
      </c>
      <c r="O1814" t="str">
        <f>HYPERLINK("https://ictv.global/id/ICTV20083778","ICTV20083778@prod")</f>
        <v>ICTV20083778@prod</v>
      </c>
    </row>
    <row r="1815" spans="1:15" x14ac:dyDescent="0.2">
      <c r="A1815">
        <v>23</v>
      </c>
      <c r="B1815">
        <v>20073646</v>
      </c>
      <c r="C1815">
        <v>20073646</v>
      </c>
      <c r="D1815" t="s">
        <v>29</v>
      </c>
      <c r="E1815" t="s">
        <v>922</v>
      </c>
      <c r="G1815" t="s">
        <v>33</v>
      </c>
      <c r="H1815" t="s">
        <v>921</v>
      </c>
      <c r="I1815" t="s">
        <v>29</v>
      </c>
      <c r="J1815">
        <v>20083778</v>
      </c>
      <c r="K1815">
        <v>20083778</v>
      </c>
      <c r="L1815" t="str">
        <f>HYPERLINK("https://test.ictv.global/id/TN20073646","TN20073646@TEST")</f>
        <v>TN20073646@TEST</v>
      </c>
      <c r="M1815" t="str">
        <f>HYPERLINK("https://test.ictv.global/id/ICTV20073646","ICTV20073646@TEST")</f>
        <v>ICTV20073646@TEST</v>
      </c>
      <c r="N1815" t="str">
        <f>HYPERLINK("https://ictv.global/id/TN20073646","TN20073646@prod")</f>
        <v>TN20073646@prod</v>
      </c>
      <c r="O1815" t="str">
        <f>HYPERLINK("https://ictv.global/id/ICTV20073646","ICTV20073646@prod")</f>
        <v>ICTV20073646@prod</v>
      </c>
    </row>
    <row r="1816" spans="1:15" x14ac:dyDescent="0.2">
      <c r="A1816">
        <v>23</v>
      </c>
      <c r="B1816">
        <v>20073667</v>
      </c>
      <c r="C1816">
        <v>20041112</v>
      </c>
      <c r="D1816" t="s">
        <v>29</v>
      </c>
      <c r="E1816" t="s">
        <v>923</v>
      </c>
      <c r="G1816" t="s">
        <v>33</v>
      </c>
      <c r="H1816" t="s">
        <v>924</v>
      </c>
      <c r="I1816" t="s">
        <v>29</v>
      </c>
      <c r="J1816">
        <v>20083829</v>
      </c>
      <c r="K1816">
        <v>20083829</v>
      </c>
      <c r="L1816" t="str">
        <f>HYPERLINK("https://test.ictv.global/id/TN20073667","TN20073667@TEST")</f>
        <v>TN20073667@TEST</v>
      </c>
      <c r="M1816" t="str">
        <f>HYPERLINK("https://test.ictv.global/id/ICTV20041112","ICTV20041112@TEST")</f>
        <v>ICTV20041112@TEST</v>
      </c>
      <c r="N1816" t="str">
        <f>HYPERLINK("https://ictv.global/id/TN20073667","TN20073667@prod")</f>
        <v>TN20073667@prod</v>
      </c>
      <c r="O1816" t="str">
        <f>HYPERLINK("https://ictv.global/id/ICTV20041112","ICTV20041112@prod")</f>
        <v>ICTV20041112@prod</v>
      </c>
    </row>
    <row r="1817" spans="1:15" x14ac:dyDescent="0.2">
      <c r="A1817">
        <v>23</v>
      </c>
      <c r="B1817">
        <v>20073669</v>
      </c>
      <c r="C1817">
        <v>20041114</v>
      </c>
      <c r="D1817" t="s">
        <v>29</v>
      </c>
      <c r="E1817" t="s">
        <v>925</v>
      </c>
      <c r="G1817" t="s">
        <v>33</v>
      </c>
      <c r="H1817" t="s">
        <v>924</v>
      </c>
      <c r="I1817" t="s">
        <v>29</v>
      </c>
      <c r="J1817">
        <v>20083829</v>
      </c>
      <c r="K1817">
        <v>20083829</v>
      </c>
      <c r="L1817" t="str">
        <f>HYPERLINK("https://test.ictv.global/id/TN20073669","TN20073669@TEST")</f>
        <v>TN20073669@TEST</v>
      </c>
      <c r="M1817" t="str">
        <f>HYPERLINK("https://test.ictv.global/id/ICTV20041114","ICTV20041114@TEST")</f>
        <v>ICTV20041114@TEST</v>
      </c>
      <c r="N1817" t="str">
        <f>HYPERLINK("https://ictv.global/id/TN20073669","TN20073669@prod")</f>
        <v>TN20073669@prod</v>
      </c>
      <c r="O1817" t="str">
        <f>HYPERLINK("https://ictv.global/id/ICTV20041114","ICTV20041114@prod")</f>
        <v>ICTV20041114@prod</v>
      </c>
    </row>
    <row r="1818" spans="1:15" x14ac:dyDescent="0.2">
      <c r="A1818">
        <v>23</v>
      </c>
      <c r="B1818">
        <v>20073670</v>
      </c>
      <c r="C1818">
        <v>20083829</v>
      </c>
      <c r="D1818" t="s">
        <v>29</v>
      </c>
      <c r="E1818" t="s">
        <v>924</v>
      </c>
      <c r="G1818" t="s">
        <v>33</v>
      </c>
      <c r="H1818" t="s">
        <v>924</v>
      </c>
      <c r="I1818" t="s">
        <v>29</v>
      </c>
      <c r="J1818">
        <v>20083829</v>
      </c>
      <c r="K1818">
        <v>20083829</v>
      </c>
      <c r="L1818" t="str">
        <f>HYPERLINK("https://test.ictv.global/id/TN20073670","TN20073670@TEST")</f>
        <v>TN20073670@TEST</v>
      </c>
      <c r="M1818" t="str">
        <f>HYPERLINK("https://test.ictv.global/id/ICTV20083829","ICTV20083829@TEST")</f>
        <v>ICTV20083829@TEST</v>
      </c>
      <c r="N1818" t="str">
        <f>HYPERLINK("https://ictv.global/id/TN20073670","TN20073670@prod")</f>
        <v>TN20073670@prod</v>
      </c>
      <c r="O1818" t="str">
        <f>HYPERLINK("https://ictv.global/id/ICTV20083829","ICTV20083829@prod")</f>
        <v>ICTV20083829@prod</v>
      </c>
    </row>
    <row r="1819" spans="1:15" x14ac:dyDescent="0.2">
      <c r="A1819">
        <v>23</v>
      </c>
      <c r="B1819">
        <v>20073684</v>
      </c>
      <c r="C1819">
        <v>20083852</v>
      </c>
      <c r="D1819" t="s">
        <v>29</v>
      </c>
      <c r="E1819" t="s">
        <v>926</v>
      </c>
      <c r="G1819" t="s">
        <v>33</v>
      </c>
      <c r="H1819" t="s">
        <v>926</v>
      </c>
      <c r="I1819" t="s">
        <v>29</v>
      </c>
      <c r="J1819">
        <v>20083852</v>
      </c>
      <c r="K1819">
        <v>20083852</v>
      </c>
      <c r="L1819" t="str">
        <f>HYPERLINK("https://test.ictv.global/id/TN20073684","TN20073684@TEST")</f>
        <v>TN20073684@TEST</v>
      </c>
      <c r="M1819" t="str">
        <f>HYPERLINK("https://test.ictv.global/id/ICTV20083852","ICTV20083852@TEST")</f>
        <v>ICTV20083852@TEST</v>
      </c>
      <c r="N1819" t="str">
        <f>HYPERLINK("https://ictv.global/id/TN20073684","TN20073684@prod")</f>
        <v>TN20073684@prod</v>
      </c>
      <c r="O1819" t="str">
        <f>HYPERLINK("https://ictv.global/id/ICTV20083852","ICTV20083852@prod")</f>
        <v>ICTV20083852@prod</v>
      </c>
    </row>
    <row r="1820" spans="1:15" x14ac:dyDescent="0.2">
      <c r="A1820">
        <v>23</v>
      </c>
      <c r="B1820">
        <v>20073685</v>
      </c>
      <c r="C1820">
        <v>20041130</v>
      </c>
      <c r="D1820" t="s">
        <v>29</v>
      </c>
      <c r="E1820" t="s">
        <v>927</v>
      </c>
      <c r="G1820" t="s">
        <v>33</v>
      </c>
      <c r="H1820" t="s">
        <v>926</v>
      </c>
      <c r="I1820" t="s">
        <v>29</v>
      </c>
      <c r="J1820">
        <v>20083852</v>
      </c>
      <c r="K1820">
        <v>20083852</v>
      </c>
      <c r="L1820" t="str">
        <f>HYPERLINK("https://test.ictv.global/id/TN20073685","TN20073685@TEST")</f>
        <v>TN20073685@TEST</v>
      </c>
      <c r="M1820" t="str">
        <f>HYPERLINK("https://test.ictv.global/id/ICTV20041130","ICTV20041130@TEST")</f>
        <v>ICTV20041130@TEST</v>
      </c>
      <c r="N1820" t="str">
        <f>HYPERLINK("https://ictv.global/id/TN20073685","TN20073685@prod")</f>
        <v>TN20073685@prod</v>
      </c>
      <c r="O1820" t="str">
        <f>HYPERLINK("https://ictv.global/id/ICTV20041130","ICTV20041130@prod")</f>
        <v>ICTV20041130@prod</v>
      </c>
    </row>
    <row r="1821" spans="1:15" x14ac:dyDescent="0.2">
      <c r="A1821">
        <v>23</v>
      </c>
      <c r="B1821">
        <v>20073699</v>
      </c>
      <c r="C1821">
        <v>20083874</v>
      </c>
      <c r="D1821" t="s">
        <v>29</v>
      </c>
      <c r="E1821" t="s">
        <v>928</v>
      </c>
      <c r="G1821" t="s">
        <v>33</v>
      </c>
      <c r="H1821" t="s">
        <v>928</v>
      </c>
      <c r="I1821" t="s">
        <v>29</v>
      </c>
      <c r="J1821">
        <v>20083874</v>
      </c>
      <c r="K1821">
        <v>20083874</v>
      </c>
      <c r="L1821" t="str">
        <f>HYPERLINK("https://test.ictv.global/id/TN20073699","TN20073699@TEST")</f>
        <v>TN20073699@TEST</v>
      </c>
      <c r="M1821" t="str">
        <f>HYPERLINK("https://test.ictv.global/id/ICTV20083874","ICTV20083874@TEST")</f>
        <v>ICTV20083874@TEST</v>
      </c>
      <c r="N1821" t="str">
        <f>HYPERLINK("https://ictv.global/id/TN20073699","TN20073699@prod")</f>
        <v>TN20073699@prod</v>
      </c>
      <c r="O1821" t="str">
        <f>HYPERLINK("https://ictv.global/id/ICTV20083874","ICTV20083874@prod")</f>
        <v>ICTV20083874@prod</v>
      </c>
    </row>
    <row r="1822" spans="1:15" x14ac:dyDescent="0.2">
      <c r="A1822">
        <v>23</v>
      </c>
      <c r="B1822">
        <v>20073719</v>
      </c>
      <c r="C1822">
        <v>20041161</v>
      </c>
      <c r="D1822" t="s">
        <v>29</v>
      </c>
      <c r="E1822" t="s">
        <v>929</v>
      </c>
      <c r="G1822" t="s">
        <v>33</v>
      </c>
      <c r="H1822" t="s">
        <v>930</v>
      </c>
      <c r="I1822" t="s">
        <v>29</v>
      </c>
      <c r="J1822">
        <v>20083914</v>
      </c>
      <c r="K1822">
        <v>20083914</v>
      </c>
      <c r="L1822" t="str">
        <f>HYPERLINK("https://test.ictv.global/id/TN20073719","TN20073719@TEST")</f>
        <v>TN20073719@TEST</v>
      </c>
      <c r="M1822" t="str">
        <f>HYPERLINK("https://test.ictv.global/id/ICTV20041161","ICTV20041161@TEST")</f>
        <v>ICTV20041161@TEST</v>
      </c>
      <c r="N1822" t="str">
        <f>HYPERLINK("https://ictv.global/id/TN20073719","TN20073719@prod")</f>
        <v>TN20073719@prod</v>
      </c>
      <c r="O1822" t="str">
        <f>HYPERLINK("https://ictv.global/id/ICTV20041161","ICTV20041161@prod")</f>
        <v>ICTV20041161@prod</v>
      </c>
    </row>
    <row r="1823" spans="1:15" x14ac:dyDescent="0.2">
      <c r="A1823">
        <v>23</v>
      </c>
      <c r="B1823">
        <v>20073720</v>
      </c>
      <c r="C1823">
        <v>20083914</v>
      </c>
      <c r="D1823" t="s">
        <v>29</v>
      </c>
      <c r="E1823" t="s">
        <v>930</v>
      </c>
      <c r="G1823" t="s">
        <v>33</v>
      </c>
      <c r="H1823" t="s">
        <v>930</v>
      </c>
      <c r="I1823" t="s">
        <v>29</v>
      </c>
      <c r="J1823">
        <v>20083914</v>
      </c>
      <c r="K1823">
        <v>20083914</v>
      </c>
      <c r="L1823" t="str">
        <f>HYPERLINK("https://test.ictv.global/id/TN20073720","TN20073720@TEST")</f>
        <v>TN20073720@TEST</v>
      </c>
      <c r="M1823" t="str">
        <f>HYPERLINK("https://test.ictv.global/id/ICTV20083914","ICTV20083914@TEST")</f>
        <v>ICTV20083914@TEST</v>
      </c>
      <c r="N1823" t="str">
        <f>HYPERLINK("https://ictv.global/id/TN20073720","TN20073720@prod")</f>
        <v>TN20073720@prod</v>
      </c>
      <c r="O1823" t="str">
        <f>HYPERLINK("https://ictv.global/id/ICTV20083914","ICTV20083914@prod")</f>
        <v>ICTV20083914@prod</v>
      </c>
    </row>
    <row r="1824" spans="1:15" x14ac:dyDescent="0.2">
      <c r="A1824">
        <v>23</v>
      </c>
      <c r="B1824">
        <v>20073744</v>
      </c>
      <c r="C1824">
        <v>20041189</v>
      </c>
      <c r="D1824" t="s">
        <v>29</v>
      </c>
      <c r="E1824" t="s">
        <v>931</v>
      </c>
      <c r="G1824" t="s">
        <v>33</v>
      </c>
      <c r="H1824" t="s">
        <v>928</v>
      </c>
      <c r="I1824" t="s">
        <v>29</v>
      </c>
      <c r="J1824">
        <v>20083874</v>
      </c>
      <c r="K1824">
        <v>20083874</v>
      </c>
      <c r="L1824" t="str">
        <f>HYPERLINK("https://test.ictv.global/id/TN20073744","TN20073744@TEST")</f>
        <v>TN20073744@TEST</v>
      </c>
      <c r="M1824" t="str">
        <f>HYPERLINK("https://test.ictv.global/id/ICTV20041189","ICTV20041189@TEST")</f>
        <v>ICTV20041189@TEST</v>
      </c>
      <c r="N1824" t="str">
        <f>HYPERLINK("https://ictv.global/id/TN20073744","TN20073744@prod")</f>
        <v>TN20073744@prod</v>
      </c>
      <c r="O1824" t="str">
        <f>HYPERLINK("https://ictv.global/id/ICTV20041189","ICTV20041189@prod")</f>
        <v>ICTV20041189@prod</v>
      </c>
    </row>
    <row r="1825" spans="1:15" x14ac:dyDescent="0.2">
      <c r="A1825">
        <v>23</v>
      </c>
      <c r="B1825">
        <v>20073757</v>
      </c>
      <c r="C1825">
        <v>20073757</v>
      </c>
      <c r="D1825" t="s">
        <v>29</v>
      </c>
      <c r="E1825" t="s">
        <v>932</v>
      </c>
      <c r="G1825" t="s">
        <v>33</v>
      </c>
      <c r="H1825" t="s">
        <v>933</v>
      </c>
      <c r="I1825" t="s">
        <v>29</v>
      </c>
      <c r="J1825">
        <v>20083976</v>
      </c>
      <c r="K1825">
        <v>20083976</v>
      </c>
      <c r="L1825" t="str">
        <f>HYPERLINK("https://test.ictv.global/id/TN20073757","TN20073757@TEST")</f>
        <v>TN20073757@TEST</v>
      </c>
      <c r="M1825" t="str">
        <f>HYPERLINK("https://test.ictv.global/id/ICTV20073757","ICTV20073757@TEST")</f>
        <v>ICTV20073757@TEST</v>
      </c>
      <c r="N1825" t="str">
        <f>HYPERLINK("https://ictv.global/id/TN20073757","TN20073757@prod")</f>
        <v>TN20073757@prod</v>
      </c>
      <c r="O1825" t="str">
        <f>HYPERLINK("https://ictv.global/id/ICTV20073757","ICTV20073757@prod")</f>
        <v>ICTV20073757@prod</v>
      </c>
    </row>
    <row r="1826" spans="1:15" x14ac:dyDescent="0.2">
      <c r="A1826">
        <v>23</v>
      </c>
      <c r="B1826">
        <v>20073758</v>
      </c>
      <c r="C1826">
        <v>20083976</v>
      </c>
      <c r="D1826" t="s">
        <v>29</v>
      </c>
      <c r="E1826" t="s">
        <v>933</v>
      </c>
      <c r="G1826" t="s">
        <v>33</v>
      </c>
      <c r="H1826" t="s">
        <v>933</v>
      </c>
      <c r="I1826" t="s">
        <v>29</v>
      </c>
      <c r="J1826">
        <v>20083976</v>
      </c>
      <c r="K1826">
        <v>20083976</v>
      </c>
      <c r="L1826" t="str">
        <f>HYPERLINK("https://test.ictv.global/id/TN20073758","TN20073758@TEST")</f>
        <v>TN20073758@TEST</v>
      </c>
      <c r="M1826" t="str">
        <f>HYPERLINK("https://test.ictv.global/id/ICTV20083976","ICTV20083976@TEST")</f>
        <v>ICTV20083976@TEST</v>
      </c>
      <c r="N1826" t="str">
        <f>HYPERLINK("https://ictv.global/id/TN20073758","TN20073758@prod")</f>
        <v>TN20073758@prod</v>
      </c>
      <c r="O1826" t="str">
        <f>HYPERLINK("https://ictv.global/id/ICTV20083976","ICTV20083976@prod")</f>
        <v>ICTV20083976@prod</v>
      </c>
    </row>
    <row r="1827" spans="1:15" x14ac:dyDescent="0.2">
      <c r="A1827">
        <v>23</v>
      </c>
      <c r="B1827">
        <v>20074199</v>
      </c>
      <c r="C1827">
        <v>19991249</v>
      </c>
      <c r="D1827" t="s">
        <v>29</v>
      </c>
      <c r="E1827" t="s">
        <v>732</v>
      </c>
      <c r="G1827" t="s">
        <v>31</v>
      </c>
      <c r="H1827" t="s">
        <v>732</v>
      </c>
      <c r="I1827" t="s">
        <v>29</v>
      </c>
      <c r="J1827">
        <v>20083305</v>
      </c>
      <c r="K1827">
        <v>20083305</v>
      </c>
      <c r="L1827" t="str">
        <f>HYPERLINK("https://test.ictv.global/id/TN20074199","TN20074199@TEST")</f>
        <v>TN20074199@TEST</v>
      </c>
      <c r="M1827" t="str">
        <f>HYPERLINK("https://test.ictv.global/id/ICTV19991249","ICTV19991249@TEST")</f>
        <v>ICTV19991249@TEST</v>
      </c>
      <c r="N1827" t="str">
        <f>HYPERLINK("https://ictv.global/id/TN20074199","TN20074199@prod")</f>
        <v>TN20074199@prod</v>
      </c>
      <c r="O1827" t="str">
        <f>HYPERLINK("https://ictv.global/id/ICTV19991249","ICTV19991249@prod")</f>
        <v>ICTV19991249@prod</v>
      </c>
    </row>
    <row r="1828" spans="1:15" x14ac:dyDescent="0.2">
      <c r="A1828">
        <v>23</v>
      </c>
      <c r="B1828">
        <v>20074201</v>
      </c>
      <c r="C1828">
        <v>20083305</v>
      </c>
      <c r="D1828" t="s">
        <v>29</v>
      </c>
      <c r="E1828" t="s">
        <v>791</v>
      </c>
      <c r="G1828" t="s">
        <v>33</v>
      </c>
      <c r="H1828" t="s">
        <v>732</v>
      </c>
      <c r="I1828" t="s">
        <v>29</v>
      </c>
      <c r="J1828">
        <v>20083305</v>
      </c>
      <c r="K1828">
        <v>20083305</v>
      </c>
      <c r="L1828" t="str">
        <f>HYPERLINK("https://test.ictv.global/id/TN20074201","TN20074201@TEST")</f>
        <v>TN20074201@TEST</v>
      </c>
      <c r="M1828" t="str">
        <f>HYPERLINK("https://test.ictv.global/id/ICTV20083305","ICTV20083305@TEST")</f>
        <v>ICTV20083305@TEST</v>
      </c>
      <c r="N1828" t="str">
        <f>HYPERLINK("https://ictv.global/id/TN20074201","TN20074201@prod")</f>
        <v>TN20074201@prod</v>
      </c>
      <c r="O1828" t="str">
        <f>HYPERLINK("https://ictv.global/id/ICTV20083305","ICTV20083305@prod")</f>
        <v>ICTV20083305@prod</v>
      </c>
    </row>
    <row r="1829" spans="1:15" x14ac:dyDescent="0.2">
      <c r="A1829">
        <v>23</v>
      </c>
      <c r="B1829">
        <v>20074365</v>
      </c>
      <c r="C1829">
        <v>20084536</v>
      </c>
      <c r="D1829" t="s">
        <v>29</v>
      </c>
      <c r="E1829" t="s">
        <v>934</v>
      </c>
      <c r="F1829" t="s">
        <v>2090</v>
      </c>
      <c r="G1829" t="s">
        <v>33</v>
      </c>
      <c r="H1829" t="s">
        <v>934</v>
      </c>
      <c r="I1829" t="s">
        <v>29</v>
      </c>
      <c r="J1829">
        <v>20084536</v>
      </c>
      <c r="K1829">
        <v>20084536</v>
      </c>
      <c r="L1829" t="str">
        <f>HYPERLINK("https://test.ictv.global/id/TN20074365","TN20074365@TEST")</f>
        <v>TN20074365@TEST</v>
      </c>
      <c r="M1829" t="str">
        <f>HYPERLINK("https://test.ictv.global/id/ICTV20084536","ICTV20084536@TEST")</f>
        <v>ICTV20084536@TEST</v>
      </c>
      <c r="N1829" t="str">
        <f>HYPERLINK("https://ictv.global/id/TN20074365","TN20074365@prod")</f>
        <v>TN20074365@prod</v>
      </c>
      <c r="O1829" t="str">
        <f>HYPERLINK("https://ictv.global/id/ICTV20084536","ICTV20084536@prod")</f>
        <v>ICTV20084536@prod</v>
      </c>
    </row>
    <row r="1830" spans="1:15" x14ac:dyDescent="0.2">
      <c r="A1830">
        <v>23</v>
      </c>
      <c r="B1830">
        <v>20074425</v>
      </c>
      <c r="C1830">
        <v>20074425</v>
      </c>
      <c r="D1830" t="s">
        <v>29</v>
      </c>
      <c r="E1830" t="s">
        <v>935</v>
      </c>
      <c r="G1830" t="s">
        <v>33</v>
      </c>
      <c r="H1830" t="s">
        <v>934</v>
      </c>
      <c r="I1830" t="s">
        <v>29</v>
      </c>
      <c r="J1830">
        <v>20084536</v>
      </c>
      <c r="K1830">
        <v>20084536</v>
      </c>
      <c r="L1830" t="str">
        <f>HYPERLINK("https://test.ictv.global/id/TN20074425","TN20074425@TEST")</f>
        <v>TN20074425@TEST</v>
      </c>
      <c r="M1830" t="str">
        <f>HYPERLINK("https://test.ictv.global/id/ICTV20074425","ICTV20074425@TEST")</f>
        <v>ICTV20074425@TEST</v>
      </c>
      <c r="N1830" t="str">
        <f>HYPERLINK("https://ictv.global/id/TN20074425","TN20074425@prod")</f>
        <v>TN20074425@prod</v>
      </c>
      <c r="O1830" t="str">
        <f>HYPERLINK("https://ictv.global/id/ICTV20074425","ICTV20074425@prod")</f>
        <v>ICTV20074425@prod</v>
      </c>
    </row>
    <row r="1831" spans="1:15" x14ac:dyDescent="0.2">
      <c r="A1831">
        <v>23</v>
      </c>
      <c r="B1831">
        <v>20074753</v>
      </c>
      <c r="C1831">
        <v>20084942</v>
      </c>
      <c r="D1831" t="s">
        <v>29</v>
      </c>
      <c r="E1831" t="s">
        <v>936</v>
      </c>
      <c r="F1831" t="s">
        <v>2091</v>
      </c>
      <c r="G1831" t="s">
        <v>33</v>
      </c>
      <c r="H1831" t="s">
        <v>936</v>
      </c>
      <c r="I1831" t="s">
        <v>29</v>
      </c>
      <c r="J1831">
        <v>20084942</v>
      </c>
      <c r="K1831">
        <v>20084942</v>
      </c>
      <c r="L1831" t="str">
        <f>HYPERLINK("https://test.ictv.global/id/TN20074753","TN20074753@TEST")</f>
        <v>TN20074753@TEST</v>
      </c>
      <c r="M1831" t="str">
        <f>HYPERLINK("https://test.ictv.global/id/ICTV20084942","ICTV20084942@TEST")</f>
        <v>ICTV20084942@TEST</v>
      </c>
      <c r="N1831" t="str">
        <f>HYPERLINK("https://ictv.global/id/TN20074753","TN20074753@prod")</f>
        <v>TN20074753@prod</v>
      </c>
      <c r="O1831" t="str">
        <f>HYPERLINK("https://ictv.global/id/ICTV20084942","ICTV20084942@prod")</f>
        <v>ICTV20084942@prod</v>
      </c>
    </row>
    <row r="1832" spans="1:15" x14ac:dyDescent="0.2">
      <c r="A1832">
        <v>23</v>
      </c>
      <c r="B1832">
        <v>20074758</v>
      </c>
      <c r="C1832">
        <v>20074758</v>
      </c>
      <c r="D1832" t="s">
        <v>29</v>
      </c>
      <c r="E1832" t="s">
        <v>937</v>
      </c>
      <c r="G1832" t="s">
        <v>33</v>
      </c>
      <c r="H1832" t="s">
        <v>936</v>
      </c>
      <c r="I1832" t="s">
        <v>29</v>
      </c>
      <c r="J1832">
        <v>20084942</v>
      </c>
      <c r="K1832">
        <v>20084942</v>
      </c>
      <c r="L1832" t="str">
        <f>HYPERLINK("https://test.ictv.global/id/TN20074758","TN20074758@TEST")</f>
        <v>TN20074758@TEST</v>
      </c>
      <c r="M1832" t="str">
        <f>HYPERLINK("https://test.ictv.global/id/ICTV20074758","ICTV20074758@TEST")</f>
        <v>ICTV20074758@TEST</v>
      </c>
      <c r="N1832" t="str">
        <f>HYPERLINK("https://ictv.global/id/TN20074758","TN20074758@prod")</f>
        <v>TN20074758@prod</v>
      </c>
      <c r="O1832" t="str">
        <f>HYPERLINK("https://ictv.global/id/ICTV20074758","ICTV20074758@prod")</f>
        <v>ICTV20074758@prod</v>
      </c>
    </row>
    <row r="1833" spans="1:15" x14ac:dyDescent="0.2">
      <c r="A1833">
        <v>24</v>
      </c>
      <c r="B1833">
        <v>20080313</v>
      </c>
      <c r="C1833">
        <v>19930015</v>
      </c>
      <c r="D1833" t="s">
        <v>23</v>
      </c>
      <c r="E1833" t="s">
        <v>938</v>
      </c>
      <c r="G1833" t="s">
        <v>33</v>
      </c>
      <c r="H1833" t="s">
        <v>939</v>
      </c>
      <c r="I1833" t="s">
        <v>23</v>
      </c>
      <c r="J1833">
        <v>20090378</v>
      </c>
      <c r="K1833">
        <v>20090378</v>
      </c>
      <c r="L1833" t="str">
        <f>HYPERLINK("https://test.ictv.global/id/TN20080313","TN20080313@TEST")</f>
        <v>TN20080313@TEST</v>
      </c>
      <c r="M1833" t="str">
        <f>HYPERLINK("https://test.ictv.global/id/ICTV19930015","ICTV19930015@TEST")</f>
        <v>ICTV19930015@TEST</v>
      </c>
      <c r="N1833" t="str">
        <f>HYPERLINK("https://ictv.global/id/TN20080313","TN20080313@prod")</f>
        <v>TN20080313@prod</v>
      </c>
      <c r="O1833" t="str">
        <f>HYPERLINK("https://ictv.global/id/ICTV19930015","ICTV19930015@prod")</f>
        <v>ICTV19930015@prod</v>
      </c>
    </row>
    <row r="1834" spans="1:15" x14ac:dyDescent="0.2">
      <c r="A1834">
        <v>24</v>
      </c>
      <c r="B1834">
        <v>20080318</v>
      </c>
      <c r="C1834">
        <v>19930045</v>
      </c>
      <c r="D1834" t="s">
        <v>23</v>
      </c>
      <c r="E1834" t="s">
        <v>940</v>
      </c>
      <c r="G1834" t="s">
        <v>33</v>
      </c>
      <c r="H1834" t="s">
        <v>939</v>
      </c>
      <c r="I1834" t="s">
        <v>23</v>
      </c>
      <c r="J1834">
        <v>20090378</v>
      </c>
      <c r="K1834">
        <v>20090378</v>
      </c>
      <c r="L1834" t="str">
        <f>HYPERLINK("https://test.ictv.global/id/TN20080318","TN20080318@TEST")</f>
        <v>TN20080318@TEST</v>
      </c>
      <c r="M1834" t="str">
        <f>HYPERLINK("https://test.ictv.global/id/ICTV19930045","ICTV19930045@TEST")</f>
        <v>ICTV19930045@TEST</v>
      </c>
      <c r="N1834" t="str">
        <f>HYPERLINK("https://ictv.global/id/TN20080318","TN20080318@prod")</f>
        <v>TN20080318@prod</v>
      </c>
      <c r="O1834" t="str">
        <f>HYPERLINK("https://ictv.global/id/ICTV19930045","ICTV19930045@prod")</f>
        <v>ICTV19930045@prod</v>
      </c>
    </row>
    <row r="1835" spans="1:15" x14ac:dyDescent="0.2">
      <c r="A1835">
        <v>24</v>
      </c>
      <c r="B1835">
        <v>20080341</v>
      </c>
      <c r="C1835">
        <v>20040036</v>
      </c>
      <c r="D1835" t="s">
        <v>23</v>
      </c>
      <c r="E1835" t="s">
        <v>941</v>
      </c>
      <c r="G1835" t="s">
        <v>100</v>
      </c>
      <c r="H1835" t="s">
        <v>942</v>
      </c>
      <c r="I1835" t="s">
        <v>23</v>
      </c>
      <c r="J1835">
        <v>20090302</v>
      </c>
      <c r="K1835">
        <v>20090302</v>
      </c>
      <c r="L1835" t="str">
        <f>HYPERLINK("https://test.ictv.global/id/TN20080341","TN20080341@TEST")</f>
        <v>TN20080341@TEST</v>
      </c>
      <c r="M1835" t="str">
        <f>HYPERLINK("https://test.ictv.global/id/ICTV20040036","ICTV20040036@TEST")</f>
        <v>ICTV20040036@TEST</v>
      </c>
      <c r="N1835" t="str">
        <f>HYPERLINK("https://ictv.global/id/TN20080341","TN20080341@prod")</f>
        <v>TN20080341@prod</v>
      </c>
      <c r="O1835" t="str">
        <f>HYPERLINK("https://ictv.global/id/ICTV20040036","ICTV20040036@prod")</f>
        <v>ICTV20040036@prod</v>
      </c>
    </row>
    <row r="1836" spans="1:15" x14ac:dyDescent="0.2">
      <c r="A1836">
        <v>24</v>
      </c>
      <c r="B1836">
        <v>20080341</v>
      </c>
      <c r="C1836">
        <v>20040036</v>
      </c>
      <c r="D1836" t="s">
        <v>23</v>
      </c>
      <c r="E1836" t="s">
        <v>941</v>
      </c>
      <c r="G1836" t="s">
        <v>100</v>
      </c>
      <c r="H1836" t="s">
        <v>943</v>
      </c>
      <c r="I1836" t="s">
        <v>23</v>
      </c>
      <c r="J1836">
        <v>20090313</v>
      </c>
      <c r="K1836">
        <v>20090313</v>
      </c>
      <c r="L1836" t="str">
        <f>HYPERLINK("https://test.ictv.global/id/TN20080341","TN20080341@TEST")</f>
        <v>TN20080341@TEST</v>
      </c>
      <c r="M1836" t="str">
        <f>HYPERLINK("https://test.ictv.global/id/ICTV20040036","ICTV20040036@TEST")</f>
        <v>ICTV20040036@TEST</v>
      </c>
      <c r="N1836" t="str">
        <f>HYPERLINK("https://ictv.global/id/TN20080341","TN20080341@prod")</f>
        <v>TN20080341@prod</v>
      </c>
      <c r="O1836" t="str">
        <f>HYPERLINK("https://ictv.global/id/ICTV20040036","ICTV20040036@prod")</f>
        <v>ICTV20040036@prod</v>
      </c>
    </row>
    <row r="1837" spans="1:15" x14ac:dyDescent="0.2">
      <c r="A1837">
        <v>24</v>
      </c>
      <c r="B1837">
        <v>20081054</v>
      </c>
      <c r="C1837">
        <v>19710022</v>
      </c>
      <c r="D1837" t="s">
        <v>19</v>
      </c>
      <c r="E1837" t="s">
        <v>944</v>
      </c>
      <c r="G1837" t="s">
        <v>100</v>
      </c>
      <c r="H1837" t="s">
        <v>945</v>
      </c>
      <c r="I1837" t="s">
        <v>19</v>
      </c>
      <c r="J1837">
        <v>20091081</v>
      </c>
      <c r="K1837">
        <v>20091081</v>
      </c>
      <c r="L1837" t="str">
        <f>HYPERLINK("https://test.ictv.global/id/TN20081054","TN20081054@TEST")</f>
        <v>TN20081054@TEST</v>
      </c>
      <c r="M1837" t="str">
        <f>HYPERLINK("https://test.ictv.global/id/ICTV19710022","ICTV19710022@TEST")</f>
        <v>ICTV19710022@TEST</v>
      </c>
      <c r="N1837" t="str">
        <f>HYPERLINK("https://ictv.global/id/TN20081054","TN20081054@prod")</f>
        <v>TN20081054@prod</v>
      </c>
      <c r="O1837" t="str">
        <f>HYPERLINK("https://ictv.global/id/ICTV19710022","ICTV19710022@prod")</f>
        <v>ICTV19710022@prod</v>
      </c>
    </row>
    <row r="1838" spans="1:15" x14ac:dyDescent="0.2">
      <c r="A1838">
        <v>24</v>
      </c>
      <c r="B1838">
        <v>20081054</v>
      </c>
      <c r="C1838">
        <v>19710022</v>
      </c>
      <c r="D1838" t="s">
        <v>19</v>
      </c>
      <c r="E1838" t="s">
        <v>944</v>
      </c>
      <c r="G1838" t="s">
        <v>100</v>
      </c>
      <c r="H1838" t="s">
        <v>946</v>
      </c>
      <c r="I1838" t="s">
        <v>19</v>
      </c>
      <c r="J1838">
        <v>20091082</v>
      </c>
      <c r="K1838">
        <v>20091082</v>
      </c>
      <c r="L1838" t="str">
        <f>HYPERLINK("https://test.ictv.global/id/TN20081054","TN20081054@TEST")</f>
        <v>TN20081054@TEST</v>
      </c>
      <c r="M1838" t="str">
        <f>HYPERLINK("https://test.ictv.global/id/ICTV19710022","ICTV19710022@TEST")</f>
        <v>ICTV19710022@TEST</v>
      </c>
      <c r="N1838" t="str">
        <f>HYPERLINK("https://ictv.global/id/TN20081054","TN20081054@prod")</f>
        <v>TN20081054@prod</v>
      </c>
      <c r="O1838" t="str">
        <f>HYPERLINK("https://ictv.global/id/ICTV19710022","ICTV19710022@prod")</f>
        <v>ICTV19710022@prod</v>
      </c>
    </row>
    <row r="1839" spans="1:15" x14ac:dyDescent="0.2">
      <c r="A1839">
        <v>24</v>
      </c>
      <c r="B1839">
        <v>20081054</v>
      </c>
      <c r="C1839">
        <v>19710022</v>
      </c>
      <c r="D1839" t="s">
        <v>19</v>
      </c>
      <c r="E1839" t="s">
        <v>944</v>
      </c>
      <c r="G1839" t="s">
        <v>100</v>
      </c>
      <c r="H1839" t="s">
        <v>947</v>
      </c>
      <c r="I1839" t="s">
        <v>19</v>
      </c>
      <c r="J1839">
        <v>20091083</v>
      </c>
      <c r="K1839">
        <v>20091083</v>
      </c>
      <c r="L1839" t="str">
        <f>HYPERLINK("https://test.ictv.global/id/TN20081054","TN20081054@TEST")</f>
        <v>TN20081054@TEST</v>
      </c>
      <c r="M1839" t="str">
        <f>HYPERLINK("https://test.ictv.global/id/ICTV19710022","ICTV19710022@TEST")</f>
        <v>ICTV19710022@TEST</v>
      </c>
      <c r="N1839" t="str">
        <f>HYPERLINK("https://ictv.global/id/TN20081054","TN20081054@prod")</f>
        <v>TN20081054@prod</v>
      </c>
      <c r="O1839" t="str">
        <f>HYPERLINK("https://ictv.global/id/ICTV19710022","ICTV19710022@prod")</f>
        <v>ICTV19710022@prod</v>
      </c>
    </row>
    <row r="1840" spans="1:15" x14ac:dyDescent="0.2">
      <c r="A1840">
        <v>24</v>
      </c>
      <c r="B1840">
        <v>20081304</v>
      </c>
      <c r="C1840">
        <v>20040238</v>
      </c>
      <c r="D1840" t="s">
        <v>19</v>
      </c>
      <c r="E1840" t="s">
        <v>948</v>
      </c>
      <c r="G1840" t="s">
        <v>21</v>
      </c>
      <c r="H1840" t="s">
        <v>949</v>
      </c>
      <c r="I1840" t="s">
        <v>23</v>
      </c>
      <c r="J1840">
        <v>20040238</v>
      </c>
      <c r="K1840">
        <v>20090304</v>
      </c>
      <c r="L1840" t="str">
        <f>HYPERLINK("https://test.ictv.global/id/TN20081304","TN20081304@TEST")</f>
        <v>TN20081304@TEST</v>
      </c>
      <c r="M1840" t="str">
        <f>HYPERLINK("https://test.ictv.global/id/ICTV20040238","ICTV20040238@TEST")</f>
        <v>ICTV20040238@TEST</v>
      </c>
      <c r="N1840" t="str">
        <f>HYPERLINK("https://ictv.global/id/TN20081304","TN20081304@prod")</f>
        <v>TN20081304@prod</v>
      </c>
      <c r="O1840" t="str">
        <f>HYPERLINK("https://ictv.global/id/ICTV20040238","ICTV20040238@prod")</f>
        <v>ICTV20040238@prod</v>
      </c>
    </row>
    <row r="1841" spans="1:15" x14ac:dyDescent="0.2">
      <c r="A1841">
        <v>24</v>
      </c>
      <c r="B1841">
        <v>20083199</v>
      </c>
      <c r="C1841">
        <v>19910699</v>
      </c>
      <c r="D1841" t="s">
        <v>29</v>
      </c>
      <c r="E1841" t="s">
        <v>950</v>
      </c>
      <c r="G1841" t="s">
        <v>186</v>
      </c>
      <c r="H1841" t="s">
        <v>951</v>
      </c>
      <c r="I1841" t="s">
        <v>29</v>
      </c>
      <c r="J1841">
        <v>20093523</v>
      </c>
      <c r="K1841">
        <v>20093523</v>
      </c>
      <c r="L1841" t="str">
        <f>HYPERLINK("https://test.ictv.global/id/TN20083199","TN20083199@TEST")</f>
        <v>TN20083199@TEST</v>
      </c>
      <c r="M1841" t="str">
        <f>HYPERLINK("https://test.ictv.global/id/ICTV19910699","ICTV19910699@TEST")</f>
        <v>ICTV19910699@TEST</v>
      </c>
      <c r="N1841" t="str">
        <f>HYPERLINK("https://ictv.global/id/TN20083199","TN20083199@prod")</f>
        <v>TN20083199@prod</v>
      </c>
      <c r="O1841" t="str">
        <f>HYPERLINK("https://ictv.global/id/ICTV19910699","ICTV19910699@prod")</f>
        <v>ICTV19910699@prod</v>
      </c>
    </row>
    <row r="1842" spans="1:15" x14ac:dyDescent="0.2">
      <c r="A1842">
        <v>24</v>
      </c>
      <c r="B1842">
        <v>20083200</v>
      </c>
      <c r="C1842">
        <v>19910700</v>
      </c>
      <c r="D1842" t="s">
        <v>29</v>
      </c>
      <c r="E1842" t="s">
        <v>952</v>
      </c>
      <c r="G1842" t="s">
        <v>166</v>
      </c>
      <c r="H1842" t="s">
        <v>953</v>
      </c>
      <c r="I1842" t="s">
        <v>29</v>
      </c>
      <c r="J1842">
        <v>20093515</v>
      </c>
      <c r="K1842">
        <v>20093515</v>
      </c>
      <c r="L1842" t="str">
        <f>HYPERLINK("https://test.ictv.global/id/TN20083200","TN20083200@TEST")</f>
        <v>TN20083200@TEST</v>
      </c>
      <c r="M1842" t="str">
        <f>HYPERLINK("https://test.ictv.global/id/ICTV19910700","ICTV19910700@TEST")</f>
        <v>ICTV19910700@TEST</v>
      </c>
      <c r="N1842" t="str">
        <f>HYPERLINK("https://ictv.global/id/TN20083200","TN20083200@prod")</f>
        <v>TN20083200@prod</v>
      </c>
      <c r="O1842" t="str">
        <f>HYPERLINK("https://ictv.global/id/ICTV19910700","ICTV19910700@prod")</f>
        <v>ICTV19910700@prod</v>
      </c>
    </row>
    <row r="1843" spans="1:15" x14ac:dyDescent="0.2">
      <c r="A1843">
        <v>24</v>
      </c>
      <c r="B1843">
        <v>20083201</v>
      </c>
      <c r="C1843">
        <v>20083201</v>
      </c>
      <c r="D1843" t="s">
        <v>29</v>
      </c>
      <c r="E1843" t="s">
        <v>954</v>
      </c>
      <c r="G1843" t="s">
        <v>166</v>
      </c>
      <c r="H1843" t="s">
        <v>955</v>
      </c>
      <c r="I1843" t="s">
        <v>29</v>
      </c>
      <c r="J1843">
        <v>20093530</v>
      </c>
      <c r="K1843">
        <v>20093530</v>
      </c>
      <c r="L1843" t="str">
        <f>HYPERLINK("https://test.ictv.global/id/TN20083201","TN20083201@TEST")</f>
        <v>TN20083201@TEST</v>
      </c>
      <c r="M1843" t="str">
        <f>HYPERLINK("https://test.ictv.global/id/ICTV20083201","ICTV20083201@TEST")</f>
        <v>ICTV20083201@TEST</v>
      </c>
      <c r="N1843" t="str">
        <f>HYPERLINK("https://ictv.global/id/TN20083201","TN20083201@prod")</f>
        <v>TN20083201@prod</v>
      </c>
      <c r="O1843" t="str">
        <f>HYPERLINK("https://ictv.global/id/ICTV20083201","ICTV20083201@prod")</f>
        <v>ICTV20083201@prod</v>
      </c>
    </row>
    <row r="1844" spans="1:15" x14ac:dyDescent="0.2">
      <c r="A1844">
        <v>24</v>
      </c>
      <c r="B1844">
        <v>20083202</v>
      </c>
      <c r="C1844">
        <v>20083202</v>
      </c>
      <c r="D1844" t="s">
        <v>29</v>
      </c>
      <c r="E1844" t="s">
        <v>956</v>
      </c>
      <c r="G1844" t="s">
        <v>186</v>
      </c>
      <c r="H1844" t="s">
        <v>951</v>
      </c>
      <c r="I1844" t="s">
        <v>29</v>
      </c>
      <c r="J1844">
        <v>20093523</v>
      </c>
      <c r="K1844">
        <v>20093523</v>
      </c>
      <c r="L1844" t="str">
        <f>HYPERLINK("https://test.ictv.global/id/TN20083202","TN20083202@TEST")</f>
        <v>TN20083202@TEST</v>
      </c>
      <c r="M1844" t="str">
        <f>HYPERLINK("https://test.ictv.global/id/ICTV20083202","ICTV20083202@TEST")</f>
        <v>ICTV20083202@TEST</v>
      </c>
      <c r="N1844" t="str">
        <f>HYPERLINK("https://ictv.global/id/TN20083202","TN20083202@prod")</f>
        <v>TN20083202@prod</v>
      </c>
      <c r="O1844" t="str">
        <f>HYPERLINK("https://ictv.global/id/ICTV20083202","ICTV20083202@prod")</f>
        <v>ICTV20083202@prod</v>
      </c>
    </row>
    <row r="1845" spans="1:15" x14ac:dyDescent="0.2">
      <c r="A1845">
        <v>24</v>
      </c>
      <c r="B1845">
        <v>20083203</v>
      </c>
      <c r="C1845">
        <v>19910701</v>
      </c>
      <c r="D1845" t="s">
        <v>29</v>
      </c>
      <c r="E1845" t="s">
        <v>957</v>
      </c>
      <c r="G1845" t="s">
        <v>166</v>
      </c>
      <c r="H1845" t="s">
        <v>953</v>
      </c>
      <c r="I1845" t="s">
        <v>29</v>
      </c>
      <c r="J1845">
        <v>20093515</v>
      </c>
      <c r="K1845">
        <v>20093515</v>
      </c>
      <c r="L1845" t="str">
        <f>HYPERLINK("https://test.ictv.global/id/TN20083203","TN20083203@TEST")</f>
        <v>TN20083203@TEST</v>
      </c>
      <c r="M1845" t="str">
        <f>HYPERLINK("https://test.ictv.global/id/ICTV19910701","ICTV19910701@TEST")</f>
        <v>ICTV19910701@TEST</v>
      </c>
      <c r="N1845" t="str">
        <f>HYPERLINK("https://ictv.global/id/TN20083203","TN20083203@prod")</f>
        <v>TN20083203@prod</v>
      </c>
      <c r="O1845" t="str">
        <f>HYPERLINK("https://ictv.global/id/ICTV19910701","ICTV19910701@prod")</f>
        <v>ICTV19910701@prod</v>
      </c>
    </row>
    <row r="1846" spans="1:15" x14ac:dyDescent="0.2">
      <c r="A1846">
        <v>24</v>
      </c>
      <c r="B1846">
        <v>20083204</v>
      </c>
      <c r="C1846">
        <v>20083204</v>
      </c>
      <c r="D1846" t="s">
        <v>29</v>
      </c>
      <c r="E1846" t="s">
        <v>958</v>
      </c>
      <c r="G1846" t="s">
        <v>166</v>
      </c>
      <c r="H1846" t="s">
        <v>955</v>
      </c>
      <c r="I1846" t="s">
        <v>29</v>
      </c>
      <c r="J1846">
        <v>20093530</v>
      </c>
      <c r="K1846">
        <v>20093530</v>
      </c>
      <c r="L1846" t="str">
        <f>HYPERLINK("https://test.ictv.global/id/TN20083204","TN20083204@TEST")</f>
        <v>TN20083204@TEST</v>
      </c>
      <c r="M1846" t="str">
        <f>HYPERLINK("https://test.ictv.global/id/ICTV20083204","ICTV20083204@TEST")</f>
        <v>ICTV20083204@TEST</v>
      </c>
      <c r="N1846" t="str">
        <f>HYPERLINK("https://ictv.global/id/TN20083204","TN20083204@prod")</f>
        <v>TN20083204@prod</v>
      </c>
      <c r="O1846" t="str">
        <f>HYPERLINK("https://ictv.global/id/ICTV20083204","ICTV20083204@prod")</f>
        <v>ICTV20083204@prod</v>
      </c>
    </row>
    <row r="1847" spans="1:15" x14ac:dyDescent="0.2">
      <c r="A1847">
        <v>24</v>
      </c>
      <c r="B1847">
        <v>20083208</v>
      </c>
      <c r="C1847">
        <v>19950875</v>
      </c>
      <c r="D1847" t="s">
        <v>29</v>
      </c>
      <c r="E1847" t="s">
        <v>266</v>
      </c>
      <c r="G1847" t="s">
        <v>186</v>
      </c>
      <c r="H1847" t="s">
        <v>951</v>
      </c>
      <c r="I1847" t="s">
        <v>29</v>
      </c>
      <c r="J1847">
        <v>20093523</v>
      </c>
      <c r="K1847">
        <v>20093523</v>
      </c>
      <c r="L1847" t="str">
        <f>HYPERLINK("https://test.ictv.global/id/TN20083208","TN20083208@TEST")</f>
        <v>TN20083208@TEST</v>
      </c>
      <c r="M1847" t="str">
        <f>HYPERLINK("https://test.ictv.global/id/ICTV19950875","ICTV19950875@TEST")</f>
        <v>ICTV19950875@TEST</v>
      </c>
      <c r="N1847" t="str">
        <f>HYPERLINK("https://ictv.global/id/TN20083208","TN20083208@prod")</f>
        <v>TN20083208@prod</v>
      </c>
      <c r="O1847" t="str">
        <f>HYPERLINK("https://ictv.global/id/ICTV19950875","ICTV19950875@prod")</f>
        <v>ICTV19950875@prod</v>
      </c>
    </row>
    <row r="1848" spans="1:15" x14ac:dyDescent="0.2">
      <c r="A1848">
        <v>24</v>
      </c>
      <c r="B1848">
        <v>20083209</v>
      </c>
      <c r="C1848">
        <v>20073123</v>
      </c>
      <c r="D1848" t="s">
        <v>29</v>
      </c>
      <c r="E1848" t="s">
        <v>959</v>
      </c>
      <c r="G1848" t="s">
        <v>186</v>
      </c>
      <c r="H1848" t="s">
        <v>951</v>
      </c>
      <c r="I1848" t="s">
        <v>29</v>
      </c>
      <c r="J1848">
        <v>20093523</v>
      </c>
      <c r="K1848">
        <v>20093523</v>
      </c>
      <c r="L1848" t="str">
        <f>HYPERLINK("https://test.ictv.global/id/TN20083209","TN20083209@TEST")</f>
        <v>TN20083209@TEST</v>
      </c>
      <c r="M1848" t="str">
        <f>HYPERLINK("https://test.ictv.global/id/ICTV20073123","ICTV20073123@TEST")</f>
        <v>ICTV20073123@TEST</v>
      </c>
      <c r="N1848" t="str">
        <f>HYPERLINK("https://ictv.global/id/TN20083209","TN20083209@prod")</f>
        <v>TN20083209@prod</v>
      </c>
      <c r="O1848" t="str">
        <f>HYPERLINK("https://ictv.global/id/ICTV20073123","ICTV20073123@prod")</f>
        <v>ICTV20073123@prod</v>
      </c>
    </row>
    <row r="1849" spans="1:15" x14ac:dyDescent="0.2">
      <c r="A1849">
        <v>24</v>
      </c>
      <c r="B1849">
        <v>20083210</v>
      </c>
      <c r="C1849">
        <v>19710155</v>
      </c>
      <c r="D1849" t="s">
        <v>29</v>
      </c>
      <c r="E1849" t="s">
        <v>960</v>
      </c>
      <c r="G1849" t="s">
        <v>186</v>
      </c>
      <c r="H1849" t="s">
        <v>955</v>
      </c>
      <c r="I1849" t="s">
        <v>29</v>
      </c>
      <c r="J1849">
        <v>20093530</v>
      </c>
      <c r="K1849">
        <v>20093530</v>
      </c>
      <c r="L1849" t="str">
        <f>HYPERLINK("https://test.ictv.global/id/TN20083210","TN20083210@TEST")</f>
        <v>TN20083210@TEST</v>
      </c>
      <c r="M1849" t="str">
        <f>HYPERLINK("https://test.ictv.global/id/ICTV19710155","ICTV19710155@TEST")</f>
        <v>ICTV19710155@TEST</v>
      </c>
      <c r="N1849" t="str">
        <f>HYPERLINK("https://ictv.global/id/TN20083210","TN20083210@prod")</f>
        <v>TN20083210@prod</v>
      </c>
      <c r="O1849" t="str">
        <f>HYPERLINK("https://ictv.global/id/ICTV19710155","ICTV19710155@prod")</f>
        <v>ICTV19710155@prod</v>
      </c>
    </row>
    <row r="1850" spans="1:15" x14ac:dyDescent="0.2">
      <c r="A1850">
        <v>24</v>
      </c>
      <c r="B1850">
        <v>20083211</v>
      </c>
      <c r="C1850">
        <v>19710157</v>
      </c>
      <c r="D1850" t="s">
        <v>29</v>
      </c>
      <c r="E1850" t="s">
        <v>961</v>
      </c>
      <c r="G1850" t="s">
        <v>166</v>
      </c>
      <c r="H1850" t="s">
        <v>962</v>
      </c>
      <c r="I1850" t="s">
        <v>29</v>
      </c>
      <c r="J1850">
        <v>20093525</v>
      </c>
      <c r="K1850">
        <v>20093525</v>
      </c>
      <c r="L1850" t="str">
        <f>HYPERLINK("https://test.ictv.global/id/TN20083211","TN20083211@TEST")</f>
        <v>TN20083211@TEST</v>
      </c>
      <c r="M1850" t="str">
        <f>HYPERLINK("https://test.ictv.global/id/ICTV19710157","ICTV19710157@TEST")</f>
        <v>ICTV19710157@TEST</v>
      </c>
      <c r="N1850" t="str">
        <f>HYPERLINK("https://ictv.global/id/TN20083211","TN20083211@prod")</f>
        <v>TN20083211@prod</v>
      </c>
      <c r="O1850" t="str">
        <f>HYPERLINK("https://ictv.global/id/ICTV19710157","ICTV19710157@prod")</f>
        <v>ICTV19710157@prod</v>
      </c>
    </row>
    <row r="1851" spans="1:15" x14ac:dyDescent="0.2">
      <c r="A1851">
        <v>24</v>
      </c>
      <c r="B1851">
        <v>20083212</v>
      </c>
      <c r="C1851">
        <v>20073126</v>
      </c>
      <c r="D1851" t="s">
        <v>29</v>
      </c>
      <c r="E1851" t="s">
        <v>963</v>
      </c>
      <c r="G1851" t="s">
        <v>166</v>
      </c>
      <c r="H1851" t="s">
        <v>955</v>
      </c>
      <c r="I1851" t="s">
        <v>29</v>
      </c>
      <c r="J1851">
        <v>20093530</v>
      </c>
      <c r="K1851">
        <v>20093530</v>
      </c>
      <c r="L1851" t="str">
        <f>HYPERLINK("https://test.ictv.global/id/TN20083212","TN20083212@TEST")</f>
        <v>TN20083212@TEST</v>
      </c>
      <c r="M1851" t="str">
        <f>HYPERLINK("https://test.ictv.global/id/ICTV20073126","ICTV20073126@TEST")</f>
        <v>ICTV20073126@TEST</v>
      </c>
      <c r="N1851" t="str">
        <f>HYPERLINK("https://ictv.global/id/TN20083212","TN20083212@prod")</f>
        <v>TN20083212@prod</v>
      </c>
      <c r="O1851" t="str">
        <f>HYPERLINK("https://ictv.global/id/ICTV20073126","ICTV20073126@prod")</f>
        <v>ICTV20073126@prod</v>
      </c>
    </row>
    <row r="1852" spans="1:15" x14ac:dyDescent="0.2">
      <c r="A1852">
        <v>24</v>
      </c>
      <c r="B1852">
        <v>20083213</v>
      </c>
      <c r="C1852">
        <v>20083213</v>
      </c>
      <c r="D1852" t="s">
        <v>29</v>
      </c>
      <c r="E1852" t="s">
        <v>964</v>
      </c>
      <c r="G1852" t="s">
        <v>166</v>
      </c>
      <c r="H1852" t="s">
        <v>955</v>
      </c>
      <c r="I1852" t="s">
        <v>29</v>
      </c>
      <c r="J1852">
        <v>20093530</v>
      </c>
      <c r="K1852">
        <v>20093530</v>
      </c>
      <c r="L1852" t="str">
        <f>HYPERLINK("https://test.ictv.global/id/TN20083213","TN20083213@TEST")</f>
        <v>TN20083213@TEST</v>
      </c>
      <c r="M1852" t="str">
        <f>HYPERLINK("https://test.ictv.global/id/ICTV20083213","ICTV20083213@TEST")</f>
        <v>ICTV20083213@TEST</v>
      </c>
      <c r="N1852" t="str">
        <f>HYPERLINK("https://ictv.global/id/TN20083213","TN20083213@prod")</f>
        <v>TN20083213@prod</v>
      </c>
      <c r="O1852" t="str">
        <f>HYPERLINK("https://ictv.global/id/ICTV20083213","ICTV20083213@prod")</f>
        <v>ICTV20083213@prod</v>
      </c>
    </row>
    <row r="1853" spans="1:15" x14ac:dyDescent="0.2">
      <c r="A1853">
        <v>24</v>
      </c>
      <c r="B1853">
        <v>20083215</v>
      </c>
      <c r="C1853">
        <v>19760229</v>
      </c>
      <c r="D1853" t="s">
        <v>29</v>
      </c>
      <c r="E1853" t="s">
        <v>965</v>
      </c>
      <c r="G1853" t="s">
        <v>186</v>
      </c>
      <c r="H1853" t="s">
        <v>951</v>
      </c>
      <c r="I1853" t="s">
        <v>29</v>
      </c>
      <c r="J1853">
        <v>20093523</v>
      </c>
      <c r="K1853">
        <v>20093523</v>
      </c>
      <c r="L1853" t="str">
        <f>HYPERLINK("https://test.ictv.global/id/TN20083215","TN20083215@TEST")</f>
        <v>TN20083215@TEST</v>
      </c>
      <c r="M1853" t="str">
        <f>HYPERLINK("https://test.ictv.global/id/ICTV19760229","ICTV19760229@TEST")</f>
        <v>ICTV19760229@TEST</v>
      </c>
      <c r="N1853" t="str">
        <f>HYPERLINK("https://ictv.global/id/TN20083215","TN20083215@prod")</f>
        <v>TN20083215@prod</v>
      </c>
      <c r="O1853" t="str">
        <f>HYPERLINK("https://ictv.global/id/ICTV19760229","ICTV19760229@prod")</f>
        <v>ICTV19760229@prod</v>
      </c>
    </row>
    <row r="1854" spans="1:15" x14ac:dyDescent="0.2">
      <c r="A1854">
        <v>24</v>
      </c>
      <c r="B1854">
        <v>20083216</v>
      </c>
      <c r="C1854">
        <v>20073129</v>
      </c>
      <c r="D1854" t="s">
        <v>29</v>
      </c>
      <c r="E1854" t="s">
        <v>966</v>
      </c>
      <c r="G1854" t="s">
        <v>166</v>
      </c>
      <c r="H1854" t="s">
        <v>962</v>
      </c>
      <c r="I1854" t="s">
        <v>29</v>
      </c>
      <c r="J1854">
        <v>20093525</v>
      </c>
      <c r="K1854">
        <v>20093525</v>
      </c>
      <c r="L1854" t="str">
        <f>HYPERLINK("https://test.ictv.global/id/TN20083216","TN20083216@TEST")</f>
        <v>TN20083216@TEST</v>
      </c>
      <c r="M1854" t="str">
        <f>HYPERLINK("https://test.ictv.global/id/ICTV20073129","ICTV20073129@TEST")</f>
        <v>ICTV20073129@TEST</v>
      </c>
      <c r="N1854" t="str">
        <f>HYPERLINK("https://ictv.global/id/TN20083216","TN20083216@prod")</f>
        <v>TN20083216@prod</v>
      </c>
      <c r="O1854" t="str">
        <f>HYPERLINK("https://ictv.global/id/ICTV20073129","ICTV20073129@prod")</f>
        <v>ICTV20073129@prod</v>
      </c>
    </row>
    <row r="1855" spans="1:15" x14ac:dyDescent="0.2">
      <c r="A1855">
        <v>24</v>
      </c>
      <c r="B1855">
        <v>20083217</v>
      </c>
      <c r="C1855">
        <v>19950880</v>
      </c>
      <c r="D1855" t="s">
        <v>29</v>
      </c>
      <c r="E1855" t="s">
        <v>967</v>
      </c>
      <c r="G1855" t="s">
        <v>166</v>
      </c>
      <c r="H1855" t="s">
        <v>962</v>
      </c>
      <c r="I1855" t="s">
        <v>29</v>
      </c>
      <c r="J1855">
        <v>20093525</v>
      </c>
      <c r="K1855">
        <v>20093525</v>
      </c>
      <c r="L1855" t="str">
        <f>HYPERLINK("https://test.ictv.global/id/TN20083217","TN20083217@TEST")</f>
        <v>TN20083217@TEST</v>
      </c>
      <c r="M1855" t="str">
        <f>HYPERLINK("https://test.ictv.global/id/ICTV19950880","ICTV19950880@TEST")</f>
        <v>ICTV19950880@TEST</v>
      </c>
      <c r="N1855" t="str">
        <f>HYPERLINK("https://ictv.global/id/TN20083217","TN20083217@prod")</f>
        <v>TN20083217@prod</v>
      </c>
      <c r="O1855" t="str">
        <f>HYPERLINK("https://ictv.global/id/ICTV19950880","ICTV19950880@prod")</f>
        <v>ICTV19950880@prod</v>
      </c>
    </row>
    <row r="1856" spans="1:15" x14ac:dyDescent="0.2">
      <c r="A1856">
        <v>24</v>
      </c>
      <c r="B1856">
        <v>20083219</v>
      </c>
      <c r="C1856">
        <v>19710158</v>
      </c>
      <c r="D1856" t="s">
        <v>29</v>
      </c>
      <c r="E1856" t="s">
        <v>968</v>
      </c>
      <c r="G1856" t="s">
        <v>166</v>
      </c>
      <c r="H1856" t="s">
        <v>953</v>
      </c>
      <c r="I1856" t="s">
        <v>29</v>
      </c>
      <c r="J1856">
        <v>20093515</v>
      </c>
      <c r="K1856">
        <v>20093515</v>
      </c>
      <c r="L1856" t="str">
        <f>HYPERLINK("https://test.ictv.global/id/TN20083219","TN20083219@TEST")</f>
        <v>TN20083219@TEST</v>
      </c>
      <c r="M1856" t="str">
        <f>HYPERLINK("https://test.ictv.global/id/ICTV19710158","ICTV19710158@TEST")</f>
        <v>ICTV19710158@TEST</v>
      </c>
      <c r="N1856" t="str">
        <f>HYPERLINK("https://ictv.global/id/TN20083219","TN20083219@prod")</f>
        <v>TN20083219@prod</v>
      </c>
      <c r="O1856" t="str">
        <f>HYPERLINK("https://ictv.global/id/ICTV19710158","ICTV19710158@prod")</f>
        <v>ICTV19710158@prod</v>
      </c>
    </row>
    <row r="1857" spans="1:15" x14ac:dyDescent="0.2">
      <c r="A1857">
        <v>24</v>
      </c>
      <c r="B1857">
        <v>20083220</v>
      </c>
      <c r="C1857">
        <v>19910706</v>
      </c>
      <c r="D1857" t="s">
        <v>29</v>
      </c>
      <c r="E1857" t="s">
        <v>969</v>
      </c>
      <c r="G1857" t="s">
        <v>166</v>
      </c>
      <c r="H1857" t="s">
        <v>955</v>
      </c>
      <c r="I1857" t="s">
        <v>29</v>
      </c>
      <c r="J1857">
        <v>20093530</v>
      </c>
      <c r="K1857">
        <v>20093530</v>
      </c>
      <c r="L1857" t="str">
        <f>HYPERLINK("https://test.ictv.global/id/TN20083220","TN20083220@TEST")</f>
        <v>TN20083220@TEST</v>
      </c>
      <c r="M1857" t="str">
        <f>HYPERLINK("https://test.ictv.global/id/ICTV19910706","ICTV19910706@TEST")</f>
        <v>ICTV19910706@TEST</v>
      </c>
      <c r="N1857" t="str">
        <f>HYPERLINK("https://ictv.global/id/TN20083220","TN20083220@prod")</f>
        <v>TN20083220@prod</v>
      </c>
      <c r="O1857" t="str">
        <f>HYPERLINK("https://ictv.global/id/ICTV19910706","ICTV19910706@prod")</f>
        <v>ICTV19910706@prod</v>
      </c>
    </row>
    <row r="1858" spans="1:15" x14ac:dyDescent="0.2">
      <c r="A1858">
        <v>24</v>
      </c>
      <c r="B1858">
        <v>20084520</v>
      </c>
      <c r="C1858">
        <v>20094569</v>
      </c>
      <c r="D1858" t="s">
        <v>29</v>
      </c>
      <c r="E1858" t="s">
        <v>970</v>
      </c>
      <c r="F1858" t="s">
        <v>2092</v>
      </c>
      <c r="G1858" t="s">
        <v>33</v>
      </c>
      <c r="H1858" t="s">
        <v>970</v>
      </c>
      <c r="I1858" t="s">
        <v>29</v>
      </c>
      <c r="J1858">
        <v>20094569</v>
      </c>
      <c r="K1858">
        <v>20094569</v>
      </c>
      <c r="L1858" t="str">
        <f>HYPERLINK("https://test.ictv.global/id/TN20084520","TN20084520@TEST")</f>
        <v>TN20084520@TEST</v>
      </c>
      <c r="M1858" t="str">
        <f>HYPERLINK("https://test.ictv.global/id/ICTV20094569","ICTV20094569@TEST")</f>
        <v>ICTV20094569@TEST</v>
      </c>
      <c r="N1858" t="str">
        <f>HYPERLINK("https://ictv.global/id/TN20084520","TN20084520@prod")</f>
        <v>TN20084520@prod</v>
      </c>
      <c r="O1858" t="str">
        <f>HYPERLINK("https://ictv.global/id/ICTV20094569","ICTV20094569@prod")</f>
        <v>ICTV20094569@prod</v>
      </c>
    </row>
    <row r="1859" spans="1:15" x14ac:dyDescent="0.2">
      <c r="A1859">
        <v>24</v>
      </c>
      <c r="B1859">
        <v>20084582</v>
      </c>
      <c r="C1859">
        <v>20084582</v>
      </c>
      <c r="D1859" t="s">
        <v>29</v>
      </c>
      <c r="E1859" t="s">
        <v>971</v>
      </c>
      <c r="G1859" t="s">
        <v>33</v>
      </c>
      <c r="H1859" t="s">
        <v>970</v>
      </c>
      <c r="I1859" t="s">
        <v>29</v>
      </c>
      <c r="J1859">
        <v>20094569</v>
      </c>
      <c r="K1859">
        <v>20094569</v>
      </c>
      <c r="L1859" t="str">
        <f>HYPERLINK("https://test.ictv.global/id/TN20084582","TN20084582@TEST")</f>
        <v>TN20084582@TEST</v>
      </c>
      <c r="M1859" t="str">
        <f>HYPERLINK("https://test.ictv.global/id/ICTV20084582","ICTV20084582@TEST")</f>
        <v>ICTV20084582@TEST</v>
      </c>
      <c r="N1859" t="str">
        <f>HYPERLINK("https://ictv.global/id/TN20084582","TN20084582@prod")</f>
        <v>TN20084582@prod</v>
      </c>
      <c r="O1859" t="str">
        <f>HYPERLINK("https://ictv.global/id/ICTV20084582","ICTV20084582@prod")</f>
        <v>ICTV20084582@prod</v>
      </c>
    </row>
    <row r="1860" spans="1:15" x14ac:dyDescent="0.2">
      <c r="A1860">
        <v>24</v>
      </c>
      <c r="B1860">
        <v>20085002</v>
      </c>
      <c r="C1860">
        <v>20040869</v>
      </c>
      <c r="D1860" t="s">
        <v>29</v>
      </c>
      <c r="E1860" t="s">
        <v>2093</v>
      </c>
      <c r="G1860" t="s">
        <v>1165</v>
      </c>
      <c r="L1860" t="str">
        <f>HYPERLINK("https://test.ictv.global/id/TN20085002","TN20085002@TEST")</f>
        <v>TN20085002@TEST</v>
      </c>
      <c r="M1860" t="str">
        <f>HYPERLINK("https://test.ictv.global/id/ICTV20040869","ICTV20040869@TEST")</f>
        <v>ICTV20040869@TEST</v>
      </c>
      <c r="N1860" t="str">
        <f>HYPERLINK("https://ictv.global/id/TN20085002","TN20085002@prod")</f>
        <v>TN20085002@prod</v>
      </c>
      <c r="O1860" t="str">
        <f>HYPERLINK("https://ictv.global/id/ICTV20040869","ICTV20040869@prod")</f>
        <v>ICTV20040869@prod</v>
      </c>
    </row>
    <row r="1861" spans="1:15" x14ac:dyDescent="0.2">
      <c r="A1861">
        <v>25</v>
      </c>
      <c r="B1861">
        <v>20093178</v>
      </c>
      <c r="C1861">
        <v>19990551</v>
      </c>
      <c r="D1861" t="s">
        <v>29</v>
      </c>
      <c r="E1861" t="s">
        <v>438</v>
      </c>
      <c r="G1861" t="s">
        <v>1165</v>
      </c>
      <c r="L1861" t="str">
        <f>HYPERLINK("https://test.ictv.global/id/TN20093178","TN20093178@TEST")</f>
        <v>TN20093178@TEST</v>
      </c>
      <c r="M1861" t="str">
        <f>HYPERLINK("https://test.ictv.global/id/ICTV19990551","ICTV19990551@TEST")</f>
        <v>ICTV19990551@TEST</v>
      </c>
      <c r="N1861" t="str">
        <f>HYPERLINK("https://ictv.global/id/TN20093178","TN20093178@prod")</f>
        <v>TN20093178@prod</v>
      </c>
      <c r="O1861" t="str">
        <f>HYPERLINK("https://ictv.global/id/ICTV19990551","ICTV19990551@prod")</f>
        <v>ICTV19990551@prod</v>
      </c>
    </row>
    <row r="1862" spans="1:15" x14ac:dyDescent="0.2">
      <c r="A1862">
        <v>25</v>
      </c>
      <c r="B1862">
        <v>20093709</v>
      </c>
      <c r="C1862">
        <v>20083909</v>
      </c>
      <c r="D1862" t="s">
        <v>29</v>
      </c>
      <c r="E1862" t="s">
        <v>2094</v>
      </c>
      <c r="G1862" t="s">
        <v>1165</v>
      </c>
      <c r="L1862" t="str">
        <f>HYPERLINK("https://test.ictv.global/id/TN20093709","TN20093709@TEST")</f>
        <v>TN20093709@TEST</v>
      </c>
      <c r="M1862" t="str">
        <f>HYPERLINK("https://test.ictv.global/id/ICTV20083909","ICTV20083909@TEST")</f>
        <v>ICTV20083909@TEST</v>
      </c>
      <c r="N1862" t="str">
        <f>HYPERLINK("https://ictv.global/id/TN20093709","TN20093709@prod")</f>
        <v>TN20093709@prod</v>
      </c>
      <c r="O1862" t="str">
        <f>HYPERLINK("https://ictv.global/id/ICTV20083909","ICTV20083909@prod")</f>
        <v>ICTV20083909@prod</v>
      </c>
    </row>
    <row r="1863" spans="1:15" x14ac:dyDescent="0.2">
      <c r="A1863">
        <v>25</v>
      </c>
      <c r="B1863">
        <v>20093745</v>
      </c>
      <c r="C1863">
        <v>20041182</v>
      </c>
      <c r="D1863" t="s">
        <v>29</v>
      </c>
      <c r="E1863" t="s">
        <v>2095</v>
      </c>
      <c r="G1863" t="s">
        <v>1165</v>
      </c>
      <c r="L1863" t="str">
        <f>HYPERLINK("https://test.ictv.global/id/TN20093745","TN20093745@TEST")</f>
        <v>TN20093745@TEST</v>
      </c>
      <c r="M1863" t="str">
        <f>HYPERLINK("https://test.ictv.global/id/ICTV20041182","ICTV20041182@TEST")</f>
        <v>ICTV20041182@TEST</v>
      </c>
      <c r="N1863" t="str">
        <f>HYPERLINK("https://ictv.global/id/TN20093745","TN20093745@prod")</f>
        <v>TN20093745@prod</v>
      </c>
      <c r="O1863" t="str">
        <f>HYPERLINK("https://ictv.global/id/ICTV20041182","ICTV20041182@prod")</f>
        <v>ICTV20041182@prod</v>
      </c>
    </row>
    <row r="1864" spans="1:15" x14ac:dyDescent="0.2">
      <c r="A1864">
        <v>25</v>
      </c>
      <c r="B1864">
        <v>20093773</v>
      </c>
      <c r="C1864">
        <v>20073756</v>
      </c>
      <c r="D1864" t="s">
        <v>29</v>
      </c>
      <c r="E1864" t="s">
        <v>2096</v>
      </c>
      <c r="G1864" t="s">
        <v>1165</v>
      </c>
      <c r="L1864" t="str">
        <f>HYPERLINK("https://test.ictv.global/id/TN20093773","TN20093773@TEST")</f>
        <v>TN20093773@TEST</v>
      </c>
      <c r="M1864" t="str">
        <f>HYPERLINK("https://test.ictv.global/id/ICTV20073756","ICTV20073756@TEST")</f>
        <v>ICTV20073756@TEST</v>
      </c>
      <c r="N1864" t="str">
        <f>HYPERLINK("https://ictv.global/id/TN20093773","TN20093773@prod")</f>
        <v>TN20093773@prod</v>
      </c>
      <c r="O1864" t="str">
        <f>HYPERLINK("https://ictv.global/id/ICTV20073756","ICTV20073756@prod")</f>
        <v>ICTV20073756@prod</v>
      </c>
    </row>
    <row r="1865" spans="1:15" x14ac:dyDescent="0.2">
      <c r="A1865">
        <v>25</v>
      </c>
      <c r="B1865">
        <v>20093784</v>
      </c>
      <c r="C1865">
        <v>20083984</v>
      </c>
      <c r="D1865" t="s">
        <v>29</v>
      </c>
      <c r="E1865" t="s">
        <v>2097</v>
      </c>
      <c r="G1865" t="s">
        <v>1165</v>
      </c>
      <c r="L1865" t="str">
        <f>HYPERLINK("https://test.ictv.global/id/TN20093784","TN20093784@TEST")</f>
        <v>TN20093784@TEST</v>
      </c>
      <c r="M1865" t="str">
        <f>HYPERLINK("https://test.ictv.global/id/ICTV20083984","ICTV20083984@TEST")</f>
        <v>ICTV20083984@TEST</v>
      </c>
      <c r="N1865" t="str">
        <f>HYPERLINK("https://ictv.global/id/TN20093784","TN20093784@prod")</f>
        <v>TN20093784@prod</v>
      </c>
      <c r="O1865" t="str">
        <f>HYPERLINK("https://ictv.global/id/ICTV20083984","ICTV20083984@prod")</f>
        <v>ICTV20083984@prod</v>
      </c>
    </row>
    <row r="1866" spans="1:15" x14ac:dyDescent="0.2">
      <c r="A1866">
        <v>25</v>
      </c>
      <c r="B1866">
        <v>20093895</v>
      </c>
      <c r="C1866">
        <v>19930938</v>
      </c>
      <c r="D1866" t="s">
        <v>29</v>
      </c>
      <c r="E1866" t="s">
        <v>2098</v>
      </c>
      <c r="G1866" t="s">
        <v>1165</v>
      </c>
      <c r="L1866" t="str">
        <f>HYPERLINK("https://test.ictv.global/id/TN20093895","TN20093895@TEST")</f>
        <v>TN20093895@TEST</v>
      </c>
      <c r="M1866" t="str">
        <f>HYPERLINK("https://test.ictv.global/id/ICTV19930938","ICTV19930938@TEST")</f>
        <v>ICTV19930938@TEST</v>
      </c>
      <c r="N1866" t="str">
        <f>HYPERLINK("https://ictv.global/id/TN20093895","TN20093895@prod")</f>
        <v>TN20093895@prod</v>
      </c>
      <c r="O1866" t="str">
        <f>HYPERLINK("https://ictv.global/id/ICTV19930938","ICTV19930938@prod")</f>
        <v>ICTV19930938@prod</v>
      </c>
    </row>
    <row r="1867" spans="1:15" x14ac:dyDescent="0.2">
      <c r="A1867">
        <v>25</v>
      </c>
      <c r="B1867">
        <v>20094404</v>
      </c>
      <c r="C1867">
        <v>20094404</v>
      </c>
      <c r="D1867" t="s">
        <v>29</v>
      </c>
      <c r="E1867" t="s">
        <v>972</v>
      </c>
      <c r="G1867" t="s">
        <v>31</v>
      </c>
      <c r="H1867" t="s">
        <v>973</v>
      </c>
      <c r="I1867" t="s">
        <v>29</v>
      </c>
      <c r="J1867">
        <v>20115339</v>
      </c>
      <c r="K1867">
        <v>20115339</v>
      </c>
      <c r="L1867" t="str">
        <f>HYPERLINK("https://test.ictv.global/id/TN20094404","TN20094404@TEST")</f>
        <v>TN20094404@TEST</v>
      </c>
      <c r="M1867" t="str">
        <f>HYPERLINK("https://test.ictv.global/id/ICTV20094404","ICTV20094404@TEST")</f>
        <v>ICTV20094404@TEST</v>
      </c>
      <c r="N1867" t="str">
        <f>HYPERLINK("https://ictv.global/id/TN20094404","TN20094404@prod")</f>
        <v>TN20094404@prod</v>
      </c>
      <c r="O1867" t="str">
        <f>HYPERLINK("https://ictv.global/id/ICTV20094404","ICTV20094404@prod")</f>
        <v>ICTV20094404@prod</v>
      </c>
    </row>
    <row r="1868" spans="1:15" x14ac:dyDescent="0.2">
      <c r="A1868">
        <v>25</v>
      </c>
      <c r="B1868">
        <v>20094405</v>
      </c>
      <c r="C1868">
        <v>20094405</v>
      </c>
      <c r="D1868" t="s">
        <v>29</v>
      </c>
      <c r="E1868" t="s">
        <v>974</v>
      </c>
      <c r="G1868" t="s">
        <v>33</v>
      </c>
      <c r="H1868" t="s">
        <v>973</v>
      </c>
      <c r="I1868" t="s">
        <v>29</v>
      </c>
      <c r="J1868">
        <v>20115339</v>
      </c>
      <c r="K1868">
        <v>20115339</v>
      </c>
      <c r="L1868" t="str">
        <f>HYPERLINK("https://test.ictv.global/id/TN20094405","TN20094405@TEST")</f>
        <v>TN20094405@TEST</v>
      </c>
      <c r="M1868" t="str">
        <f>HYPERLINK("https://test.ictv.global/id/ICTV20094405","ICTV20094405@TEST")</f>
        <v>ICTV20094405@TEST</v>
      </c>
      <c r="N1868" t="str">
        <f>HYPERLINK("https://ictv.global/id/TN20094405","TN20094405@prod")</f>
        <v>TN20094405@prod</v>
      </c>
      <c r="O1868" t="str">
        <f>HYPERLINK("https://ictv.global/id/ICTV20094405","ICTV20094405@prod")</f>
        <v>ICTV20094405@prod</v>
      </c>
    </row>
    <row r="1869" spans="1:15" x14ac:dyDescent="0.2">
      <c r="A1869">
        <v>25</v>
      </c>
      <c r="B1869">
        <v>20095242</v>
      </c>
      <c r="C1869">
        <v>20042290</v>
      </c>
      <c r="D1869" t="s">
        <v>29</v>
      </c>
      <c r="E1869" t="s">
        <v>2099</v>
      </c>
      <c r="G1869" t="s">
        <v>1165</v>
      </c>
      <c r="L1869" t="str">
        <f>HYPERLINK("https://test.ictv.global/id/TN20095242","TN20095242@TEST")</f>
        <v>TN20095242@TEST</v>
      </c>
      <c r="M1869" t="str">
        <f>HYPERLINK("https://test.ictv.global/id/ICTV20042290","ICTV20042290@TEST")</f>
        <v>ICTV20042290@TEST</v>
      </c>
      <c r="N1869" t="str">
        <f>HYPERLINK("https://ictv.global/id/TN20095242","TN20095242@prod")</f>
        <v>TN20095242@prod</v>
      </c>
      <c r="O1869" t="str">
        <f>HYPERLINK("https://ictv.global/id/ICTV20042290","ICTV20042290@prod")</f>
        <v>ICTV20042290@prod</v>
      </c>
    </row>
    <row r="1870" spans="1:15" x14ac:dyDescent="0.2">
      <c r="A1870">
        <v>25</v>
      </c>
      <c r="B1870">
        <v>20095243</v>
      </c>
      <c r="C1870">
        <v>20042291</v>
      </c>
      <c r="D1870" t="s">
        <v>29</v>
      </c>
      <c r="E1870" t="s">
        <v>2100</v>
      </c>
      <c r="F1870" t="s">
        <v>2101</v>
      </c>
      <c r="G1870" t="s">
        <v>1165</v>
      </c>
      <c r="L1870" t="str">
        <f>HYPERLINK("https://test.ictv.global/id/TN20095243","TN20095243@TEST")</f>
        <v>TN20095243@TEST</v>
      </c>
      <c r="M1870" t="str">
        <f>HYPERLINK("https://test.ictv.global/id/ICTV20042291","ICTV20042291@TEST")</f>
        <v>ICTV20042291@TEST</v>
      </c>
      <c r="N1870" t="str">
        <f>HYPERLINK("https://ictv.global/id/TN20095243","TN20095243@prod")</f>
        <v>TN20095243@prod</v>
      </c>
      <c r="O1870" t="str">
        <f>HYPERLINK("https://ictv.global/id/ICTV20042291","ICTV20042291@prod")</f>
        <v>ICTV20042291@prod</v>
      </c>
    </row>
    <row r="1871" spans="1:15" x14ac:dyDescent="0.2">
      <c r="A1871">
        <v>25</v>
      </c>
      <c r="B1871">
        <v>20095301</v>
      </c>
      <c r="C1871">
        <v>20041469</v>
      </c>
      <c r="D1871" t="s">
        <v>29</v>
      </c>
      <c r="E1871" t="s">
        <v>872</v>
      </c>
      <c r="G1871" t="s">
        <v>33</v>
      </c>
      <c r="H1871" t="s">
        <v>975</v>
      </c>
      <c r="I1871" t="s">
        <v>29</v>
      </c>
      <c r="J1871">
        <v>20115553</v>
      </c>
      <c r="K1871">
        <v>20115553</v>
      </c>
      <c r="L1871" t="str">
        <f>HYPERLINK("https://test.ictv.global/id/TN20095301","TN20095301@TEST")</f>
        <v>TN20095301@TEST</v>
      </c>
      <c r="M1871" t="str">
        <f>HYPERLINK("https://test.ictv.global/id/ICTV20041469","ICTV20041469@TEST")</f>
        <v>ICTV20041469@TEST</v>
      </c>
      <c r="N1871" t="str">
        <f>HYPERLINK("https://ictv.global/id/TN20095301","TN20095301@prod")</f>
        <v>TN20095301@prod</v>
      </c>
      <c r="O1871" t="str">
        <f>HYPERLINK("https://ictv.global/id/ICTV20041469","ICTV20041469@prod")</f>
        <v>ICTV20041469@prod</v>
      </c>
    </row>
    <row r="1872" spans="1:15" x14ac:dyDescent="0.2">
      <c r="A1872">
        <v>25</v>
      </c>
      <c r="B1872">
        <v>20095302</v>
      </c>
      <c r="C1872">
        <v>20041470</v>
      </c>
      <c r="D1872" t="s">
        <v>29</v>
      </c>
      <c r="E1872" t="s">
        <v>873</v>
      </c>
      <c r="G1872" t="s">
        <v>33</v>
      </c>
      <c r="H1872" t="s">
        <v>975</v>
      </c>
      <c r="I1872" t="s">
        <v>29</v>
      </c>
      <c r="J1872">
        <v>20115553</v>
      </c>
      <c r="K1872">
        <v>20115553</v>
      </c>
      <c r="L1872" t="str">
        <f>HYPERLINK("https://test.ictv.global/id/TN20095302","TN20095302@TEST")</f>
        <v>TN20095302@TEST</v>
      </c>
      <c r="M1872" t="str">
        <f>HYPERLINK("https://test.ictv.global/id/ICTV20041470","ICTV20041470@TEST")</f>
        <v>ICTV20041470@TEST</v>
      </c>
      <c r="N1872" t="str">
        <f>HYPERLINK("https://ictv.global/id/TN20095302","TN20095302@prod")</f>
        <v>TN20095302@prod</v>
      </c>
      <c r="O1872" t="str">
        <f>HYPERLINK("https://ictv.global/id/ICTV20041470","ICTV20041470@prod")</f>
        <v>ICTV20041470@prod</v>
      </c>
    </row>
    <row r="1873" spans="1:15" x14ac:dyDescent="0.2">
      <c r="A1873">
        <v>26</v>
      </c>
      <c r="B1873">
        <v>20111341</v>
      </c>
      <c r="C1873">
        <v>19710046</v>
      </c>
      <c r="D1873" t="s">
        <v>19</v>
      </c>
      <c r="E1873" t="s">
        <v>976</v>
      </c>
      <c r="G1873" t="s">
        <v>53</v>
      </c>
      <c r="H1873" t="s">
        <v>977</v>
      </c>
      <c r="I1873" t="s">
        <v>19</v>
      </c>
      <c r="J1873">
        <v>20125728</v>
      </c>
      <c r="K1873">
        <v>20125728</v>
      </c>
      <c r="L1873" t="str">
        <f>HYPERLINK("https://test.ictv.global/id/TN20111341","TN20111341@TEST")</f>
        <v>TN20111341@TEST</v>
      </c>
      <c r="M1873" t="str">
        <f>HYPERLINK("https://test.ictv.global/id/ICTV19710046","ICTV19710046@TEST")</f>
        <v>ICTV19710046@TEST</v>
      </c>
      <c r="N1873" t="str">
        <f>HYPERLINK("https://ictv.global/id/TN20111341","TN20111341@prod")</f>
        <v>TN20111341@prod</v>
      </c>
      <c r="O1873" t="str">
        <f>HYPERLINK("https://ictv.global/id/ICTV19710046","ICTV19710046@prod")</f>
        <v>ICTV19710046@prod</v>
      </c>
    </row>
    <row r="1874" spans="1:15" x14ac:dyDescent="0.2">
      <c r="A1874">
        <v>26</v>
      </c>
      <c r="B1874">
        <v>20111341</v>
      </c>
      <c r="C1874">
        <v>19710046</v>
      </c>
      <c r="D1874" t="s">
        <v>19</v>
      </c>
      <c r="E1874" t="s">
        <v>976</v>
      </c>
      <c r="G1874" t="s">
        <v>53</v>
      </c>
      <c r="H1874" t="s">
        <v>978</v>
      </c>
      <c r="I1874" t="s">
        <v>19</v>
      </c>
      <c r="J1874">
        <v>20125729</v>
      </c>
      <c r="K1874">
        <v>20125729</v>
      </c>
      <c r="L1874" t="str">
        <f>HYPERLINK("https://test.ictv.global/id/TN20111341","TN20111341@TEST")</f>
        <v>TN20111341@TEST</v>
      </c>
      <c r="M1874" t="str">
        <f>HYPERLINK("https://test.ictv.global/id/ICTV19710046","ICTV19710046@TEST")</f>
        <v>ICTV19710046@TEST</v>
      </c>
      <c r="N1874" t="str">
        <f>HYPERLINK("https://ictv.global/id/TN20111341","TN20111341@prod")</f>
        <v>TN20111341@prod</v>
      </c>
      <c r="O1874" t="str">
        <f>HYPERLINK("https://ictv.global/id/ICTV19710046","ICTV19710046@prod")</f>
        <v>ICTV19710046@prod</v>
      </c>
    </row>
    <row r="1875" spans="1:15" x14ac:dyDescent="0.2">
      <c r="A1875">
        <v>26</v>
      </c>
      <c r="B1875">
        <v>20113261</v>
      </c>
      <c r="C1875">
        <v>20083756</v>
      </c>
      <c r="D1875" t="s">
        <v>29</v>
      </c>
      <c r="E1875" t="s">
        <v>2102</v>
      </c>
      <c r="G1875" t="s">
        <v>1165</v>
      </c>
      <c r="L1875" t="str">
        <f>HYPERLINK("https://test.ictv.global/id/TN20113261","TN20113261@TEST")</f>
        <v>TN20113261@TEST</v>
      </c>
      <c r="M1875" t="str">
        <f>HYPERLINK("https://test.ictv.global/id/ICTV20083756","ICTV20083756@TEST")</f>
        <v>ICTV20083756@TEST</v>
      </c>
      <c r="N1875" t="str">
        <f>HYPERLINK("https://ictv.global/id/TN20113261","TN20113261@prod")</f>
        <v>TN20113261@prod</v>
      </c>
      <c r="O1875" t="str">
        <f>HYPERLINK("https://ictv.global/id/ICTV20083756","ICTV20083756@prod")</f>
        <v>ICTV20083756@prod</v>
      </c>
    </row>
    <row r="1876" spans="1:15" x14ac:dyDescent="0.2">
      <c r="A1876">
        <v>26</v>
      </c>
      <c r="B1876">
        <v>20113487</v>
      </c>
      <c r="C1876">
        <v>20073432</v>
      </c>
      <c r="D1876" t="s">
        <v>29</v>
      </c>
      <c r="E1876" t="s">
        <v>2103</v>
      </c>
      <c r="G1876" t="s">
        <v>1165</v>
      </c>
      <c r="L1876" t="str">
        <f>HYPERLINK("https://test.ictv.global/id/TN20113487","TN20113487@TEST")</f>
        <v>TN20113487@TEST</v>
      </c>
      <c r="M1876" t="str">
        <f>HYPERLINK("https://test.ictv.global/id/ICTV20073432","ICTV20073432@TEST")</f>
        <v>ICTV20073432@TEST</v>
      </c>
      <c r="N1876" t="str">
        <f>HYPERLINK("https://ictv.global/id/TN20113487","TN20113487@prod")</f>
        <v>TN20113487@prod</v>
      </c>
      <c r="O1876" t="str">
        <f>HYPERLINK("https://ictv.global/id/ICTV20073432","ICTV20073432@prod")</f>
        <v>ICTV20073432@prod</v>
      </c>
    </row>
    <row r="1877" spans="1:15" x14ac:dyDescent="0.2">
      <c r="A1877">
        <v>26</v>
      </c>
      <c r="B1877">
        <v>20113821</v>
      </c>
      <c r="C1877">
        <v>20021017</v>
      </c>
      <c r="D1877" t="s">
        <v>29</v>
      </c>
      <c r="E1877" t="s">
        <v>2104</v>
      </c>
      <c r="G1877" t="s">
        <v>1165</v>
      </c>
      <c r="L1877" t="str">
        <f>HYPERLINK("https://test.ictv.global/id/TN20113821","TN20113821@TEST")</f>
        <v>TN20113821@TEST</v>
      </c>
      <c r="M1877" t="str">
        <f>HYPERLINK("https://test.ictv.global/id/ICTV20021017","ICTV20021017@TEST")</f>
        <v>ICTV20021017@TEST</v>
      </c>
      <c r="N1877" t="str">
        <f>HYPERLINK("https://ictv.global/id/TN20113821","TN20113821@prod")</f>
        <v>TN20113821@prod</v>
      </c>
      <c r="O1877" t="str">
        <f>HYPERLINK("https://ictv.global/id/ICTV20021017","ICTV20021017@prod")</f>
        <v>ICTV20021017@prod</v>
      </c>
    </row>
    <row r="1878" spans="1:15" x14ac:dyDescent="0.2">
      <c r="A1878">
        <v>26</v>
      </c>
      <c r="B1878">
        <v>20113822</v>
      </c>
      <c r="C1878">
        <v>20021018</v>
      </c>
      <c r="D1878" t="s">
        <v>29</v>
      </c>
      <c r="E1878" t="s">
        <v>2105</v>
      </c>
      <c r="G1878" t="s">
        <v>1165</v>
      </c>
      <c r="L1878" t="str">
        <f>HYPERLINK("https://test.ictv.global/id/TN20113822","TN20113822@TEST")</f>
        <v>TN20113822@TEST</v>
      </c>
      <c r="M1878" t="str">
        <f>HYPERLINK("https://test.ictv.global/id/ICTV20021018","ICTV20021018@TEST")</f>
        <v>ICTV20021018@TEST</v>
      </c>
      <c r="N1878" t="str">
        <f>HYPERLINK("https://ictv.global/id/TN20113822","TN20113822@prod")</f>
        <v>TN20113822@prod</v>
      </c>
      <c r="O1878" t="str">
        <f>HYPERLINK("https://ictv.global/id/ICTV20021018","ICTV20021018@prod")</f>
        <v>ICTV20021018@prod</v>
      </c>
    </row>
    <row r="1879" spans="1:15" x14ac:dyDescent="0.2">
      <c r="A1879">
        <v>26</v>
      </c>
      <c r="B1879">
        <v>20113824</v>
      </c>
      <c r="C1879">
        <v>20084023</v>
      </c>
      <c r="D1879" t="s">
        <v>29</v>
      </c>
      <c r="E1879" t="s">
        <v>2106</v>
      </c>
      <c r="G1879" t="s">
        <v>1165</v>
      </c>
      <c r="L1879" t="str">
        <f>HYPERLINK("https://test.ictv.global/id/TN20113824","TN20113824@TEST")</f>
        <v>TN20113824@TEST</v>
      </c>
      <c r="M1879" t="str">
        <f>HYPERLINK("https://test.ictv.global/id/ICTV20084023","ICTV20084023@TEST")</f>
        <v>ICTV20084023@TEST</v>
      </c>
      <c r="N1879" t="str">
        <f>HYPERLINK("https://ictv.global/id/TN20113824","TN20113824@prod")</f>
        <v>TN20113824@prod</v>
      </c>
      <c r="O1879" t="str">
        <f>HYPERLINK("https://ictv.global/id/ICTV20084023","ICTV20084023@prod")</f>
        <v>ICTV20084023@prod</v>
      </c>
    </row>
    <row r="1880" spans="1:15" x14ac:dyDescent="0.2">
      <c r="A1880">
        <v>26</v>
      </c>
      <c r="B1880">
        <v>20113825</v>
      </c>
      <c r="C1880">
        <v>20084024</v>
      </c>
      <c r="D1880" t="s">
        <v>29</v>
      </c>
      <c r="E1880" t="s">
        <v>2107</v>
      </c>
      <c r="G1880" t="s">
        <v>1165</v>
      </c>
      <c r="L1880" t="str">
        <f>HYPERLINK("https://test.ictv.global/id/TN20113825","TN20113825@TEST")</f>
        <v>TN20113825@TEST</v>
      </c>
      <c r="M1880" t="str">
        <f>HYPERLINK("https://test.ictv.global/id/ICTV20084024","ICTV20084024@TEST")</f>
        <v>ICTV20084024@TEST</v>
      </c>
      <c r="N1880" t="str">
        <f>HYPERLINK("https://ictv.global/id/TN20113825","TN20113825@prod")</f>
        <v>TN20113825@prod</v>
      </c>
      <c r="O1880" t="str">
        <f>HYPERLINK("https://ictv.global/id/ICTV20084024","ICTV20084024@prod")</f>
        <v>ICTV20084024@prod</v>
      </c>
    </row>
    <row r="1881" spans="1:15" x14ac:dyDescent="0.2">
      <c r="A1881">
        <v>26</v>
      </c>
      <c r="B1881">
        <v>20113826</v>
      </c>
      <c r="C1881">
        <v>19981454</v>
      </c>
      <c r="D1881" t="s">
        <v>29</v>
      </c>
      <c r="E1881" t="s">
        <v>2108</v>
      </c>
      <c r="G1881" t="s">
        <v>1165</v>
      </c>
      <c r="L1881" t="str">
        <f>HYPERLINK("https://test.ictv.global/id/TN20113826","TN20113826@TEST")</f>
        <v>TN20113826@TEST</v>
      </c>
      <c r="M1881" t="str">
        <f>HYPERLINK("https://test.ictv.global/id/ICTV19981454","ICTV19981454@TEST")</f>
        <v>ICTV19981454@TEST</v>
      </c>
      <c r="N1881" t="str">
        <f>HYPERLINK("https://ictv.global/id/TN20113826","TN20113826@prod")</f>
        <v>TN20113826@prod</v>
      </c>
      <c r="O1881" t="str">
        <f>HYPERLINK("https://ictv.global/id/ICTV19981454","ICTV19981454@prod")</f>
        <v>ICTV19981454@prod</v>
      </c>
    </row>
    <row r="1882" spans="1:15" x14ac:dyDescent="0.2">
      <c r="A1882">
        <v>26</v>
      </c>
      <c r="B1882">
        <v>20113833</v>
      </c>
      <c r="C1882">
        <v>20093833</v>
      </c>
      <c r="D1882" t="s">
        <v>29</v>
      </c>
      <c r="E1882" t="s">
        <v>2109</v>
      </c>
      <c r="G1882" t="s">
        <v>1165</v>
      </c>
      <c r="L1882" t="str">
        <f>HYPERLINK("https://test.ictv.global/id/TN20113833","TN20113833@TEST")</f>
        <v>TN20113833@TEST</v>
      </c>
      <c r="M1882" t="str">
        <f>HYPERLINK("https://test.ictv.global/id/ICTV20093833","ICTV20093833@TEST")</f>
        <v>ICTV20093833@TEST</v>
      </c>
      <c r="N1882" t="str">
        <f>HYPERLINK("https://ictv.global/id/TN20113833","TN20113833@prod")</f>
        <v>TN20113833@prod</v>
      </c>
      <c r="O1882" t="str">
        <f>HYPERLINK("https://ictv.global/id/ICTV20093833","ICTV20093833@prod")</f>
        <v>ICTV20093833@prod</v>
      </c>
    </row>
    <row r="1883" spans="1:15" x14ac:dyDescent="0.2">
      <c r="A1883">
        <v>27</v>
      </c>
      <c r="B1883">
        <v>20121199</v>
      </c>
      <c r="C1883">
        <v>19870176</v>
      </c>
      <c r="D1883" t="s">
        <v>19</v>
      </c>
      <c r="E1883" t="s">
        <v>2110</v>
      </c>
      <c r="G1883" t="s">
        <v>1165</v>
      </c>
      <c r="L1883" t="str">
        <f>HYPERLINK("https://test.ictv.global/id/TN20121199","TN20121199@TEST")</f>
        <v>TN20121199@TEST</v>
      </c>
      <c r="M1883" t="str">
        <f>HYPERLINK("https://test.ictv.global/id/ICTV19870176","ICTV19870176@TEST")</f>
        <v>ICTV19870176@TEST</v>
      </c>
      <c r="N1883" t="str">
        <f>HYPERLINK("https://ictv.global/id/TN20121199","TN20121199@prod")</f>
        <v>TN20121199@prod</v>
      </c>
      <c r="O1883" t="str">
        <f>HYPERLINK("https://ictv.global/id/ICTV19870176","ICTV19870176@prod")</f>
        <v>ICTV19870176@prod</v>
      </c>
    </row>
    <row r="1884" spans="1:15" x14ac:dyDescent="0.2">
      <c r="A1884">
        <v>27</v>
      </c>
      <c r="B1884">
        <v>20121200</v>
      </c>
      <c r="C1884">
        <v>19870177</v>
      </c>
      <c r="D1884" t="s">
        <v>19</v>
      </c>
      <c r="E1884" t="s">
        <v>2111</v>
      </c>
      <c r="G1884" t="s">
        <v>1165</v>
      </c>
      <c r="L1884" t="str">
        <f>HYPERLINK("https://test.ictv.global/id/TN20121200","TN20121200@TEST")</f>
        <v>TN20121200@TEST</v>
      </c>
      <c r="M1884" t="str">
        <f>HYPERLINK("https://test.ictv.global/id/ICTV19870177","ICTV19870177@TEST")</f>
        <v>ICTV19870177@TEST</v>
      </c>
      <c r="N1884" t="str">
        <f>HYPERLINK("https://ictv.global/id/TN20121200","TN20121200@prod")</f>
        <v>TN20121200@prod</v>
      </c>
      <c r="O1884" t="str">
        <f>HYPERLINK("https://ictv.global/id/ICTV19870177","ICTV19870177@prod")</f>
        <v>ICTV19870177@prod</v>
      </c>
    </row>
    <row r="1885" spans="1:15" x14ac:dyDescent="0.2">
      <c r="A1885">
        <v>27</v>
      </c>
      <c r="B1885">
        <v>20121202</v>
      </c>
      <c r="C1885">
        <v>19840118</v>
      </c>
      <c r="D1885" t="s">
        <v>19</v>
      </c>
      <c r="E1885" t="s">
        <v>187</v>
      </c>
      <c r="G1885" t="s">
        <v>1165</v>
      </c>
      <c r="L1885" t="str">
        <f>HYPERLINK("https://test.ictv.global/id/TN20121202","TN20121202@TEST")</f>
        <v>TN20121202@TEST</v>
      </c>
      <c r="M1885" t="str">
        <f>HYPERLINK("https://test.ictv.global/id/ICTV19840118","ICTV19840118@TEST")</f>
        <v>ICTV19840118@TEST</v>
      </c>
      <c r="N1885" t="str">
        <f>HYPERLINK("https://ictv.global/id/TN20121202","TN20121202@prod")</f>
        <v>TN20121202@prod</v>
      </c>
      <c r="O1885" t="str">
        <f>HYPERLINK("https://ictv.global/id/ICTV19840118","ICTV19840118@prod")</f>
        <v>ICTV19840118@prod</v>
      </c>
    </row>
    <row r="1886" spans="1:15" x14ac:dyDescent="0.2">
      <c r="A1886">
        <v>27</v>
      </c>
      <c r="B1886">
        <v>20121206</v>
      </c>
      <c r="C1886">
        <v>20040342</v>
      </c>
      <c r="D1886" t="s">
        <v>19</v>
      </c>
      <c r="E1886" t="s">
        <v>2112</v>
      </c>
      <c r="G1886" t="s">
        <v>1165</v>
      </c>
      <c r="L1886" t="str">
        <f>HYPERLINK("https://test.ictv.global/id/TN20121206","TN20121206@TEST")</f>
        <v>TN20121206@TEST</v>
      </c>
      <c r="M1886" t="str">
        <f>HYPERLINK("https://test.ictv.global/id/ICTV20040342","ICTV20040342@TEST")</f>
        <v>ICTV20040342@TEST</v>
      </c>
      <c r="N1886" t="str">
        <f>HYPERLINK("https://ictv.global/id/TN20121206","TN20121206@prod")</f>
        <v>TN20121206@prod</v>
      </c>
      <c r="O1886" t="str">
        <f>HYPERLINK("https://ictv.global/id/ICTV20040342","ICTV20040342@prod")</f>
        <v>ICTV20040342@prod</v>
      </c>
    </row>
    <row r="1887" spans="1:15" x14ac:dyDescent="0.2">
      <c r="A1887">
        <v>27</v>
      </c>
      <c r="B1887">
        <v>20123677</v>
      </c>
      <c r="C1887">
        <v>20041145</v>
      </c>
      <c r="D1887" t="s">
        <v>29</v>
      </c>
      <c r="E1887" t="s">
        <v>979</v>
      </c>
      <c r="G1887" t="s">
        <v>33</v>
      </c>
      <c r="H1887" t="s">
        <v>980</v>
      </c>
      <c r="I1887" t="s">
        <v>29</v>
      </c>
      <c r="J1887">
        <v>20041185</v>
      </c>
      <c r="K1887">
        <v>20131826</v>
      </c>
      <c r="L1887" t="str">
        <f>HYPERLINK("https://test.ictv.global/id/TN20123677","TN20123677@TEST")</f>
        <v>TN20123677@TEST</v>
      </c>
      <c r="M1887" t="str">
        <f>HYPERLINK("https://test.ictv.global/id/ICTV20041145","ICTV20041145@TEST")</f>
        <v>ICTV20041145@TEST</v>
      </c>
      <c r="N1887" t="str">
        <f>HYPERLINK("https://ictv.global/id/TN20123677","TN20123677@prod")</f>
        <v>TN20123677@prod</v>
      </c>
      <c r="O1887" t="str">
        <f>HYPERLINK("https://ictv.global/id/ICTV20041145","ICTV20041145@prod")</f>
        <v>ICTV20041145@prod</v>
      </c>
    </row>
    <row r="1888" spans="1:15" x14ac:dyDescent="0.2">
      <c r="A1888">
        <v>27</v>
      </c>
      <c r="B1888">
        <v>20123751</v>
      </c>
      <c r="C1888">
        <v>20083951</v>
      </c>
      <c r="D1888" t="s">
        <v>29</v>
      </c>
      <c r="E1888" t="s">
        <v>981</v>
      </c>
      <c r="G1888" t="s">
        <v>33</v>
      </c>
      <c r="H1888" t="s">
        <v>980</v>
      </c>
      <c r="I1888" t="s">
        <v>29</v>
      </c>
      <c r="J1888">
        <v>20041185</v>
      </c>
      <c r="K1888">
        <v>20131826</v>
      </c>
      <c r="L1888" t="str">
        <f>HYPERLINK("https://test.ictv.global/id/TN20123751","TN20123751@TEST")</f>
        <v>TN20123751@TEST</v>
      </c>
      <c r="M1888" t="str">
        <f>HYPERLINK("https://test.ictv.global/id/ICTV20083951","ICTV20083951@TEST")</f>
        <v>ICTV20083951@TEST</v>
      </c>
      <c r="N1888" t="str">
        <f>HYPERLINK("https://ictv.global/id/TN20123751","TN20123751@prod")</f>
        <v>TN20123751@prod</v>
      </c>
      <c r="O1888" t="str">
        <f>HYPERLINK("https://ictv.global/id/ICTV20083951","ICTV20083951@prod")</f>
        <v>ICTV20083951@prod</v>
      </c>
    </row>
    <row r="1889" spans="1:15" x14ac:dyDescent="0.2">
      <c r="A1889">
        <v>27</v>
      </c>
      <c r="B1889">
        <v>20123752</v>
      </c>
      <c r="C1889">
        <v>20083952</v>
      </c>
      <c r="D1889" t="s">
        <v>29</v>
      </c>
      <c r="E1889" t="s">
        <v>982</v>
      </c>
      <c r="G1889" t="s">
        <v>33</v>
      </c>
      <c r="H1889" t="s">
        <v>980</v>
      </c>
      <c r="I1889" t="s">
        <v>29</v>
      </c>
      <c r="J1889">
        <v>20041185</v>
      </c>
      <c r="K1889">
        <v>20131826</v>
      </c>
      <c r="L1889" t="str">
        <f>HYPERLINK("https://test.ictv.global/id/TN20123752","TN20123752@TEST")</f>
        <v>TN20123752@TEST</v>
      </c>
      <c r="M1889" t="str">
        <f>HYPERLINK("https://test.ictv.global/id/ICTV20083952","ICTV20083952@TEST")</f>
        <v>ICTV20083952@TEST</v>
      </c>
      <c r="N1889" t="str">
        <f>HYPERLINK("https://ictv.global/id/TN20123752","TN20123752@prod")</f>
        <v>TN20123752@prod</v>
      </c>
      <c r="O1889" t="str">
        <f>HYPERLINK("https://ictv.global/id/ICTV20083952","ICTV20083952@prod")</f>
        <v>ICTV20083952@prod</v>
      </c>
    </row>
    <row r="1890" spans="1:15" x14ac:dyDescent="0.2">
      <c r="A1890">
        <v>27</v>
      </c>
      <c r="B1890">
        <v>20123753</v>
      </c>
      <c r="C1890">
        <v>20041185</v>
      </c>
      <c r="D1890" t="s">
        <v>29</v>
      </c>
      <c r="E1890" t="s">
        <v>980</v>
      </c>
      <c r="G1890" t="s">
        <v>33</v>
      </c>
      <c r="H1890" t="s">
        <v>980</v>
      </c>
      <c r="I1890" t="s">
        <v>29</v>
      </c>
      <c r="J1890">
        <v>20041185</v>
      </c>
      <c r="K1890">
        <v>20131826</v>
      </c>
      <c r="L1890" t="str">
        <f>HYPERLINK("https://test.ictv.global/id/TN20123753","TN20123753@TEST")</f>
        <v>TN20123753@TEST</v>
      </c>
      <c r="M1890" t="str">
        <f>HYPERLINK("https://test.ictv.global/id/ICTV20041185","ICTV20041185@TEST")</f>
        <v>ICTV20041185@TEST</v>
      </c>
      <c r="N1890" t="str">
        <f>HYPERLINK("https://ictv.global/id/TN20123753","TN20123753@prod")</f>
        <v>TN20123753@prod</v>
      </c>
      <c r="O1890" t="str">
        <f>HYPERLINK("https://ictv.global/id/ICTV20041185","ICTV20041185@prod")</f>
        <v>ICTV20041185@prod</v>
      </c>
    </row>
    <row r="1891" spans="1:15" x14ac:dyDescent="0.2">
      <c r="A1891">
        <v>27</v>
      </c>
      <c r="B1891">
        <v>20123768</v>
      </c>
      <c r="C1891">
        <v>20083968</v>
      </c>
      <c r="D1891" t="s">
        <v>29</v>
      </c>
      <c r="E1891" t="s">
        <v>983</v>
      </c>
      <c r="G1891" t="s">
        <v>33</v>
      </c>
      <c r="H1891" t="s">
        <v>983</v>
      </c>
      <c r="I1891" t="s">
        <v>29</v>
      </c>
      <c r="J1891">
        <v>20083968</v>
      </c>
      <c r="K1891">
        <v>20131841</v>
      </c>
      <c r="L1891" t="str">
        <f>HYPERLINK("https://test.ictv.global/id/TN20123768","TN20123768@TEST")</f>
        <v>TN20123768@TEST</v>
      </c>
      <c r="M1891" t="str">
        <f>HYPERLINK("https://test.ictv.global/id/ICTV20083968","ICTV20083968@TEST")</f>
        <v>ICTV20083968@TEST</v>
      </c>
      <c r="N1891" t="str">
        <f>HYPERLINK("https://ictv.global/id/TN20123768","TN20123768@prod")</f>
        <v>TN20123768@prod</v>
      </c>
      <c r="O1891" t="str">
        <f>HYPERLINK("https://ictv.global/id/ICTV20083968","ICTV20083968@prod")</f>
        <v>ICTV20083968@prod</v>
      </c>
    </row>
    <row r="1892" spans="1:15" x14ac:dyDescent="0.2">
      <c r="A1892">
        <v>27</v>
      </c>
      <c r="B1892">
        <v>20123782</v>
      </c>
      <c r="C1892">
        <v>20083982</v>
      </c>
      <c r="D1892" t="s">
        <v>29</v>
      </c>
      <c r="E1892" t="s">
        <v>984</v>
      </c>
      <c r="G1892" t="s">
        <v>33</v>
      </c>
      <c r="H1892" t="s">
        <v>983</v>
      </c>
      <c r="I1892" t="s">
        <v>29</v>
      </c>
      <c r="J1892">
        <v>20083968</v>
      </c>
      <c r="K1892">
        <v>20131841</v>
      </c>
      <c r="L1892" t="str">
        <f>HYPERLINK("https://test.ictv.global/id/TN20123782","TN20123782@TEST")</f>
        <v>TN20123782@TEST</v>
      </c>
      <c r="M1892" t="str">
        <f>HYPERLINK("https://test.ictv.global/id/ICTV20083982","ICTV20083982@TEST")</f>
        <v>ICTV20083982@TEST</v>
      </c>
      <c r="N1892" t="str">
        <f>HYPERLINK("https://ictv.global/id/TN20123782","TN20123782@prod")</f>
        <v>TN20123782@prod</v>
      </c>
      <c r="O1892" t="str">
        <f>HYPERLINK("https://ictv.global/id/ICTV20083982","ICTV20083982@prod")</f>
        <v>ICTV20083982@prod</v>
      </c>
    </row>
    <row r="1893" spans="1:15" x14ac:dyDescent="0.2">
      <c r="A1893">
        <v>27</v>
      </c>
      <c r="B1893">
        <v>20124266</v>
      </c>
      <c r="C1893">
        <v>19931197</v>
      </c>
      <c r="D1893" t="s">
        <v>29</v>
      </c>
      <c r="E1893" t="s">
        <v>985</v>
      </c>
      <c r="G1893" t="s">
        <v>33</v>
      </c>
      <c r="H1893" t="s">
        <v>986</v>
      </c>
      <c r="I1893" t="s">
        <v>29</v>
      </c>
      <c r="J1893">
        <v>20132530</v>
      </c>
      <c r="K1893">
        <v>20132530</v>
      </c>
      <c r="L1893" t="str">
        <f>HYPERLINK("https://test.ictv.global/id/TN20124266","TN20124266@TEST")</f>
        <v>TN20124266@TEST</v>
      </c>
      <c r="M1893" t="str">
        <f>HYPERLINK("https://test.ictv.global/id/ICTV19931197","ICTV19931197@TEST")</f>
        <v>ICTV19931197@TEST</v>
      </c>
      <c r="N1893" t="str">
        <f>HYPERLINK("https://ictv.global/id/TN20124266","TN20124266@prod")</f>
        <v>TN20124266@prod</v>
      </c>
      <c r="O1893" t="str">
        <f>HYPERLINK("https://ictv.global/id/ICTV19931197","ICTV19931197@prod")</f>
        <v>ICTV19931197@prod</v>
      </c>
    </row>
    <row r="1894" spans="1:15" x14ac:dyDescent="0.2">
      <c r="A1894">
        <v>27</v>
      </c>
      <c r="B1894">
        <v>20124267</v>
      </c>
      <c r="C1894">
        <v>19951447</v>
      </c>
      <c r="D1894" t="s">
        <v>29</v>
      </c>
      <c r="E1894" t="s">
        <v>987</v>
      </c>
      <c r="G1894" t="s">
        <v>31</v>
      </c>
      <c r="H1894" t="s">
        <v>986</v>
      </c>
      <c r="I1894" t="s">
        <v>29</v>
      </c>
      <c r="J1894">
        <v>20132530</v>
      </c>
      <c r="K1894">
        <v>20132530</v>
      </c>
      <c r="L1894" t="str">
        <f>HYPERLINK("https://test.ictv.global/id/TN20124267","TN20124267@TEST")</f>
        <v>TN20124267@TEST</v>
      </c>
      <c r="M1894" t="str">
        <f>HYPERLINK("https://test.ictv.global/id/ICTV19951447","ICTV19951447@TEST")</f>
        <v>ICTV19951447@TEST</v>
      </c>
      <c r="N1894" t="str">
        <f>HYPERLINK("https://ictv.global/id/TN20124267","TN20124267@prod")</f>
        <v>TN20124267@prod</v>
      </c>
      <c r="O1894" t="str">
        <f>HYPERLINK("https://ictv.global/id/ICTV19951447","ICTV19951447@prod")</f>
        <v>ICTV19951447@prod</v>
      </c>
    </row>
    <row r="1895" spans="1:15" x14ac:dyDescent="0.2">
      <c r="A1895">
        <v>27</v>
      </c>
      <c r="B1895">
        <v>20124268</v>
      </c>
      <c r="C1895">
        <v>19750175</v>
      </c>
      <c r="D1895" t="s">
        <v>29</v>
      </c>
      <c r="E1895" t="s">
        <v>988</v>
      </c>
      <c r="G1895" t="s">
        <v>31</v>
      </c>
      <c r="H1895" t="s">
        <v>989</v>
      </c>
      <c r="I1895" t="s">
        <v>29</v>
      </c>
      <c r="J1895">
        <v>20132539</v>
      </c>
      <c r="K1895">
        <v>20132539</v>
      </c>
      <c r="L1895" t="str">
        <f>HYPERLINK("https://test.ictv.global/id/TN20124268","TN20124268@TEST")</f>
        <v>TN20124268@TEST</v>
      </c>
      <c r="M1895" t="str">
        <f>HYPERLINK("https://test.ictv.global/id/ICTV19750175","ICTV19750175@TEST")</f>
        <v>ICTV19750175@TEST</v>
      </c>
      <c r="N1895" t="str">
        <f>HYPERLINK("https://ictv.global/id/TN20124268","TN20124268@prod")</f>
        <v>TN20124268@prod</v>
      </c>
      <c r="O1895" t="str">
        <f>HYPERLINK("https://ictv.global/id/ICTV19750175","ICTV19750175@prod")</f>
        <v>ICTV19750175@prod</v>
      </c>
    </row>
    <row r="1896" spans="1:15" x14ac:dyDescent="0.2">
      <c r="A1896">
        <v>27</v>
      </c>
      <c r="B1896">
        <v>20124269</v>
      </c>
      <c r="C1896">
        <v>19760305</v>
      </c>
      <c r="D1896" t="s">
        <v>29</v>
      </c>
      <c r="E1896" t="s">
        <v>990</v>
      </c>
      <c r="G1896" t="s">
        <v>33</v>
      </c>
      <c r="H1896" t="s">
        <v>989</v>
      </c>
      <c r="I1896" t="s">
        <v>29</v>
      </c>
      <c r="J1896">
        <v>20132539</v>
      </c>
      <c r="K1896">
        <v>20132539</v>
      </c>
      <c r="L1896" t="str">
        <f>HYPERLINK("https://test.ictv.global/id/TN20124269","TN20124269@TEST")</f>
        <v>TN20124269@TEST</v>
      </c>
      <c r="M1896" t="str">
        <f>HYPERLINK("https://test.ictv.global/id/ICTV19760305","ICTV19760305@TEST")</f>
        <v>ICTV19760305@TEST</v>
      </c>
      <c r="N1896" t="str">
        <f>HYPERLINK("https://ictv.global/id/TN20124269","TN20124269@prod")</f>
        <v>TN20124269@prod</v>
      </c>
      <c r="O1896" t="str">
        <f>HYPERLINK("https://ictv.global/id/ICTV19760305","ICTV19760305@prod")</f>
        <v>ICTV19760305@prod</v>
      </c>
    </row>
    <row r="1897" spans="1:15" x14ac:dyDescent="0.2">
      <c r="A1897">
        <v>27</v>
      </c>
      <c r="B1897">
        <v>20124275</v>
      </c>
      <c r="C1897">
        <v>20074128</v>
      </c>
      <c r="D1897" t="s">
        <v>29</v>
      </c>
      <c r="E1897" t="s">
        <v>912</v>
      </c>
      <c r="G1897" t="s">
        <v>31</v>
      </c>
      <c r="H1897" t="s">
        <v>991</v>
      </c>
      <c r="I1897" t="s">
        <v>29</v>
      </c>
      <c r="J1897">
        <v>20132583</v>
      </c>
      <c r="K1897">
        <v>20132583</v>
      </c>
      <c r="L1897" t="str">
        <f>HYPERLINK("https://test.ictv.global/id/TN20124275","TN20124275@TEST")</f>
        <v>TN20124275@TEST</v>
      </c>
      <c r="M1897" t="str">
        <f>HYPERLINK("https://test.ictv.global/id/ICTV20074128","ICTV20074128@TEST")</f>
        <v>ICTV20074128@TEST</v>
      </c>
      <c r="N1897" t="str">
        <f>HYPERLINK("https://ictv.global/id/TN20124275","TN20124275@prod")</f>
        <v>TN20124275@prod</v>
      </c>
      <c r="O1897" t="str">
        <f>HYPERLINK("https://ictv.global/id/ICTV20074128","ICTV20074128@prod")</f>
        <v>ICTV20074128@prod</v>
      </c>
    </row>
    <row r="1898" spans="1:15" x14ac:dyDescent="0.2">
      <c r="A1898">
        <v>27</v>
      </c>
      <c r="B1898">
        <v>20124276</v>
      </c>
      <c r="C1898">
        <v>19710234</v>
      </c>
      <c r="D1898" t="s">
        <v>29</v>
      </c>
      <c r="E1898" t="s">
        <v>992</v>
      </c>
      <c r="G1898" t="s">
        <v>33</v>
      </c>
      <c r="H1898" t="s">
        <v>991</v>
      </c>
      <c r="I1898" t="s">
        <v>29</v>
      </c>
      <c r="J1898">
        <v>20132583</v>
      </c>
      <c r="K1898">
        <v>20132583</v>
      </c>
      <c r="L1898" t="str">
        <f>HYPERLINK("https://test.ictv.global/id/TN20124276","TN20124276@TEST")</f>
        <v>TN20124276@TEST</v>
      </c>
      <c r="M1898" t="str">
        <f>HYPERLINK("https://test.ictv.global/id/ICTV19710234","ICTV19710234@TEST")</f>
        <v>ICTV19710234@TEST</v>
      </c>
      <c r="N1898" t="str">
        <f>HYPERLINK("https://ictv.global/id/TN20124276","TN20124276@prod")</f>
        <v>TN20124276@prod</v>
      </c>
      <c r="O1898" t="str">
        <f>HYPERLINK("https://ictv.global/id/ICTV19710234","ICTV19710234@prod")</f>
        <v>ICTV19710234@prod</v>
      </c>
    </row>
    <row r="1899" spans="1:15" x14ac:dyDescent="0.2">
      <c r="A1899">
        <v>27</v>
      </c>
      <c r="B1899">
        <v>20124277</v>
      </c>
      <c r="C1899">
        <v>19710235</v>
      </c>
      <c r="D1899" t="s">
        <v>29</v>
      </c>
      <c r="E1899" t="s">
        <v>993</v>
      </c>
      <c r="G1899" t="s">
        <v>31</v>
      </c>
      <c r="H1899" t="s">
        <v>991</v>
      </c>
      <c r="I1899" t="s">
        <v>29</v>
      </c>
      <c r="J1899">
        <v>20132583</v>
      </c>
      <c r="K1899">
        <v>20132583</v>
      </c>
      <c r="L1899" t="str">
        <f>HYPERLINK("https://test.ictv.global/id/TN20124277","TN20124277@TEST")</f>
        <v>TN20124277@TEST</v>
      </c>
      <c r="M1899" t="str">
        <f>HYPERLINK("https://test.ictv.global/id/ICTV19710235","ICTV19710235@TEST")</f>
        <v>ICTV19710235@TEST</v>
      </c>
      <c r="N1899" t="str">
        <f>HYPERLINK("https://ictv.global/id/TN20124277","TN20124277@prod")</f>
        <v>TN20124277@prod</v>
      </c>
      <c r="O1899" t="str">
        <f>HYPERLINK("https://ictv.global/id/ICTV19710235","ICTV19710235@prod")</f>
        <v>ICTV19710235@prod</v>
      </c>
    </row>
    <row r="1900" spans="1:15" x14ac:dyDescent="0.2">
      <c r="A1900">
        <v>27</v>
      </c>
      <c r="B1900">
        <v>20124278</v>
      </c>
      <c r="C1900">
        <v>19710236</v>
      </c>
      <c r="D1900" t="s">
        <v>29</v>
      </c>
      <c r="E1900" t="s">
        <v>994</v>
      </c>
      <c r="G1900" t="s">
        <v>31</v>
      </c>
      <c r="H1900" t="s">
        <v>991</v>
      </c>
      <c r="I1900" t="s">
        <v>29</v>
      </c>
      <c r="J1900">
        <v>20132583</v>
      </c>
      <c r="K1900">
        <v>20132583</v>
      </c>
      <c r="L1900" t="str">
        <f>HYPERLINK("https://test.ictv.global/id/TN20124278","TN20124278@TEST")</f>
        <v>TN20124278@TEST</v>
      </c>
      <c r="M1900" t="str">
        <f>HYPERLINK("https://test.ictv.global/id/ICTV19710236","ICTV19710236@TEST")</f>
        <v>ICTV19710236@TEST</v>
      </c>
      <c r="N1900" t="str">
        <f>HYPERLINK("https://ictv.global/id/TN20124278","TN20124278@prod")</f>
        <v>TN20124278@prod</v>
      </c>
      <c r="O1900" t="str">
        <f>HYPERLINK("https://ictv.global/id/ICTV19710236","ICTV19710236@prod")</f>
        <v>ICTV19710236@prod</v>
      </c>
    </row>
    <row r="1901" spans="1:15" x14ac:dyDescent="0.2">
      <c r="A1901">
        <v>27</v>
      </c>
      <c r="B1901">
        <v>20124279</v>
      </c>
      <c r="C1901">
        <v>19951455</v>
      </c>
      <c r="D1901" t="s">
        <v>29</v>
      </c>
      <c r="E1901" t="s">
        <v>995</v>
      </c>
      <c r="G1901" t="s">
        <v>33</v>
      </c>
      <c r="H1901" t="s">
        <v>996</v>
      </c>
      <c r="I1901" t="s">
        <v>29</v>
      </c>
      <c r="J1901">
        <v>20132584</v>
      </c>
      <c r="K1901">
        <v>20132584</v>
      </c>
      <c r="L1901" t="str">
        <f>HYPERLINK("https://test.ictv.global/id/TN20124279","TN20124279@TEST")</f>
        <v>TN20124279@TEST</v>
      </c>
      <c r="M1901" t="str">
        <f>HYPERLINK("https://test.ictv.global/id/ICTV19951455","ICTV19951455@TEST")</f>
        <v>ICTV19951455@TEST</v>
      </c>
      <c r="N1901" t="str">
        <f>HYPERLINK("https://ictv.global/id/TN20124279","TN20124279@prod")</f>
        <v>TN20124279@prod</v>
      </c>
      <c r="O1901" t="str">
        <f>HYPERLINK("https://ictv.global/id/ICTV19951455","ICTV19951455@prod")</f>
        <v>ICTV19951455@prod</v>
      </c>
    </row>
    <row r="1902" spans="1:15" x14ac:dyDescent="0.2">
      <c r="A1902">
        <v>27</v>
      </c>
      <c r="B1902">
        <v>20124281</v>
      </c>
      <c r="C1902">
        <v>19760303</v>
      </c>
      <c r="D1902" t="s">
        <v>29</v>
      </c>
      <c r="E1902" t="s">
        <v>997</v>
      </c>
      <c r="G1902" t="s">
        <v>33</v>
      </c>
      <c r="H1902" t="s">
        <v>996</v>
      </c>
      <c r="I1902" t="s">
        <v>29</v>
      </c>
      <c r="J1902">
        <v>20132584</v>
      </c>
      <c r="K1902">
        <v>20132584</v>
      </c>
      <c r="L1902" t="str">
        <f>HYPERLINK("https://test.ictv.global/id/TN20124281","TN20124281@TEST")</f>
        <v>TN20124281@TEST</v>
      </c>
      <c r="M1902" t="str">
        <f>HYPERLINK("https://test.ictv.global/id/ICTV19760303","ICTV19760303@TEST")</f>
        <v>ICTV19760303@TEST</v>
      </c>
      <c r="N1902" t="str">
        <f>HYPERLINK("https://ictv.global/id/TN20124281","TN20124281@prod")</f>
        <v>TN20124281@prod</v>
      </c>
      <c r="O1902" t="str">
        <f>HYPERLINK("https://ictv.global/id/ICTV19760303","ICTV19760303@prod")</f>
        <v>ICTV19760303@prod</v>
      </c>
    </row>
    <row r="1903" spans="1:15" x14ac:dyDescent="0.2">
      <c r="A1903">
        <v>27</v>
      </c>
      <c r="B1903">
        <v>20124282</v>
      </c>
      <c r="C1903">
        <v>19820640</v>
      </c>
      <c r="D1903" t="s">
        <v>29</v>
      </c>
      <c r="E1903" t="s">
        <v>2113</v>
      </c>
      <c r="G1903" t="s">
        <v>1165</v>
      </c>
      <c r="L1903" t="str">
        <f>HYPERLINK("https://test.ictv.global/id/TN20124282","TN20124282@TEST")</f>
        <v>TN20124282@TEST</v>
      </c>
      <c r="M1903" t="str">
        <f>HYPERLINK("https://test.ictv.global/id/ICTV19820640","ICTV19820640@TEST")</f>
        <v>ICTV19820640@TEST</v>
      </c>
      <c r="N1903" t="str">
        <f>HYPERLINK("https://ictv.global/id/TN20124282","TN20124282@prod")</f>
        <v>TN20124282@prod</v>
      </c>
      <c r="O1903" t="str">
        <f>HYPERLINK("https://ictv.global/id/ICTV19820640","ICTV19820640@prod")</f>
        <v>ICTV19820640@prod</v>
      </c>
    </row>
    <row r="1904" spans="1:15" x14ac:dyDescent="0.2">
      <c r="A1904">
        <v>27</v>
      </c>
      <c r="B1904">
        <v>20124283</v>
      </c>
      <c r="C1904">
        <v>19991209</v>
      </c>
      <c r="D1904" t="s">
        <v>29</v>
      </c>
      <c r="E1904" t="s">
        <v>998</v>
      </c>
      <c r="G1904" t="s">
        <v>33</v>
      </c>
      <c r="H1904" t="s">
        <v>999</v>
      </c>
      <c r="I1904" t="s">
        <v>29</v>
      </c>
      <c r="J1904">
        <v>20132585</v>
      </c>
      <c r="K1904">
        <v>20132585</v>
      </c>
      <c r="L1904" t="str">
        <f>HYPERLINK("https://test.ictv.global/id/TN20124283","TN20124283@TEST")</f>
        <v>TN20124283@TEST</v>
      </c>
      <c r="M1904" t="str">
        <f>HYPERLINK("https://test.ictv.global/id/ICTV19991209","ICTV19991209@TEST")</f>
        <v>ICTV19991209@TEST</v>
      </c>
      <c r="N1904" t="str">
        <f>HYPERLINK("https://ictv.global/id/TN20124283","TN20124283@prod")</f>
        <v>TN20124283@prod</v>
      </c>
      <c r="O1904" t="str">
        <f>HYPERLINK("https://ictv.global/id/ICTV19991209","ICTV19991209@prod")</f>
        <v>ICTV19991209@prod</v>
      </c>
    </row>
    <row r="1905" spans="1:15" x14ac:dyDescent="0.2">
      <c r="A1905">
        <v>27</v>
      </c>
      <c r="B1905">
        <v>20124284</v>
      </c>
      <c r="C1905">
        <v>19951459</v>
      </c>
      <c r="D1905" t="s">
        <v>29</v>
      </c>
      <c r="E1905" t="s">
        <v>2114</v>
      </c>
      <c r="G1905" t="s">
        <v>1165</v>
      </c>
      <c r="L1905" t="str">
        <f>HYPERLINK("https://test.ictv.global/id/TN20124284","TN20124284@TEST")</f>
        <v>TN20124284@TEST</v>
      </c>
      <c r="M1905" t="str">
        <f>HYPERLINK("https://test.ictv.global/id/ICTV19951459","ICTV19951459@TEST")</f>
        <v>ICTV19951459@TEST</v>
      </c>
      <c r="N1905" t="str">
        <f>HYPERLINK("https://ictv.global/id/TN20124284","TN20124284@prod")</f>
        <v>TN20124284@prod</v>
      </c>
      <c r="O1905" t="str">
        <f>HYPERLINK("https://ictv.global/id/ICTV19951459","ICTV19951459@prod")</f>
        <v>ICTV19951459@prod</v>
      </c>
    </row>
    <row r="1906" spans="1:15" x14ac:dyDescent="0.2">
      <c r="A1906">
        <v>27</v>
      </c>
      <c r="B1906">
        <v>20124285</v>
      </c>
      <c r="C1906">
        <v>19760308</v>
      </c>
      <c r="D1906" t="s">
        <v>29</v>
      </c>
      <c r="E1906" t="s">
        <v>1000</v>
      </c>
      <c r="G1906" t="s">
        <v>33</v>
      </c>
      <c r="H1906" t="s">
        <v>999</v>
      </c>
      <c r="I1906" t="s">
        <v>29</v>
      </c>
      <c r="J1906">
        <v>20132585</v>
      </c>
      <c r="K1906">
        <v>20132585</v>
      </c>
      <c r="L1906" t="str">
        <f>HYPERLINK("https://test.ictv.global/id/TN20124285","TN20124285@TEST")</f>
        <v>TN20124285@TEST</v>
      </c>
      <c r="M1906" t="str">
        <f>HYPERLINK("https://test.ictv.global/id/ICTV19760308","ICTV19760308@TEST")</f>
        <v>ICTV19760308@TEST</v>
      </c>
      <c r="N1906" t="str">
        <f>HYPERLINK("https://ictv.global/id/TN20124285","TN20124285@prod")</f>
        <v>TN20124285@prod</v>
      </c>
      <c r="O1906" t="str">
        <f>HYPERLINK("https://ictv.global/id/ICTV19760308","ICTV19760308@prod")</f>
        <v>ICTV19760308@prod</v>
      </c>
    </row>
    <row r="1907" spans="1:15" x14ac:dyDescent="0.2">
      <c r="A1907">
        <v>27</v>
      </c>
      <c r="B1907">
        <v>20124286</v>
      </c>
      <c r="C1907">
        <v>19951460</v>
      </c>
      <c r="D1907" t="s">
        <v>29</v>
      </c>
      <c r="E1907" t="s">
        <v>2115</v>
      </c>
      <c r="G1907" t="s">
        <v>1165</v>
      </c>
      <c r="L1907" t="str">
        <f>HYPERLINK("https://test.ictv.global/id/TN20124286","TN20124286@TEST")</f>
        <v>TN20124286@TEST</v>
      </c>
      <c r="M1907" t="str">
        <f>HYPERLINK("https://test.ictv.global/id/ICTV19951460","ICTV19951460@TEST")</f>
        <v>ICTV19951460@TEST</v>
      </c>
      <c r="N1907" t="str">
        <f>HYPERLINK("https://ictv.global/id/TN20124286","TN20124286@prod")</f>
        <v>TN20124286@prod</v>
      </c>
      <c r="O1907" t="str">
        <f>HYPERLINK("https://ictv.global/id/ICTV19951460","ICTV19951460@prod")</f>
        <v>ICTV19951460@prod</v>
      </c>
    </row>
    <row r="1908" spans="1:15" x14ac:dyDescent="0.2">
      <c r="A1908">
        <v>27</v>
      </c>
      <c r="B1908">
        <v>20124293</v>
      </c>
      <c r="C1908">
        <v>19710238</v>
      </c>
      <c r="D1908" t="s">
        <v>29</v>
      </c>
      <c r="E1908" t="s">
        <v>1001</v>
      </c>
      <c r="G1908" t="s">
        <v>31</v>
      </c>
      <c r="H1908" t="s">
        <v>1002</v>
      </c>
      <c r="I1908" t="s">
        <v>29</v>
      </c>
      <c r="J1908">
        <v>20132616</v>
      </c>
      <c r="K1908">
        <v>20132616</v>
      </c>
      <c r="L1908" t="str">
        <f>HYPERLINK("https://test.ictv.global/id/TN20124293","TN20124293@TEST")</f>
        <v>TN20124293@TEST</v>
      </c>
      <c r="M1908" t="str">
        <f>HYPERLINK("https://test.ictv.global/id/ICTV19710238","ICTV19710238@TEST")</f>
        <v>ICTV19710238@TEST</v>
      </c>
      <c r="N1908" t="str">
        <f>HYPERLINK("https://ictv.global/id/TN20124293","TN20124293@prod")</f>
        <v>TN20124293@prod</v>
      </c>
      <c r="O1908" t="str">
        <f>HYPERLINK("https://ictv.global/id/ICTV19710238","ICTV19710238@prod")</f>
        <v>ICTV19710238@prod</v>
      </c>
    </row>
    <row r="1909" spans="1:15" x14ac:dyDescent="0.2">
      <c r="A1909">
        <v>27</v>
      </c>
      <c r="B1909">
        <v>20124294</v>
      </c>
      <c r="C1909">
        <v>19951471</v>
      </c>
      <c r="D1909" t="s">
        <v>29</v>
      </c>
      <c r="E1909" t="s">
        <v>2116</v>
      </c>
      <c r="G1909" t="s">
        <v>1165</v>
      </c>
      <c r="L1909" t="str">
        <f>HYPERLINK("https://test.ictv.global/id/TN20124294","TN20124294@TEST")</f>
        <v>TN20124294@TEST</v>
      </c>
      <c r="M1909" t="str">
        <f>HYPERLINK("https://test.ictv.global/id/ICTV19951471","ICTV19951471@TEST")</f>
        <v>ICTV19951471@TEST</v>
      </c>
      <c r="N1909" t="str">
        <f>HYPERLINK("https://ictv.global/id/TN20124294","TN20124294@prod")</f>
        <v>TN20124294@prod</v>
      </c>
      <c r="O1909" t="str">
        <f>HYPERLINK("https://ictv.global/id/ICTV19951471","ICTV19951471@prod")</f>
        <v>ICTV19951471@prod</v>
      </c>
    </row>
    <row r="1910" spans="1:15" x14ac:dyDescent="0.2">
      <c r="A1910">
        <v>27</v>
      </c>
      <c r="B1910">
        <v>20124295</v>
      </c>
      <c r="C1910">
        <v>19911042</v>
      </c>
      <c r="D1910" t="s">
        <v>29</v>
      </c>
      <c r="E1910" t="s">
        <v>1003</v>
      </c>
      <c r="G1910" t="s">
        <v>31</v>
      </c>
      <c r="H1910" t="s">
        <v>1002</v>
      </c>
      <c r="I1910" t="s">
        <v>29</v>
      </c>
      <c r="J1910">
        <v>20132616</v>
      </c>
      <c r="K1910">
        <v>20132616</v>
      </c>
      <c r="L1910" t="str">
        <f>HYPERLINK("https://test.ictv.global/id/TN20124295","TN20124295@TEST")</f>
        <v>TN20124295@TEST</v>
      </c>
      <c r="M1910" t="str">
        <f>HYPERLINK("https://test.ictv.global/id/ICTV19911042","ICTV19911042@TEST")</f>
        <v>ICTV19911042@TEST</v>
      </c>
      <c r="N1910" t="str">
        <f>HYPERLINK("https://ictv.global/id/TN20124295","TN20124295@prod")</f>
        <v>TN20124295@prod</v>
      </c>
      <c r="O1910" t="str">
        <f>HYPERLINK("https://ictv.global/id/ICTV19911042","ICTV19911042@prod")</f>
        <v>ICTV19911042@prod</v>
      </c>
    </row>
    <row r="1911" spans="1:15" x14ac:dyDescent="0.2">
      <c r="A1911">
        <v>27</v>
      </c>
      <c r="B1911">
        <v>20124296</v>
      </c>
      <c r="C1911">
        <v>19810594</v>
      </c>
      <c r="D1911" t="s">
        <v>29</v>
      </c>
      <c r="E1911" t="s">
        <v>2117</v>
      </c>
      <c r="G1911" t="s">
        <v>1165</v>
      </c>
      <c r="L1911" t="str">
        <f>HYPERLINK("https://test.ictv.global/id/TN20124296","TN20124296@TEST")</f>
        <v>TN20124296@TEST</v>
      </c>
      <c r="M1911" t="str">
        <f>HYPERLINK("https://test.ictv.global/id/ICTV19810594","ICTV19810594@TEST")</f>
        <v>ICTV19810594@TEST</v>
      </c>
      <c r="N1911" t="str">
        <f>HYPERLINK("https://ictv.global/id/TN20124296","TN20124296@prod")</f>
        <v>TN20124296@prod</v>
      </c>
      <c r="O1911" t="str">
        <f>HYPERLINK("https://ictv.global/id/ICTV19810594","ICTV19810594@prod")</f>
        <v>ICTV19810594@prod</v>
      </c>
    </row>
    <row r="1912" spans="1:15" x14ac:dyDescent="0.2">
      <c r="A1912">
        <v>27</v>
      </c>
      <c r="B1912">
        <v>20124297</v>
      </c>
      <c r="C1912">
        <v>19760311</v>
      </c>
      <c r="D1912" t="s">
        <v>29</v>
      </c>
      <c r="E1912" t="s">
        <v>1004</v>
      </c>
      <c r="G1912" t="s">
        <v>31</v>
      </c>
      <c r="H1912" t="s">
        <v>1002</v>
      </c>
      <c r="I1912" t="s">
        <v>29</v>
      </c>
      <c r="J1912">
        <v>20132616</v>
      </c>
      <c r="K1912">
        <v>20132616</v>
      </c>
      <c r="L1912" t="str">
        <f>HYPERLINK("https://test.ictv.global/id/TN20124297","TN20124297@TEST")</f>
        <v>TN20124297@TEST</v>
      </c>
      <c r="M1912" t="str">
        <f>HYPERLINK("https://test.ictv.global/id/ICTV19760311","ICTV19760311@TEST")</f>
        <v>ICTV19760311@TEST</v>
      </c>
      <c r="N1912" t="str">
        <f>HYPERLINK("https://ictv.global/id/TN20124297","TN20124297@prod")</f>
        <v>TN20124297@prod</v>
      </c>
      <c r="O1912" t="str">
        <f>HYPERLINK("https://ictv.global/id/ICTV19760311","ICTV19760311@prod")</f>
        <v>ICTV19760311@prod</v>
      </c>
    </row>
    <row r="1913" spans="1:15" x14ac:dyDescent="0.2">
      <c r="A1913">
        <v>27</v>
      </c>
      <c r="B1913">
        <v>20124298</v>
      </c>
      <c r="C1913">
        <v>19710240</v>
      </c>
      <c r="D1913" t="s">
        <v>29</v>
      </c>
      <c r="E1913" t="s">
        <v>1005</v>
      </c>
      <c r="G1913" t="s">
        <v>33</v>
      </c>
      <c r="H1913" t="s">
        <v>1002</v>
      </c>
      <c r="I1913" t="s">
        <v>29</v>
      </c>
      <c r="J1913">
        <v>20132616</v>
      </c>
      <c r="K1913">
        <v>20132616</v>
      </c>
      <c r="L1913" t="str">
        <f>HYPERLINK("https://test.ictv.global/id/TN20124298","TN20124298@TEST")</f>
        <v>TN20124298@TEST</v>
      </c>
      <c r="M1913" t="str">
        <f>HYPERLINK("https://test.ictv.global/id/ICTV19710240","ICTV19710240@TEST")</f>
        <v>ICTV19710240@TEST</v>
      </c>
      <c r="N1913" t="str">
        <f>HYPERLINK("https://ictv.global/id/TN20124298","TN20124298@prod")</f>
        <v>TN20124298@prod</v>
      </c>
      <c r="O1913" t="str">
        <f>HYPERLINK("https://ictv.global/id/ICTV19710240","ICTV19710240@prod")</f>
        <v>ICTV19710240@prod</v>
      </c>
    </row>
    <row r="1914" spans="1:15" x14ac:dyDescent="0.2">
      <c r="A1914">
        <v>27</v>
      </c>
      <c r="B1914">
        <v>20124299</v>
      </c>
      <c r="C1914">
        <v>19991208</v>
      </c>
      <c r="D1914" t="s">
        <v>29</v>
      </c>
      <c r="E1914" t="s">
        <v>1006</v>
      </c>
      <c r="G1914" t="s">
        <v>31</v>
      </c>
      <c r="H1914" t="s">
        <v>1002</v>
      </c>
      <c r="I1914" t="s">
        <v>29</v>
      </c>
      <c r="J1914">
        <v>20132616</v>
      </c>
      <c r="K1914">
        <v>20132616</v>
      </c>
      <c r="L1914" t="str">
        <f>HYPERLINK("https://test.ictv.global/id/TN20124299","TN20124299@TEST")</f>
        <v>TN20124299@TEST</v>
      </c>
      <c r="M1914" t="str">
        <f>HYPERLINK("https://test.ictv.global/id/ICTV19991208","ICTV19991208@TEST")</f>
        <v>ICTV19991208@TEST</v>
      </c>
      <c r="N1914" t="str">
        <f>HYPERLINK("https://ictv.global/id/TN20124299","TN20124299@prod")</f>
        <v>TN20124299@prod</v>
      </c>
      <c r="O1914" t="str">
        <f>HYPERLINK("https://ictv.global/id/ICTV19991208","ICTV19991208@prod")</f>
        <v>ICTV19991208@prod</v>
      </c>
    </row>
    <row r="1915" spans="1:15" x14ac:dyDescent="0.2">
      <c r="A1915">
        <v>27</v>
      </c>
      <c r="B1915">
        <v>20124301</v>
      </c>
      <c r="C1915">
        <v>19760314</v>
      </c>
      <c r="D1915" t="s">
        <v>29</v>
      </c>
      <c r="E1915" t="s">
        <v>2118</v>
      </c>
      <c r="G1915" t="s">
        <v>1165</v>
      </c>
      <c r="L1915" t="str">
        <f>HYPERLINK("https://test.ictv.global/id/TN20124301","TN20124301@TEST")</f>
        <v>TN20124301@TEST</v>
      </c>
      <c r="M1915" t="str">
        <f>HYPERLINK("https://test.ictv.global/id/ICTV19760314","ICTV19760314@TEST")</f>
        <v>ICTV19760314@TEST</v>
      </c>
      <c r="N1915" t="str">
        <f>HYPERLINK("https://ictv.global/id/TN20124301","TN20124301@prod")</f>
        <v>TN20124301@prod</v>
      </c>
      <c r="O1915" t="str">
        <f>HYPERLINK("https://ictv.global/id/ICTV19760314","ICTV19760314@prod")</f>
        <v>ICTV19760314@prod</v>
      </c>
    </row>
    <row r="1916" spans="1:15" x14ac:dyDescent="0.2">
      <c r="A1916">
        <v>27</v>
      </c>
      <c r="B1916">
        <v>20124302</v>
      </c>
      <c r="C1916">
        <v>19760315</v>
      </c>
      <c r="D1916" t="s">
        <v>29</v>
      </c>
      <c r="E1916" t="s">
        <v>1007</v>
      </c>
      <c r="G1916" t="s">
        <v>31</v>
      </c>
      <c r="H1916" t="s">
        <v>1002</v>
      </c>
      <c r="I1916" t="s">
        <v>29</v>
      </c>
      <c r="J1916">
        <v>20132616</v>
      </c>
      <c r="K1916">
        <v>20132616</v>
      </c>
      <c r="L1916" t="str">
        <f>HYPERLINK("https://test.ictv.global/id/TN20124302","TN20124302@TEST")</f>
        <v>TN20124302@TEST</v>
      </c>
      <c r="M1916" t="str">
        <f>HYPERLINK("https://test.ictv.global/id/ICTV19760315","ICTV19760315@TEST")</f>
        <v>ICTV19760315@TEST</v>
      </c>
      <c r="N1916" t="str">
        <f>HYPERLINK("https://ictv.global/id/TN20124302","TN20124302@prod")</f>
        <v>TN20124302@prod</v>
      </c>
      <c r="O1916" t="str">
        <f>HYPERLINK("https://ictv.global/id/ICTV19760315","ICTV19760315@prod")</f>
        <v>ICTV19760315@prod</v>
      </c>
    </row>
    <row r="1917" spans="1:15" x14ac:dyDescent="0.2">
      <c r="A1917">
        <v>27</v>
      </c>
      <c r="B1917">
        <v>20125149</v>
      </c>
      <c r="C1917">
        <v>19931791</v>
      </c>
      <c r="D1917" t="s">
        <v>29</v>
      </c>
      <c r="E1917" t="s">
        <v>1008</v>
      </c>
      <c r="G1917" t="s">
        <v>33</v>
      </c>
      <c r="H1917" t="s">
        <v>1009</v>
      </c>
      <c r="I1917" t="s">
        <v>29</v>
      </c>
      <c r="J1917">
        <v>19931791</v>
      </c>
      <c r="K1917">
        <v>20133402</v>
      </c>
      <c r="L1917" t="str">
        <f>HYPERLINK("https://test.ictv.global/id/TN20125149","TN20125149@TEST")</f>
        <v>TN20125149@TEST</v>
      </c>
      <c r="M1917" t="str">
        <f>HYPERLINK("https://test.ictv.global/id/ICTV19931791","ICTV19931791@TEST")</f>
        <v>ICTV19931791@TEST</v>
      </c>
      <c r="N1917" t="str">
        <f>HYPERLINK("https://ictv.global/id/TN20125149","TN20125149@prod")</f>
        <v>TN20125149@prod</v>
      </c>
      <c r="O1917" t="str">
        <f>HYPERLINK("https://ictv.global/id/ICTV19931791","ICTV19931791@prod")</f>
        <v>ICTV19931791@prod</v>
      </c>
    </row>
    <row r="1918" spans="1:15" x14ac:dyDescent="0.2">
      <c r="A1918">
        <v>27</v>
      </c>
      <c r="B1918">
        <v>20125150</v>
      </c>
      <c r="C1918">
        <v>19952290</v>
      </c>
      <c r="D1918" t="s">
        <v>29</v>
      </c>
      <c r="E1918" t="s">
        <v>2119</v>
      </c>
      <c r="G1918" t="s">
        <v>1165</v>
      </c>
      <c r="L1918" t="str">
        <f>HYPERLINK("https://test.ictv.global/id/TN20125150","TN20125150@TEST")</f>
        <v>TN20125150@TEST</v>
      </c>
      <c r="M1918" t="str">
        <f>HYPERLINK("https://test.ictv.global/id/ICTV19952290","ICTV19952290@TEST")</f>
        <v>ICTV19952290@TEST</v>
      </c>
      <c r="N1918" t="str">
        <f>HYPERLINK("https://ictv.global/id/TN20125150","TN20125150@prod")</f>
        <v>TN20125150@prod</v>
      </c>
      <c r="O1918" t="str">
        <f>HYPERLINK("https://ictv.global/id/ICTV19952290","ICTV19952290@prod")</f>
        <v>ICTV19952290@prod</v>
      </c>
    </row>
    <row r="1919" spans="1:15" x14ac:dyDescent="0.2">
      <c r="A1919">
        <v>27</v>
      </c>
      <c r="B1919">
        <v>20125151</v>
      </c>
      <c r="C1919">
        <v>19952291</v>
      </c>
      <c r="D1919" t="s">
        <v>29</v>
      </c>
      <c r="E1919" t="s">
        <v>1010</v>
      </c>
      <c r="G1919" t="s">
        <v>31</v>
      </c>
      <c r="H1919" t="s">
        <v>1009</v>
      </c>
      <c r="I1919" t="s">
        <v>29</v>
      </c>
      <c r="J1919">
        <v>19931791</v>
      </c>
      <c r="K1919">
        <v>20133402</v>
      </c>
      <c r="L1919" t="str">
        <f>HYPERLINK("https://test.ictv.global/id/TN20125151","TN20125151@TEST")</f>
        <v>TN20125151@TEST</v>
      </c>
      <c r="M1919" t="str">
        <f>HYPERLINK("https://test.ictv.global/id/ICTV19952291","ICTV19952291@TEST")</f>
        <v>ICTV19952291@TEST</v>
      </c>
      <c r="N1919" t="str">
        <f>HYPERLINK("https://ictv.global/id/TN20125151","TN20125151@prod")</f>
        <v>TN20125151@prod</v>
      </c>
      <c r="O1919" t="str">
        <f>HYPERLINK("https://ictv.global/id/ICTV19952291","ICTV19952291@prod")</f>
        <v>ICTV19952291@prod</v>
      </c>
    </row>
    <row r="1920" spans="1:15" x14ac:dyDescent="0.2">
      <c r="A1920">
        <v>27</v>
      </c>
      <c r="B1920">
        <v>20125152</v>
      </c>
      <c r="C1920">
        <v>19952292</v>
      </c>
      <c r="D1920" t="s">
        <v>29</v>
      </c>
      <c r="E1920" t="s">
        <v>2120</v>
      </c>
      <c r="G1920" t="s">
        <v>1165</v>
      </c>
      <c r="L1920" t="str">
        <f>HYPERLINK("https://test.ictv.global/id/TN20125152","TN20125152@TEST")</f>
        <v>TN20125152@TEST</v>
      </c>
      <c r="M1920" t="str">
        <f>HYPERLINK("https://test.ictv.global/id/ICTV19952292","ICTV19952292@TEST")</f>
        <v>ICTV19952292@TEST</v>
      </c>
      <c r="N1920" t="str">
        <f>HYPERLINK("https://ictv.global/id/TN20125152","TN20125152@prod")</f>
        <v>TN20125152@prod</v>
      </c>
      <c r="O1920" t="str">
        <f>HYPERLINK("https://ictv.global/id/ICTV19952292","ICTV19952292@prod")</f>
        <v>ICTV19952292@prod</v>
      </c>
    </row>
    <row r="1921" spans="1:15" x14ac:dyDescent="0.2">
      <c r="A1921">
        <v>27</v>
      </c>
      <c r="B1921">
        <v>20125153</v>
      </c>
      <c r="C1921">
        <v>19952293</v>
      </c>
      <c r="D1921" t="s">
        <v>29</v>
      </c>
      <c r="E1921" t="s">
        <v>1011</v>
      </c>
      <c r="G1921" t="s">
        <v>31</v>
      </c>
      <c r="H1921" t="s">
        <v>1009</v>
      </c>
      <c r="I1921" t="s">
        <v>29</v>
      </c>
      <c r="J1921">
        <v>19931791</v>
      </c>
      <c r="K1921">
        <v>20133402</v>
      </c>
      <c r="L1921" t="str">
        <f>HYPERLINK("https://test.ictv.global/id/TN20125153","TN20125153@TEST")</f>
        <v>TN20125153@TEST</v>
      </c>
      <c r="M1921" t="str">
        <f>HYPERLINK("https://test.ictv.global/id/ICTV19952293","ICTV19952293@TEST")</f>
        <v>ICTV19952293@TEST</v>
      </c>
      <c r="N1921" t="str">
        <f>HYPERLINK("https://ictv.global/id/TN20125153","TN20125153@prod")</f>
        <v>TN20125153@prod</v>
      </c>
      <c r="O1921" t="str">
        <f>HYPERLINK("https://ictv.global/id/ICTV19952293","ICTV19952293@prod")</f>
        <v>ICTV19952293@prod</v>
      </c>
    </row>
    <row r="1922" spans="1:15" x14ac:dyDescent="0.2">
      <c r="A1922">
        <v>27</v>
      </c>
      <c r="B1922">
        <v>20125154</v>
      </c>
      <c r="C1922">
        <v>19952294</v>
      </c>
      <c r="D1922" t="s">
        <v>29</v>
      </c>
      <c r="E1922" t="s">
        <v>2121</v>
      </c>
      <c r="G1922" t="s">
        <v>1165</v>
      </c>
      <c r="L1922" t="str">
        <f>HYPERLINK("https://test.ictv.global/id/TN20125154","TN20125154@TEST")</f>
        <v>TN20125154@TEST</v>
      </c>
      <c r="M1922" t="str">
        <f>HYPERLINK("https://test.ictv.global/id/ICTV19952294","ICTV19952294@TEST")</f>
        <v>ICTV19952294@TEST</v>
      </c>
      <c r="N1922" t="str">
        <f>HYPERLINK("https://ictv.global/id/TN20125154","TN20125154@prod")</f>
        <v>TN20125154@prod</v>
      </c>
      <c r="O1922" t="str">
        <f>HYPERLINK("https://ictv.global/id/ICTV19952294","ICTV19952294@prod")</f>
        <v>ICTV19952294@prod</v>
      </c>
    </row>
    <row r="1923" spans="1:15" x14ac:dyDescent="0.2">
      <c r="A1923">
        <v>27</v>
      </c>
      <c r="B1923">
        <v>20125155</v>
      </c>
      <c r="C1923">
        <v>19952295</v>
      </c>
      <c r="D1923" t="s">
        <v>29</v>
      </c>
      <c r="E1923" t="s">
        <v>1012</v>
      </c>
      <c r="G1923" t="s">
        <v>31</v>
      </c>
      <c r="H1923" t="s">
        <v>1009</v>
      </c>
      <c r="I1923" t="s">
        <v>29</v>
      </c>
      <c r="J1923">
        <v>19931791</v>
      </c>
      <c r="K1923">
        <v>20133402</v>
      </c>
      <c r="L1923" t="str">
        <f>HYPERLINK("https://test.ictv.global/id/TN20125155","TN20125155@TEST")</f>
        <v>TN20125155@TEST</v>
      </c>
      <c r="M1923" t="str">
        <f>HYPERLINK("https://test.ictv.global/id/ICTV19952295","ICTV19952295@TEST")</f>
        <v>ICTV19952295@TEST</v>
      </c>
      <c r="N1923" t="str">
        <f>HYPERLINK("https://ictv.global/id/TN20125155","TN20125155@prod")</f>
        <v>TN20125155@prod</v>
      </c>
      <c r="O1923" t="str">
        <f>HYPERLINK("https://ictv.global/id/ICTV19952295","ICTV19952295@prod")</f>
        <v>ICTV19952295@prod</v>
      </c>
    </row>
    <row r="1924" spans="1:15" x14ac:dyDescent="0.2">
      <c r="A1924">
        <v>27</v>
      </c>
      <c r="B1924">
        <v>20125156</v>
      </c>
      <c r="C1924">
        <v>19952296</v>
      </c>
      <c r="D1924" t="s">
        <v>29</v>
      </c>
      <c r="E1924" t="s">
        <v>2122</v>
      </c>
      <c r="G1924" t="s">
        <v>1165</v>
      </c>
      <c r="L1924" t="str">
        <f>HYPERLINK("https://test.ictv.global/id/TN20125156","TN20125156@TEST")</f>
        <v>TN20125156@TEST</v>
      </c>
      <c r="M1924" t="str">
        <f>HYPERLINK("https://test.ictv.global/id/ICTV19952296","ICTV19952296@TEST")</f>
        <v>ICTV19952296@TEST</v>
      </c>
      <c r="N1924" t="str">
        <f>HYPERLINK("https://ictv.global/id/TN20125156","TN20125156@prod")</f>
        <v>TN20125156@prod</v>
      </c>
      <c r="O1924" t="str">
        <f>HYPERLINK("https://ictv.global/id/ICTV19952296","ICTV19952296@prod")</f>
        <v>ICTV19952296@prod</v>
      </c>
    </row>
    <row r="1925" spans="1:15" x14ac:dyDescent="0.2">
      <c r="A1925">
        <v>27</v>
      </c>
      <c r="B1925">
        <v>20125157</v>
      </c>
      <c r="C1925">
        <v>19952297</v>
      </c>
      <c r="D1925" t="s">
        <v>29</v>
      </c>
      <c r="E1925" t="s">
        <v>2123</v>
      </c>
      <c r="G1925" t="s">
        <v>1165</v>
      </c>
      <c r="L1925" t="str">
        <f>HYPERLINK("https://test.ictv.global/id/TN20125157","TN20125157@TEST")</f>
        <v>TN20125157@TEST</v>
      </c>
      <c r="M1925" t="str">
        <f>HYPERLINK("https://test.ictv.global/id/ICTV19952297","ICTV19952297@TEST")</f>
        <v>ICTV19952297@TEST</v>
      </c>
      <c r="N1925" t="str">
        <f>HYPERLINK("https://ictv.global/id/TN20125157","TN20125157@prod")</f>
        <v>TN20125157@prod</v>
      </c>
      <c r="O1925" t="str">
        <f>HYPERLINK("https://ictv.global/id/ICTV19952297","ICTV19952297@prod")</f>
        <v>ICTV19952297@prod</v>
      </c>
    </row>
    <row r="1926" spans="1:15" x14ac:dyDescent="0.2">
      <c r="A1926">
        <v>27</v>
      </c>
      <c r="B1926">
        <v>20125158</v>
      </c>
      <c r="C1926">
        <v>19952298</v>
      </c>
      <c r="D1926" t="s">
        <v>29</v>
      </c>
      <c r="E1926" t="s">
        <v>1013</v>
      </c>
      <c r="G1926" t="s">
        <v>31</v>
      </c>
      <c r="H1926" t="s">
        <v>1009</v>
      </c>
      <c r="I1926" t="s">
        <v>29</v>
      </c>
      <c r="J1926">
        <v>19931791</v>
      </c>
      <c r="K1926">
        <v>20133402</v>
      </c>
      <c r="L1926" t="str">
        <f>HYPERLINK("https://test.ictv.global/id/TN20125158","TN20125158@TEST")</f>
        <v>TN20125158@TEST</v>
      </c>
      <c r="M1926" t="str">
        <f>HYPERLINK("https://test.ictv.global/id/ICTV19952298","ICTV19952298@TEST")</f>
        <v>ICTV19952298@TEST</v>
      </c>
      <c r="N1926" t="str">
        <f>HYPERLINK("https://ictv.global/id/TN20125158","TN20125158@prod")</f>
        <v>TN20125158@prod</v>
      </c>
      <c r="O1926" t="str">
        <f>HYPERLINK("https://ictv.global/id/ICTV19952298","ICTV19952298@prod")</f>
        <v>ICTV19952298@prod</v>
      </c>
    </row>
    <row r="1927" spans="1:15" x14ac:dyDescent="0.2">
      <c r="A1927">
        <v>27</v>
      </c>
      <c r="B1927">
        <v>20125159</v>
      </c>
      <c r="C1927">
        <v>19952299</v>
      </c>
      <c r="D1927" t="s">
        <v>29</v>
      </c>
      <c r="E1927" t="s">
        <v>2124</v>
      </c>
      <c r="G1927" t="s">
        <v>1165</v>
      </c>
      <c r="L1927" t="str">
        <f>HYPERLINK("https://test.ictv.global/id/TN20125159","TN20125159@TEST")</f>
        <v>TN20125159@TEST</v>
      </c>
      <c r="M1927" t="str">
        <f>HYPERLINK("https://test.ictv.global/id/ICTV19952299","ICTV19952299@TEST")</f>
        <v>ICTV19952299@TEST</v>
      </c>
      <c r="N1927" t="str">
        <f>HYPERLINK("https://ictv.global/id/TN20125159","TN20125159@prod")</f>
        <v>TN20125159@prod</v>
      </c>
      <c r="O1927" t="str">
        <f>HYPERLINK("https://ictv.global/id/ICTV19952299","ICTV19952299@prod")</f>
        <v>ICTV19952299@prod</v>
      </c>
    </row>
    <row r="1928" spans="1:15" x14ac:dyDescent="0.2">
      <c r="A1928">
        <v>27</v>
      </c>
      <c r="B1928">
        <v>20125160</v>
      </c>
      <c r="C1928">
        <v>19952300</v>
      </c>
      <c r="D1928" t="s">
        <v>29</v>
      </c>
      <c r="E1928" t="s">
        <v>1014</v>
      </c>
      <c r="G1928" t="s">
        <v>31</v>
      </c>
      <c r="H1928" t="s">
        <v>1009</v>
      </c>
      <c r="I1928" t="s">
        <v>29</v>
      </c>
      <c r="J1928">
        <v>19931791</v>
      </c>
      <c r="K1928">
        <v>20133402</v>
      </c>
      <c r="L1928" t="str">
        <f>HYPERLINK("https://test.ictv.global/id/TN20125160","TN20125160@TEST")</f>
        <v>TN20125160@TEST</v>
      </c>
      <c r="M1928" t="str">
        <f>HYPERLINK("https://test.ictv.global/id/ICTV19952300","ICTV19952300@TEST")</f>
        <v>ICTV19952300@TEST</v>
      </c>
      <c r="N1928" t="str">
        <f>HYPERLINK("https://ictv.global/id/TN20125160","TN20125160@prod")</f>
        <v>TN20125160@prod</v>
      </c>
      <c r="O1928" t="str">
        <f>HYPERLINK("https://ictv.global/id/ICTV19952300","ICTV19952300@prod")</f>
        <v>ICTV19952300@prod</v>
      </c>
    </row>
    <row r="1929" spans="1:15" x14ac:dyDescent="0.2">
      <c r="A1929">
        <v>28</v>
      </c>
      <c r="B1929">
        <v>20131238</v>
      </c>
      <c r="C1929">
        <v>20020613</v>
      </c>
      <c r="D1929" t="s">
        <v>29</v>
      </c>
      <c r="E1929" t="s">
        <v>1015</v>
      </c>
      <c r="G1929" t="s">
        <v>33</v>
      </c>
      <c r="H1929" t="s">
        <v>1015</v>
      </c>
      <c r="I1929" t="s">
        <v>29</v>
      </c>
      <c r="J1929">
        <v>20020613</v>
      </c>
      <c r="K1929">
        <v>20141600</v>
      </c>
      <c r="L1929" t="str">
        <f>HYPERLINK("https://test.ictv.global/id/TN20131238","TN20131238@TEST")</f>
        <v>TN20131238@TEST</v>
      </c>
      <c r="M1929" t="str">
        <f>HYPERLINK("https://test.ictv.global/id/ICTV20020613","ICTV20020613@TEST")</f>
        <v>ICTV20020613@TEST</v>
      </c>
      <c r="N1929" t="str">
        <f>HYPERLINK("https://ictv.global/id/TN20131238","TN20131238@prod")</f>
        <v>TN20131238@prod</v>
      </c>
      <c r="O1929" t="str">
        <f>HYPERLINK("https://ictv.global/id/ICTV20020613","ICTV20020613@prod")</f>
        <v>ICTV20020613@prod</v>
      </c>
    </row>
    <row r="1930" spans="1:15" x14ac:dyDescent="0.2">
      <c r="A1930">
        <v>28</v>
      </c>
      <c r="B1930">
        <v>20131239</v>
      </c>
      <c r="C1930">
        <v>19910428</v>
      </c>
      <c r="D1930" t="s">
        <v>29</v>
      </c>
      <c r="E1930" t="s">
        <v>1016</v>
      </c>
      <c r="G1930" t="s">
        <v>33</v>
      </c>
      <c r="H1930" t="s">
        <v>1015</v>
      </c>
      <c r="I1930" t="s">
        <v>29</v>
      </c>
      <c r="J1930">
        <v>20020613</v>
      </c>
      <c r="K1930">
        <v>20141600</v>
      </c>
      <c r="L1930" t="str">
        <f>HYPERLINK("https://test.ictv.global/id/TN20131239","TN20131239@TEST")</f>
        <v>TN20131239@TEST</v>
      </c>
      <c r="M1930" t="str">
        <f>HYPERLINK("https://test.ictv.global/id/ICTV19910428","ICTV19910428@TEST")</f>
        <v>ICTV19910428@TEST</v>
      </c>
      <c r="N1930" t="str">
        <f>HYPERLINK("https://ictv.global/id/TN20131239","TN20131239@prod")</f>
        <v>TN20131239@prod</v>
      </c>
      <c r="O1930" t="str">
        <f>HYPERLINK("https://ictv.global/id/ICTV19910428","ICTV19910428@prod")</f>
        <v>ICTV19910428@prod</v>
      </c>
    </row>
    <row r="1931" spans="1:15" x14ac:dyDescent="0.2">
      <c r="A1931">
        <v>28</v>
      </c>
      <c r="B1931">
        <v>20132792</v>
      </c>
      <c r="C1931">
        <v>19982227</v>
      </c>
      <c r="D1931" t="s">
        <v>29</v>
      </c>
      <c r="E1931" t="s">
        <v>1017</v>
      </c>
      <c r="G1931" t="s">
        <v>33</v>
      </c>
      <c r="H1931" t="s">
        <v>1018</v>
      </c>
      <c r="I1931" t="s">
        <v>29</v>
      </c>
      <c r="J1931">
        <v>19911908</v>
      </c>
      <c r="K1931">
        <v>20143155</v>
      </c>
      <c r="L1931" t="str">
        <f>HYPERLINK("https://test.ictv.global/id/TN20132792","TN20132792@TEST")</f>
        <v>TN20132792@TEST</v>
      </c>
      <c r="M1931" t="str">
        <f>HYPERLINK("https://test.ictv.global/id/ICTV19982227","ICTV19982227@TEST")</f>
        <v>ICTV19982227@TEST</v>
      </c>
      <c r="N1931" t="str">
        <f>HYPERLINK("https://ictv.global/id/TN20132792","TN20132792@prod")</f>
        <v>TN20132792@prod</v>
      </c>
      <c r="O1931" t="str">
        <f>HYPERLINK("https://ictv.global/id/ICTV19982227","ICTV19982227@prod")</f>
        <v>ICTV19982227@prod</v>
      </c>
    </row>
    <row r="1932" spans="1:15" x14ac:dyDescent="0.2">
      <c r="A1932">
        <v>28</v>
      </c>
      <c r="B1932">
        <v>20132797</v>
      </c>
      <c r="C1932">
        <v>19911908</v>
      </c>
      <c r="D1932" t="s">
        <v>29</v>
      </c>
      <c r="E1932" t="s">
        <v>1018</v>
      </c>
      <c r="F1932" t="s">
        <v>2125</v>
      </c>
      <c r="G1932" t="s">
        <v>33</v>
      </c>
      <c r="H1932" t="s">
        <v>1018</v>
      </c>
      <c r="I1932" t="s">
        <v>29</v>
      </c>
      <c r="J1932">
        <v>19911908</v>
      </c>
      <c r="K1932">
        <v>20143155</v>
      </c>
      <c r="L1932" t="str">
        <f>HYPERLINK("https://test.ictv.global/id/TN20132797","TN20132797@TEST")</f>
        <v>TN20132797@TEST</v>
      </c>
      <c r="M1932" t="str">
        <f>HYPERLINK("https://test.ictv.global/id/ICTV19911908","ICTV19911908@TEST")</f>
        <v>ICTV19911908@TEST</v>
      </c>
      <c r="N1932" t="str">
        <f>HYPERLINK("https://ictv.global/id/TN20132797","TN20132797@prod")</f>
        <v>TN20132797@prod</v>
      </c>
      <c r="O1932" t="str">
        <f>HYPERLINK("https://ictv.global/id/ICTV19911908","ICTV19911908@prod")</f>
        <v>ICTV19911908@prod</v>
      </c>
    </row>
    <row r="1933" spans="1:15" x14ac:dyDescent="0.2">
      <c r="A1933">
        <v>29</v>
      </c>
      <c r="B1933">
        <v>20140217</v>
      </c>
      <c r="C1933">
        <v>19952172</v>
      </c>
      <c r="D1933" t="s">
        <v>29</v>
      </c>
      <c r="E1933" t="s">
        <v>1019</v>
      </c>
      <c r="G1933" t="s">
        <v>33</v>
      </c>
      <c r="H1933" t="s">
        <v>1020</v>
      </c>
      <c r="I1933" t="s">
        <v>29</v>
      </c>
      <c r="J1933">
        <v>20125853</v>
      </c>
      <c r="K1933">
        <v>20150706</v>
      </c>
      <c r="L1933" t="str">
        <f>HYPERLINK("https://test.ictv.global/id/TN20140217","TN20140217@TEST")</f>
        <v>TN20140217@TEST</v>
      </c>
      <c r="M1933" t="str">
        <f>HYPERLINK("https://test.ictv.global/id/ICTV19952172","ICTV19952172@TEST")</f>
        <v>ICTV19952172@TEST</v>
      </c>
      <c r="N1933" t="str">
        <f>HYPERLINK("https://ictv.global/id/TN20140217","TN20140217@prod")</f>
        <v>TN20140217@prod</v>
      </c>
      <c r="O1933" t="str">
        <f>HYPERLINK("https://ictv.global/id/ICTV19952172","ICTV19952172@prod")</f>
        <v>ICTV19952172@prod</v>
      </c>
    </row>
    <row r="1934" spans="1:15" x14ac:dyDescent="0.2">
      <c r="A1934">
        <v>29</v>
      </c>
      <c r="B1934">
        <v>20140222</v>
      </c>
      <c r="C1934">
        <v>20125853</v>
      </c>
      <c r="D1934" t="s">
        <v>29</v>
      </c>
      <c r="E1934" t="s">
        <v>1021</v>
      </c>
      <c r="G1934" t="s">
        <v>33</v>
      </c>
      <c r="H1934" t="s">
        <v>1020</v>
      </c>
      <c r="I1934" t="s">
        <v>29</v>
      </c>
      <c r="J1934">
        <v>20125853</v>
      </c>
      <c r="K1934">
        <v>20150706</v>
      </c>
      <c r="L1934" t="str">
        <f>HYPERLINK("https://test.ictv.global/id/TN20140222","TN20140222@TEST")</f>
        <v>TN20140222@TEST</v>
      </c>
      <c r="M1934" t="str">
        <f>HYPERLINK("https://test.ictv.global/id/ICTV20125853","ICTV20125853@TEST")</f>
        <v>ICTV20125853@TEST</v>
      </c>
      <c r="N1934" t="str">
        <f>HYPERLINK("https://ictv.global/id/TN20140222","TN20140222@prod")</f>
        <v>TN20140222@prod</v>
      </c>
      <c r="O1934" t="str">
        <f>HYPERLINK("https://ictv.global/id/ICTV20125853","ICTV20125853@prod")</f>
        <v>ICTV20125853@prod</v>
      </c>
    </row>
    <row r="1935" spans="1:15" x14ac:dyDescent="0.2">
      <c r="A1935">
        <v>29</v>
      </c>
      <c r="B1935">
        <v>20140224</v>
      </c>
      <c r="C1935">
        <v>19990407</v>
      </c>
      <c r="D1935" t="s">
        <v>29</v>
      </c>
      <c r="E1935" t="s">
        <v>2126</v>
      </c>
      <c r="G1935" t="s">
        <v>1165</v>
      </c>
      <c r="L1935" t="str">
        <f>HYPERLINK("https://test.ictv.global/id/TN20140224","TN20140224@TEST")</f>
        <v>TN20140224@TEST</v>
      </c>
      <c r="M1935" t="str">
        <f>HYPERLINK("https://test.ictv.global/id/ICTV19990407","ICTV19990407@TEST")</f>
        <v>ICTV19990407@TEST</v>
      </c>
      <c r="N1935" t="str">
        <f>HYPERLINK("https://ictv.global/id/TN20140224","TN20140224@prod")</f>
        <v>TN20140224@prod</v>
      </c>
      <c r="O1935" t="str">
        <f>HYPERLINK("https://ictv.global/id/ICTV19990407","ICTV19990407@prod")</f>
        <v>ICTV19990407@prod</v>
      </c>
    </row>
    <row r="1936" spans="1:15" x14ac:dyDescent="0.2">
      <c r="A1936">
        <v>29</v>
      </c>
      <c r="B1936">
        <v>20140743</v>
      </c>
      <c r="C1936">
        <v>19900045</v>
      </c>
      <c r="D1936" t="s">
        <v>26</v>
      </c>
      <c r="E1936" t="s">
        <v>2127</v>
      </c>
      <c r="G1936" t="s">
        <v>1165</v>
      </c>
      <c r="L1936" t="str">
        <f>HYPERLINK("https://test.ictv.global/id/TN20140743","TN20140743@TEST")</f>
        <v>TN20140743@TEST</v>
      </c>
      <c r="M1936" t="str">
        <f>HYPERLINK("https://test.ictv.global/id/ICTV19900045","ICTV19900045@TEST")</f>
        <v>ICTV19900045@TEST</v>
      </c>
      <c r="N1936" t="str">
        <f>HYPERLINK("https://ictv.global/id/TN20140743","TN20140743@prod")</f>
        <v>TN20140743@prod</v>
      </c>
      <c r="O1936" t="str">
        <f>HYPERLINK("https://ictv.global/id/ICTV19900045","ICTV19900045@prod")</f>
        <v>ICTV19900045@prod</v>
      </c>
    </row>
    <row r="1937" spans="1:15" x14ac:dyDescent="0.2">
      <c r="A1937">
        <v>29</v>
      </c>
      <c r="B1937">
        <v>20140773</v>
      </c>
      <c r="C1937">
        <v>19950300</v>
      </c>
      <c r="D1937" t="s">
        <v>29</v>
      </c>
      <c r="E1937" t="s">
        <v>2128</v>
      </c>
      <c r="G1937" t="s">
        <v>1165</v>
      </c>
      <c r="L1937" t="str">
        <f>HYPERLINK("https://test.ictv.global/id/TN20140773","TN20140773@TEST")</f>
        <v>TN20140773@TEST</v>
      </c>
      <c r="M1937" t="str">
        <f>HYPERLINK("https://test.ictv.global/id/ICTV19950300","ICTV19950300@TEST")</f>
        <v>ICTV19950300@TEST</v>
      </c>
      <c r="N1937" t="str">
        <f>HYPERLINK("https://ictv.global/id/TN20140773","TN20140773@prod")</f>
        <v>TN20140773@prod</v>
      </c>
      <c r="O1937" t="str">
        <f>HYPERLINK("https://ictv.global/id/ICTV19950300","ICTV19950300@prod")</f>
        <v>ICTV19950300@prod</v>
      </c>
    </row>
    <row r="1938" spans="1:15" x14ac:dyDescent="0.2">
      <c r="A1938">
        <v>29</v>
      </c>
      <c r="B1938">
        <v>20140782</v>
      </c>
      <c r="C1938">
        <v>19900046</v>
      </c>
      <c r="D1938" t="s">
        <v>26</v>
      </c>
      <c r="E1938" t="s">
        <v>1022</v>
      </c>
      <c r="G1938" t="s">
        <v>21</v>
      </c>
      <c r="H1938" t="s">
        <v>1023</v>
      </c>
      <c r="I1938" t="s">
        <v>23</v>
      </c>
      <c r="J1938">
        <v>19900046</v>
      </c>
      <c r="K1938">
        <v>20151064</v>
      </c>
      <c r="L1938" t="str">
        <f>HYPERLINK("https://test.ictv.global/id/TN20140782","TN20140782@TEST")</f>
        <v>TN20140782@TEST</v>
      </c>
      <c r="M1938" t="str">
        <f>HYPERLINK("https://test.ictv.global/id/ICTV19900046","ICTV19900046@TEST")</f>
        <v>ICTV19900046@TEST</v>
      </c>
      <c r="N1938" t="str">
        <f>HYPERLINK("https://ictv.global/id/TN20140782","TN20140782@prod")</f>
        <v>TN20140782@prod</v>
      </c>
      <c r="O1938" t="str">
        <f>HYPERLINK("https://ictv.global/id/ICTV19900046","ICTV19900046@prod")</f>
        <v>ICTV19900046@prod</v>
      </c>
    </row>
    <row r="1939" spans="1:15" x14ac:dyDescent="0.2">
      <c r="A1939">
        <v>29</v>
      </c>
      <c r="B1939">
        <v>20141164</v>
      </c>
      <c r="C1939">
        <v>19821276</v>
      </c>
      <c r="D1939" t="s">
        <v>29</v>
      </c>
      <c r="E1939" t="s">
        <v>2129</v>
      </c>
      <c r="G1939" t="s">
        <v>1165</v>
      </c>
      <c r="L1939" t="str">
        <f>HYPERLINK("https://test.ictv.global/id/TN20141164","TN20141164@TEST")</f>
        <v>TN20141164@TEST</v>
      </c>
      <c r="M1939" t="str">
        <f>HYPERLINK("https://test.ictv.global/id/ICTV19821276","ICTV19821276@TEST")</f>
        <v>ICTV19821276@TEST</v>
      </c>
      <c r="N1939" t="str">
        <f>HYPERLINK("https://ictv.global/id/TN20141164","TN20141164@prod")</f>
        <v>TN20141164@prod</v>
      </c>
      <c r="O1939" t="str">
        <f>HYPERLINK("https://ictv.global/id/ICTV19821276","ICTV19821276@prod")</f>
        <v>ICTV19821276@prod</v>
      </c>
    </row>
    <row r="1940" spans="1:15" x14ac:dyDescent="0.2">
      <c r="A1940">
        <v>29</v>
      </c>
      <c r="B1940">
        <v>20141166</v>
      </c>
      <c r="C1940">
        <v>19991838</v>
      </c>
      <c r="D1940" t="s">
        <v>29</v>
      </c>
      <c r="E1940" t="s">
        <v>2130</v>
      </c>
      <c r="G1940" t="s">
        <v>1165</v>
      </c>
      <c r="L1940" t="str">
        <f>HYPERLINK("https://test.ictv.global/id/TN20141166","TN20141166@TEST")</f>
        <v>TN20141166@TEST</v>
      </c>
      <c r="M1940" t="str">
        <f>HYPERLINK("https://test.ictv.global/id/ICTV19991838","ICTV19991838@TEST")</f>
        <v>ICTV19991838@TEST</v>
      </c>
      <c r="N1940" t="str">
        <f>HYPERLINK("https://ictv.global/id/TN20141166","TN20141166@prod")</f>
        <v>TN20141166@prod</v>
      </c>
      <c r="O1940" t="str">
        <f>HYPERLINK("https://ictv.global/id/ICTV19991838","ICTV19991838@prod")</f>
        <v>ICTV19991838@prod</v>
      </c>
    </row>
    <row r="1941" spans="1:15" x14ac:dyDescent="0.2">
      <c r="A1941">
        <v>29</v>
      </c>
      <c r="B1941">
        <v>20141182</v>
      </c>
      <c r="C1941">
        <v>19821285</v>
      </c>
      <c r="D1941" t="s">
        <v>29</v>
      </c>
      <c r="E1941" t="s">
        <v>2131</v>
      </c>
      <c r="G1941" t="s">
        <v>1165</v>
      </c>
      <c r="L1941" t="str">
        <f>HYPERLINK("https://test.ictv.global/id/TN20141182","TN20141182@TEST")</f>
        <v>TN20141182@TEST</v>
      </c>
      <c r="M1941" t="str">
        <f>HYPERLINK("https://test.ictv.global/id/ICTV19821285","ICTV19821285@TEST")</f>
        <v>ICTV19821285@TEST</v>
      </c>
      <c r="N1941" t="str">
        <f>HYPERLINK("https://ictv.global/id/TN20141182","TN20141182@prod")</f>
        <v>TN20141182@prod</v>
      </c>
      <c r="O1941" t="str">
        <f>HYPERLINK("https://ictv.global/id/ICTV19821285","ICTV19821285@prod")</f>
        <v>ICTV19821285@prod</v>
      </c>
    </row>
    <row r="1942" spans="1:15" x14ac:dyDescent="0.2">
      <c r="A1942">
        <v>29</v>
      </c>
      <c r="B1942">
        <v>20141214</v>
      </c>
      <c r="C1942">
        <v>19911527</v>
      </c>
      <c r="D1942" t="s">
        <v>29</v>
      </c>
      <c r="E1942" t="s">
        <v>2132</v>
      </c>
      <c r="G1942" t="s">
        <v>1165</v>
      </c>
      <c r="L1942" t="str">
        <f>HYPERLINK("https://test.ictv.global/id/TN20141214","TN20141214@TEST")</f>
        <v>TN20141214@TEST</v>
      </c>
      <c r="M1942" t="str">
        <f>HYPERLINK("https://test.ictv.global/id/ICTV19911527","ICTV19911527@TEST")</f>
        <v>ICTV19911527@TEST</v>
      </c>
      <c r="N1942" t="str">
        <f>HYPERLINK("https://ictv.global/id/TN20141214","TN20141214@prod")</f>
        <v>TN20141214@prod</v>
      </c>
      <c r="O1942" t="str">
        <f>HYPERLINK("https://ictv.global/id/ICTV19911527","ICTV19911527@prod")</f>
        <v>ICTV19911527@prod</v>
      </c>
    </row>
    <row r="1943" spans="1:15" x14ac:dyDescent="0.2">
      <c r="A1943">
        <v>29</v>
      </c>
      <c r="B1943">
        <v>20141216</v>
      </c>
      <c r="C1943">
        <v>19821151</v>
      </c>
      <c r="D1943" t="s">
        <v>29</v>
      </c>
      <c r="E1943" t="s">
        <v>2133</v>
      </c>
      <c r="G1943" t="s">
        <v>1165</v>
      </c>
      <c r="L1943" t="str">
        <f>HYPERLINK("https://test.ictv.global/id/TN20141216","TN20141216@TEST")</f>
        <v>TN20141216@TEST</v>
      </c>
      <c r="M1943" t="str">
        <f>HYPERLINK("https://test.ictv.global/id/ICTV19821151","ICTV19821151@TEST")</f>
        <v>ICTV19821151@TEST</v>
      </c>
      <c r="N1943" t="str">
        <f>HYPERLINK("https://ictv.global/id/TN20141216","TN20141216@prod")</f>
        <v>TN20141216@prod</v>
      </c>
      <c r="O1943" t="str">
        <f>HYPERLINK("https://ictv.global/id/ICTV19821151","ICTV19821151@prod")</f>
        <v>ICTV19821151@prod</v>
      </c>
    </row>
    <row r="1944" spans="1:15" x14ac:dyDescent="0.2">
      <c r="A1944">
        <v>29</v>
      </c>
      <c r="B1944">
        <v>20141222</v>
      </c>
      <c r="C1944">
        <v>19911530</v>
      </c>
      <c r="D1944" t="s">
        <v>29</v>
      </c>
      <c r="E1944" t="s">
        <v>2134</v>
      </c>
      <c r="G1944" t="s">
        <v>1165</v>
      </c>
      <c r="L1944" t="str">
        <f>HYPERLINK("https://test.ictv.global/id/TN20141222","TN20141222@TEST")</f>
        <v>TN20141222@TEST</v>
      </c>
      <c r="M1944" t="str">
        <f>HYPERLINK("https://test.ictv.global/id/ICTV19911530","ICTV19911530@TEST")</f>
        <v>ICTV19911530@TEST</v>
      </c>
      <c r="N1944" t="str">
        <f>HYPERLINK("https://ictv.global/id/TN20141222","TN20141222@prod")</f>
        <v>TN20141222@prod</v>
      </c>
      <c r="O1944" t="str">
        <f>HYPERLINK("https://ictv.global/id/ICTV19911530","ICTV19911530@prod")</f>
        <v>ICTV19911530@prod</v>
      </c>
    </row>
    <row r="1945" spans="1:15" x14ac:dyDescent="0.2">
      <c r="A1945">
        <v>29</v>
      </c>
      <c r="B1945">
        <v>20141226</v>
      </c>
      <c r="C1945">
        <v>19911534</v>
      </c>
      <c r="D1945" t="s">
        <v>29</v>
      </c>
      <c r="E1945" t="s">
        <v>2135</v>
      </c>
      <c r="G1945" t="s">
        <v>1165</v>
      </c>
      <c r="L1945" t="str">
        <f>HYPERLINK("https://test.ictv.global/id/TN20141226","TN20141226@TEST")</f>
        <v>TN20141226@TEST</v>
      </c>
      <c r="M1945" t="str">
        <f>HYPERLINK("https://test.ictv.global/id/ICTV19911534","ICTV19911534@TEST")</f>
        <v>ICTV19911534@TEST</v>
      </c>
      <c r="N1945" t="str">
        <f>HYPERLINK("https://ictv.global/id/TN20141226","TN20141226@prod")</f>
        <v>TN20141226@prod</v>
      </c>
      <c r="O1945" t="str">
        <f>HYPERLINK("https://ictv.global/id/ICTV19911534","ICTV19911534@prod")</f>
        <v>ICTV19911534@prod</v>
      </c>
    </row>
    <row r="1946" spans="1:15" x14ac:dyDescent="0.2">
      <c r="A1946">
        <v>29</v>
      </c>
      <c r="B1946">
        <v>20141229</v>
      </c>
      <c r="C1946">
        <v>19821155</v>
      </c>
      <c r="D1946" t="s">
        <v>29</v>
      </c>
      <c r="E1946" t="s">
        <v>2136</v>
      </c>
      <c r="G1946" t="s">
        <v>1165</v>
      </c>
      <c r="L1946" t="str">
        <f>HYPERLINK("https://test.ictv.global/id/TN20141229","TN20141229@TEST")</f>
        <v>TN20141229@TEST</v>
      </c>
      <c r="M1946" t="str">
        <f>HYPERLINK("https://test.ictv.global/id/ICTV19821155","ICTV19821155@TEST")</f>
        <v>ICTV19821155@TEST</v>
      </c>
      <c r="N1946" t="str">
        <f>HYPERLINK("https://ictv.global/id/TN20141229","TN20141229@prod")</f>
        <v>TN20141229@prod</v>
      </c>
      <c r="O1946" t="str">
        <f>HYPERLINK("https://ictv.global/id/ICTV19821155","ICTV19821155@prod")</f>
        <v>ICTV19821155@prod</v>
      </c>
    </row>
    <row r="1947" spans="1:15" x14ac:dyDescent="0.2">
      <c r="A1947">
        <v>29</v>
      </c>
      <c r="B1947">
        <v>20141233</v>
      </c>
      <c r="C1947">
        <v>19790960</v>
      </c>
      <c r="D1947" t="s">
        <v>29</v>
      </c>
      <c r="E1947" t="s">
        <v>2137</v>
      </c>
      <c r="G1947" t="s">
        <v>1165</v>
      </c>
      <c r="L1947" t="str">
        <f>HYPERLINK("https://test.ictv.global/id/TN20141233","TN20141233@TEST")</f>
        <v>TN20141233@TEST</v>
      </c>
      <c r="M1947" t="str">
        <f>HYPERLINK("https://test.ictv.global/id/ICTV19790960","ICTV19790960@TEST")</f>
        <v>ICTV19790960@TEST</v>
      </c>
      <c r="N1947" t="str">
        <f>HYPERLINK("https://ictv.global/id/TN20141233","TN20141233@prod")</f>
        <v>TN20141233@prod</v>
      </c>
      <c r="O1947" t="str">
        <f>HYPERLINK("https://ictv.global/id/ICTV19790960","ICTV19790960@prod")</f>
        <v>ICTV19790960@prod</v>
      </c>
    </row>
    <row r="1948" spans="1:15" x14ac:dyDescent="0.2">
      <c r="A1948">
        <v>29</v>
      </c>
      <c r="B1948">
        <v>20141234</v>
      </c>
      <c r="C1948">
        <v>19821158</v>
      </c>
      <c r="D1948" t="s">
        <v>29</v>
      </c>
      <c r="E1948" t="s">
        <v>2138</v>
      </c>
      <c r="G1948" t="s">
        <v>1165</v>
      </c>
      <c r="L1948" t="str">
        <f>HYPERLINK("https://test.ictv.global/id/TN20141234","TN20141234@TEST")</f>
        <v>TN20141234@TEST</v>
      </c>
      <c r="M1948" t="str">
        <f>HYPERLINK("https://test.ictv.global/id/ICTV19821158","ICTV19821158@TEST")</f>
        <v>ICTV19821158@TEST</v>
      </c>
      <c r="N1948" t="str">
        <f>HYPERLINK("https://ictv.global/id/TN20141234","TN20141234@prod")</f>
        <v>TN20141234@prod</v>
      </c>
      <c r="O1948" t="str">
        <f>HYPERLINK("https://ictv.global/id/ICTV19821158","ICTV19821158@prod")</f>
        <v>ICTV19821158@prod</v>
      </c>
    </row>
    <row r="1949" spans="1:15" x14ac:dyDescent="0.2">
      <c r="A1949">
        <v>29</v>
      </c>
      <c r="B1949">
        <v>20142079</v>
      </c>
      <c r="C1949">
        <v>20131889</v>
      </c>
      <c r="D1949" t="s">
        <v>29</v>
      </c>
      <c r="E1949" t="s">
        <v>2139</v>
      </c>
      <c r="G1949" t="s">
        <v>1165</v>
      </c>
      <c r="L1949" t="str">
        <f>HYPERLINK("https://test.ictv.global/id/TN20142079","TN20142079@TEST")</f>
        <v>TN20142079@TEST</v>
      </c>
      <c r="M1949" t="str">
        <f>HYPERLINK("https://test.ictv.global/id/ICTV20131889","ICTV20131889@TEST")</f>
        <v>ICTV20131889@TEST</v>
      </c>
      <c r="N1949" t="str">
        <f>HYPERLINK("https://ictv.global/id/TN20142079","TN20142079@prod")</f>
        <v>TN20142079@prod</v>
      </c>
      <c r="O1949" t="str">
        <f>HYPERLINK("https://ictv.global/id/ICTV20131889","ICTV20131889@prod")</f>
        <v>ICTV20131889@prod</v>
      </c>
    </row>
    <row r="1950" spans="1:15" x14ac:dyDescent="0.2">
      <c r="A1950">
        <v>29</v>
      </c>
      <c r="B1950">
        <v>20142085</v>
      </c>
      <c r="C1950">
        <v>20131891</v>
      </c>
      <c r="D1950" t="s">
        <v>29</v>
      </c>
      <c r="E1950" t="s">
        <v>2140</v>
      </c>
      <c r="G1950" t="s">
        <v>1165</v>
      </c>
      <c r="L1950" t="str">
        <f>HYPERLINK("https://test.ictv.global/id/TN20142085","TN20142085@TEST")</f>
        <v>TN20142085@TEST</v>
      </c>
      <c r="M1950" t="str">
        <f>HYPERLINK("https://test.ictv.global/id/ICTV20131891","ICTV20131891@TEST")</f>
        <v>ICTV20131891@TEST</v>
      </c>
      <c r="N1950" t="str">
        <f>HYPERLINK("https://ictv.global/id/TN20142085","TN20142085@prod")</f>
        <v>TN20142085@prod</v>
      </c>
      <c r="O1950" t="str">
        <f>HYPERLINK("https://ictv.global/id/ICTV20131891","ICTV20131891@prod")</f>
        <v>ICTV20131891@prod</v>
      </c>
    </row>
    <row r="1951" spans="1:15" x14ac:dyDescent="0.2">
      <c r="A1951">
        <v>29</v>
      </c>
      <c r="B1951">
        <v>20142100</v>
      </c>
      <c r="C1951">
        <v>20131897</v>
      </c>
      <c r="D1951" t="s">
        <v>29</v>
      </c>
      <c r="E1951" t="s">
        <v>2141</v>
      </c>
      <c r="G1951" t="s">
        <v>1165</v>
      </c>
      <c r="L1951" t="str">
        <f>HYPERLINK("https://test.ictv.global/id/TN20142100","TN20142100@TEST")</f>
        <v>TN20142100@TEST</v>
      </c>
      <c r="M1951" t="str">
        <f>HYPERLINK("https://test.ictv.global/id/ICTV20131897","ICTV20131897@TEST")</f>
        <v>ICTV20131897@TEST</v>
      </c>
      <c r="N1951" t="str">
        <f>HYPERLINK("https://ictv.global/id/TN20142100","TN20142100@prod")</f>
        <v>TN20142100@prod</v>
      </c>
      <c r="O1951" t="str">
        <f>HYPERLINK("https://ictv.global/id/ICTV20131897","ICTV20131897@prod")</f>
        <v>ICTV20131897@prod</v>
      </c>
    </row>
    <row r="1952" spans="1:15" x14ac:dyDescent="0.2">
      <c r="A1952">
        <v>29</v>
      </c>
      <c r="B1952">
        <v>20142102</v>
      </c>
      <c r="C1952">
        <v>20083836</v>
      </c>
      <c r="D1952" t="s">
        <v>29</v>
      </c>
      <c r="E1952" t="s">
        <v>2142</v>
      </c>
      <c r="G1952" t="s">
        <v>1165</v>
      </c>
      <c r="L1952" t="str">
        <f>HYPERLINK("https://test.ictv.global/id/TN20142102","TN20142102@TEST")</f>
        <v>TN20142102@TEST</v>
      </c>
      <c r="M1952" t="str">
        <f>HYPERLINK("https://test.ictv.global/id/ICTV20083836","ICTV20083836@TEST")</f>
        <v>ICTV20083836@TEST</v>
      </c>
      <c r="N1952" t="str">
        <f>HYPERLINK("https://ictv.global/id/TN20142102","TN20142102@prod")</f>
        <v>TN20142102@prod</v>
      </c>
      <c r="O1952" t="str">
        <f>HYPERLINK("https://ictv.global/id/ICTV20083836","ICTV20083836@prod")</f>
        <v>ICTV20083836@prod</v>
      </c>
    </row>
    <row r="1953" spans="1:15" x14ac:dyDescent="0.2">
      <c r="A1953">
        <v>29</v>
      </c>
      <c r="B1953">
        <v>20142139</v>
      </c>
      <c r="C1953">
        <v>20131907</v>
      </c>
      <c r="D1953" t="s">
        <v>29</v>
      </c>
      <c r="E1953" t="s">
        <v>2036</v>
      </c>
      <c r="G1953" t="s">
        <v>1165</v>
      </c>
      <c r="L1953" t="str">
        <f>HYPERLINK("https://test.ictv.global/id/TN20142139","TN20142139@TEST")</f>
        <v>TN20142139@TEST</v>
      </c>
      <c r="M1953" t="str">
        <f>HYPERLINK("https://test.ictv.global/id/ICTV20131907","ICTV20131907@TEST")</f>
        <v>ICTV20131907@TEST</v>
      </c>
      <c r="N1953" t="str">
        <f>HYPERLINK("https://ictv.global/id/TN20142139","TN20142139@prod")</f>
        <v>TN20142139@prod</v>
      </c>
      <c r="O1953" t="str">
        <f>HYPERLINK("https://ictv.global/id/ICTV20131907","ICTV20131907@prod")</f>
        <v>ICTV20131907@prod</v>
      </c>
    </row>
    <row r="1954" spans="1:15" x14ac:dyDescent="0.2">
      <c r="A1954">
        <v>29</v>
      </c>
      <c r="B1954">
        <v>20142147</v>
      </c>
      <c r="C1954">
        <v>19981376</v>
      </c>
      <c r="D1954" t="s">
        <v>29</v>
      </c>
      <c r="E1954" t="s">
        <v>2143</v>
      </c>
      <c r="G1954" t="s">
        <v>1165</v>
      </c>
      <c r="L1954" t="str">
        <f>HYPERLINK("https://test.ictv.global/id/TN20142147","TN20142147@TEST")</f>
        <v>TN20142147@TEST</v>
      </c>
      <c r="M1954" t="str">
        <f>HYPERLINK("https://test.ictv.global/id/ICTV19981376","ICTV19981376@TEST")</f>
        <v>ICTV19981376@TEST</v>
      </c>
      <c r="N1954" t="str">
        <f>HYPERLINK("https://ictv.global/id/TN20142147","TN20142147@prod")</f>
        <v>TN20142147@prod</v>
      </c>
      <c r="O1954" t="str">
        <f>HYPERLINK("https://ictv.global/id/ICTV19981376","ICTV19981376@prod")</f>
        <v>ICTV19981376@prod</v>
      </c>
    </row>
    <row r="1955" spans="1:15" x14ac:dyDescent="0.2">
      <c r="A1955">
        <v>29</v>
      </c>
      <c r="B1955">
        <v>20142149</v>
      </c>
      <c r="C1955">
        <v>20083872</v>
      </c>
      <c r="D1955" t="s">
        <v>29</v>
      </c>
      <c r="E1955" t="s">
        <v>2144</v>
      </c>
      <c r="G1955" t="s">
        <v>1165</v>
      </c>
      <c r="L1955" t="str">
        <f>HYPERLINK("https://test.ictv.global/id/TN20142149","TN20142149@TEST")</f>
        <v>TN20142149@TEST</v>
      </c>
      <c r="M1955" t="str">
        <f>HYPERLINK("https://test.ictv.global/id/ICTV20083872","ICTV20083872@TEST")</f>
        <v>ICTV20083872@TEST</v>
      </c>
      <c r="N1955" t="str">
        <f>HYPERLINK("https://ictv.global/id/TN20142149","TN20142149@prod")</f>
        <v>TN20142149@prod</v>
      </c>
      <c r="O1955" t="str">
        <f>HYPERLINK("https://ictv.global/id/ICTV20083872","ICTV20083872@prod")</f>
        <v>ICTV20083872@prod</v>
      </c>
    </row>
    <row r="1956" spans="1:15" x14ac:dyDescent="0.2">
      <c r="A1956">
        <v>29</v>
      </c>
      <c r="B1956">
        <v>20142156</v>
      </c>
      <c r="C1956">
        <v>20131912</v>
      </c>
      <c r="D1956" t="s">
        <v>29</v>
      </c>
      <c r="E1956" t="s">
        <v>2145</v>
      </c>
      <c r="G1956" t="s">
        <v>1165</v>
      </c>
      <c r="L1956" t="str">
        <f>HYPERLINK("https://test.ictv.global/id/TN20142156","TN20142156@TEST")</f>
        <v>TN20142156@TEST</v>
      </c>
      <c r="M1956" t="str">
        <f>HYPERLINK("https://test.ictv.global/id/ICTV20131912","ICTV20131912@TEST")</f>
        <v>ICTV20131912@TEST</v>
      </c>
      <c r="N1956" t="str">
        <f>HYPERLINK("https://ictv.global/id/TN20142156","TN20142156@prod")</f>
        <v>TN20142156@prod</v>
      </c>
      <c r="O1956" t="str">
        <f>HYPERLINK("https://ictv.global/id/ICTV20131912","ICTV20131912@prod")</f>
        <v>ICTV20131912@prod</v>
      </c>
    </row>
    <row r="1957" spans="1:15" x14ac:dyDescent="0.2">
      <c r="A1957">
        <v>29</v>
      </c>
      <c r="B1957">
        <v>20142167</v>
      </c>
      <c r="C1957">
        <v>20131915</v>
      </c>
      <c r="D1957" t="s">
        <v>29</v>
      </c>
      <c r="E1957" t="s">
        <v>2146</v>
      </c>
      <c r="G1957" t="s">
        <v>1165</v>
      </c>
      <c r="L1957" t="str">
        <f>HYPERLINK("https://test.ictv.global/id/TN20142167","TN20142167@TEST")</f>
        <v>TN20142167@TEST</v>
      </c>
      <c r="M1957" t="str">
        <f>HYPERLINK("https://test.ictv.global/id/ICTV20131915","ICTV20131915@TEST")</f>
        <v>ICTV20131915@TEST</v>
      </c>
      <c r="N1957" t="str">
        <f>HYPERLINK("https://ictv.global/id/TN20142167","TN20142167@prod")</f>
        <v>TN20142167@prod</v>
      </c>
      <c r="O1957" t="str">
        <f>HYPERLINK("https://ictv.global/id/ICTV20131915","ICTV20131915@prod")</f>
        <v>ICTV20131915@prod</v>
      </c>
    </row>
    <row r="1958" spans="1:15" x14ac:dyDescent="0.2">
      <c r="A1958">
        <v>29</v>
      </c>
      <c r="B1958">
        <v>20142170</v>
      </c>
      <c r="C1958">
        <v>20083886</v>
      </c>
      <c r="D1958" t="s">
        <v>29</v>
      </c>
      <c r="E1958" t="s">
        <v>2147</v>
      </c>
      <c r="G1958" t="s">
        <v>1165</v>
      </c>
      <c r="L1958" t="str">
        <f>HYPERLINK("https://test.ictv.global/id/TN20142170","TN20142170@TEST")</f>
        <v>TN20142170@TEST</v>
      </c>
      <c r="M1958" t="str">
        <f>HYPERLINK("https://test.ictv.global/id/ICTV20083886","ICTV20083886@TEST")</f>
        <v>ICTV20083886@TEST</v>
      </c>
      <c r="N1958" t="str">
        <f>HYPERLINK("https://ictv.global/id/TN20142170","TN20142170@prod")</f>
        <v>TN20142170@prod</v>
      </c>
      <c r="O1958" t="str">
        <f>HYPERLINK("https://ictv.global/id/ICTV20083886","ICTV20083886@prod")</f>
        <v>ICTV20083886@prod</v>
      </c>
    </row>
    <row r="1959" spans="1:15" x14ac:dyDescent="0.2">
      <c r="A1959">
        <v>29</v>
      </c>
      <c r="B1959">
        <v>20142172</v>
      </c>
      <c r="C1959">
        <v>20083888</v>
      </c>
      <c r="D1959" t="s">
        <v>29</v>
      </c>
      <c r="E1959" t="s">
        <v>2148</v>
      </c>
      <c r="G1959" t="s">
        <v>1165</v>
      </c>
      <c r="L1959" t="str">
        <f>HYPERLINK("https://test.ictv.global/id/TN20142172","TN20142172@TEST")</f>
        <v>TN20142172@TEST</v>
      </c>
      <c r="M1959" t="str">
        <f>HYPERLINK("https://test.ictv.global/id/ICTV20083888","ICTV20083888@TEST")</f>
        <v>ICTV20083888@TEST</v>
      </c>
      <c r="N1959" t="str">
        <f>HYPERLINK("https://ictv.global/id/TN20142172","TN20142172@prod")</f>
        <v>TN20142172@prod</v>
      </c>
      <c r="O1959" t="str">
        <f>HYPERLINK("https://ictv.global/id/ICTV20083888","ICTV20083888@prod")</f>
        <v>ICTV20083888@prod</v>
      </c>
    </row>
    <row r="1960" spans="1:15" x14ac:dyDescent="0.2">
      <c r="A1960">
        <v>29</v>
      </c>
      <c r="B1960">
        <v>20142176</v>
      </c>
      <c r="C1960">
        <v>20131920</v>
      </c>
      <c r="D1960" t="s">
        <v>29</v>
      </c>
      <c r="E1960" t="s">
        <v>2149</v>
      </c>
      <c r="G1960" t="s">
        <v>1165</v>
      </c>
      <c r="L1960" t="str">
        <f>HYPERLINK("https://test.ictv.global/id/TN20142176","TN20142176@TEST")</f>
        <v>TN20142176@TEST</v>
      </c>
      <c r="M1960" t="str">
        <f>HYPERLINK("https://test.ictv.global/id/ICTV20131920","ICTV20131920@TEST")</f>
        <v>ICTV20131920@TEST</v>
      </c>
      <c r="N1960" t="str">
        <f>HYPERLINK("https://ictv.global/id/TN20142176","TN20142176@prod")</f>
        <v>TN20142176@prod</v>
      </c>
      <c r="O1960" t="str">
        <f>HYPERLINK("https://ictv.global/id/ICTV20131920","ICTV20131920@prod")</f>
        <v>ICTV20131920@prod</v>
      </c>
    </row>
    <row r="1961" spans="1:15" x14ac:dyDescent="0.2">
      <c r="A1961">
        <v>29</v>
      </c>
      <c r="B1961">
        <v>20142189</v>
      </c>
      <c r="C1961">
        <v>20131925</v>
      </c>
      <c r="D1961" t="s">
        <v>29</v>
      </c>
      <c r="E1961" t="s">
        <v>2150</v>
      </c>
      <c r="G1961" t="s">
        <v>1165</v>
      </c>
      <c r="L1961" t="str">
        <f>HYPERLINK("https://test.ictv.global/id/TN20142189","TN20142189@TEST")</f>
        <v>TN20142189@TEST</v>
      </c>
      <c r="M1961" t="str">
        <f>HYPERLINK("https://test.ictv.global/id/ICTV20131925","ICTV20131925@TEST")</f>
        <v>ICTV20131925@TEST</v>
      </c>
      <c r="N1961" t="str">
        <f>HYPERLINK("https://ictv.global/id/TN20142189","TN20142189@prod")</f>
        <v>TN20142189@prod</v>
      </c>
      <c r="O1961" t="str">
        <f>HYPERLINK("https://ictv.global/id/ICTV20131925","ICTV20131925@prod")</f>
        <v>ICTV20131925@prod</v>
      </c>
    </row>
    <row r="1962" spans="1:15" x14ac:dyDescent="0.2">
      <c r="A1962">
        <v>29</v>
      </c>
      <c r="B1962">
        <v>20142193</v>
      </c>
      <c r="C1962">
        <v>20083899</v>
      </c>
      <c r="D1962" t="s">
        <v>29</v>
      </c>
      <c r="E1962" t="s">
        <v>2151</v>
      </c>
      <c r="G1962" t="s">
        <v>1165</v>
      </c>
      <c r="L1962" t="str">
        <f>HYPERLINK("https://test.ictv.global/id/TN20142193","TN20142193@TEST")</f>
        <v>TN20142193@TEST</v>
      </c>
      <c r="M1962" t="str">
        <f>HYPERLINK("https://test.ictv.global/id/ICTV20083899","ICTV20083899@TEST")</f>
        <v>ICTV20083899@TEST</v>
      </c>
      <c r="N1962" t="str">
        <f>HYPERLINK("https://ictv.global/id/TN20142193","TN20142193@prod")</f>
        <v>TN20142193@prod</v>
      </c>
      <c r="O1962" t="str">
        <f>HYPERLINK("https://ictv.global/id/ICTV20083899","ICTV20083899@prod")</f>
        <v>ICTV20083899@prod</v>
      </c>
    </row>
    <row r="1963" spans="1:15" x14ac:dyDescent="0.2">
      <c r="A1963">
        <v>29</v>
      </c>
      <c r="B1963">
        <v>20142194</v>
      </c>
      <c r="C1963">
        <v>20041153</v>
      </c>
      <c r="D1963" t="s">
        <v>29</v>
      </c>
      <c r="E1963" t="s">
        <v>2152</v>
      </c>
      <c r="G1963" t="s">
        <v>1165</v>
      </c>
      <c r="L1963" t="str">
        <f>HYPERLINK("https://test.ictv.global/id/TN20142194","TN20142194@TEST")</f>
        <v>TN20142194@TEST</v>
      </c>
      <c r="M1963" t="str">
        <f>HYPERLINK("https://test.ictv.global/id/ICTV20041153","ICTV20041153@TEST")</f>
        <v>ICTV20041153@TEST</v>
      </c>
      <c r="N1963" t="str">
        <f>HYPERLINK("https://ictv.global/id/TN20142194","TN20142194@prod")</f>
        <v>TN20142194@prod</v>
      </c>
      <c r="O1963" t="str">
        <f>HYPERLINK("https://ictv.global/id/ICTV20041153","ICTV20041153@prod")</f>
        <v>ICTV20041153@prod</v>
      </c>
    </row>
    <row r="1964" spans="1:15" x14ac:dyDescent="0.2">
      <c r="A1964">
        <v>29</v>
      </c>
      <c r="B1964">
        <v>20142226</v>
      </c>
      <c r="C1964">
        <v>20041168</v>
      </c>
      <c r="D1964" t="s">
        <v>29</v>
      </c>
      <c r="E1964" t="s">
        <v>2153</v>
      </c>
      <c r="G1964" t="s">
        <v>1165</v>
      </c>
      <c r="L1964" t="str">
        <f>HYPERLINK("https://test.ictv.global/id/TN20142226","TN20142226@TEST")</f>
        <v>TN20142226@TEST</v>
      </c>
      <c r="M1964" t="str">
        <f>HYPERLINK("https://test.ictv.global/id/ICTV20041168","ICTV20041168@TEST")</f>
        <v>ICTV20041168@TEST</v>
      </c>
      <c r="N1964" t="str">
        <f>HYPERLINK("https://ictv.global/id/TN20142226","TN20142226@prod")</f>
        <v>TN20142226@prod</v>
      </c>
      <c r="O1964" t="str">
        <f>HYPERLINK("https://ictv.global/id/ICTV20041168","ICTV20041168@prod")</f>
        <v>ICTV20041168@prod</v>
      </c>
    </row>
    <row r="1965" spans="1:15" x14ac:dyDescent="0.2">
      <c r="A1965">
        <v>29</v>
      </c>
      <c r="B1965">
        <v>20142227</v>
      </c>
      <c r="C1965">
        <v>20131938</v>
      </c>
      <c r="D1965" t="s">
        <v>29</v>
      </c>
      <c r="E1965" t="s">
        <v>2154</v>
      </c>
      <c r="G1965" t="s">
        <v>1165</v>
      </c>
      <c r="L1965" t="str">
        <f>HYPERLINK("https://test.ictv.global/id/TN20142227","TN20142227@TEST")</f>
        <v>TN20142227@TEST</v>
      </c>
      <c r="M1965" t="str">
        <f>HYPERLINK("https://test.ictv.global/id/ICTV20131938","ICTV20131938@TEST")</f>
        <v>ICTV20131938@TEST</v>
      </c>
      <c r="N1965" t="str">
        <f>HYPERLINK("https://ictv.global/id/TN20142227","TN20142227@prod")</f>
        <v>TN20142227@prod</v>
      </c>
      <c r="O1965" t="str">
        <f>HYPERLINK("https://ictv.global/id/ICTV20131938","ICTV20131938@prod")</f>
        <v>ICTV20131938@prod</v>
      </c>
    </row>
    <row r="1966" spans="1:15" x14ac:dyDescent="0.2">
      <c r="A1966">
        <v>29</v>
      </c>
      <c r="B1966">
        <v>20142246</v>
      </c>
      <c r="C1966">
        <v>20083931</v>
      </c>
      <c r="D1966" t="s">
        <v>29</v>
      </c>
      <c r="E1966" t="s">
        <v>2155</v>
      </c>
      <c r="G1966" t="s">
        <v>1165</v>
      </c>
      <c r="L1966" t="str">
        <f>HYPERLINK("https://test.ictv.global/id/TN20142246","TN20142246@TEST")</f>
        <v>TN20142246@TEST</v>
      </c>
      <c r="M1966" t="str">
        <f>HYPERLINK("https://test.ictv.global/id/ICTV20083931","ICTV20083931@TEST")</f>
        <v>ICTV20083931@TEST</v>
      </c>
      <c r="N1966" t="str">
        <f>HYPERLINK("https://ictv.global/id/TN20142246","TN20142246@prod")</f>
        <v>TN20142246@prod</v>
      </c>
      <c r="O1966" t="str">
        <f>HYPERLINK("https://ictv.global/id/ICTV20083931","ICTV20083931@prod")</f>
        <v>ICTV20083931@prod</v>
      </c>
    </row>
    <row r="1967" spans="1:15" x14ac:dyDescent="0.2">
      <c r="A1967">
        <v>29</v>
      </c>
      <c r="B1967">
        <v>20142253</v>
      </c>
      <c r="C1967">
        <v>20131949</v>
      </c>
      <c r="D1967" t="s">
        <v>29</v>
      </c>
      <c r="E1967" t="s">
        <v>2156</v>
      </c>
      <c r="G1967" t="s">
        <v>1165</v>
      </c>
      <c r="L1967" t="str">
        <f>HYPERLINK("https://test.ictv.global/id/TN20142253","TN20142253@TEST")</f>
        <v>TN20142253@TEST</v>
      </c>
      <c r="M1967" t="str">
        <f>HYPERLINK("https://test.ictv.global/id/ICTV20131949","ICTV20131949@TEST")</f>
        <v>ICTV20131949@TEST</v>
      </c>
      <c r="N1967" t="str">
        <f>HYPERLINK("https://ictv.global/id/TN20142253","TN20142253@prod")</f>
        <v>TN20142253@prod</v>
      </c>
      <c r="O1967" t="str">
        <f>HYPERLINK("https://ictv.global/id/ICTV20131949","ICTV20131949@prod")</f>
        <v>ICTV20131949@prod</v>
      </c>
    </row>
    <row r="1968" spans="1:15" x14ac:dyDescent="0.2">
      <c r="A1968">
        <v>29</v>
      </c>
      <c r="B1968">
        <v>20142254</v>
      </c>
      <c r="C1968">
        <v>20041177</v>
      </c>
      <c r="D1968" t="s">
        <v>29</v>
      </c>
      <c r="E1968" t="s">
        <v>2157</v>
      </c>
      <c r="G1968" t="s">
        <v>1165</v>
      </c>
      <c r="L1968" t="str">
        <f>HYPERLINK("https://test.ictv.global/id/TN20142254","TN20142254@TEST")</f>
        <v>TN20142254@TEST</v>
      </c>
      <c r="M1968" t="str">
        <f>HYPERLINK("https://test.ictv.global/id/ICTV20041177","ICTV20041177@TEST")</f>
        <v>ICTV20041177@TEST</v>
      </c>
      <c r="N1968" t="str">
        <f>HYPERLINK("https://ictv.global/id/TN20142254","TN20142254@prod")</f>
        <v>TN20142254@prod</v>
      </c>
      <c r="O1968" t="str">
        <f>HYPERLINK("https://ictv.global/id/ICTV20041177","ICTV20041177@prod")</f>
        <v>ICTV20041177@prod</v>
      </c>
    </row>
    <row r="1969" spans="1:15" x14ac:dyDescent="0.2">
      <c r="A1969">
        <v>29</v>
      </c>
      <c r="B1969">
        <v>20142311</v>
      </c>
      <c r="C1969">
        <v>20131971</v>
      </c>
      <c r="D1969" t="s">
        <v>29</v>
      </c>
      <c r="E1969" t="s">
        <v>2158</v>
      </c>
      <c r="G1969" t="s">
        <v>1165</v>
      </c>
      <c r="L1969" t="str">
        <f>HYPERLINK("https://test.ictv.global/id/TN20142311","TN20142311@TEST")</f>
        <v>TN20142311@TEST</v>
      </c>
      <c r="M1969" t="str">
        <f>HYPERLINK("https://test.ictv.global/id/ICTV20131971","ICTV20131971@TEST")</f>
        <v>ICTV20131971@TEST</v>
      </c>
      <c r="N1969" t="str">
        <f>HYPERLINK("https://ictv.global/id/TN20142311","TN20142311@prod")</f>
        <v>TN20142311@prod</v>
      </c>
      <c r="O1969" t="str">
        <f>HYPERLINK("https://ictv.global/id/ICTV20131971","ICTV20131971@prod")</f>
        <v>ICTV20131971@prod</v>
      </c>
    </row>
    <row r="1970" spans="1:15" x14ac:dyDescent="0.2">
      <c r="A1970">
        <v>29</v>
      </c>
      <c r="B1970">
        <v>20142338</v>
      </c>
      <c r="C1970">
        <v>20131981</v>
      </c>
      <c r="D1970" t="s">
        <v>29</v>
      </c>
      <c r="E1970" t="s">
        <v>2159</v>
      </c>
      <c r="G1970" t="s">
        <v>1165</v>
      </c>
      <c r="L1970" t="str">
        <f>HYPERLINK("https://test.ictv.global/id/TN20142338","TN20142338@TEST")</f>
        <v>TN20142338@TEST</v>
      </c>
      <c r="M1970" t="str">
        <f>HYPERLINK("https://test.ictv.global/id/ICTV20131981","ICTV20131981@TEST")</f>
        <v>ICTV20131981@TEST</v>
      </c>
      <c r="N1970" t="str">
        <f>HYPERLINK("https://ictv.global/id/TN20142338","TN20142338@prod")</f>
        <v>TN20142338@prod</v>
      </c>
      <c r="O1970" t="str">
        <f>HYPERLINK("https://ictv.global/id/ICTV20131981","ICTV20131981@prod")</f>
        <v>ICTV20131981@prod</v>
      </c>
    </row>
    <row r="1971" spans="1:15" x14ac:dyDescent="0.2">
      <c r="A1971">
        <v>29</v>
      </c>
      <c r="B1971">
        <v>20142633</v>
      </c>
      <c r="C1971">
        <v>19710037</v>
      </c>
      <c r="D1971" t="s">
        <v>19</v>
      </c>
      <c r="E1971" t="s">
        <v>2160</v>
      </c>
      <c r="G1971" t="s">
        <v>1165</v>
      </c>
      <c r="L1971" t="str">
        <f>HYPERLINK("https://test.ictv.global/id/TN20142633","TN20142633@TEST")</f>
        <v>TN20142633@TEST</v>
      </c>
      <c r="M1971" t="str">
        <f>HYPERLINK("https://test.ictv.global/id/ICTV19710037","ICTV19710037@TEST")</f>
        <v>ICTV19710037@TEST</v>
      </c>
      <c r="N1971" t="str">
        <f>HYPERLINK("https://ictv.global/id/TN20142633","TN20142633@prod")</f>
        <v>TN20142633@prod</v>
      </c>
      <c r="O1971" t="str">
        <f>HYPERLINK("https://ictv.global/id/ICTV19710037","ICTV19710037@prod")</f>
        <v>ICTV19710037@prod</v>
      </c>
    </row>
    <row r="1972" spans="1:15" x14ac:dyDescent="0.2">
      <c r="A1972">
        <v>29</v>
      </c>
      <c r="B1972">
        <v>20143106</v>
      </c>
      <c r="C1972">
        <v>19710009</v>
      </c>
      <c r="D1972" t="s">
        <v>19</v>
      </c>
      <c r="E1972" t="s">
        <v>2161</v>
      </c>
      <c r="G1972" t="s">
        <v>1165</v>
      </c>
      <c r="L1972" t="str">
        <f>HYPERLINK("https://test.ictv.global/id/TN20143106","TN20143106@TEST")</f>
        <v>TN20143106@TEST</v>
      </c>
      <c r="M1972" t="str">
        <f>HYPERLINK("https://test.ictv.global/id/ICTV19710009","ICTV19710009@TEST")</f>
        <v>ICTV19710009@TEST</v>
      </c>
      <c r="N1972" t="str">
        <f>HYPERLINK("https://ictv.global/id/TN20143106","TN20143106@prod")</f>
        <v>TN20143106@prod</v>
      </c>
      <c r="O1972" t="str">
        <f>HYPERLINK("https://ictv.global/id/ICTV19710009","ICTV19710009@prod")</f>
        <v>ICTV19710009@prod</v>
      </c>
    </row>
    <row r="1973" spans="1:15" x14ac:dyDescent="0.2">
      <c r="A1973">
        <v>29</v>
      </c>
      <c r="B1973">
        <v>20143107</v>
      </c>
      <c r="C1973">
        <v>19911008</v>
      </c>
      <c r="D1973" t="s">
        <v>29</v>
      </c>
      <c r="E1973" t="s">
        <v>2162</v>
      </c>
      <c r="G1973" t="s">
        <v>1165</v>
      </c>
      <c r="L1973" t="str">
        <f>HYPERLINK("https://test.ictv.global/id/TN20143107","TN20143107@TEST")</f>
        <v>TN20143107@TEST</v>
      </c>
      <c r="M1973" t="str">
        <f>HYPERLINK("https://test.ictv.global/id/ICTV19911008","ICTV19911008@TEST")</f>
        <v>ICTV19911008@TEST</v>
      </c>
      <c r="N1973" t="str">
        <f>HYPERLINK("https://ictv.global/id/TN20143107","TN20143107@prod")</f>
        <v>TN20143107@prod</v>
      </c>
      <c r="O1973" t="str">
        <f>HYPERLINK("https://ictv.global/id/ICTV19911008","ICTV19911008@prod")</f>
        <v>ICTV19911008@prod</v>
      </c>
    </row>
    <row r="1974" spans="1:15" x14ac:dyDescent="0.2">
      <c r="A1974">
        <v>29</v>
      </c>
      <c r="B1974">
        <v>20143108</v>
      </c>
      <c r="C1974">
        <v>19911003</v>
      </c>
      <c r="D1974" t="s">
        <v>29</v>
      </c>
      <c r="E1974" t="s">
        <v>2163</v>
      </c>
      <c r="G1974" t="s">
        <v>1165</v>
      </c>
      <c r="L1974" t="str">
        <f>HYPERLINK("https://test.ictv.global/id/TN20143108","TN20143108@TEST")</f>
        <v>TN20143108@TEST</v>
      </c>
      <c r="M1974" t="str">
        <f>HYPERLINK("https://test.ictv.global/id/ICTV19911003","ICTV19911003@TEST")</f>
        <v>ICTV19911003@TEST</v>
      </c>
      <c r="N1974" t="str">
        <f>HYPERLINK("https://ictv.global/id/TN20143108","TN20143108@prod")</f>
        <v>TN20143108@prod</v>
      </c>
      <c r="O1974" t="str">
        <f>HYPERLINK("https://ictv.global/id/ICTV19911003","ICTV19911003@prod")</f>
        <v>ICTV19911003@prod</v>
      </c>
    </row>
    <row r="1975" spans="1:15" x14ac:dyDescent="0.2">
      <c r="A1975">
        <v>29</v>
      </c>
      <c r="B1975">
        <v>20143113</v>
      </c>
      <c r="C1975">
        <v>20074274</v>
      </c>
      <c r="D1975" t="s">
        <v>29</v>
      </c>
      <c r="E1975" t="s">
        <v>2164</v>
      </c>
      <c r="G1975" t="s">
        <v>1165</v>
      </c>
      <c r="L1975" t="str">
        <f>HYPERLINK("https://test.ictv.global/id/TN20143113","TN20143113@TEST")</f>
        <v>TN20143113@TEST</v>
      </c>
      <c r="M1975" t="str">
        <f>HYPERLINK("https://test.ictv.global/id/ICTV20074274","ICTV20074274@TEST")</f>
        <v>ICTV20074274@TEST</v>
      </c>
      <c r="N1975" t="str">
        <f>HYPERLINK("https://ictv.global/id/TN20143113","TN20143113@prod")</f>
        <v>TN20143113@prod</v>
      </c>
      <c r="O1975" t="str">
        <f>HYPERLINK("https://ictv.global/id/ICTV20074274","ICTV20074274@prod")</f>
        <v>ICTV20074274@prod</v>
      </c>
    </row>
    <row r="1976" spans="1:15" x14ac:dyDescent="0.2">
      <c r="A1976">
        <v>29</v>
      </c>
      <c r="B1976">
        <v>20143117</v>
      </c>
      <c r="C1976">
        <v>19710059</v>
      </c>
      <c r="D1976" t="s">
        <v>29</v>
      </c>
      <c r="E1976" t="s">
        <v>2165</v>
      </c>
      <c r="G1976" t="s">
        <v>1165</v>
      </c>
      <c r="L1976" t="str">
        <f>HYPERLINK("https://test.ictv.global/id/TN20143117","TN20143117@TEST")</f>
        <v>TN20143117@TEST</v>
      </c>
      <c r="M1976" t="str">
        <f>HYPERLINK("https://test.ictv.global/id/ICTV19710059","ICTV19710059@TEST")</f>
        <v>ICTV19710059@TEST</v>
      </c>
      <c r="N1976" t="str">
        <f>HYPERLINK("https://ictv.global/id/TN20143117","TN20143117@prod")</f>
        <v>TN20143117@prod</v>
      </c>
      <c r="O1976" t="str">
        <f>HYPERLINK("https://ictv.global/id/ICTV19710059","ICTV19710059@prod")</f>
        <v>ICTV19710059@prod</v>
      </c>
    </row>
    <row r="1977" spans="1:15" x14ac:dyDescent="0.2">
      <c r="A1977">
        <v>29</v>
      </c>
      <c r="B1977">
        <v>20143118</v>
      </c>
      <c r="C1977">
        <v>19790442</v>
      </c>
      <c r="D1977" t="s">
        <v>29</v>
      </c>
      <c r="E1977" t="s">
        <v>2166</v>
      </c>
      <c r="G1977" t="s">
        <v>1165</v>
      </c>
      <c r="L1977" t="str">
        <f>HYPERLINK("https://test.ictv.global/id/TN20143118","TN20143118@TEST")</f>
        <v>TN20143118@TEST</v>
      </c>
      <c r="M1977" t="str">
        <f>HYPERLINK("https://test.ictv.global/id/ICTV19790442","ICTV19790442@TEST")</f>
        <v>ICTV19790442@TEST</v>
      </c>
      <c r="N1977" t="str">
        <f>HYPERLINK("https://ictv.global/id/TN20143118","TN20143118@prod")</f>
        <v>TN20143118@prod</v>
      </c>
      <c r="O1977" t="str">
        <f>HYPERLINK("https://ictv.global/id/ICTV19790442","ICTV19790442@prod")</f>
        <v>ICTV19790442@prod</v>
      </c>
    </row>
    <row r="1978" spans="1:15" x14ac:dyDescent="0.2">
      <c r="A1978">
        <v>29</v>
      </c>
      <c r="B1978">
        <v>20143180</v>
      </c>
      <c r="C1978">
        <v>20084482</v>
      </c>
      <c r="D1978" t="s">
        <v>29</v>
      </c>
      <c r="E1978" t="s">
        <v>2167</v>
      </c>
      <c r="G1978" t="s">
        <v>1165</v>
      </c>
      <c r="L1978" t="str">
        <f>HYPERLINK("https://test.ictv.global/id/TN20143180","TN20143180@TEST")</f>
        <v>TN20143180@TEST</v>
      </c>
      <c r="M1978" t="str">
        <f>HYPERLINK("https://test.ictv.global/id/ICTV20084482","ICTV20084482@TEST")</f>
        <v>ICTV20084482@TEST</v>
      </c>
      <c r="N1978" t="str">
        <f>HYPERLINK("https://ictv.global/id/TN20143180","TN20143180@prod")</f>
        <v>TN20143180@prod</v>
      </c>
      <c r="O1978" t="str">
        <f>HYPERLINK("https://ictv.global/id/ICTV20084482","ICTV20084482@prod")</f>
        <v>ICTV20084482@prod</v>
      </c>
    </row>
    <row r="1979" spans="1:15" x14ac:dyDescent="0.2">
      <c r="A1979">
        <v>29</v>
      </c>
      <c r="B1979">
        <v>20143733</v>
      </c>
      <c r="C1979">
        <v>19870172</v>
      </c>
      <c r="D1979" t="s">
        <v>19</v>
      </c>
      <c r="E1979" t="s">
        <v>2168</v>
      </c>
      <c r="G1979" t="s">
        <v>1165</v>
      </c>
      <c r="L1979" t="str">
        <f>HYPERLINK("https://test.ictv.global/id/TN20143733","TN20143733@TEST")</f>
        <v>TN20143733@TEST</v>
      </c>
      <c r="M1979" t="str">
        <f>HYPERLINK("https://test.ictv.global/id/ICTV19870172","ICTV19870172@TEST")</f>
        <v>ICTV19870172@TEST</v>
      </c>
      <c r="N1979" t="str">
        <f>HYPERLINK("https://ictv.global/id/TN20143733","TN20143733@prod")</f>
        <v>TN20143733@prod</v>
      </c>
      <c r="O1979" t="str">
        <f>HYPERLINK("https://ictv.global/id/ICTV19870172","ICTV19870172@prod")</f>
        <v>ICTV19870172@prod</v>
      </c>
    </row>
    <row r="1980" spans="1:15" x14ac:dyDescent="0.2">
      <c r="A1980">
        <v>30</v>
      </c>
      <c r="B1980">
        <v>20150061</v>
      </c>
      <c r="C1980">
        <v>19990389</v>
      </c>
      <c r="D1980" t="s">
        <v>29</v>
      </c>
      <c r="E1980" t="s">
        <v>2169</v>
      </c>
      <c r="G1980" t="s">
        <v>1165</v>
      </c>
      <c r="L1980" t="str">
        <f>HYPERLINK("https://test.ictv.global/id/TN20150061","TN20150061@TEST")</f>
        <v>TN20150061@TEST</v>
      </c>
      <c r="M1980" t="str">
        <f>HYPERLINK("https://test.ictv.global/id/ICTV19990389","ICTV19990389@TEST")</f>
        <v>ICTV19990389@TEST</v>
      </c>
      <c r="N1980" t="str">
        <f>HYPERLINK("https://ictv.global/id/TN20150061","TN20150061@prod")</f>
        <v>TN20150061@prod</v>
      </c>
      <c r="O1980" t="str">
        <f>HYPERLINK("https://ictv.global/id/ICTV19990389","ICTV19990389@prod")</f>
        <v>ICTV19990389@prod</v>
      </c>
    </row>
    <row r="1981" spans="1:15" x14ac:dyDescent="0.2">
      <c r="A1981">
        <v>30</v>
      </c>
      <c r="B1981">
        <v>20150152</v>
      </c>
      <c r="C1981">
        <v>20094098</v>
      </c>
      <c r="D1981" t="s">
        <v>29</v>
      </c>
      <c r="E1981" t="s">
        <v>2170</v>
      </c>
      <c r="G1981" t="s">
        <v>1165</v>
      </c>
      <c r="L1981" t="str">
        <f>HYPERLINK("https://test.ictv.global/id/TN20150152","TN20150152@TEST")</f>
        <v>TN20150152@TEST</v>
      </c>
      <c r="M1981" t="str">
        <f>HYPERLINK("https://test.ictv.global/id/ICTV20094098","ICTV20094098@TEST")</f>
        <v>ICTV20094098@TEST</v>
      </c>
      <c r="N1981" t="str">
        <f>HYPERLINK("https://ictv.global/id/TN20150152","TN20150152@prod")</f>
        <v>TN20150152@prod</v>
      </c>
      <c r="O1981" t="str">
        <f>HYPERLINK("https://ictv.global/id/ICTV20094098","ICTV20094098@prod")</f>
        <v>ICTV20094098@prod</v>
      </c>
    </row>
    <row r="1982" spans="1:15" x14ac:dyDescent="0.2">
      <c r="A1982">
        <v>30</v>
      </c>
      <c r="B1982">
        <v>20150964</v>
      </c>
      <c r="C1982">
        <v>19870166</v>
      </c>
      <c r="D1982" t="s">
        <v>19</v>
      </c>
      <c r="E1982" t="s">
        <v>2171</v>
      </c>
      <c r="G1982" t="s">
        <v>1165</v>
      </c>
      <c r="L1982" t="str">
        <f>HYPERLINK("https://test.ictv.global/id/TN20150964","TN20150964@TEST")</f>
        <v>TN20150964@TEST</v>
      </c>
      <c r="M1982" t="str">
        <f>HYPERLINK("https://test.ictv.global/id/ICTV19870166","ICTV19870166@TEST")</f>
        <v>ICTV19870166@TEST</v>
      </c>
      <c r="N1982" t="str">
        <f>HYPERLINK("https://ictv.global/id/TN20150964","TN20150964@prod")</f>
        <v>TN20150964@prod</v>
      </c>
      <c r="O1982" t="str">
        <f>HYPERLINK("https://ictv.global/id/ICTV19870166","ICTV19870166@prod")</f>
        <v>ICTV19870166@prod</v>
      </c>
    </row>
    <row r="1983" spans="1:15" x14ac:dyDescent="0.2">
      <c r="A1983">
        <v>30</v>
      </c>
      <c r="B1983">
        <v>20151185</v>
      </c>
      <c r="C1983">
        <v>19840156</v>
      </c>
      <c r="D1983" t="s">
        <v>19</v>
      </c>
      <c r="E1983" t="s">
        <v>2172</v>
      </c>
      <c r="G1983" t="s">
        <v>1165</v>
      </c>
      <c r="L1983" t="str">
        <f>HYPERLINK("https://test.ictv.global/id/TN20151185","TN20151185@TEST")</f>
        <v>TN20151185@TEST</v>
      </c>
      <c r="M1983" t="str">
        <f>HYPERLINK("https://test.ictv.global/id/ICTV19840156","ICTV19840156@TEST")</f>
        <v>ICTV19840156@TEST</v>
      </c>
      <c r="N1983" t="str">
        <f>HYPERLINK("https://ictv.global/id/TN20151185","TN20151185@prod")</f>
        <v>TN20151185@prod</v>
      </c>
      <c r="O1983" t="str">
        <f>HYPERLINK("https://ictv.global/id/ICTV19840156","ICTV19840156@prod")</f>
        <v>ICTV19840156@prod</v>
      </c>
    </row>
    <row r="1984" spans="1:15" x14ac:dyDescent="0.2">
      <c r="A1984">
        <v>30</v>
      </c>
      <c r="B1984">
        <v>20152109</v>
      </c>
      <c r="C1984">
        <v>19990665</v>
      </c>
      <c r="D1984" t="s">
        <v>29</v>
      </c>
      <c r="E1984" t="s">
        <v>2173</v>
      </c>
      <c r="G1984" t="s">
        <v>1165</v>
      </c>
      <c r="L1984" t="str">
        <f>HYPERLINK("https://test.ictv.global/id/TN20152109","TN20152109@TEST")</f>
        <v>TN20152109@TEST</v>
      </c>
      <c r="M1984" t="str">
        <f>HYPERLINK("https://test.ictv.global/id/ICTV19990665","ICTV19990665@TEST")</f>
        <v>ICTV19990665@TEST</v>
      </c>
      <c r="N1984" t="str">
        <f>HYPERLINK("https://ictv.global/id/TN20152109","TN20152109@prod")</f>
        <v>TN20152109@prod</v>
      </c>
      <c r="O1984" t="str">
        <f>HYPERLINK("https://ictv.global/id/ICTV19990665","ICTV19990665@prod")</f>
        <v>ICTV19990665@prod</v>
      </c>
    </row>
    <row r="1985" spans="1:15" x14ac:dyDescent="0.2">
      <c r="A1985">
        <v>30</v>
      </c>
      <c r="B1985">
        <v>20152112</v>
      </c>
      <c r="C1985">
        <v>19990668</v>
      </c>
      <c r="D1985" t="s">
        <v>29</v>
      </c>
      <c r="E1985" t="s">
        <v>2174</v>
      </c>
      <c r="G1985" t="s">
        <v>1165</v>
      </c>
      <c r="L1985" t="str">
        <f>HYPERLINK("https://test.ictv.global/id/TN20152112","TN20152112@TEST")</f>
        <v>TN20152112@TEST</v>
      </c>
      <c r="M1985" t="str">
        <f>HYPERLINK("https://test.ictv.global/id/ICTV19990668","ICTV19990668@TEST")</f>
        <v>ICTV19990668@TEST</v>
      </c>
      <c r="N1985" t="str">
        <f>HYPERLINK("https://ictv.global/id/TN20152112","TN20152112@prod")</f>
        <v>TN20152112@prod</v>
      </c>
      <c r="O1985" t="str">
        <f>HYPERLINK("https://ictv.global/id/ICTV19990668","ICTV19990668@prod")</f>
        <v>ICTV19990668@prod</v>
      </c>
    </row>
    <row r="1986" spans="1:15" x14ac:dyDescent="0.2">
      <c r="A1986">
        <v>30</v>
      </c>
      <c r="B1986">
        <v>20152113</v>
      </c>
      <c r="C1986">
        <v>19990669</v>
      </c>
      <c r="D1986" t="s">
        <v>29</v>
      </c>
      <c r="E1986" t="s">
        <v>2175</v>
      </c>
      <c r="G1986" t="s">
        <v>1165</v>
      </c>
      <c r="L1986" t="str">
        <f>HYPERLINK("https://test.ictv.global/id/TN20152113","TN20152113@TEST")</f>
        <v>TN20152113@TEST</v>
      </c>
      <c r="M1986" t="str">
        <f>HYPERLINK("https://test.ictv.global/id/ICTV19990669","ICTV19990669@TEST")</f>
        <v>ICTV19990669@TEST</v>
      </c>
      <c r="N1986" t="str">
        <f>HYPERLINK("https://ictv.global/id/TN20152113","TN20152113@prod")</f>
        <v>TN20152113@prod</v>
      </c>
      <c r="O1986" t="str">
        <f>HYPERLINK("https://ictv.global/id/ICTV19990669","ICTV19990669@prod")</f>
        <v>ICTV19990669@prod</v>
      </c>
    </row>
    <row r="1987" spans="1:15" x14ac:dyDescent="0.2">
      <c r="A1987">
        <v>30</v>
      </c>
      <c r="B1987">
        <v>20152116</v>
      </c>
      <c r="C1987">
        <v>19990672</v>
      </c>
      <c r="D1987" t="s">
        <v>29</v>
      </c>
      <c r="E1987" t="s">
        <v>2176</v>
      </c>
      <c r="G1987" t="s">
        <v>1165</v>
      </c>
      <c r="L1987" t="str">
        <f>HYPERLINK("https://test.ictv.global/id/TN20152116","TN20152116@TEST")</f>
        <v>TN20152116@TEST</v>
      </c>
      <c r="M1987" t="str">
        <f>HYPERLINK("https://test.ictv.global/id/ICTV19990672","ICTV19990672@TEST")</f>
        <v>ICTV19990672@TEST</v>
      </c>
      <c r="N1987" t="str">
        <f>HYPERLINK("https://ictv.global/id/TN20152116","TN20152116@prod")</f>
        <v>TN20152116@prod</v>
      </c>
      <c r="O1987" t="str">
        <f>HYPERLINK("https://ictv.global/id/ICTV19990672","ICTV19990672@prod")</f>
        <v>ICTV19990672@prod</v>
      </c>
    </row>
    <row r="1988" spans="1:15" x14ac:dyDescent="0.2">
      <c r="A1988">
        <v>30</v>
      </c>
      <c r="B1988">
        <v>20152117</v>
      </c>
      <c r="C1988">
        <v>19990673</v>
      </c>
      <c r="D1988" t="s">
        <v>29</v>
      </c>
      <c r="E1988" t="s">
        <v>2177</v>
      </c>
      <c r="G1988" t="s">
        <v>1165</v>
      </c>
      <c r="L1988" t="str">
        <f>HYPERLINK("https://test.ictv.global/id/TN20152117","TN20152117@TEST")</f>
        <v>TN20152117@TEST</v>
      </c>
      <c r="M1988" t="str">
        <f>HYPERLINK("https://test.ictv.global/id/ICTV19990673","ICTV19990673@TEST")</f>
        <v>ICTV19990673@TEST</v>
      </c>
      <c r="N1988" t="str">
        <f>HYPERLINK("https://ictv.global/id/TN20152117","TN20152117@prod")</f>
        <v>TN20152117@prod</v>
      </c>
      <c r="O1988" t="str">
        <f>HYPERLINK("https://ictv.global/id/ICTV19990673","ICTV19990673@prod")</f>
        <v>ICTV19990673@prod</v>
      </c>
    </row>
    <row r="1989" spans="1:15" x14ac:dyDescent="0.2">
      <c r="A1989">
        <v>30</v>
      </c>
      <c r="B1989">
        <v>20152118</v>
      </c>
      <c r="C1989">
        <v>20083497</v>
      </c>
      <c r="D1989" t="s">
        <v>29</v>
      </c>
      <c r="E1989" t="s">
        <v>2178</v>
      </c>
      <c r="G1989" t="s">
        <v>1165</v>
      </c>
      <c r="L1989" t="str">
        <f>HYPERLINK("https://test.ictv.global/id/TN20152118","TN20152118@TEST")</f>
        <v>TN20152118@TEST</v>
      </c>
      <c r="M1989" t="str">
        <f>HYPERLINK("https://test.ictv.global/id/ICTV20083497","ICTV20083497@TEST")</f>
        <v>ICTV20083497@TEST</v>
      </c>
      <c r="N1989" t="str">
        <f>HYPERLINK("https://ictv.global/id/TN20152118","TN20152118@prod")</f>
        <v>TN20152118@prod</v>
      </c>
      <c r="O1989" t="str">
        <f>HYPERLINK("https://ictv.global/id/ICTV20083497","ICTV20083497@prod")</f>
        <v>ICTV20083497@prod</v>
      </c>
    </row>
    <row r="1990" spans="1:15" x14ac:dyDescent="0.2">
      <c r="A1990">
        <v>30</v>
      </c>
      <c r="B1990">
        <v>20152124</v>
      </c>
      <c r="C1990">
        <v>19990678</v>
      </c>
      <c r="D1990" t="s">
        <v>29</v>
      </c>
      <c r="E1990" t="s">
        <v>2179</v>
      </c>
      <c r="G1990" t="s">
        <v>1165</v>
      </c>
      <c r="L1990" t="str">
        <f>HYPERLINK("https://test.ictv.global/id/TN20152124","TN20152124@TEST")</f>
        <v>TN20152124@TEST</v>
      </c>
      <c r="M1990" t="str">
        <f>HYPERLINK("https://test.ictv.global/id/ICTV19990678","ICTV19990678@TEST")</f>
        <v>ICTV19990678@TEST</v>
      </c>
      <c r="N1990" t="str">
        <f>HYPERLINK("https://ictv.global/id/TN20152124","TN20152124@prod")</f>
        <v>TN20152124@prod</v>
      </c>
      <c r="O1990" t="str">
        <f>HYPERLINK("https://ictv.global/id/ICTV19990678","ICTV19990678@prod")</f>
        <v>ICTV19990678@prod</v>
      </c>
    </row>
    <row r="1991" spans="1:15" x14ac:dyDescent="0.2">
      <c r="A1991">
        <v>30</v>
      </c>
      <c r="B1991">
        <v>20152959</v>
      </c>
      <c r="C1991">
        <v>20073875</v>
      </c>
      <c r="D1991" t="s">
        <v>29</v>
      </c>
      <c r="E1991" t="s">
        <v>2180</v>
      </c>
      <c r="G1991" t="s">
        <v>1165</v>
      </c>
      <c r="L1991" t="str">
        <f>HYPERLINK("https://test.ictv.global/id/TN20152959","TN20152959@TEST")</f>
        <v>TN20152959@TEST</v>
      </c>
      <c r="M1991" t="str">
        <f>HYPERLINK("https://test.ictv.global/id/ICTV20073875","ICTV20073875@TEST")</f>
        <v>ICTV20073875@TEST</v>
      </c>
      <c r="N1991" t="str">
        <f>HYPERLINK("https://ictv.global/id/TN20152959","TN20152959@prod")</f>
        <v>TN20152959@prod</v>
      </c>
      <c r="O1991" t="str">
        <f>HYPERLINK("https://ictv.global/id/ICTV20073875","ICTV20073875@prod")</f>
        <v>ICTV20073875@prod</v>
      </c>
    </row>
    <row r="1992" spans="1:15" x14ac:dyDescent="0.2">
      <c r="A1992">
        <v>30</v>
      </c>
      <c r="B1992">
        <v>20152960</v>
      </c>
      <c r="C1992">
        <v>19910807</v>
      </c>
      <c r="D1992" t="s">
        <v>29</v>
      </c>
      <c r="E1992" t="s">
        <v>2181</v>
      </c>
      <c r="G1992" t="s">
        <v>1165</v>
      </c>
      <c r="L1992" t="str">
        <f>HYPERLINK("https://test.ictv.global/id/TN20152960","TN20152960@TEST")</f>
        <v>TN20152960@TEST</v>
      </c>
      <c r="M1992" t="str">
        <f>HYPERLINK("https://test.ictv.global/id/ICTV19910807","ICTV19910807@TEST")</f>
        <v>ICTV19910807@TEST</v>
      </c>
      <c r="N1992" t="str">
        <f>HYPERLINK("https://ictv.global/id/TN20152960","TN20152960@prod")</f>
        <v>TN20152960@prod</v>
      </c>
      <c r="O1992" t="str">
        <f>HYPERLINK("https://ictv.global/id/ICTV19910807","ICTV19910807@prod")</f>
        <v>ICTV19910807@prod</v>
      </c>
    </row>
    <row r="1993" spans="1:15" x14ac:dyDescent="0.2">
      <c r="A1993">
        <v>30</v>
      </c>
      <c r="B1993">
        <v>20152961</v>
      </c>
      <c r="C1993">
        <v>20073877</v>
      </c>
      <c r="D1993" t="s">
        <v>29</v>
      </c>
      <c r="E1993" t="s">
        <v>2182</v>
      </c>
      <c r="G1993" t="s">
        <v>1165</v>
      </c>
      <c r="L1993" t="str">
        <f>HYPERLINK("https://test.ictv.global/id/TN20152961","TN20152961@TEST")</f>
        <v>TN20152961@TEST</v>
      </c>
      <c r="M1993" t="str">
        <f>HYPERLINK("https://test.ictv.global/id/ICTV20073877","ICTV20073877@TEST")</f>
        <v>ICTV20073877@TEST</v>
      </c>
      <c r="N1993" t="str">
        <f>HYPERLINK("https://ictv.global/id/TN20152961","TN20152961@prod")</f>
        <v>TN20152961@prod</v>
      </c>
      <c r="O1993" t="str">
        <f>HYPERLINK("https://ictv.global/id/ICTV20073877","ICTV20073877@prod")</f>
        <v>ICTV20073877@prod</v>
      </c>
    </row>
    <row r="1994" spans="1:15" x14ac:dyDescent="0.2">
      <c r="A1994">
        <v>30</v>
      </c>
      <c r="B1994">
        <v>20152962</v>
      </c>
      <c r="C1994">
        <v>20073878</v>
      </c>
      <c r="D1994" t="s">
        <v>29</v>
      </c>
      <c r="E1994" t="s">
        <v>2183</v>
      </c>
      <c r="G1994" t="s">
        <v>1165</v>
      </c>
      <c r="L1994" t="str">
        <f>HYPERLINK("https://test.ictv.global/id/TN20152962","TN20152962@TEST")</f>
        <v>TN20152962@TEST</v>
      </c>
      <c r="M1994" t="str">
        <f>HYPERLINK("https://test.ictv.global/id/ICTV20073878","ICTV20073878@TEST")</f>
        <v>ICTV20073878@TEST</v>
      </c>
      <c r="N1994" t="str">
        <f>HYPERLINK("https://ictv.global/id/TN20152962","TN20152962@prod")</f>
        <v>TN20152962@prod</v>
      </c>
      <c r="O1994" t="str">
        <f>HYPERLINK("https://ictv.global/id/ICTV20073878","ICTV20073878@prod")</f>
        <v>ICTV20073878@prod</v>
      </c>
    </row>
    <row r="1995" spans="1:15" x14ac:dyDescent="0.2">
      <c r="A1995">
        <v>30</v>
      </c>
      <c r="B1995">
        <v>20152963</v>
      </c>
      <c r="C1995">
        <v>20073879</v>
      </c>
      <c r="D1995" t="s">
        <v>29</v>
      </c>
      <c r="E1995" t="s">
        <v>2184</v>
      </c>
      <c r="G1995" t="s">
        <v>1165</v>
      </c>
      <c r="L1995" t="str">
        <f>HYPERLINK("https://test.ictv.global/id/TN20152963","TN20152963@TEST")</f>
        <v>TN20152963@TEST</v>
      </c>
      <c r="M1995" t="str">
        <f>HYPERLINK("https://test.ictv.global/id/ICTV20073879","ICTV20073879@TEST")</f>
        <v>ICTV20073879@TEST</v>
      </c>
      <c r="N1995" t="str">
        <f>HYPERLINK("https://ictv.global/id/TN20152963","TN20152963@prod")</f>
        <v>TN20152963@prod</v>
      </c>
      <c r="O1995" t="str">
        <f>HYPERLINK("https://ictv.global/id/ICTV20073879","ICTV20073879@prod")</f>
        <v>ICTV20073879@prod</v>
      </c>
    </row>
    <row r="1996" spans="1:15" x14ac:dyDescent="0.2">
      <c r="A1996">
        <v>30</v>
      </c>
      <c r="B1996">
        <v>20152964</v>
      </c>
      <c r="C1996">
        <v>20073880</v>
      </c>
      <c r="D1996" t="s">
        <v>29</v>
      </c>
      <c r="E1996" t="s">
        <v>2185</v>
      </c>
      <c r="G1996" t="s">
        <v>1165</v>
      </c>
      <c r="L1996" t="str">
        <f>HYPERLINK("https://test.ictv.global/id/TN20152964","TN20152964@TEST")</f>
        <v>TN20152964@TEST</v>
      </c>
      <c r="M1996" t="str">
        <f>HYPERLINK("https://test.ictv.global/id/ICTV20073880","ICTV20073880@TEST")</f>
        <v>ICTV20073880@TEST</v>
      </c>
      <c r="N1996" t="str">
        <f>HYPERLINK("https://ictv.global/id/TN20152964","TN20152964@prod")</f>
        <v>TN20152964@prod</v>
      </c>
      <c r="O1996" t="str">
        <f>HYPERLINK("https://ictv.global/id/ICTV20073880","ICTV20073880@prod")</f>
        <v>ICTV20073880@prod</v>
      </c>
    </row>
    <row r="1997" spans="1:15" x14ac:dyDescent="0.2">
      <c r="A1997">
        <v>30</v>
      </c>
      <c r="B1997">
        <v>20152965</v>
      </c>
      <c r="C1997">
        <v>20073881</v>
      </c>
      <c r="D1997" t="s">
        <v>29</v>
      </c>
      <c r="E1997" t="s">
        <v>2186</v>
      </c>
      <c r="G1997" t="s">
        <v>1165</v>
      </c>
      <c r="L1997" t="str">
        <f>HYPERLINK("https://test.ictv.global/id/TN20152965","TN20152965@TEST")</f>
        <v>TN20152965@TEST</v>
      </c>
      <c r="M1997" t="str">
        <f>HYPERLINK("https://test.ictv.global/id/ICTV20073881","ICTV20073881@TEST")</f>
        <v>ICTV20073881@TEST</v>
      </c>
      <c r="N1997" t="str">
        <f>HYPERLINK("https://ictv.global/id/TN20152965","TN20152965@prod")</f>
        <v>TN20152965@prod</v>
      </c>
      <c r="O1997" t="str">
        <f>HYPERLINK("https://ictv.global/id/ICTV20073881","ICTV20073881@prod")</f>
        <v>ICTV20073881@prod</v>
      </c>
    </row>
    <row r="1998" spans="1:15" x14ac:dyDescent="0.2">
      <c r="A1998">
        <v>30</v>
      </c>
      <c r="B1998">
        <v>20152970</v>
      </c>
      <c r="C1998">
        <v>19910812</v>
      </c>
      <c r="D1998" t="s">
        <v>29</v>
      </c>
      <c r="E1998" t="s">
        <v>2187</v>
      </c>
      <c r="G1998" t="s">
        <v>1165</v>
      </c>
      <c r="L1998" t="str">
        <f>HYPERLINK("https://test.ictv.global/id/TN20152970","TN20152970@TEST")</f>
        <v>TN20152970@TEST</v>
      </c>
      <c r="M1998" t="str">
        <f>HYPERLINK("https://test.ictv.global/id/ICTV19910812","ICTV19910812@TEST")</f>
        <v>ICTV19910812@TEST</v>
      </c>
      <c r="N1998" t="str">
        <f>HYPERLINK("https://ictv.global/id/TN20152970","TN20152970@prod")</f>
        <v>TN20152970@prod</v>
      </c>
      <c r="O1998" t="str">
        <f>HYPERLINK("https://ictv.global/id/ICTV19910812","ICTV19910812@prod")</f>
        <v>ICTV19910812@prod</v>
      </c>
    </row>
    <row r="1999" spans="1:15" x14ac:dyDescent="0.2">
      <c r="A1999">
        <v>30</v>
      </c>
      <c r="B1999">
        <v>20152971</v>
      </c>
      <c r="C1999">
        <v>19910813</v>
      </c>
      <c r="D1999" t="s">
        <v>29</v>
      </c>
      <c r="E1999" t="s">
        <v>2188</v>
      </c>
      <c r="G1999" t="s">
        <v>1165</v>
      </c>
      <c r="L1999" t="str">
        <f>HYPERLINK("https://test.ictv.global/id/TN20152971","TN20152971@TEST")</f>
        <v>TN20152971@TEST</v>
      </c>
      <c r="M1999" t="str">
        <f>HYPERLINK("https://test.ictv.global/id/ICTV19910813","ICTV19910813@TEST")</f>
        <v>ICTV19910813@TEST</v>
      </c>
      <c r="N1999" t="str">
        <f>HYPERLINK("https://ictv.global/id/TN20152971","TN20152971@prod")</f>
        <v>TN20152971@prod</v>
      </c>
      <c r="O1999" t="str">
        <f>HYPERLINK("https://ictv.global/id/ICTV19910813","ICTV19910813@prod")</f>
        <v>ICTV19910813@prod</v>
      </c>
    </row>
    <row r="2000" spans="1:15" x14ac:dyDescent="0.2">
      <c r="A2000">
        <v>30</v>
      </c>
      <c r="B2000">
        <v>20152972</v>
      </c>
      <c r="C2000">
        <v>19910814</v>
      </c>
      <c r="D2000" t="s">
        <v>29</v>
      </c>
      <c r="E2000" t="s">
        <v>2189</v>
      </c>
      <c r="G2000" t="s">
        <v>1165</v>
      </c>
      <c r="L2000" t="str">
        <f>HYPERLINK("https://test.ictv.global/id/TN20152972","TN20152972@TEST")</f>
        <v>TN20152972@TEST</v>
      </c>
      <c r="M2000" t="str">
        <f>HYPERLINK("https://test.ictv.global/id/ICTV19910814","ICTV19910814@TEST")</f>
        <v>ICTV19910814@TEST</v>
      </c>
      <c r="N2000" t="str">
        <f>HYPERLINK("https://ictv.global/id/TN20152972","TN20152972@prod")</f>
        <v>TN20152972@prod</v>
      </c>
      <c r="O2000" t="str">
        <f>HYPERLINK("https://ictv.global/id/ICTV19910814","ICTV19910814@prod")</f>
        <v>ICTV19910814@prod</v>
      </c>
    </row>
    <row r="2001" spans="1:15" x14ac:dyDescent="0.2">
      <c r="A2001">
        <v>30</v>
      </c>
      <c r="B2001">
        <v>20152973</v>
      </c>
      <c r="C2001">
        <v>19910815</v>
      </c>
      <c r="D2001" t="s">
        <v>29</v>
      </c>
      <c r="E2001" t="s">
        <v>2190</v>
      </c>
      <c r="G2001" t="s">
        <v>1165</v>
      </c>
      <c r="L2001" t="str">
        <f>HYPERLINK("https://test.ictv.global/id/TN20152973","TN20152973@TEST")</f>
        <v>TN20152973@TEST</v>
      </c>
      <c r="M2001" t="str">
        <f>HYPERLINK("https://test.ictv.global/id/ICTV19910815","ICTV19910815@TEST")</f>
        <v>ICTV19910815@TEST</v>
      </c>
      <c r="N2001" t="str">
        <f>HYPERLINK("https://ictv.global/id/TN20152973","TN20152973@prod")</f>
        <v>TN20152973@prod</v>
      </c>
      <c r="O2001" t="str">
        <f>HYPERLINK("https://ictv.global/id/ICTV19910815","ICTV19910815@prod")</f>
        <v>ICTV19910815@prod</v>
      </c>
    </row>
    <row r="2002" spans="1:15" x14ac:dyDescent="0.2">
      <c r="A2002">
        <v>30</v>
      </c>
      <c r="B2002">
        <v>20152974</v>
      </c>
      <c r="C2002">
        <v>19991035</v>
      </c>
      <c r="D2002" t="s">
        <v>29</v>
      </c>
      <c r="E2002" t="s">
        <v>2191</v>
      </c>
      <c r="G2002" t="s">
        <v>1165</v>
      </c>
      <c r="L2002" t="str">
        <f>HYPERLINK("https://test.ictv.global/id/TN20152974","TN20152974@TEST")</f>
        <v>TN20152974@TEST</v>
      </c>
      <c r="M2002" t="str">
        <f>HYPERLINK("https://test.ictv.global/id/ICTV19991035","ICTV19991035@TEST")</f>
        <v>ICTV19991035@TEST</v>
      </c>
      <c r="N2002" t="str">
        <f>HYPERLINK("https://ictv.global/id/TN20152974","TN20152974@prod")</f>
        <v>TN20152974@prod</v>
      </c>
      <c r="O2002" t="str">
        <f>HYPERLINK("https://ictv.global/id/ICTV19991035","ICTV19991035@prod")</f>
        <v>ICTV19991035@prod</v>
      </c>
    </row>
    <row r="2003" spans="1:15" x14ac:dyDescent="0.2">
      <c r="A2003">
        <v>30</v>
      </c>
      <c r="B2003">
        <v>20152975</v>
      </c>
      <c r="C2003">
        <v>20073891</v>
      </c>
      <c r="D2003" t="s">
        <v>29</v>
      </c>
      <c r="E2003" t="s">
        <v>2192</v>
      </c>
      <c r="G2003" t="s">
        <v>1165</v>
      </c>
      <c r="L2003" t="str">
        <f>HYPERLINK("https://test.ictv.global/id/TN20152975","TN20152975@TEST")</f>
        <v>TN20152975@TEST</v>
      </c>
      <c r="M2003" t="str">
        <f>HYPERLINK("https://test.ictv.global/id/ICTV20073891","ICTV20073891@TEST")</f>
        <v>ICTV20073891@TEST</v>
      </c>
      <c r="N2003" t="str">
        <f>HYPERLINK("https://ictv.global/id/TN20152975","TN20152975@prod")</f>
        <v>TN20152975@prod</v>
      </c>
      <c r="O2003" t="str">
        <f>HYPERLINK("https://ictv.global/id/ICTV20073891","ICTV20073891@prod")</f>
        <v>ICTV20073891@prod</v>
      </c>
    </row>
    <row r="2004" spans="1:15" x14ac:dyDescent="0.2">
      <c r="A2004">
        <v>30</v>
      </c>
      <c r="B2004">
        <v>20152977</v>
      </c>
      <c r="C2004">
        <v>19910817</v>
      </c>
      <c r="D2004" t="s">
        <v>29</v>
      </c>
      <c r="E2004" t="s">
        <v>2193</v>
      </c>
      <c r="G2004" t="s">
        <v>1165</v>
      </c>
      <c r="L2004" t="str">
        <f>HYPERLINK("https://test.ictv.global/id/TN20152977","TN20152977@TEST")</f>
        <v>TN20152977@TEST</v>
      </c>
      <c r="M2004" t="str">
        <f>HYPERLINK("https://test.ictv.global/id/ICTV19910817","ICTV19910817@TEST")</f>
        <v>ICTV19910817@TEST</v>
      </c>
      <c r="N2004" t="str">
        <f>HYPERLINK("https://ictv.global/id/TN20152977","TN20152977@prod")</f>
        <v>TN20152977@prod</v>
      </c>
      <c r="O2004" t="str">
        <f>HYPERLINK("https://ictv.global/id/ICTV19910817","ICTV19910817@prod")</f>
        <v>ICTV19910817@prod</v>
      </c>
    </row>
    <row r="2005" spans="1:15" x14ac:dyDescent="0.2">
      <c r="A2005">
        <v>30</v>
      </c>
      <c r="B2005">
        <v>20152979</v>
      </c>
      <c r="C2005">
        <v>19991039</v>
      </c>
      <c r="D2005" t="s">
        <v>29</v>
      </c>
      <c r="E2005" t="s">
        <v>2194</v>
      </c>
      <c r="G2005" t="s">
        <v>1165</v>
      </c>
      <c r="L2005" t="str">
        <f>HYPERLINK("https://test.ictv.global/id/TN20152979","TN20152979@TEST")</f>
        <v>TN20152979@TEST</v>
      </c>
      <c r="M2005" t="str">
        <f>HYPERLINK("https://test.ictv.global/id/ICTV19991039","ICTV19991039@TEST")</f>
        <v>ICTV19991039@TEST</v>
      </c>
      <c r="N2005" t="str">
        <f>HYPERLINK("https://ictv.global/id/TN20152979","TN20152979@prod")</f>
        <v>TN20152979@prod</v>
      </c>
      <c r="O2005" t="str">
        <f>HYPERLINK("https://ictv.global/id/ICTV19991039","ICTV19991039@prod")</f>
        <v>ICTV19991039@prod</v>
      </c>
    </row>
    <row r="2006" spans="1:15" x14ac:dyDescent="0.2">
      <c r="A2006">
        <v>30</v>
      </c>
      <c r="B2006">
        <v>20152983</v>
      </c>
      <c r="C2006">
        <v>19910819</v>
      </c>
      <c r="D2006" t="s">
        <v>29</v>
      </c>
      <c r="E2006" t="s">
        <v>2195</v>
      </c>
      <c r="G2006" t="s">
        <v>1165</v>
      </c>
      <c r="L2006" t="str">
        <f>HYPERLINK("https://test.ictv.global/id/TN20152983","TN20152983@TEST")</f>
        <v>TN20152983@TEST</v>
      </c>
      <c r="M2006" t="str">
        <f>HYPERLINK("https://test.ictv.global/id/ICTV19910819","ICTV19910819@TEST")</f>
        <v>ICTV19910819@TEST</v>
      </c>
      <c r="N2006" t="str">
        <f>HYPERLINK("https://ictv.global/id/TN20152983","TN20152983@prod")</f>
        <v>TN20152983@prod</v>
      </c>
      <c r="O2006" t="str">
        <f>HYPERLINK("https://ictv.global/id/ICTV19910819","ICTV19910819@prod")</f>
        <v>ICTV19910819@prod</v>
      </c>
    </row>
    <row r="2007" spans="1:15" x14ac:dyDescent="0.2">
      <c r="A2007">
        <v>30</v>
      </c>
      <c r="B2007">
        <v>20152984</v>
      </c>
      <c r="C2007">
        <v>19910820</v>
      </c>
      <c r="D2007" t="s">
        <v>29</v>
      </c>
      <c r="E2007" t="s">
        <v>2196</v>
      </c>
      <c r="G2007" t="s">
        <v>1165</v>
      </c>
      <c r="L2007" t="str">
        <f>HYPERLINK("https://test.ictv.global/id/TN20152984","TN20152984@TEST")</f>
        <v>TN20152984@TEST</v>
      </c>
      <c r="M2007" t="str">
        <f>HYPERLINK("https://test.ictv.global/id/ICTV19910820","ICTV19910820@TEST")</f>
        <v>ICTV19910820@TEST</v>
      </c>
      <c r="N2007" t="str">
        <f>HYPERLINK("https://ictv.global/id/TN20152984","TN20152984@prod")</f>
        <v>TN20152984@prod</v>
      </c>
      <c r="O2007" t="str">
        <f>HYPERLINK("https://ictv.global/id/ICTV19910820","ICTV19910820@prod")</f>
        <v>ICTV19910820@prod</v>
      </c>
    </row>
    <row r="2008" spans="1:15" x14ac:dyDescent="0.2">
      <c r="A2008">
        <v>30</v>
      </c>
      <c r="B2008">
        <v>20152986</v>
      </c>
      <c r="C2008">
        <v>19991046</v>
      </c>
      <c r="D2008" t="s">
        <v>29</v>
      </c>
      <c r="E2008" t="s">
        <v>2197</v>
      </c>
      <c r="G2008" t="s">
        <v>1165</v>
      </c>
      <c r="L2008" t="str">
        <f>HYPERLINK("https://test.ictv.global/id/TN20152986","TN20152986@TEST")</f>
        <v>TN20152986@TEST</v>
      </c>
      <c r="M2008" t="str">
        <f>HYPERLINK("https://test.ictv.global/id/ICTV19991046","ICTV19991046@TEST")</f>
        <v>ICTV19991046@TEST</v>
      </c>
      <c r="N2008" t="str">
        <f>HYPERLINK("https://ictv.global/id/TN20152986","TN20152986@prod")</f>
        <v>TN20152986@prod</v>
      </c>
      <c r="O2008" t="str">
        <f>HYPERLINK("https://ictv.global/id/ICTV19991046","ICTV19991046@prod")</f>
        <v>ICTV19991046@prod</v>
      </c>
    </row>
    <row r="2009" spans="1:15" x14ac:dyDescent="0.2">
      <c r="A2009">
        <v>30</v>
      </c>
      <c r="B2009">
        <v>20152987</v>
      </c>
      <c r="C2009">
        <v>19991047</v>
      </c>
      <c r="D2009" t="s">
        <v>29</v>
      </c>
      <c r="E2009" t="s">
        <v>2198</v>
      </c>
      <c r="G2009" t="s">
        <v>1165</v>
      </c>
      <c r="L2009" t="str">
        <f>HYPERLINK("https://test.ictv.global/id/TN20152987","TN20152987@TEST")</f>
        <v>TN20152987@TEST</v>
      </c>
      <c r="M2009" t="str">
        <f>HYPERLINK("https://test.ictv.global/id/ICTV19991047","ICTV19991047@TEST")</f>
        <v>ICTV19991047@TEST</v>
      </c>
      <c r="N2009" t="str">
        <f>HYPERLINK("https://ictv.global/id/TN20152987","TN20152987@prod")</f>
        <v>TN20152987@prod</v>
      </c>
      <c r="O2009" t="str">
        <f>HYPERLINK("https://ictv.global/id/ICTV19991047","ICTV19991047@prod")</f>
        <v>ICTV19991047@prod</v>
      </c>
    </row>
    <row r="2010" spans="1:15" x14ac:dyDescent="0.2">
      <c r="A2010">
        <v>30</v>
      </c>
      <c r="B2010">
        <v>20152989</v>
      </c>
      <c r="C2010">
        <v>19910823</v>
      </c>
      <c r="D2010" t="s">
        <v>29</v>
      </c>
      <c r="E2010" t="s">
        <v>2199</v>
      </c>
      <c r="G2010" t="s">
        <v>1165</v>
      </c>
      <c r="L2010" t="str">
        <f>HYPERLINK("https://test.ictv.global/id/TN20152989","TN20152989@TEST")</f>
        <v>TN20152989@TEST</v>
      </c>
      <c r="M2010" t="str">
        <f>HYPERLINK("https://test.ictv.global/id/ICTV19910823","ICTV19910823@TEST")</f>
        <v>ICTV19910823@TEST</v>
      </c>
      <c r="N2010" t="str">
        <f>HYPERLINK("https://ictv.global/id/TN20152989","TN20152989@prod")</f>
        <v>TN20152989@prod</v>
      </c>
      <c r="O2010" t="str">
        <f>HYPERLINK("https://ictv.global/id/ICTV19910823","ICTV19910823@prod")</f>
        <v>ICTV19910823@prod</v>
      </c>
    </row>
    <row r="2011" spans="1:15" x14ac:dyDescent="0.2">
      <c r="A2011">
        <v>30</v>
      </c>
      <c r="B2011">
        <v>20152990</v>
      </c>
      <c r="C2011">
        <v>19991050</v>
      </c>
      <c r="D2011" t="s">
        <v>29</v>
      </c>
      <c r="E2011" t="s">
        <v>2200</v>
      </c>
      <c r="G2011" t="s">
        <v>1165</v>
      </c>
      <c r="L2011" t="str">
        <f>HYPERLINK("https://test.ictv.global/id/TN20152990","TN20152990@TEST")</f>
        <v>TN20152990@TEST</v>
      </c>
      <c r="M2011" t="str">
        <f>HYPERLINK("https://test.ictv.global/id/ICTV19991050","ICTV19991050@TEST")</f>
        <v>ICTV19991050@TEST</v>
      </c>
      <c r="N2011" t="str">
        <f>HYPERLINK("https://ictv.global/id/TN20152990","TN20152990@prod")</f>
        <v>TN20152990@prod</v>
      </c>
      <c r="O2011" t="str">
        <f>HYPERLINK("https://ictv.global/id/ICTV19991050","ICTV19991050@prod")</f>
        <v>ICTV19991050@prod</v>
      </c>
    </row>
    <row r="2012" spans="1:15" x14ac:dyDescent="0.2">
      <c r="A2012">
        <v>30</v>
      </c>
      <c r="B2012">
        <v>20152991</v>
      </c>
      <c r="C2012">
        <v>19991051</v>
      </c>
      <c r="D2012" t="s">
        <v>29</v>
      </c>
      <c r="E2012" t="s">
        <v>2201</v>
      </c>
      <c r="G2012" t="s">
        <v>1165</v>
      </c>
      <c r="L2012" t="str">
        <f>HYPERLINK("https://test.ictv.global/id/TN20152991","TN20152991@TEST")</f>
        <v>TN20152991@TEST</v>
      </c>
      <c r="M2012" t="str">
        <f>HYPERLINK("https://test.ictv.global/id/ICTV19991051","ICTV19991051@TEST")</f>
        <v>ICTV19991051@TEST</v>
      </c>
      <c r="N2012" t="str">
        <f>HYPERLINK("https://ictv.global/id/TN20152991","TN20152991@prod")</f>
        <v>TN20152991@prod</v>
      </c>
      <c r="O2012" t="str">
        <f>HYPERLINK("https://ictv.global/id/ICTV19991051","ICTV19991051@prod")</f>
        <v>ICTV19991051@prod</v>
      </c>
    </row>
    <row r="2013" spans="1:15" x14ac:dyDescent="0.2">
      <c r="A2013">
        <v>30</v>
      </c>
      <c r="B2013">
        <v>20152992</v>
      </c>
      <c r="C2013">
        <v>19910824</v>
      </c>
      <c r="D2013" t="s">
        <v>29</v>
      </c>
      <c r="E2013" t="s">
        <v>2202</v>
      </c>
      <c r="G2013" t="s">
        <v>1165</v>
      </c>
      <c r="L2013" t="str">
        <f>HYPERLINK("https://test.ictv.global/id/TN20152992","TN20152992@TEST")</f>
        <v>TN20152992@TEST</v>
      </c>
      <c r="M2013" t="str">
        <f>HYPERLINK("https://test.ictv.global/id/ICTV19910824","ICTV19910824@TEST")</f>
        <v>ICTV19910824@TEST</v>
      </c>
      <c r="N2013" t="str">
        <f>HYPERLINK("https://ictv.global/id/TN20152992","TN20152992@prod")</f>
        <v>TN20152992@prod</v>
      </c>
      <c r="O2013" t="str">
        <f>HYPERLINK("https://ictv.global/id/ICTV19910824","ICTV19910824@prod")</f>
        <v>ICTV19910824@prod</v>
      </c>
    </row>
    <row r="2014" spans="1:15" x14ac:dyDescent="0.2">
      <c r="A2014">
        <v>30</v>
      </c>
      <c r="B2014">
        <v>20152993</v>
      </c>
      <c r="C2014">
        <v>19991053</v>
      </c>
      <c r="D2014" t="s">
        <v>29</v>
      </c>
      <c r="E2014" t="s">
        <v>2203</v>
      </c>
      <c r="G2014" t="s">
        <v>1165</v>
      </c>
      <c r="L2014" t="str">
        <f>HYPERLINK("https://test.ictv.global/id/TN20152993","TN20152993@TEST")</f>
        <v>TN20152993@TEST</v>
      </c>
      <c r="M2014" t="str">
        <f>HYPERLINK("https://test.ictv.global/id/ICTV19991053","ICTV19991053@TEST")</f>
        <v>ICTV19991053@TEST</v>
      </c>
      <c r="N2014" t="str">
        <f>HYPERLINK("https://ictv.global/id/TN20152993","TN20152993@prod")</f>
        <v>TN20152993@prod</v>
      </c>
      <c r="O2014" t="str">
        <f>HYPERLINK("https://ictv.global/id/ICTV19991053","ICTV19991053@prod")</f>
        <v>ICTV19991053@prod</v>
      </c>
    </row>
    <row r="2015" spans="1:15" x14ac:dyDescent="0.2">
      <c r="A2015">
        <v>30</v>
      </c>
      <c r="B2015">
        <v>20152994</v>
      </c>
      <c r="C2015">
        <v>19991054</v>
      </c>
      <c r="D2015" t="s">
        <v>29</v>
      </c>
      <c r="E2015" t="s">
        <v>2204</v>
      </c>
      <c r="G2015" t="s">
        <v>1165</v>
      </c>
      <c r="L2015" t="str">
        <f>HYPERLINK("https://test.ictv.global/id/TN20152994","TN20152994@TEST")</f>
        <v>TN20152994@TEST</v>
      </c>
      <c r="M2015" t="str">
        <f>HYPERLINK("https://test.ictv.global/id/ICTV19991054","ICTV19991054@TEST")</f>
        <v>ICTV19991054@TEST</v>
      </c>
      <c r="N2015" t="str">
        <f>HYPERLINK("https://ictv.global/id/TN20152994","TN20152994@prod")</f>
        <v>TN20152994@prod</v>
      </c>
      <c r="O2015" t="str">
        <f>HYPERLINK("https://ictv.global/id/ICTV19991054","ICTV19991054@prod")</f>
        <v>ICTV19991054@prod</v>
      </c>
    </row>
    <row r="2016" spans="1:15" x14ac:dyDescent="0.2">
      <c r="A2016">
        <v>30</v>
      </c>
      <c r="B2016">
        <v>20152997</v>
      </c>
      <c r="C2016">
        <v>19951117</v>
      </c>
      <c r="D2016" t="s">
        <v>29</v>
      </c>
      <c r="E2016" t="s">
        <v>2205</v>
      </c>
      <c r="G2016" t="s">
        <v>1165</v>
      </c>
      <c r="L2016" t="str">
        <f>HYPERLINK("https://test.ictv.global/id/TN20152997","TN20152997@TEST")</f>
        <v>TN20152997@TEST</v>
      </c>
      <c r="M2016" t="str">
        <f>HYPERLINK("https://test.ictv.global/id/ICTV19951117","ICTV19951117@TEST")</f>
        <v>ICTV19951117@TEST</v>
      </c>
      <c r="N2016" t="str">
        <f>HYPERLINK("https://ictv.global/id/TN20152997","TN20152997@prod")</f>
        <v>TN20152997@prod</v>
      </c>
      <c r="O2016" t="str">
        <f>HYPERLINK("https://ictv.global/id/ICTV19951117","ICTV19951117@prod")</f>
        <v>ICTV19951117@prod</v>
      </c>
    </row>
    <row r="2017" spans="1:15" x14ac:dyDescent="0.2">
      <c r="A2017">
        <v>30</v>
      </c>
      <c r="B2017">
        <v>20152999</v>
      </c>
      <c r="C2017">
        <v>19991058</v>
      </c>
      <c r="D2017" t="s">
        <v>29</v>
      </c>
      <c r="E2017" t="s">
        <v>2206</v>
      </c>
      <c r="G2017" t="s">
        <v>1165</v>
      </c>
      <c r="L2017" t="str">
        <f>HYPERLINK("https://test.ictv.global/id/TN20152999","TN20152999@TEST")</f>
        <v>TN20152999@TEST</v>
      </c>
      <c r="M2017" t="str">
        <f>HYPERLINK("https://test.ictv.global/id/ICTV19991058","ICTV19991058@TEST")</f>
        <v>ICTV19991058@TEST</v>
      </c>
      <c r="N2017" t="str">
        <f>HYPERLINK("https://ictv.global/id/TN20152999","TN20152999@prod")</f>
        <v>TN20152999@prod</v>
      </c>
      <c r="O2017" t="str">
        <f>HYPERLINK("https://ictv.global/id/ICTV19991058","ICTV19991058@prod")</f>
        <v>ICTV19991058@prod</v>
      </c>
    </row>
    <row r="2018" spans="1:15" x14ac:dyDescent="0.2">
      <c r="A2018">
        <v>30</v>
      </c>
      <c r="B2018">
        <v>20153001</v>
      </c>
      <c r="C2018">
        <v>19991060</v>
      </c>
      <c r="D2018" t="s">
        <v>29</v>
      </c>
      <c r="E2018" t="s">
        <v>2207</v>
      </c>
      <c r="G2018" t="s">
        <v>1165</v>
      </c>
      <c r="L2018" t="str">
        <f>HYPERLINK("https://test.ictv.global/id/TN20153001","TN20153001@TEST")</f>
        <v>TN20153001@TEST</v>
      </c>
      <c r="M2018" t="str">
        <f>HYPERLINK("https://test.ictv.global/id/ICTV19991060","ICTV19991060@TEST")</f>
        <v>ICTV19991060@TEST</v>
      </c>
      <c r="N2018" t="str">
        <f>HYPERLINK("https://ictv.global/id/TN20153001","TN20153001@prod")</f>
        <v>TN20153001@prod</v>
      </c>
      <c r="O2018" t="str">
        <f>HYPERLINK("https://ictv.global/id/ICTV19991060","ICTV19991060@prod")</f>
        <v>ICTV19991060@prod</v>
      </c>
    </row>
    <row r="2019" spans="1:15" x14ac:dyDescent="0.2">
      <c r="A2019">
        <v>30</v>
      </c>
      <c r="B2019">
        <v>20153002</v>
      </c>
      <c r="C2019">
        <v>19991061</v>
      </c>
      <c r="D2019" t="s">
        <v>29</v>
      </c>
      <c r="E2019" t="s">
        <v>2208</v>
      </c>
      <c r="G2019" t="s">
        <v>1165</v>
      </c>
      <c r="L2019" t="str">
        <f>HYPERLINK("https://test.ictv.global/id/TN20153002","TN20153002@TEST")</f>
        <v>TN20153002@TEST</v>
      </c>
      <c r="M2019" t="str">
        <f>HYPERLINK("https://test.ictv.global/id/ICTV19991061","ICTV19991061@TEST")</f>
        <v>ICTV19991061@TEST</v>
      </c>
      <c r="N2019" t="str">
        <f>HYPERLINK("https://ictv.global/id/TN20153002","TN20153002@prod")</f>
        <v>TN20153002@prod</v>
      </c>
      <c r="O2019" t="str">
        <f>HYPERLINK("https://ictv.global/id/ICTV19991061","ICTV19991061@prod")</f>
        <v>ICTV19991061@prod</v>
      </c>
    </row>
    <row r="2020" spans="1:15" x14ac:dyDescent="0.2">
      <c r="A2020">
        <v>30</v>
      </c>
      <c r="B2020">
        <v>20153855</v>
      </c>
      <c r="C2020">
        <v>19911772</v>
      </c>
      <c r="D2020" t="s">
        <v>29</v>
      </c>
      <c r="E2020" t="s">
        <v>2209</v>
      </c>
      <c r="G2020" t="s">
        <v>1165</v>
      </c>
      <c r="L2020" t="str">
        <f>HYPERLINK("https://test.ictv.global/id/TN20153855","TN20153855@TEST")</f>
        <v>TN20153855@TEST</v>
      </c>
      <c r="M2020" t="str">
        <f>HYPERLINK("https://test.ictv.global/id/ICTV19911772","ICTV19911772@TEST")</f>
        <v>ICTV19911772@TEST</v>
      </c>
      <c r="N2020" t="str">
        <f>HYPERLINK("https://ictv.global/id/TN20153855","TN20153855@prod")</f>
        <v>TN20153855@prod</v>
      </c>
      <c r="O2020" t="str">
        <f>HYPERLINK("https://ictv.global/id/ICTV19911772","ICTV19911772@prod")</f>
        <v>ICTV19911772@prod</v>
      </c>
    </row>
    <row r="2021" spans="1:15" x14ac:dyDescent="0.2">
      <c r="A2021">
        <v>30</v>
      </c>
      <c r="B2021">
        <v>20153868</v>
      </c>
      <c r="C2021">
        <v>19911778</v>
      </c>
      <c r="D2021" t="s">
        <v>29</v>
      </c>
      <c r="E2021" t="s">
        <v>2210</v>
      </c>
      <c r="G2021" t="s">
        <v>1165</v>
      </c>
      <c r="L2021" t="str">
        <f>HYPERLINK("https://test.ictv.global/id/TN20153868","TN20153868@TEST")</f>
        <v>TN20153868@TEST</v>
      </c>
      <c r="M2021" t="str">
        <f>HYPERLINK("https://test.ictv.global/id/ICTV19911778","ICTV19911778@TEST")</f>
        <v>ICTV19911778@TEST</v>
      </c>
      <c r="N2021" t="str">
        <f>HYPERLINK("https://ictv.global/id/TN20153868","TN20153868@prod")</f>
        <v>TN20153868@prod</v>
      </c>
      <c r="O2021" t="str">
        <f>HYPERLINK("https://ictv.global/id/ICTV19911778","ICTV19911778@prod")</f>
        <v>ICTV19911778@prod</v>
      </c>
    </row>
    <row r="2022" spans="1:15" x14ac:dyDescent="0.2">
      <c r="A2022">
        <v>30</v>
      </c>
      <c r="B2022">
        <v>20153869</v>
      </c>
      <c r="C2022">
        <v>19821306</v>
      </c>
      <c r="D2022" t="s">
        <v>29</v>
      </c>
      <c r="E2022" t="s">
        <v>2211</v>
      </c>
      <c r="G2022" t="s">
        <v>1165</v>
      </c>
      <c r="L2022" t="str">
        <f>HYPERLINK("https://test.ictv.global/id/TN20153869","TN20153869@TEST")</f>
        <v>TN20153869@TEST</v>
      </c>
      <c r="M2022" t="str">
        <f>HYPERLINK("https://test.ictv.global/id/ICTV19821306","ICTV19821306@TEST")</f>
        <v>ICTV19821306@TEST</v>
      </c>
      <c r="N2022" t="str">
        <f>HYPERLINK("https://ictv.global/id/TN20153869","TN20153869@prod")</f>
        <v>TN20153869@prod</v>
      </c>
      <c r="O2022" t="str">
        <f>HYPERLINK("https://ictv.global/id/ICTV19821306","ICTV19821306@prod")</f>
        <v>ICTV19821306@prod</v>
      </c>
    </row>
    <row r="2023" spans="1:15" x14ac:dyDescent="0.2">
      <c r="A2023">
        <v>30</v>
      </c>
      <c r="B2023">
        <v>20153872</v>
      </c>
      <c r="C2023">
        <v>19911780</v>
      </c>
      <c r="D2023" t="s">
        <v>29</v>
      </c>
      <c r="E2023" t="s">
        <v>2212</v>
      </c>
      <c r="G2023" t="s">
        <v>1165</v>
      </c>
      <c r="L2023" t="str">
        <f>HYPERLINK("https://test.ictv.global/id/TN20153872","TN20153872@TEST")</f>
        <v>TN20153872@TEST</v>
      </c>
      <c r="M2023" t="str">
        <f>HYPERLINK("https://test.ictv.global/id/ICTV19911780","ICTV19911780@TEST")</f>
        <v>ICTV19911780@TEST</v>
      </c>
      <c r="N2023" t="str">
        <f>HYPERLINK("https://ictv.global/id/TN20153872","TN20153872@prod")</f>
        <v>TN20153872@prod</v>
      </c>
      <c r="O2023" t="str">
        <f>HYPERLINK("https://ictv.global/id/ICTV19911780","ICTV19911780@prod")</f>
        <v>ICTV19911780@prod</v>
      </c>
    </row>
    <row r="2024" spans="1:15" x14ac:dyDescent="0.2">
      <c r="A2024">
        <v>30</v>
      </c>
      <c r="B2024">
        <v>20153951</v>
      </c>
      <c r="C2024">
        <v>19991441</v>
      </c>
      <c r="D2024" t="s">
        <v>29</v>
      </c>
      <c r="E2024" t="s">
        <v>2213</v>
      </c>
      <c r="G2024" t="s">
        <v>1165</v>
      </c>
      <c r="L2024" t="str">
        <f>HYPERLINK("https://test.ictv.global/id/TN20153951","TN20153951@TEST")</f>
        <v>TN20153951@TEST</v>
      </c>
      <c r="M2024" t="str">
        <f>HYPERLINK("https://test.ictv.global/id/ICTV19991441","ICTV19991441@TEST")</f>
        <v>ICTV19991441@TEST</v>
      </c>
      <c r="N2024" t="str">
        <f>HYPERLINK("https://ictv.global/id/TN20153951","TN20153951@prod")</f>
        <v>TN20153951@prod</v>
      </c>
      <c r="O2024" t="str">
        <f>HYPERLINK("https://ictv.global/id/ICTV19991441","ICTV19991441@prod")</f>
        <v>ICTV19991441@prod</v>
      </c>
    </row>
    <row r="2025" spans="1:15" x14ac:dyDescent="0.2">
      <c r="A2025">
        <v>31</v>
      </c>
      <c r="B2025">
        <v>20164290</v>
      </c>
      <c r="C2025">
        <v>19780108</v>
      </c>
      <c r="D2025" t="s">
        <v>19</v>
      </c>
      <c r="E2025" t="s">
        <v>1024</v>
      </c>
      <c r="G2025" t="s">
        <v>53</v>
      </c>
      <c r="H2025" t="s">
        <v>1025</v>
      </c>
      <c r="I2025" t="s">
        <v>19</v>
      </c>
      <c r="J2025">
        <v>20175072</v>
      </c>
      <c r="K2025">
        <v>20175072</v>
      </c>
      <c r="L2025" t="str">
        <f>HYPERLINK("https://test.ictv.global/id/TN20164290","TN20164290@TEST")</f>
        <v>TN20164290@TEST</v>
      </c>
      <c r="M2025" t="str">
        <f>HYPERLINK("https://test.ictv.global/id/ICTV19780108","ICTV19780108@TEST")</f>
        <v>ICTV19780108@TEST</v>
      </c>
      <c r="N2025" t="str">
        <f>HYPERLINK("https://ictv.global/id/TN20164290","TN20164290@prod")</f>
        <v>TN20164290@prod</v>
      </c>
      <c r="O2025" t="str">
        <f>HYPERLINK("https://ictv.global/id/ICTV19780108","ICTV19780108@prod")</f>
        <v>ICTV19780108@prod</v>
      </c>
    </row>
    <row r="2026" spans="1:15" x14ac:dyDescent="0.2">
      <c r="A2026">
        <v>31</v>
      </c>
      <c r="B2026">
        <v>20164290</v>
      </c>
      <c r="C2026">
        <v>19780108</v>
      </c>
      <c r="D2026" t="s">
        <v>19</v>
      </c>
      <c r="E2026" t="s">
        <v>1024</v>
      </c>
      <c r="G2026" t="s">
        <v>53</v>
      </c>
      <c r="H2026" t="s">
        <v>1026</v>
      </c>
      <c r="I2026" t="s">
        <v>19</v>
      </c>
      <c r="J2026">
        <v>20175073</v>
      </c>
      <c r="K2026">
        <v>20175073</v>
      </c>
      <c r="L2026" t="str">
        <f>HYPERLINK("https://test.ictv.global/id/TN20164290","TN20164290@TEST")</f>
        <v>TN20164290@TEST</v>
      </c>
      <c r="M2026" t="str">
        <f>HYPERLINK("https://test.ictv.global/id/ICTV19780108","ICTV19780108@TEST")</f>
        <v>ICTV19780108@TEST</v>
      </c>
      <c r="N2026" t="str">
        <f>HYPERLINK("https://ictv.global/id/TN20164290","TN20164290@prod")</f>
        <v>TN20164290@prod</v>
      </c>
      <c r="O2026" t="str">
        <f>HYPERLINK("https://ictv.global/id/ICTV19780108","ICTV19780108@prod")</f>
        <v>ICTV19780108@prod</v>
      </c>
    </row>
    <row r="2027" spans="1:15" x14ac:dyDescent="0.2">
      <c r="A2027">
        <v>31</v>
      </c>
      <c r="B2027">
        <v>20164294</v>
      </c>
      <c r="C2027">
        <v>19991662</v>
      </c>
      <c r="D2027" t="s">
        <v>29</v>
      </c>
      <c r="E2027" t="s">
        <v>2214</v>
      </c>
      <c r="G2027" t="s">
        <v>1165</v>
      </c>
      <c r="L2027" t="str">
        <f>HYPERLINK("https://test.ictv.global/id/TN20164294","TN20164294@TEST")</f>
        <v>TN20164294@TEST</v>
      </c>
      <c r="M2027" t="str">
        <f>HYPERLINK("https://test.ictv.global/id/ICTV19991662","ICTV19991662@TEST")</f>
        <v>ICTV19991662@TEST</v>
      </c>
      <c r="N2027" t="str">
        <f>HYPERLINK("https://ictv.global/id/TN20164294","TN20164294@prod")</f>
        <v>TN20164294@prod</v>
      </c>
      <c r="O2027" t="str">
        <f>HYPERLINK("https://ictv.global/id/ICTV19991662","ICTV19991662@prod")</f>
        <v>ICTV19991662@prod</v>
      </c>
    </row>
    <row r="2028" spans="1:15" x14ac:dyDescent="0.2">
      <c r="A2028">
        <v>31</v>
      </c>
      <c r="B2028">
        <v>20164296</v>
      </c>
      <c r="C2028">
        <v>19790858</v>
      </c>
      <c r="D2028" t="s">
        <v>29</v>
      </c>
      <c r="E2028" t="s">
        <v>2215</v>
      </c>
      <c r="G2028" t="s">
        <v>1165</v>
      </c>
      <c r="L2028" t="str">
        <f>HYPERLINK("https://test.ictv.global/id/TN20164296","TN20164296@TEST")</f>
        <v>TN20164296@TEST</v>
      </c>
      <c r="M2028" t="str">
        <f>HYPERLINK("https://test.ictv.global/id/ICTV19790858","ICTV19790858@TEST")</f>
        <v>ICTV19790858@TEST</v>
      </c>
      <c r="N2028" t="str">
        <f>HYPERLINK("https://ictv.global/id/TN20164296","TN20164296@prod")</f>
        <v>TN20164296@prod</v>
      </c>
      <c r="O2028" t="str">
        <f>HYPERLINK("https://ictv.global/id/ICTV19790858","ICTV19790858@prod")</f>
        <v>ICTV19790858@prod</v>
      </c>
    </row>
    <row r="2029" spans="1:15" x14ac:dyDescent="0.2">
      <c r="A2029">
        <v>32</v>
      </c>
      <c r="B2029">
        <v>20170002</v>
      </c>
      <c r="C2029">
        <v>20164604</v>
      </c>
      <c r="D2029" t="s">
        <v>23</v>
      </c>
      <c r="E2029" t="s">
        <v>2216</v>
      </c>
      <c r="G2029" t="s">
        <v>1165</v>
      </c>
      <c r="L2029" t="str">
        <f>HYPERLINK("https://test.ictv.global/id/TN20170002","TN20170002@TEST")</f>
        <v>TN20170002@TEST</v>
      </c>
      <c r="M2029" t="str">
        <f>HYPERLINK("https://test.ictv.global/id/ICTV20164604","ICTV20164604@TEST")</f>
        <v>ICTV20164604@TEST</v>
      </c>
      <c r="N2029" t="str">
        <f>HYPERLINK("https://ictv.global/id/TN20170002","TN20170002@prod")</f>
        <v>TN20170002@prod</v>
      </c>
      <c r="O2029" t="str">
        <f>HYPERLINK("https://ictv.global/id/ICTV20164604","ICTV20164604@prod")</f>
        <v>ICTV20164604@prod</v>
      </c>
    </row>
    <row r="2030" spans="1:15" x14ac:dyDescent="0.2">
      <c r="A2030">
        <v>32</v>
      </c>
      <c r="B2030">
        <v>20170062</v>
      </c>
      <c r="C2030">
        <v>20164608</v>
      </c>
      <c r="D2030" t="s">
        <v>23</v>
      </c>
      <c r="E2030" t="s">
        <v>2217</v>
      </c>
      <c r="G2030" t="s">
        <v>1165</v>
      </c>
      <c r="L2030" t="str">
        <f>HYPERLINK("https://test.ictv.global/id/TN20170062","TN20170062@TEST")</f>
        <v>TN20170062@TEST</v>
      </c>
      <c r="M2030" t="str">
        <f>HYPERLINK("https://test.ictv.global/id/ICTV20164608","ICTV20164608@TEST")</f>
        <v>ICTV20164608@TEST</v>
      </c>
      <c r="N2030" t="str">
        <f>HYPERLINK("https://ictv.global/id/TN20170062","TN20170062@prod")</f>
        <v>TN20170062@prod</v>
      </c>
      <c r="O2030" t="str">
        <f>HYPERLINK("https://ictv.global/id/ICTV20164608","ICTV20164608@prod")</f>
        <v>ICTV20164608@prod</v>
      </c>
    </row>
    <row r="2031" spans="1:15" x14ac:dyDescent="0.2">
      <c r="A2031">
        <v>32</v>
      </c>
      <c r="B2031">
        <v>20170176</v>
      </c>
      <c r="C2031">
        <v>20164612</v>
      </c>
      <c r="D2031" t="s">
        <v>23</v>
      </c>
      <c r="E2031" t="s">
        <v>2218</v>
      </c>
      <c r="G2031" t="s">
        <v>1165</v>
      </c>
      <c r="L2031" t="str">
        <f>HYPERLINK("https://test.ictv.global/id/TN20170176","TN20170176@TEST")</f>
        <v>TN20170176@TEST</v>
      </c>
      <c r="M2031" t="str">
        <f>HYPERLINK("https://test.ictv.global/id/ICTV20164612","ICTV20164612@TEST")</f>
        <v>ICTV20164612@TEST</v>
      </c>
      <c r="N2031" t="str">
        <f>HYPERLINK("https://ictv.global/id/TN20170176","TN20170176@prod")</f>
        <v>TN20170176@prod</v>
      </c>
      <c r="O2031" t="str">
        <f>HYPERLINK("https://ictv.global/id/ICTV20164612","ICTV20164612@prod")</f>
        <v>ICTV20164612@prod</v>
      </c>
    </row>
    <row r="2032" spans="1:15" x14ac:dyDescent="0.2">
      <c r="A2032">
        <v>32</v>
      </c>
      <c r="B2032">
        <v>20171815</v>
      </c>
      <c r="C2032">
        <v>20151180</v>
      </c>
      <c r="D2032" t="s">
        <v>19</v>
      </c>
      <c r="E2032" t="s">
        <v>2219</v>
      </c>
      <c r="G2032" t="s">
        <v>1165</v>
      </c>
      <c r="L2032" t="str">
        <f>HYPERLINK("https://test.ictv.global/id/TN20171815","TN20171815@TEST")</f>
        <v>TN20171815@TEST</v>
      </c>
      <c r="M2032" t="str">
        <f>HYPERLINK("https://test.ictv.global/id/ICTV20151180","ICTV20151180@TEST")</f>
        <v>ICTV20151180@TEST</v>
      </c>
      <c r="N2032" t="str">
        <f>HYPERLINK("https://ictv.global/id/TN20171815","TN20171815@prod")</f>
        <v>TN20171815@prod</v>
      </c>
      <c r="O2032" t="str">
        <f>HYPERLINK("https://ictv.global/id/ICTV20151180","ICTV20151180@prod")</f>
        <v>ICTV20151180@prod</v>
      </c>
    </row>
    <row r="2033" spans="1:15" x14ac:dyDescent="0.2">
      <c r="A2033">
        <v>32</v>
      </c>
      <c r="B2033">
        <v>20171819</v>
      </c>
      <c r="C2033">
        <v>20151178</v>
      </c>
      <c r="D2033" t="s">
        <v>19</v>
      </c>
      <c r="E2033" t="s">
        <v>2220</v>
      </c>
      <c r="G2033" t="s">
        <v>1165</v>
      </c>
      <c r="L2033" t="str">
        <f>HYPERLINK("https://test.ictv.global/id/TN20171819","TN20171819@TEST")</f>
        <v>TN20171819@TEST</v>
      </c>
      <c r="M2033" t="str">
        <f>HYPERLINK("https://test.ictv.global/id/ICTV20151178","ICTV20151178@TEST")</f>
        <v>ICTV20151178@TEST</v>
      </c>
      <c r="N2033" t="str">
        <f>HYPERLINK("https://ictv.global/id/TN20171819","TN20171819@prod")</f>
        <v>TN20171819@prod</v>
      </c>
      <c r="O2033" t="str">
        <f>HYPERLINK("https://ictv.global/id/ICTV20151178","ICTV20151178@prod")</f>
        <v>ICTV20151178@prod</v>
      </c>
    </row>
    <row r="2034" spans="1:15" x14ac:dyDescent="0.2">
      <c r="A2034">
        <v>32</v>
      </c>
      <c r="B2034">
        <v>20171824</v>
      </c>
      <c r="C2034">
        <v>20164728</v>
      </c>
      <c r="D2034" t="s">
        <v>19</v>
      </c>
      <c r="E2034" t="s">
        <v>2221</v>
      </c>
      <c r="G2034" t="s">
        <v>1165</v>
      </c>
      <c r="L2034" t="str">
        <f>HYPERLINK("https://test.ictv.global/id/TN20171824","TN20171824@TEST")</f>
        <v>TN20171824@TEST</v>
      </c>
      <c r="M2034" t="str">
        <f>HYPERLINK("https://test.ictv.global/id/ICTV20164728","ICTV20164728@TEST")</f>
        <v>ICTV20164728@TEST</v>
      </c>
      <c r="N2034" t="str">
        <f>HYPERLINK("https://ictv.global/id/TN20171824","TN20171824@prod")</f>
        <v>TN20171824@prod</v>
      </c>
      <c r="O2034" t="str">
        <f>HYPERLINK("https://ictv.global/id/ICTV20164728","ICTV20164728@prod")</f>
        <v>ICTV20164728@prod</v>
      </c>
    </row>
    <row r="2035" spans="1:15" x14ac:dyDescent="0.2">
      <c r="A2035">
        <v>32</v>
      </c>
      <c r="B2035">
        <v>20171826</v>
      </c>
      <c r="C2035">
        <v>20164729</v>
      </c>
      <c r="D2035" t="s">
        <v>19</v>
      </c>
      <c r="E2035" t="s">
        <v>2222</v>
      </c>
      <c r="G2035" t="s">
        <v>1165</v>
      </c>
      <c r="L2035" t="str">
        <f>HYPERLINK("https://test.ictv.global/id/TN20171826","TN20171826@TEST")</f>
        <v>TN20171826@TEST</v>
      </c>
      <c r="M2035" t="str">
        <f>HYPERLINK("https://test.ictv.global/id/ICTV20164729","ICTV20164729@TEST")</f>
        <v>ICTV20164729@TEST</v>
      </c>
      <c r="N2035" t="str">
        <f>HYPERLINK("https://ictv.global/id/TN20171826","TN20171826@prod")</f>
        <v>TN20171826@prod</v>
      </c>
      <c r="O2035" t="str">
        <f>HYPERLINK("https://ictv.global/id/ICTV20164729","ICTV20164729@prod")</f>
        <v>ICTV20164729@prod</v>
      </c>
    </row>
    <row r="2036" spans="1:15" x14ac:dyDescent="0.2">
      <c r="A2036">
        <v>32</v>
      </c>
      <c r="B2036">
        <v>20171828</v>
      </c>
      <c r="C2036">
        <v>20164730</v>
      </c>
      <c r="D2036" t="s">
        <v>19</v>
      </c>
      <c r="E2036" t="s">
        <v>2223</v>
      </c>
      <c r="G2036" t="s">
        <v>1165</v>
      </c>
      <c r="L2036" t="str">
        <f>HYPERLINK("https://test.ictv.global/id/TN20171828","TN20171828@TEST")</f>
        <v>TN20171828@TEST</v>
      </c>
      <c r="M2036" t="str">
        <f>HYPERLINK("https://test.ictv.global/id/ICTV20164730","ICTV20164730@TEST")</f>
        <v>ICTV20164730@TEST</v>
      </c>
      <c r="N2036" t="str">
        <f>HYPERLINK("https://ictv.global/id/TN20171828","TN20171828@prod")</f>
        <v>TN20171828@prod</v>
      </c>
      <c r="O2036" t="str">
        <f>HYPERLINK("https://ictv.global/id/ICTV20164730","ICTV20164730@prod")</f>
        <v>ICTV20164730@prod</v>
      </c>
    </row>
    <row r="2037" spans="1:15" x14ac:dyDescent="0.2">
      <c r="A2037">
        <v>32</v>
      </c>
      <c r="B2037">
        <v>20171830</v>
      </c>
      <c r="C2037">
        <v>20164731</v>
      </c>
      <c r="D2037" t="s">
        <v>19</v>
      </c>
      <c r="E2037" t="s">
        <v>2224</v>
      </c>
      <c r="G2037" t="s">
        <v>1165</v>
      </c>
      <c r="L2037" t="str">
        <f>HYPERLINK("https://test.ictv.global/id/TN20171830","TN20171830@TEST")</f>
        <v>TN20171830@TEST</v>
      </c>
      <c r="M2037" t="str">
        <f>HYPERLINK("https://test.ictv.global/id/ICTV20164731","ICTV20164731@TEST")</f>
        <v>ICTV20164731@TEST</v>
      </c>
      <c r="N2037" t="str">
        <f>HYPERLINK("https://ictv.global/id/TN20171830","TN20171830@prod")</f>
        <v>TN20171830@prod</v>
      </c>
      <c r="O2037" t="str">
        <f>HYPERLINK("https://ictv.global/id/ICTV20164731","ICTV20164731@prod")</f>
        <v>ICTV20164731@prod</v>
      </c>
    </row>
    <row r="2038" spans="1:15" x14ac:dyDescent="0.2">
      <c r="A2038">
        <v>32</v>
      </c>
      <c r="B2038">
        <v>20171835</v>
      </c>
      <c r="C2038">
        <v>20164732</v>
      </c>
      <c r="D2038" t="s">
        <v>19</v>
      </c>
      <c r="E2038" t="s">
        <v>2225</v>
      </c>
      <c r="G2038" t="s">
        <v>1165</v>
      </c>
      <c r="L2038" t="str">
        <f>HYPERLINK("https://test.ictv.global/id/TN20171835","TN20171835@TEST")</f>
        <v>TN20171835@TEST</v>
      </c>
      <c r="M2038" t="str">
        <f>HYPERLINK("https://test.ictv.global/id/ICTV20164732","ICTV20164732@TEST")</f>
        <v>ICTV20164732@TEST</v>
      </c>
      <c r="N2038" t="str">
        <f>HYPERLINK("https://ictv.global/id/TN20171835","TN20171835@prod")</f>
        <v>TN20171835@prod</v>
      </c>
      <c r="O2038" t="str">
        <f>HYPERLINK("https://ictv.global/id/ICTV20164732","ICTV20164732@prod")</f>
        <v>ICTV20164732@prod</v>
      </c>
    </row>
    <row r="2039" spans="1:15" x14ac:dyDescent="0.2">
      <c r="A2039">
        <v>32</v>
      </c>
      <c r="B2039">
        <v>20171876</v>
      </c>
      <c r="C2039">
        <v>20115672</v>
      </c>
      <c r="D2039" t="s">
        <v>29</v>
      </c>
      <c r="E2039" t="s">
        <v>2226</v>
      </c>
      <c r="G2039" t="s">
        <v>1165</v>
      </c>
      <c r="L2039" t="str">
        <f>HYPERLINK("https://test.ictv.global/id/TN20171876","TN20171876@TEST")</f>
        <v>TN20171876@TEST</v>
      </c>
      <c r="M2039" t="str">
        <f>HYPERLINK("https://test.ictv.global/id/ICTV20115672","ICTV20115672@TEST")</f>
        <v>ICTV20115672@TEST</v>
      </c>
      <c r="N2039" t="str">
        <f>HYPERLINK("https://ictv.global/id/TN20171876","TN20171876@prod")</f>
        <v>TN20171876@prod</v>
      </c>
      <c r="O2039" t="str">
        <f>HYPERLINK("https://ictv.global/id/ICTV20115672","ICTV20115672@prod")</f>
        <v>ICTV20115672@prod</v>
      </c>
    </row>
    <row r="2040" spans="1:15" x14ac:dyDescent="0.2">
      <c r="A2040">
        <v>32</v>
      </c>
      <c r="B2040">
        <v>20171889</v>
      </c>
      <c r="C2040">
        <v>19990500</v>
      </c>
      <c r="D2040" t="s">
        <v>29</v>
      </c>
      <c r="E2040" t="s">
        <v>2227</v>
      </c>
      <c r="G2040" t="s">
        <v>1165</v>
      </c>
      <c r="L2040" t="str">
        <f>HYPERLINK("https://test.ictv.global/id/TN20171889","TN20171889@TEST")</f>
        <v>TN20171889@TEST</v>
      </c>
      <c r="M2040" t="str">
        <f>HYPERLINK("https://test.ictv.global/id/ICTV19990500","ICTV19990500@TEST")</f>
        <v>ICTV19990500@TEST</v>
      </c>
      <c r="N2040" t="str">
        <f>HYPERLINK("https://ictv.global/id/TN20171889","TN20171889@prod")</f>
        <v>TN20171889@prod</v>
      </c>
      <c r="O2040" t="str">
        <f>HYPERLINK("https://ictv.global/id/ICTV19990500","ICTV19990500@prod")</f>
        <v>ICTV19990500@prod</v>
      </c>
    </row>
    <row r="2041" spans="1:15" x14ac:dyDescent="0.2">
      <c r="A2041">
        <v>33</v>
      </c>
      <c r="B2041">
        <v>20180126</v>
      </c>
      <c r="C2041">
        <v>19990647</v>
      </c>
      <c r="D2041" t="s">
        <v>29</v>
      </c>
      <c r="E2041" t="s">
        <v>1027</v>
      </c>
      <c r="G2041" t="s">
        <v>33</v>
      </c>
      <c r="H2041" t="s">
        <v>1028</v>
      </c>
      <c r="I2041" t="s">
        <v>29</v>
      </c>
      <c r="J2041">
        <v>19990647</v>
      </c>
      <c r="K2041">
        <v>201850126</v>
      </c>
      <c r="L2041" t="str">
        <f>HYPERLINK("https://test.ictv.global/id/TN20180126","TN20180126@TEST")</f>
        <v>TN20180126@TEST</v>
      </c>
      <c r="M2041" t="str">
        <f>HYPERLINK("https://test.ictv.global/id/ICTV19990647","ICTV19990647@TEST")</f>
        <v>ICTV19990647@TEST</v>
      </c>
      <c r="N2041" t="str">
        <f>HYPERLINK("https://ictv.global/id/TN20180126","TN20180126@prod")</f>
        <v>TN20180126@prod</v>
      </c>
      <c r="O2041" t="str">
        <f>HYPERLINK("https://ictv.global/id/ICTV19990647","ICTV19990647@prod")</f>
        <v>ICTV19990647@prod</v>
      </c>
    </row>
    <row r="2042" spans="1:15" x14ac:dyDescent="0.2">
      <c r="A2042">
        <v>33</v>
      </c>
      <c r="B2042">
        <v>20180127</v>
      </c>
      <c r="C2042">
        <v>19990648</v>
      </c>
      <c r="D2042" t="s">
        <v>29</v>
      </c>
      <c r="E2042" t="s">
        <v>1029</v>
      </c>
      <c r="G2042" t="s">
        <v>33</v>
      </c>
      <c r="H2042" t="s">
        <v>1028</v>
      </c>
      <c r="I2042" t="s">
        <v>29</v>
      </c>
      <c r="J2042">
        <v>19990647</v>
      </c>
      <c r="K2042">
        <v>201850126</v>
      </c>
      <c r="L2042" t="str">
        <f>HYPERLINK("https://test.ictv.global/id/TN20180127","TN20180127@TEST")</f>
        <v>TN20180127@TEST</v>
      </c>
      <c r="M2042" t="str">
        <f>HYPERLINK("https://test.ictv.global/id/ICTV19990648","ICTV19990648@TEST")</f>
        <v>ICTV19990648@TEST</v>
      </c>
      <c r="N2042" t="str">
        <f>HYPERLINK("https://ictv.global/id/TN20180127","TN20180127@prod")</f>
        <v>TN20180127@prod</v>
      </c>
      <c r="O2042" t="str">
        <f>HYPERLINK("https://ictv.global/id/ICTV19990648","ICTV19990648@prod")</f>
        <v>ICTV19990648@prod</v>
      </c>
    </row>
    <row r="2043" spans="1:15" x14ac:dyDescent="0.2">
      <c r="A2043">
        <v>33</v>
      </c>
      <c r="B2043">
        <v>20180155</v>
      </c>
      <c r="C2043">
        <v>20164818</v>
      </c>
      <c r="D2043" t="s">
        <v>29</v>
      </c>
      <c r="E2043" t="s">
        <v>2228</v>
      </c>
      <c r="F2043" t="s">
        <v>2229</v>
      </c>
      <c r="G2043" t="s">
        <v>1165</v>
      </c>
      <c r="L2043" t="str">
        <f>HYPERLINK("https://test.ictv.global/id/TN20180155","TN20180155@TEST")</f>
        <v>TN20180155@TEST</v>
      </c>
      <c r="M2043" t="str">
        <f>HYPERLINK("https://test.ictv.global/id/ICTV20164818","ICTV20164818@TEST")</f>
        <v>ICTV20164818@TEST</v>
      </c>
      <c r="N2043" t="str">
        <f>HYPERLINK("https://ictv.global/id/TN20180155","TN20180155@prod")</f>
        <v>TN20180155@prod</v>
      </c>
      <c r="O2043" t="str">
        <f>HYPERLINK("https://ictv.global/id/ICTV20164818","ICTV20164818@prod")</f>
        <v>ICTV20164818@prod</v>
      </c>
    </row>
    <row r="2044" spans="1:15" x14ac:dyDescent="0.2">
      <c r="A2044">
        <v>33</v>
      </c>
      <c r="B2044">
        <v>20180499</v>
      </c>
      <c r="C2044">
        <v>20115485</v>
      </c>
      <c r="D2044" t="s">
        <v>29</v>
      </c>
      <c r="E2044" t="s">
        <v>2230</v>
      </c>
      <c r="G2044" t="s">
        <v>1165</v>
      </c>
      <c r="L2044" t="str">
        <f>HYPERLINK("https://test.ictv.global/id/TN20180499","TN20180499@TEST")</f>
        <v>TN20180499@TEST</v>
      </c>
      <c r="M2044" t="str">
        <f>HYPERLINK("https://test.ictv.global/id/ICTV20115485","ICTV20115485@TEST")</f>
        <v>ICTV20115485@TEST</v>
      </c>
      <c r="N2044" t="str">
        <f>HYPERLINK("https://ictv.global/id/TN20180499","TN20180499@prod")</f>
        <v>TN20180499@prod</v>
      </c>
      <c r="O2044" t="str">
        <f>HYPERLINK("https://ictv.global/id/ICTV20115485","ICTV20115485@prod")</f>
        <v>ICTV20115485@prod</v>
      </c>
    </row>
    <row r="2045" spans="1:15" x14ac:dyDescent="0.2">
      <c r="A2045">
        <v>33</v>
      </c>
      <c r="B2045">
        <v>20181590</v>
      </c>
      <c r="C2045">
        <v>20020172</v>
      </c>
      <c r="D2045" t="s">
        <v>19</v>
      </c>
      <c r="E2045" t="s">
        <v>1030</v>
      </c>
      <c r="G2045" t="s">
        <v>100</v>
      </c>
      <c r="H2045" t="s">
        <v>1031</v>
      </c>
      <c r="I2045" t="s">
        <v>19</v>
      </c>
      <c r="J2045">
        <v>201856447</v>
      </c>
      <c r="K2045">
        <v>201856447</v>
      </c>
      <c r="L2045" t="str">
        <f>HYPERLINK("https://test.ictv.global/id/TN20181590","TN20181590@TEST")</f>
        <v>TN20181590@TEST</v>
      </c>
      <c r="M2045" t="str">
        <f>HYPERLINK("https://test.ictv.global/id/ICTV20020172","ICTV20020172@TEST")</f>
        <v>ICTV20020172@TEST</v>
      </c>
      <c r="N2045" t="str">
        <f>HYPERLINK("https://ictv.global/id/TN20181590","TN20181590@prod")</f>
        <v>TN20181590@prod</v>
      </c>
      <c r="O2045" t="str">
        <f>HYPERLINK("https://ictv.global/id/ICTV20020172","ICTV20020172@prod")</f>
        <v>ICTV20020172@prod</v>
      </c>
    </row>
    <row r="2046" spans="1:15" x14ac:dyDescent="0.2">
      <c r="A2046">
        <v>33</v>
      </c>
      <c r="B2046">
        <v>20181590</v>
      </c>
      <c r="C2046">
        <v>20020172</v>
      </c>
      <c r="D2046" t="s">
        <v>19</v>
      </c>
      <c r="E2046" t="s">
        <v>1030</v>
      </c>
      <c r="G2046" t="s">
        <v>100</v>
      </c>
      <c r="H2046" t="s">
        <v>1032</v>
      </c>
      <c r="I2046" t="s">
        <v>19</v>
      </c>
      <c r="J2046">
        <v>201856449</v>
      </c>
      <c r="K2046">
        <v>201856449</v>
      </c>
      <c r="L2046" t="str">
        <f>HYPERLINK("https://test.ictv.global/id/TN20181590","TN20181590@TEST")</f>
        <v>TN20181590@TEST</v>
      </c>
      <c r="M2046" t="str">
        <f>HYPERLINK("https://test.ictv.global/id/ICTV20020172","ICTV20020172@TEST")</f>
        <v>ICTV20020172@TEST</v>
      </c>
      <c r="N2046" t="str">
        <f>HYPERLINK("https://ictv.global/id/TN20181590","TN20181590@prod")</f>
        <v>TN20181590@prod</v>
      </c>
      <c r="O2046" t="str">
        <f>HYPERLINK("https://ictv.global/id/ICTV20020172","ICTV20020172@prod")</f>
        <v>ICTV20020172@prod</v>
      </c>
    </row>
    <row r="2047" spans="1:15" x14ac:dyDescent="0.2">
      <c r="A2047">
        <v>33</v>
      </c>
      <c r="B2047">
        <v>20181590</v>
      </c>
      <c r="C2047">
        <v>20020172</v>
      </c>
      <c r="D2047" t="s">
        <v>19</v>
      </c>
      <c r="E2047" t="s">
        <v>1030</v>
      </c>
      <c r="G2047" t="s">
        <v>100</v>
      </c>
      <c r="H2047" t="s">
        <v>1033</v>
      </c>
      <c r="I2047" t="s">
        <v>19</v>
      </c>
      <c r="J2047">
        <v>201856450</v>
      </c>
      <c r="K2047">
        <v>201856450</v>
      </c>
      <c r="L2047" t="str">
        <f>HYPERLINK("https://test.ictv.global/id/TN20181590","TN20181590@TEST")</f>
        <v>TN20181590@TEST</v>
      </c>
      <c r="M2047" t="str">
        <f>HYPERLINK("https://test.ictv.global/id/ICTV20020172","ICTV20020172@TEST")</f>
        <v>ICTV20020172@TEST</v>
      </c>
      <c r="N2047" t="str">
        <f>HYPERLINK("https://ictv.global/id/TN20181590","TN20181590@prod")</f>
        <v>TN20181590@prod</v>
      </c>
      <c r="O2047" t="str">
        <f>HYPERLINK("https://ictv.global/id/ICTV20020172","ICTV20020172@prod")</f>
        <v>ICTV20020172@prod</v>
      </c>
    </row>
    <row r="2048" spans="1:15" x14ac:dyDescent="0.2">
      <c r="A2048">
        <v>33</v>
      </c>
      <c r="B2048">
        <v>20181626</v>
      </c>
      <c r="C2048">
        <v>19950113</v>
      </c>
      <c r="D2048" t="s">
        <v>19</v>
      </c>
      <c r="E2048" t="s">
        <v>1034</v>
      </c>
      <c r="G2048" t="s">
        <v>100</v>
      </c>
      <c r="H2048" t="s">
        <v>1035</v>
      </c>
      <c r="I2048" t="s">
        <v>19</v>
      </c>
      <c r="J2048">
        <v>201856468</v>
      </c>
      <c r="K2048">
        <v>201856468</v>
      </c>
      <c r="L2048" t="str">
        <f>HYPERLINK("https://test.ictv.global/id/TN20181626","TN20181626@TEST")</f>
        <v>TN20181626@TEST</v>
      </c>
      <c r="M2048" t="str">
        <f>HYPERLINK("https://test.ictv.global/id/ICTV19950113","ICTV19950113@TEST")</f>
        <v>ICTV19950113@TEST</v>
      </c>
      <c r="N2048" t="str">
        <f>HYPERLINK("https://ictv.global/id/TN20181626","TN20181626@prod")</f>
        <v>TN20181626@prod</v>
      </c>
      <c r="O2048" t="str">
        <f>HYPERLINK("https://ictv.global/id/ICTV19950113","ICTV19950113@prod")</f>
        <v>ICTV19950113@prod</v>
      </c>
    </row>
    <row r="2049" spans="1:15" x14ac:dyDescent="0.2">
      <c r="A2049">
        <v>33</v>
      </c>
      <c r="B2049">
        <v>20181626</v>
      </c>
      <c r="C2049">
        <v>19950113</v>
      </c>
      <c r="D2049" t="s">
        <v>19</v>
      </c>
      <c r="E2049" t="s">
        <v>1034</v>
      </c>
      <c r="G2049" t="s">
        <v>100</v>
      </c>
      <c r="H2049" t="s">
        <v>1036</v>
      </c>
      <c r="I2049" t="s">
        <v>19</v>
      </c>
      <c r="J2049">
        <v>201856469</v>
      </c>
      <c r="K2049">
        <v>201856469</v>
      </c>
      <c r="L2049" t="str">
        <f>HYPERLINK("https://test.ictv.global/id/TN20181626","TN20181626@TEST")</f>
        <v>TN20181626@TEST</v>
      </c>
      <c r="M2049" t="str">
        <f>HYPERLINK("https://test.ictv.global/id/ICTV19950113","ICTV19950113@TEST")</f>
        <v>ICTV19950113@TEST</v>
      </c>
      <c r="N2049" t="str">
        <f>HYPERLINK("https://ictv.global/id/TN20181626","TN20181626@prod")</f>
        <v>TN20181626@prod</v>
      </c>
      <c r="O2049" t="str">
        <f>HYPERLINK("https://ictv.global/id/ICTV19950113","ICTV19950113@prod")</f>
        <v>ICTV19950113@prod</v>
      </c>
    </row>
    <row r="2050" spans="1:15" x14ac:dyDescent="0.2">
      <c r="A2050">
        <v>33</v>
      </c>
      <c r="B2050">
        <v>20183257</v>
      </c>
      <c r="C2050">
        <v>19911644</v>
      </c>
      <c r="D2050" t="s">
        <v>29</v>
      </c>
      <c r="E2050" t="s">
        <v>2231</v>
      </c>
      <c r="G2050" t="s">
        <v>1165</v>
      </c>
      <c r="L2050" t="str">
        <f>HYPERLINK("https://test.ictv.global/id/TN20183257","TN20183257@TEST")</f>
        <v>TN20183257@TEST</v>
      </c>
      <c r="M2050" t="str">
        <f>HYPERLINK("https://test.ictv.global/id/ICTV19911644","ICTV19911644@TEST")</f>
        <v>ICTV19911644@TEST</v>
      </c>
      <c r="N2050" t="str">
        <f>HYPERLINK("https://ictv.global/id/TN20183257","TN20183257@prod")</f>
        <v>TN20183257@prod</v>
      </c>
      <c r="O2050" t="str">
        <f>HYPERLINK("https://ictv.global/id/ICTV19911644","ICTV19911644@prod")</f>
        <v>ICTV19911644@prod</v>
      </c>
    </row>
    <row r="2051" spans="1:15" x14ac:dyDescent="0.2">
      <c r="A2051">
        <v>33</v>
      </c>
      <c r="B2051">
        <v>20183325</v>
      </c>
      <c r="C2051">
        <v>20131931</v>
      </c>
      <c r="D2051" t="s">
        <v>29</v>
      </c>
      <c r="E2051" t="s">
        <v>2232</v>
      </c>
      <c r="G2051" t="s">
        <v>1165</v>
      </c>
      <c r="L2051" t="str">
        <f>HYPERLINK("https://test.ictv.global/id/TN20183325","TN20183325@TEST")</f>
        <v>TN20183325@TEST</v>
      </c>
      <c r="M2051" t="str">
        <f>HYPERLINK("https://test.ictv.global/id/ICTV20131931","ICTV20131931@TEST")</f>
        <v>ICTV20131931@TEST</v>
      </c>
      <c r="N2051" t="str">
        <f>HYPERLINK("https://ictv.global/id/TN20183325","TN20183325@prod")</f>
        <v>TN20183325@prod</v>
      </c>
      <c r="O2051" t="str">
        <f>HYPERLINK("https://ictv.global/id/ICTV20131931","ICTV20131931@prod")</f>
        <v>ICTV20131931@prod</v>
      </c>
    </row>
    <row r="2052" spans="1:15" x14ac:dyDescent="0.2">
      <c r="A2052">
        <v>33</v>
      </c>
      <c r="B2052">
        <v>20183387</v>
      </c>
      <c r="C2052">
        <v>20131953</v>
      </c>
      <c r="D2052" t="s">
        <v>29</v>
      </c>
      <c r="E2052" t="s">
        <v>2233</v>
      </c>
      <c r="G2052" t="s">
        <v>1165</v>
      </c>
      <c r="L2052" t="str">
        <f>HYPERLINK("https://test.ictv.global/id/TN20183387","TN20183387@TEST")</f>
        <v>TN20183387@TEST</v>
      </c>
      <c r="M2052" t="str">
        <f>HYPERLINK("https://test.ictv.global/id/ICTV20131953","ICTV20131953@TEST")</f>
        <v>ICTV20131953@TEST</v>
      </c>
      <c r="N2052" t="str">
        <f>HYPERLINK("https://ictv.global/id/TN20183387","TN20183387@prod")</f>
        <v>TN20183387@prod</v>
      </c>
      <c r="O2052" t="str">
        <f>HYPERLINK("https://ictv.global/id/ICTV20131953","ICTV20131953@prod")</f>
        <v>ICTV20131953@prod</v>
      </c>
    </row>
    <row r="2053" spans="1:15" x14ac:dyDescent="0.2">
      <c r="A2053">
        <v>33</v>
      </c>
      <c r="B2053">
        <v>20183393</v>
      </c>
      <c r="C2053">
        <v>20041188</v>
      </c>
      <c r="D2053" t="s">
        <v>29</v>
      </c>
      <c r="E2053" t="s">
        <v>2234</v>
      </c>
      <c r="G2053" t="s">
        <v>1165</v>
      </c>
      <c r="L2053" t="str">
        <f>HYPERLINK("https://test.ictv.global/id/TN20183393","TN20183393@TEST")</f>
        <v>TN20183393@TEST</v>
      </c>
      <c r="M2053" t="str">
        <f>HYPERLINK("https://test.ictv.global/id/ICTV20041188","ICTV20041188@TEST")</f>
        <v>ICTV20041188@TEST</v>
      </c>
      <c r="N2053" t="str">
        <f>HYPERLINK("https://ictv.global/id/TN20183393","TN20183393@prod")</f>
        <v>TN20183393@prod</v>
      </c>
      <c r="O2053" t="str">
        <f>HYPERLINK("https://ictv.global/id/ICTV20041188","ICTV20041188@prod")</f>
        <v>ICTV20041188@prod</v>
      </c>
    </row>
    <row r="2054" spans="1:15" x14ac:dyDescent="0.2">
      <c r="A2054">
        <v>33</v>
      </c>
      <c r="B2054">
        <v>20183446</v>
      </c>
      <c r="C2054">
        <v>20131976</v>
      </c>
      <c r="D2054" t="s">
        <v>29</v>
      </c>
      <c r="E2054" t="s">
        <v>2235</v>
      </c>
      <c r="G2054" t="s">
        <v>1165</v>
      </c>
      <c r="L2054" t="str">
        <f>HYPERLINK("https://test.ictv.global/id/TN20183446","TN20183446@TEST")</f>
        <v>TN20183446@TEST</v>
      </c>
      <c r="M2054" t="str">
        <f>HYPERLINK("https://test.ictv.global/id/ICTV20131976","ICTV20131976@TEST")</f>
        <v>ICTV20131976@TEST</v>
      </c>
      <c r="N2054" t="str">
        <f>HYPERLINK("https://ictv.global/id/TN20183446","TN20183446@prod")</f>
        <v>TN20183446@prod</v>
      </c>
      <c r="O2054" t="str">
        <f>HYPERLINK("https://ictv.global/id/ICTV20131976","ICTV20131976@prod")</f>
        <v>ICTV20131976@prod</v>
      </c>
    </row>
    <row r="2055" spans="1:15" x14ac:dyDescent="0.2">
      <c r="A2055">
        <v>33</v>
      </c>
      <c r="B2055">
        <v>20183733</v>
      </c>
      <c r="C2055">
        <v>20041354</v>
      </c>
      <c r="D2055" t="s">
        <v>29</v>
      </c>
      <c r="E2055" t="s">
        <v>2236</v>
      </c>
      <c r="F2055" t="s">
        <v>2237</v>
      </c>
      <c r="G2055" t="s">
        <v>1165</v>
      </c>
      <c r="L2055" t="str">
        <f>HYPERLINK("https://test.ictv.global/id/TN20183733","TN20183733@TEST")</f>
        <v>TN20183733@TEST</v>
      </c>
      <c r="M2055" t="str">
        <f>HYPERLINK("https://test.ictv.global/id/ICTV20041354","ICTV20041354@TEST")</f>
        <v>ICTV20041354@TEST</v>
      </c>
      <c r="N2055" t="str">
        <f>HYPERLINK("https://ictv.global/id/TN20183733","TN20183733@prod")</f>
        <v>TN20183733@prod</v>
      </c>
      <c r="O2055" t="str">
        <f>HYPERLINK("https://ictv.global/id/ICTV20041354","ICTV20041354@prod")</f>
        <v>ICTV20041354@prod</v>
      </c>
    </row>
    <row r="2056" spans="1:15" x14ac:dyDescent="0.2">
      <c r="A2056">
        <v>33</v>
      </c>
      <c r="B2056">
        <v>20183735</v>
      </c>
      <c r="C2056">
        <v>20041356</v>
      </c>
      <c r="D2056" t="s">
        <v>29</v>
      </c>
      <c r="E2056" t="s">
        <v>2238</v>
      </c>
      <c r="F2056" t="s">
        <v>2239</v>
      </c>
      <c r="G2056" t="s">
        <v>1165</v>
      </c>
      <c r="L2056" t="str">
        <f>HYPERLINK("https://test.ictv.global/id/TN20183735","TN20183735@TEST")</f>
        <v>TN20183735@TEST</v>
      </c>
      <c r="M2056" t="str">
        <f>HYPERLINK("https://test.ictv.global/id/ICTV20041356","ICTV20041356@TEST")</f>
        <v>ICTV20041356@TEST</v>
      </c>
      <c r="N2056" t="str">
        <f>HYPERLINK("https://ictv.global/id/TN20183735","TN20183735@prod")</f>
        <v>TN20183735@prod</v>
      </c>
      <c r="O2056" t="str">
        <f>HYPERLINK("https://ictv.global/id/ICTV20041356","ICTV20041356@prod")</f>
        <v>ICTV20041356@prod</v>
      </c>
    </row>
    <row r="2057" spans="1:15" x14ac:dyDescent="0.2">
      <c r="A2057">
        <v>33</v>
      </c>
      <c r="B2057">
        <v>20183743</v>
      </c>
      <c r="C2057">
        <v>19710194</v>
      </c>
      <c r="D2057" t="s">
        <v>29</v>
      </c>
      <c r="E2057" t="s">
        <v>2240</v>
      </c>
      <c r="F2057" t="s">
        <v>2241</v>
      </c>
      <c r="G2057" t="s">
        <v>1165</v>
      </c>
      <c r="L2057" t="str">
        <f>HYPERLINK("https://test.ictv.global/id/TN20183743","TN20183743@TEST")</f>
        <v>TN20183743@TEST</v>
      </c>
      <c r="M2057" t="str">
        <f>HYPERLINK("https://test.ictv.global/id/ICTV19710194","ICTV19710194@TEST")</f>
        <v>ICTV19710194@TEST</v>
      </c>
      <c r="N2057" t="str">
        <f>HYPERLINK("https://ictv.global/id/TN20183743","TN20183743@prod")</f>
        <v>TN20183743@prod</v>
      </c>
      <c r="O2057" t="str">
        <f>HYPERLINK("https://ictv.global/id/ICTV19710194","ICTV19710194@prod")</f>
        <v>ICTV19710194@prod</v>
      </c>
    </row>
    <row r="2058" spans="1:15" x14ac:dyDescent="0.2">
      <c r="A2058">
        <v>33</v>
      </c>
      <c r="B2058">
        <v>20185930</v>
      </c>
      <c r="C2058">
        <v>20175930</v>
      </c>
      <c r="D2058" t="s">
        <v>29</v>
      </c>
      <c r="E2058" t="s">
        <v>2242</v>
      </c>
      <c r="G2058" t="s">
        <v>1165</v>
      </c>
      <c r="L2058" t="str">
        <f>HYPERLINK("https://test.ictv.global/id/TN20185930","TN20185930@TEST")</f>
        <v>TN20185930@TEST</v>
      </c>
      <c r="M2058" t="str">
        <f>HYPERLINK("https://test.ictv.global/id/ICTV20175930","ICTV20175930@TEST")</f>
        <v>ICTV20175930@TEST</v>
      </c>
      <c r="N2058" t="str">
        <f>HYPERLINK("https://ictv.global/id/TN20185930","TN20185930@prod")</f>
        <v>TN20185930@prod</v>
      </c>
      <c r="O2058" t="str">
        <f>HYPERLINK("https://ictv.global/id/ICTV20175930","ICTV20175930@prod")</f>
        <v>ICTV20175930@prod</v>
      </c>
    </row>
    <row r="2059" spans="1:15" x14ac:dyDescent="0.2">
      <c r="A2059">
        <v>34</v>
      </c>
      <c r="B2059">
        <v>201850141</v>
      </c>
      <c r="C2059">
        <v>20164808</v>
      </c>
      <c r="D2059" t="s">
        <v>29</v>
      </c>
      <c r="E2059" t="s">
        <v>2243</v>
      </c>
      <c r="F2059" t="s">
        <v>2244</v>
      </c>
      <c r="G2059" t="s">
        <v>1165</v>
      </c>
      <c r="L2059" t="str">
        <f>HYPERLINK("https://test.ictv.global/id/TN201850141","TN201850141@TEST")</f>
        <v>TN201850141@TEST</v>
      </c>
      <c r="M2059" t="str">
        <f>HYPERLINK("https://test.ictv.global/id/ICTV20164808","ICTV20164808@TEST")</f>
        <v>ICTV20164808@TEST</v>
      </c>
      <c r="N2059" t="str">
        <f>HYPERLINK("https://ictv.global/id/TN201850141","TN201850141@prod")</f>
        <v>TN201850141@prod</v>
      </c>
      <c r="O2059" t="str">
        <f>HYPERLINK("https://ictv.global/id/ICTV20164808","ICTV20164808@prod")</f>
        <v>ICTV20164808@prod</v>
      </c>
    </row>
    <row r="2060" spans="1:15" x14ac:dyDescent="0.2">
      <c r="A2060">
        <v>34</v>
      </c>
      <c r="B2060">
        <v>201850142</v>
      </c>
      <c r="C2060">
        <v>20164809</v>
      </c>
      <c r="D2060" t="s">
        <v>29</v>
      </c>
      <c r="E2060" t="s">
        <v>2245</v>
      </c>
      <c r="F2060" t="s">
        <v>2246</v>
      </c>
      <c r="G2060" t="s">
        <v>1165</v>
      </c>
      <c r="L2060" t="str">
        <f>HYPERLINK("https://test.ictv.global/id/TN201850142","TN201850142@TEST")</f>
        <v>TN201850142@TEST</v>
      </c>
      <c r="M2060" t="str">
        <f>HYPERLINK("https://test.ictv.global/id/ICTV20164809","ICTV20164809@TEST")</f>
        <v>ICTV20164809@TEST</v>
      </c>
      <c r="N2060" t="str">
        <f>HYPERLINK("https://ictv.global/id/TN201850142","TN201850142@prod")</f>
        <v>TN201850142@prod</v>
      </c>
      <c r="O2060" t="str">
        <f>HYPERLINK("https://ictv.global/id/ICTV20164809","ICTV20164809@prod")</f>
        <v>ICTV20164809@prod</v>
      </c>
    </row>
    <row r="2061" spans="1:15" x14ac:dyDescent="0.2">
      <c r="A2061">
        <v>34</v>
      </c>
      <c r="B2061">
        <v>201850216</v>
      </c>
      <c r="C2061">
        <v>20150127</v>
      </c>
      <c r="D2061" t="s">
        <v>29</v>
      </c>
      <c r="E2061" t="s">
        <v>2247</v>
      </c>
      <c r="F2061" t="s">
        <v>2248</v>
      </c>
      <c r="G2061" t="s">
        <v>1165</v>
      </c>
      <c r="L2061" t="str">
        <f>HYPERLINK("https://test.ictv.global/id/TN201850216","TN201850216@TEST")</f>
        <v>TN201850216@TEST</v>
      </c>
      <c r="M2061" t="str">
        <f>HYPERLINK("https://test.ictv.global/id/ICTV20150127","ICTV20150127@TEST")</f>
        <v>ICTV20150127@TEST</v>
      </c>
      <c r="N2061" t="str">
        <f>HYPERLINK("https://ictv.global/id/TN201850216","TN201850216@prod")</f>
        <v>TN201850216@prod</v>
      </c>
      <c r="O2061" t="str">
        <f>HYPERLINK("https://ictv.global/id/ICTV20150127","ICTV20150127@prod")</f>
        <v>ICTV20150127@prod</v>
      </c>
    </row>
    <row r="2062" spans="1:15" x14ac:dyDescent="0.2">
      <c r="A2062">
        <v>34</v>
      </c>
      <c r="B2062">
        <v>201850541</v>
      </c>
      <c r="C2062">
        <v>20090674</v>
      </c>
      <c r="D2062" t="s">
        <v>26</v>
      </c>
      <c r="E2062" t="s">
        <v>1037</v>
      </c>
      <c r="G2062" t="s">
        <v>21</v>
      </c>
      <c r="H2062" t="s">
        <v>1038</v>
      </c>
      <c r="I2062" t="s">
        <v>23</v>
      </c>
      <c r="J2062">
        <v>20090674</v>
      </c>
      <c r="K2062">
        <v>201908192</v>
      </c>
      <c r="L2062" t="str">
        <f>HYPERLINK("https://test.ictv.global/id/TN201850541","TN201850541@TEST")</f>
        <v>TN201850541@TEST</v>
      </c>
      <c r="M2062" t="str">
        <f>HYPERLINK("https://test.ictv.global/id/ICTV20090674","ICTV20090674@TEST")</f>
        <v>ICTV20090674@TEST</v>
      </c>
      <c r="N2062" t="str">
        <f>HYPERLINK("https://ictv.global/id/TN201850541","TN201850541@prod")</f>
        <v>TN201850541@prod</v>
      </c>
      <c r="O2062" t="str">
        <f>HYPERLINK("https://ictv.global/id/ICTV20090674","ICTV20090674@prod")</f>
        <v>ICTV20090674@prod</v>
      </c>
    </row>
    <row r="2063" spans="1:15" x14ac:dyDescent="0.2">
      <c r="A2063">
        <v>34</v>
      </c>
      <c r="B2063">
        <v>201850578</v>
      </c>
      <c r="C2063">
        <v>20094396</v>
      </c>
      <c r="D2063" t="s">
        <v>29</v>
      </c>
      <c r="E2063" t="s">
        <v>2249</v>
      </c>
      <c r="G2063" t="s">
        <v>1165</v>
      </c>
      <c r="L2063" t="str">
        <f>HYPERLINK("https://test.ictv.global/id/TN201850578","TN201850578@TEST")</f>
        <v>TN201850578@TEST</v>
      </c>
      <c r="M2063" t="str">
        <f>HYPERLINK("https://test.ictv.global/id/ICTV20094396","ICTV20094396@TEST")</f>
        <v>ICTV20094396@TEST</v>
      </c>
      <c r="N2063" t="str">
        <f>HYPERLINK("https://ictv.global/id/TN201850578","TN201850578@prod")</f>
        <v>TN201850578@prod</v>
      </c>
      <c r="O2063" t="str">
        <f>HYPERLINK("https://ictv.global/id/ICTV20094396","ICTV20094396@prod")</f>
        <v>ICTV20094396@prod</v>
      </c>
    </row>
    <row r="2064" spans="1:15" x14ac:dyDescent="0.2">
      <c r="A2064">
        <v>34</v>
      </c>
      <c r="B2064">
        <v>201851189</v>
      </c>
      <c r="C2064">
        <v>20140432</v>
      </c>
      <c r="D2064" t="s">
        <v>29</v>
      </c>
      <c r="E2064" t="s">
        <v>2250</v>
      </c>
      <c r="F2064" t="s">
        <v>2251</v>
      </c>
      <c r="G2064" t="s">
        <v>1165</v>
      </c>
      <c r="L2064" t="str">
        <f>HYPERLINK("https://test.ictv.global/id/TN201851189","TN201851189@TEST")</f>
        <v>TN201851189@TEST</v>
      </c>
      <c r="M2064" t="str">
        <f>HYPERLINK("https://test.ictv.global/id/ICTV20140432","ICTV20140432@TEST")</f>
        <v>ICTV20140432@TEST</v>
      </c>
      <c r="N2064" t="str">
        <f>HYPERLINK("https://ictv.global/id/TN201851189","TN201851189@prod")</f>
        <v>TN201851189@prod</v>
      </c>
      <c r="O2064" t="str">
        <f>HYPERLINK("https://ictv.global/id/ICTV20140432","ICTV20140432@prod")</f>
        <v>ICTV20140432@prod</v>
      </c>
    </row>
    <row r="2065" spans="1:15" x14ac:dyDescent="0.2">
      <c r="A2065">
        <v>34</v>
      </c>
      <c r="B2065">
        <v>201851190</v>
      </c>
      <c r="C2065">
        <v>20140430</v>
      </c>
      <c r="D2065" t="s">
        <v>29</v>
      </c>
      <c r="E2065" t="s">
        <v>2252</v>
      </c>
      <c r="F2065" t="s">
        <v>2253</v>
      </c>
      <c r="G2065" t="s">
        <v>1165</v>
      </c>
      <c r="L2065" t="str">
        <f>HYPERLINK("https://test.ictv.global/id/TN201851190","TN201851190@TEST")</f>
        <v>TN201851190@TEST</v>
      </c>
      <c r="M2065" t="str">
        <f>HYPERLINK("https://test.ictv.global/id/ICTV20140430","ICTV20140430@TEST")</f>
        <v>ICTV20140430@TEST</v>
      </c>
      <c r="N2065" t="str">
        <f>HYPERLINK("https://ictv.global/id/TN201851190","TN201851190@prod")</f>
        <v>TN201851190@prod</v>
      </c>
      <c r="O2065" t="str">
        <f>HYPERLINK("https://ictv.global/id/ICTV20140430","ICTV20140430@prod")</f>
        <v>ICTV20140430@prod</v>
      </c>
    </row>
    <row r="2066" spans="1:15" x14ac:dyDescent="0.2">
      <c r="A2066">
        <v>34</v>
      </c>
      <c r="B2066">
        <v>201851240</v>
      </c>
      <c r="C2066">
        <v>19972232</v>
      </c>
      <c r="D2066" t="s">
        <v>29</v>
      </c>
      <c r="E2066" t="s">
        <v>2254</v>
      </c>
      <c r="G2066" t="s">
        <v>1165</v>
      </c>
      <c r="L2066" t="str">
        <f>HYPERLINK("https://test.ictv.global/id/TN201851240","TN201851240@TEST")</f>
        <v>TN201851240@TEST</v>
      </c>
      <c r="M2066" t="str">
        <f>HYPERLINK("https://test.ictv.global/id/ICTV19972232","ICTV19972232@TEST")</f>
        <v>ICTV19972232@TEST</v>
      </c>
      <c r="N2066" t="str">
        <f>HYPERLINK("https://ictv.global/id/TN201851240","TN201851240@prod")</f>
        <v>TN201851240@prod</v>
      </c>
      <c r="O2066" t="str">
        <f>HYPERLINK("https://ictv.global/id/ICTV19972232","ICTV19972232@prod")</f>
        <v>ICTV19972232@prod</v>
      </c>
    </row>
    <row r="2067" spans="1:15" x14ac:dyDescent="0.2">
      <c r="A2067">
        <v>34</v>
      </c>
      <c r="B2067">
        <v>201851629</v>
      </c>
      <c r="C2067">
        <v>20165117</v>
      </c>
      <c r="D2067" t="s">
        <v>29</v>
      </c>
      <c r="E2067" t="s">
        <v>2255</v>
      </c>
      <c r="G2067" t="s">
        <v>1165</v>
      </c>
      <c r="L2067" t="str">
        <f>HYPERLINK("https://test.ictv.global/id/TN201851629","TN201851629@TEST")</f>
        <v>TN201851629@TEST</v>
      </c>
      <c r="M2067" t="str">
        <f>HYPERLINK("https://test.ictv.global/id/ICTV20165117","ICTV20165117@TEST")</f>
        <v>ICTV20165117@TEST</v>
      </c>
      <c r="N2067" t="str">
        <f>HYPERLINK("https://ictv.global/id/TN201851629","TN201851629@prod")</f>
        <v>TN201851629@prod</v>
      </c>
      <c r="O2067" t="str">
        <f>HYPERLINK("https://ictv.global/id/ICTV20165117","ICTV20165117@prod")</f>
        <v>ICTV20165117@prod</v>
      </c>
    </row>
    <row r="2068" spans="1:15" x14ac:dyDescent="0.2">
      <c r="A2068">
        <v>34</v>
      </c>
      <c r="B2068">
        <v>201851741</v>
      </c>
      <c r="C2068">
        <v>19820134</v>
      </c>
      <c r="D2068" t="s">
        <v>19</v>
      </c>
      <c r="E2068" t="s">
        <v>1039</v>
      </c>
      <c r="G2068" t="s">
        <v>53</v>
      </c>
      <c r="H2068" t="s">
        <v>1040</v>
      </c>
      <c r="I2068" t="s">
        <v>19</v>
      </c>
      <c r="J2068">
        <v>201907680</v>
      </c>
      <c r="K2068">
        <v>201907680</v>
      </c>
      <c r="L2068" t="str">
        <f>HYPERLINK("https://test.ictv.global/id/TN201851741","TN201851741@TEST")</f>
        <v>TN201851741@TEST</v>
      </c>
      <c r="M2068" t="str">
        <f>HYPERLINK("https://test.ictv.global/id/ICTV19820134","ICTV19820134@TEST")</f>
        <v>ICTV19820134@TEST</v>
      </c>
      <c r="N2068" t="str">
        <f>HYPERLINK("https://ictv.global/id/TN201851741","TN201851741@prod")</f>
        <v>TN201851741@prod</v>
      </c>
      <c r="O2068" t="str">
        <f>HYPERLINK("https://ictv.global/id/ICTV19820134","ICTV19820134@prod")</f>
        <v>ICTV19820134@prod</v>
      </c>
    </row>
    <row r="2069" spans="1:15" x14ac:dyDescent="0.2">
      <c r="A2069">
        <v>34</v>
      </c>
      <c r="B2069">
        <v>201851741</v>
      </c>
      <c r="C2069">
        <v>19820134</v>
      </c>
      <c r="D2069" t="s">
        <v>19</v>
      </c>
      <c r="E2069" t="s">
        <v>1039</v>
      </c>
      <c r="G2069" t="s">
        <v>53</v>
      </c>
      <c r="H2069" t="s">
        <v>1041</v>
      </c>
      <c r="I2069" t="s">
        <v>19</v>
      </c>
      <c r="J2069">
        <v>201907681</v>
      </c>
      <c r="K2069">
        <v>201907681</v>
      </c>
      <c r="L2069" t="str">
        <f>HYPERLINK("https://test.ictv.global/id/TN201851741","TN201851741@TEST")</f>
        <v>TN201851741@TEST</v>
      </c>
      <c r="M2069" t="str">
        <f>HYPERLINK("https://test.ictv.global/id/ICTV19820134","ICTV19820134@TEST")</f>
        <v>ICTV19820134@TEST</v>
      </c>
      <c r="N2069" t="str">
        <f>HYPERLINK("https://ictv.global/id/TN201851741","TN201851741@prod")</f>
        <v>TN201851741@prod</v>
      </c>
      <c r="O2069" t="str">
        <f>HYPERLINK("https://ictv.global/id/ICTV19820134","ICTV19820134@prod")</f>
        <v>ICTV19820134@prod</v>
      </c>
    </row>
    <row r="2070" spans="1:15" x14ac:dyDescent="0.2">
      <c r="A2070">
        <v>34</v>
      </c>
      <c r="B2070">
        <v>201851741</v>
      </c>
      <c r="C2070">
        <v>19820134</v>
      </c>
      <c r="D2070" t="s">
        <v>19</v>
      </c>
      <c r="E2070" t="s">
        <v>1039</v>
      </c>
      <c r="G2070" t="s">
        <v>53</v>
      </c>
      <c r="H2070" t="s">
        <v>1042</v>
      </c>
      <c r="I2070" t="s">
        <v>19</v>
      </c>
      <c r="J2070">
        <v>201907685</v>
      </c>
      <c r="K2070">
        <v>201907685</v>
      </c>
      <c r="L2070" t="str">
        <f>HYPERLINK("https://test.ictv.global/id/TN201851741","TN201851741@TEST")</f>
        <v>TN201851741@TEST</v>
      </c>
      <c r="M2070" t="str">
        <f>HYPERLINK("https://test.ictv.global/id/ICTV19820134","ICTV19820134@TEST")</f>
        <v>ICTV19820134@TEST</v>
      </c>
      <c r="N2070" t="str">
        <f>HYPERLINK("https://ictv.global/id/TN201851741","TN201851741@prod")</f>
        <v>TN201851741@prod</v>
      </c>
      <c r="O2070" t="str">
        <f>HYPERLINK("https://ictv.global/id/ICTV19820134","ICTV19820134@prod")</f>
        <v>ICTV19820134@prod</v>
      </c>
    </row>
    <row r="2071" spans="1:15" x14ac:dyDescent="0.2">
      <c r="A2071">
        <v>34</v>
      </c>
      <c r="B2071">
        <v>201851856</v>
      </c>
      <c r="C2071">
        <v>20151214</v>
      </c>
      <c r="D2071" t="s">
        <v>29</v>
      </c>
      <c r="E2071" t="s">
        <v>1043</v>
      </c>
      <c r="F2071" t="s">
        <v>2256</v>
      </c>
      <c r="G2071" t="s">
        <v>33</v>
      </c>
      <c r="H2071" t="s">
        <v>1043</v>
      </c>
      <c r="I2071" t="s">
        <v>29</v>
      </c>
      <c r="J2071">
        <v>20151214</v>
      </c>
      <c r="K2071">
        <v>201901856</v>
      </c>
      <c r="L2071" t="str">
        <f>HYPERLINK("https://test.ictv.global/id/TN201851856","TN201851856@TEST")</f>
        <v>TN201851856@TEST</v>
      </c>
      <c r="M2071" t="str">
        <f>HYPERLINK("https://test.ictv.global/id/ICTV20151214","ICTV20151214@TEST")</f>
        <v>ICTV20151214@TEST</v>
      </c>
      <c r="N2071" t="str">
        <f>HYPERLINK("https://ictv.global/id/TN201851856","TN201851856@prod")</f>
        <v>TN201851856@prod</v>
      </c>
      <c r="O2071" t="str">
        <f>HYPERLINK("https://ictv.global/id/ICTV20151214","ICTV20151214@prod")</f>
        <v>ICTV20151214@prod</v>
      </c>
    </row>
    <row r="2072" spans="1:15" x14ac:dyDescent="0.2">
      <c r="A2072">
        <v>34</v>
      </c>
      <c r="B2072">
        <v>201853292</v>
      </c>
      <c r="C2072">
        <v>20083893</v>
      </c>
      <c r="D2072" t="s">
        <v>29</v>
      </c>
      <c r="E2072" t="s">
        <v>2257</v>
      </c>
      <c r="G2072" t="s">
        <v>1165</v>
      </c>
      <c r="L2072" t="str">
        <f>HYPERLINK("https://test.ictv.global/id/TN201853292","TN201853292@TEST")</f>
        <v>TN201853292@TEST</v>
      </c>
      <c r="M2072" t="str">
        <f>HYPERLINK("https://test.ictv.global/id/ICTV20083893","ICTV20083893@TEST")</f>
        <v>ICTV20083893@TEST</v>
      </c>
      <c r="N2072" t="str">
        <f>HYPERLINK("https://ictv.global/id/TN201853292","TN201853292@prod")</f>
        <v>TN201853292@prod</v>
      </c>
      <c r="O2072" t="str">
        <f>HYPERLINK("https://ictv.global/id/ICTV20083893","ICTV20083893@prod")</f>
        <v>ICTV20083893@prod</v>
      </c>
    </row>
    <row r="2073" spans="1:15" x14ac:dyDescent="0.2">
      <c r="A2073">
        <v>34</v>
      </c>
      <c r="B2073">
        <v>201854207</v>
      </c>
      <c r="C2073">
        <v>19930088</v>
      </c>
      <c r="D2073" t="s">
        <v>26</v>
      </c>
      <c r="E2073" t="s">
        <v>1044</v>
      </c>
      <c r="G2073" t="s">
        <v>53</v>
      </c>
      <c r="H2073" t="s">
        <v>1044</v>
      </c>
      <c r="I2073" t="s">
        <v>26</v>
      </c>
      <c r="J2073">
        <v>19930088</v>
      </c>
      <c r="K2073">
        <v>201904207</v>
      </c>
      <c r="L2073" t="str">
        <f>HYPERLINK("https://test.ictv.global/id/TN201854207","TN201854207@TEST")</f>
        <v>TN201854207@TEST</v>
      </c>
      <c r="M2073" t="str">
        <f>HYPERLINK("https://test.ictv.global/id/ICTV19930088","ICTV19930088@TEST")</f>
        <v>ICTV19930088@TEST</v>
      </c>
      <c r="N2073" t="str">
        <f>HYPERLINK("https://ictv.global/id/TN201854207","TN201854207@prod")</f>
        <v>TN201854207@prod</v>
      </c>
      <c r="O2073" t="str">
        <f>HYPERLINK("https://ictv.global/id/ICTV19930088","ICTV19930088@prod")</f>
        <v>ICTV19930088@prod</v>
      </c>
    </row>
    <row r="2074" spans="1:15" x14ac:dyDescent="0.2">
      <c r="A2074">
        <v>34</v>
      </c>
      <c r="B2074">
        <v>201854207</v>
      </c>
      <c r="C2074">
        <v>19930088</v>
      </c>
      <c r="D2074" t="s">
        <v>26</v>
      </c>
      <c r="E2074" t="s">
        <v>1044</v>
      </c>
      <c r="G2074" t="s">
        <v>53</v>
      </c>
      <c r="H2074" t="s">
        <v>1045</v>
      </c>
      <c r="I2074" t="s">
        <v>26</v>
      </c>
      <c r="J2074">
        <v>201907324</v>
      </c>
      <c r="K2074">
        <v>201907324</v>
      </c>
      <c r="L2074" t="str">
        <f>HYPERLINK("https://test.ictv.global/id/TN201854207","TN201854207@TEST")</f>
        <v>TN201854207@TEST</v>
      </c>
      <c r="M2074" t="str">
        <f>HYPERLINK("https://test.ictv.global/id/ICTV19930088","ICTV19930088@TEST")</f>
        <v>ICTV19930088@TEST</v>
      </c>
      <c r="N2074" t="str">
        <f>HYPERLINK("https://ictv.global/id/TN201854207","TN201854207@prod")</f>
        <v>TN201854207@prod</v>
      </c>
      <c r="O2074" t="str">
        <f>HYPERLINK("https://ictv.global/id/ICTV19930088","ICTV19930088@prod")</f>
        <v>ICTV19930088@prod</v>
      </c>
    </row>
    <row r="2075" spans="1:15" x14ac:dyDescent="0.2">
      <c r="A2075">
        <v>34</v>
      </c>
      <c r="B2075">
        <v>201854208</v>
      </c>
      <c r="C2075">
        <v>19750053</v>
      </c>
      <c r="D2075" t="s">
        <v>19</v>
      </c>
      <c r="E2075" t="s">
        <v>1046</v>
      </c>
      <c r="G2075" t="s">
        <v>53</v>
      </c>
      <c r="H2075" t="s">
        <v>1047</v>
      </c>
      <c r="I2075" t="s">
        <v>19</v>
      </c>
      <c r="J2075">
        <v>201907317</v>
      </c>
      <c r="K2075">
        <v>201907317</v>
      </c>
      <c r="L2075" t="str">
        <f>HYPERLINK("https://test.ictv.global/id/TN201854208","TN201854208@TEST")</f>
        <v>TN201854208@TEST</v>
      </c>
      <c r="M2075" t="str">
        <f>HYPERLINK("https://test.ictv.global/id/ICTV19750053","ICTV19750053@TEST")</f>
        <v>ICTV19750053@TEST</v>
      </c>
      <c r="N2075" t="str">
        <f>HYPERLINK("https://ictv.global/id/TN201854208","TN201854208@prod")</f>
        <v>TN201854208@prod</v>
      </c>
      <c r="O2075" t="str">
        <f>HYPERLINK("https://ictv.global/id/ICTV19750053","ICTV19750053@prod")</f>
        <v>ICTV19750053@prod</v>
      </c>
    </row>
    <row r="2076" spans="1:15" x14ac:dyDescent="0.2">
      <c r="A2076">
        <v>34</v>
      </c>
      <c r="B2076">
        <v>201854208</v>
      </c>
      <c r="C2076">
        <v>19750053</v>
      </c>
      <c r="D2076" t="s">
        <v>19</v>
      </c>
      <c r="E2076" t="s">
        <v>1046</v>
      </c>
      <c r="G2076" t="s">
        <v>53</v>
      </c>
      <c r="H2076" t="s">
        <v>1048</v>
      </c>
      <c r="I2076" t="s">
        <v>19</v>
      </c>
      <c r="J2076">
        <v>201907318</v>
      </c>
      <c r="K2076">
        <v>201907318</v>
      </c>
      <c r="L2076" t="str">
        <f>HYPERLINK("https://test.ictv.global/id/TN201854208","TN201854208@TEST")</f>
        <v>TN201854208@TEST</v>
      </c>
      <c r="M2076" t="str">
        <f>HYPERLINK("https://test.ictv.global/id/ICTV19750053","ICTV19750053@TEST")</f>
        <v>ICTV19750053@TEST</v>
      </c>
      <c r="N2076" t="str">
        <f>HYPERLINK("https://ictv.global/id/TN201854208","TN201854208@prod")</f>
        <v>TN201854208@prod</v>
      </c>
      <c r="O2076" t="str">
        <f>HYPERLINK("https://ictv.global/id/ICTV19750053","ICTV19750053@prod")</f>
        <v>ICTV19750053@prod</v>
      </c>
    </row>
    <row r="2077" spans="1:15" x14ac:dyDescent="0.2">
      <c r="A2077">
        <v>34</v>
      </c>
      <c r="B2077">
        <v>201854208</v>
      </c>
      <c r="C2077">
        <v>19750053</v>
      </c>
      <c r="D2077" t="s">
        <v>19</v>
      </c>
      <c r="E2077" t="s">
        <v>1046</v>
      </c>
      <c r="G2077" t="s">
        <v>53</v>
      </c>
      <c r="H2077" t="s">
        <v>1049</v>
      </c>
      <c r="I2077" t="s">
        <v>19</v>
      </c>
      <c r="J2077">
        <v>201907319</v>
      </c>
      <c r="K2077">
        <v>201907319</v>
      </c>
      <c r="L2077" t="str">
        <f>HYPERLINK("https://test.ictv.global/id/TN201854208","TN201854208@TEST")</f>
        <v>TN201854208@TEST</v>
      </c>
      <c r="M2077" t="str">
        <f>HYPERLINK("https://test.ictv.global/id/ICTV19750053","ICTV19750053@TEST")</f>
        <v>ICTV19750053@TEST</v>
      </c>
      <c r="N2077" t="str">
        <f>HYPERLINK("https://ictv.global/id/TN201854208","TN201854208@prod")</f>
        <v>TN201854208@prod</v>
      </c>
      <c r="O2077" t="str">
        <f>HYPERLINK("https://ictv.global/id/ICTV19750053","ICTV19750053@prod")</f>
        <v>ICTV19750053@prod</v>
      </c>
    </row>
    <row r="2078" spans="1:15" x14ac:dyDescent="0.2">
      <c r="A2078">
        <v>34</v>
      </c>
      <c r="B2078">
        <v>201854208</v>
      </c>
      <c r="C2078">
        <v>19750053</v>
      </c>
      <c r="D2078" t="s">
        <v>19</v>
      </c>
      <c r="E2078" t="s">
        <v>1046</v>
      </c>
      <c r="G2078" t="s">
        <v>53</v>
      </c>
      <c r="H2078" t="s">
        <v>1050</v>
      </c>
      <c r="I2078" t="s">
        <v>19</v>
      </c>
      <c r="J2078">
        <v>201907320</v>
      </c>
      <c r="K2078">
        <v>201907320</v>
      </c>
      <c r="L2078" t="str">
        <f>HYPERLINK("https://test.ictv.global/id/TN201854208","TN201854208@TEST")</f>
        <v>TN201854208@TEST</v>
      </c>
      <c r="M2078" t="str">
        <f>HYPERLINK("https://test.ictv.global/id/ICTV19750053","ICTV19750053@TEST")</f>
        <v>ICTV19750053@TEST</v>
      </c>
      <c r="N2078" t="str">
        <f>HYPERLINK("https://ictv.global/id/TN201854208","TN201854208@prod")</f>
        <v>TN201854208@prod</v>
      </c>
      <c r="O2078" t="str">
        <f>HYPERLINK("https://ictv.global/id/ICTV19750053","ICTV19750053@prod")</f>
        <v>ICTV19750053@prod</v>
      </c>
    </row>
    <row r="2079" spans="1:15" x14ac:dyDescent="0.2">
      <c r="A2079">
        <v>34</v>
      </c>
      <c r="B2079">
        <v>201854208</v>
      </c>
      <c r="C2079">
        <v>19750053</v>
      </c>
      <c r="D2079" t="s">
        <v>19</v>
      </c>
      <c r="E2079" t="s">
        <v>1046</v>
      </c>
      <c r="G2079" t="s">
        <v>53</v>
      </c>
      <c r="H2079" t="s">
        <v>1051</v>
      </c>
      <c r="I2079" t="s">
        <v>19</v>
      </c>
      <c r="J2079">
        <v>201907321</v>
      </c>
      <c r="K2079">
        <v>201907321</v>
      </c>
      <c r="L2079" t="str">
        <f>HYPERLINK("https://test.ictv.global/id/TN201854208","TN201854208@TEST")</f>
        <v>TN201854208@TEST</v>
      </c>
      <c r="M2079" t="str">
        <f>HYPERLINK("https://test.ictv.global/id/ICTV19750053","ICTV19750053@TEST")</f>
        <v>ICTV19750053@TEST</v>
      </c>
      <c r="N2079" t="str">
        <f>HYPERLINK("https://ictv.global/id/TN201854208","TN201854208@prod")</f>
        <v>TN201854208@prod</v>
      </c>
      <c r="O2079" t="str">
        <f>HYPERLINK("https://ictv.global/id/ICTV19750053","ICTV19750053@prod")</f>
        <v>ICTV19750053@prod</v>
      </c>
    </row>
    <row r="2080" spans="1:15" x14ac:dyDescent="0.2">
      <c r="A2080">
        <v>34</v>
      </c>
      <c r="B2080">
        <v>201854208</v>
      </c>
      <c r="C2080">
        <v>19750053</v>
      </c>
      <c r="D2080" t="s">
        <v>19</v>
      </c>
      <c r="E2080" t="s">
        <v>1046</v>
      </c>
      <c r="G2080" t="s">
        <v>53</v>
      </c>
      <c r="H2080" t="s">
        <v>1052</v>
      </c>
      <c r="I2080" t="s">
        <v>19</v>
      </c>
      <c r="J2080">
        <v>201907322</v>
      </c>
      <c r="K2080">
        <v>201907322</v>
      </c>
      <c r="L2080" t="str">
        <f>HYPERLINK("https://test.ictv.global/id/TN201854208","TN201854208@TEST")</f>
        <v>TN201854208@TEST</v>
      </c>
      <c r="M2080" t="str">
        <f>HYPERLINK("https://test.ictv.global/id/ICTV19750053","ICTV19750053@TEST")</f>
        <v>ICTV19750053@TEST</v>
      </c>
      <c r="N2080" t="str">
        <f>HYPERLINK("https://ictv.global/id/TN201854208","TN201854208@prod")</f>
        <v>TN201854208@prod</v>
      </c>
      <c r="O2080" t="str">
        <f>HYPERLINK("https://ictv.global/id/ICTV19750053","ICTV19750053@prod")</f>
        <v>ICTV19750053@prod</v>
      </c>
    </row>
    <row r="2081" spans="1:15" x14ac:dyDescent="0.2">
      <c r="A2081">
        <v>34</v>
      </c>
      <c r="B2081">
        <v>201854335</v>
      </c>
      <c r="C2081">
        <v>20084374</v>
      </c>
      <c r="D2081" t="s">
        <v>29</v>
      </c>
      <c r="E2081" t="s">
        <v>2258</v>
      </c>
      <c r="G2081" t="s">
        <v>1165</v>
      </c>
      <c r="L2081" t="str">
        <f>HYPERLINK("https://test.ictv.global/id/TN201854335","TN201854335@TEST")</f>
        <v>TN201854335@TEST</v>
      </c>
      <c r="M2081" t="str">
        <f>HYPERLINK("https://test.ictv.global/id/ICTV20084374","ICTV20084374@TEST")</f>
        <v>ICTV20084374@TEST</v>
      </c>
      <c r="N2081" t="str">
        <f>HYPERLINK("https://ictv.global/id/TN201854335","TN201854335@prod")</f>
        <v>TN201854335@prod</v>
      </c>
      <c r="O2081" t="str">
        <f>HYPERLINK("https://ictv.global/id/ICTV20084374","ICTV20084374@prod")</f>
        <v>ICTV20084374@prod</v>
      </c>
    </row>
    <row r="2082" spans="1:15" x14ac:dyDescent="0.2">
      <c r="A2082">
        <v>34</v>
      </c>
      <c r="B2082">
        <v>201854909</v>
      </c>
      <c r="C2082">
        <v>19911428</v>
      </c>
      <c r="D2082" t="s">
        <v>29</v>
      </c>
      <c r="E2082" t="s">
        <v>2259</v>
      </c>
      <c r="G2082" t="s">
        <v>1165</v>
      </c>
      <c r="L2082" t="str">
        <f>HYPERLINK("https://test.ictv.global/id/TN201854909","TN201854909@TEST")</f>
        <v>TN201854909@TEST</v>
      </c>
      <c r="M2082" t="str">
        <f>HYPERLINK("https://test.ictv.global/id/ICTV19911428","ICTV19911428@TEST")</f>
        <v>ICTV19911428@TEST</v>
      </c>
      <c r="N2082" t="str">
        <f>HYPERLINK("https://ictv.global/id/TN201854909","TN201854909@prod")</f>
        <v>TN201854909@prod</v>
      </c>
      <c r="O2082" t="str">
        <f>HYPERLINK("https://ictv.global/id/ICTV19911428","ICTV19911428@prod")</f>
        <v>ICTV19911428@prod</v>
      </c>
    </row>
    <row r="2083" spans="1:15" x14ac:dyDescent="0.2">
      <c r="A2083">
        <v>34</v>
      </c>
      <c r="B2083">
        <v>201856115</v>
      </c>
      <c r="C2083">
        <v>20186115</v>
      </c>
      <c r="D2083" t="s">
        <v>29</v>
      </c>
      <c r="E2083" t="s">
        <v>1053</v>
      </c>
      <c r="F2083" t="s">
        <v>2260</v>
      </c>
      <c r="G2083" t="s">
        <v>33</v>
      </c>
      <c r="H2083" t="s">
        <v>1043</v>
      </c>
      <c r="I2083" t="s">
        <v>29</v>
      </c>
      <c r="J2083">
        <v>20151214</v>
      </c>
      <c r="K2083">
        <v>201901856</v>
      </c>
      <c r="L2083" t="str">
        <f>HYPERLINK("https://test.ictv.global/id/TN201856115","TN201856115@TEST")</f>
        <v>TN201856115@TEST</v>
      </c>
      <c r="M2083" t="str">
        <f>HYPERLINK("https://test.ictv.global/id/ICTV20186115","ICTV20186115@TEST")</f>
        <v>ICTV20186115@TEST</v>
      </c>
      <c r="N2083" t="str">
        <f>HYPERLINK("https://ictv.global/id/TN201856115","TN201856115@prod")</f>
        <v>TN201856115@prod</v>
      </c>
      <c r="O2083" t="str">
        <f>HYPERLINK("https://ictv.global/id/ICTV20186115","ICTV20186115@prod")</f>
        <v>ICTV20186115@prod</v>
      </c>
    </row>
    <row r="2084" spans="1:15" x14ac:dyDescent="0.2">
      <c r="A2084">
        <v>34</v>
      </c>
      <c r="B2084">
        <v>201856132</v>
      </c>
      <c r="C2084">
        <v>20186132</v>
      </c>
      <c r="D2084" t="s">
        <v>1060</v>
      </c>
      <c r="E2084" t="s">
        <v>2261</v>
      </c>
      <c r="G2084" t="s">
        <v>1165</v>
      </c>
      <c r="L2084" t="str">
        <f>HYPERLINK("https://test.ictv.global/id/TN201856132","TN201856132@TEST")</f>
        <v>TN201856132@TEST</v>
      </c>
      <c r="M2084" t="str">
        <f>HYPERLINK("https://test.ictv.global/id/ICTV20186132","ICTV20186132@TEST")</f>
        <v>ICTV20186132@TEST</v>
      </c>
      <c r="N2084" t="str">
        <f>HYPERLINK("https://ictv.global/id/TN201856132","TN201856132@prod")</f>
        <v>TN201856132@prod</v>
      </c>
      <c r="O2084" t="str">
        <f>HYPERLINK("https://ictv.global/id/ICTV20186132","ICTV20186132@prod")</f>
        <v>ICTV20186132@prod</v>
      </c>
    </row>
    <row r="2085" spans="1:15" x14ac:dyDescent="0.2">
      <c r="A2085">
        <v>34</v>
      </c>
      <c r="B2085">
        <v>201856221</v>
      </c>
      <c r="C2085">
        <v>20186221</v>
      </c>
      <c r="D2085" t="s">
        <v>19</v>
      </c>
      <c r="E2085" t="s">
        <v>2262</v>
      </c>
      <c r="G2085" t="s">
        <v>1165</v>
      </c>
      <c r="L2085" t="str">
        <f>HYPERLINK("https://test.ictv.global/id/TN201856221","TN201856221@TEST")</f>
        <v>TN201856221@TEST</v>
      </c>
      <c r="M2085" t="str">
        <f>HYPERLINK("https://test.ictv.global/id/ICTV20186221","ICTV20186221@TEST")</f>
        <v>ICTV20186221@TEST</v>
      </c>
      <c r="N2085" t="str">
        <f>HYPERLINK("https://ictv.global/id/TN201856221","TN201856221@prod")</f>
        <v>TN201856221@prod</v>
      </c>
      <c r="O2085" t="str">
        <f>HYPERLINK("https://ictv.global/id/ICTV20186221","ICTV20186221@prod")</f>
        <v>ICTV20186221@prod</v>
      </c>
    </row>
    <row r="2086" spans="1:15" x14ac:dyDescent="0.2">
      <c r="A2086">
        <v>34</v>
      </c>
      <c r="B2086">
        <v>201856237</v>
      </c>
      <c r="C2086">
        <v>20186237</v>
      </c>
      <c r="D2086" t="s">
        <v>19</v>
      </c>
      <c r="E2086" t="s">
        <v>2263</v>
      </c>
      <c r="G2086" t="s">
        <v>1165</v>
      </c>
      <c r="L2086" t="str">
        <f>HYPERLINK("https://test.ictv.global/id/TN201856237","TN201856237@TEST")</f>
        <v>TN201856237@TEST</v>
      </c>
      <c r="M2086" t="str">
        <f>HYPERLINK("https://test.ictv.global/id/ICTV20186237","ICTV20186237@TEST")</f>
        <v>ICTV20186237@TEST</v>
      </c>
      <c r="N2086" t="str">
        <f>HYPERLINK("https://ictv.global/id/TN201856237","TN201856237@prod")</f>
        <v>TN201856237@prod</v>
      </c>
      <c r="O2086" t="str">
        <f>HYPERLINK("https://ictv.global/id/ICTV20186237","ICTV20186237@prod")</f>
        <v>ICTV20186237@prod</v>
      </c>
    </row>
    <row r="2087" spans="1:15" x14ac:dyDescent="0.2">
      <c r="A2087">
        <v>34</v>
      </c>
      <c r="B2087">
        <v>201856280</v>
      </c>
      <c r="C2087">
        <v>20186280</v>
      </c>
      <c r="D2087" t="s">
        <v>19</v>
      </c>
      <c r="E2087" t="s">
        <v>2264</v>
      </c>
      <c r="G2087" t="s">
        <v>1165</v>
      </c>
      <c r="L2087" t="str">
        <f>HYPERLINK("https://test.ictv.global/id/TN201856280","TN201856280@TEST")</f>
        <v>TN201856280@TEST</v>
      </c>
      <c r="M2087" t="str">
        <f>HYPERLINK("https://test.ictv.global/id/ICTV20186280","ICTV20186280@TEST")</f>
        <v>ICTV20186280@TEST</v>
      </c>
      <c r="N2087" t="str">
        <f>HYPERLINK("https://ictv.global/id/TN201856280","TN201856280@prod")</f>
        <v>TN201856280@prod</v>
      </c>
      <c r="O2087" t="str">
        <f>HYPERLINK("https://ictv.global/id/ICTV20186280","ICTV20186280@prod")</f>
        <v>ICTV20186280@prod</v>
      </c>
    </row>
    <row r="2088" spans="1:15" x14ac:dyDescent="0.2">
      <c r="A2088">
        <v>34</v>
      </c>
      <c r="B2088">
        <v>201856417</v>
      </c>
      <c r="C2088">
        <v>201856417</v>
      </c>
      <c r="D2088" t="s">
        <v>29</v>
      </c>
      <c r="E2088" t="s">
        <v>2265</v>
      </c>
      <c r="F2088" t="s">
        <v>2266</v>
      </c>
      <c r="G2088" t="s">
        <v>1165</v>
      </c>
      <c r="L2088" t="str">
        <f>HYPERLINK("https://test.ictv.global/id/TN201856417","TN201856417@TEST")</f>
        <v>TN201856417@TEST</v>
      </c>
      <c r="M2088" t="str">
        <f>HYPERLINK("https://test.ictv.global/id/ICTV201856417","ICTV201856417@TEST")</f>
        <v>ICTV201856417@TEST</v>
      </c>
      <c r="N2088" t="str">
        <f>HYPERLINK("https://ictv.global/id/TN201856417","TN201856417@prod")</f>
        <v>TN201856417@prod</v>
      </c>
      <c r="O2088" t="str">
        <f>HYPERLINK("https://ictv.global/id/ICTV201856417","ICTV201856417@prod")</f>
        <v>ICTV201856417@prod</v>
      </c>
    </row>
    <row r="2089" spans="1:15" x14ac:dyDescent="0.2">
      <c r="A2089">
        <v>34</v>
      </c>
      <c r="B2089">
        <v>201856815</v>
      </c>
      <c r="C2089">
        <v>201856815</v>
      </c>
      <c r="D2089" t="s">
        <v>19</v>
      </c>
      <c r="E2089" t="s">
        <v>2267</v>
      </c>
      <c r="G2089" t="s">
        <v>1165</v>
      </c>
      <c r="L2089" t="str">
        <f>HYPERLINK("https://test.ictv.global/id/TN201856815","TN201856815@TEST")</f>
        <v>TN201856815@TEST</v>
      </c>
      <c r="M2089" t="str">
        <f>HYPERLINK("https://test.ictv.global/id/ICTV201856815","ICTV201856815@TEST")</f>
        <v>ICTV201856815@TEST</v>
      </c>
      <c r="N2089" t="str">
        <f>HYPERLINK("https://ictv.global/id/TN201856815","TN201856815@prod")</f>
        <v>TN201856815@prod</v>
      </c>
      <c r="O2089" t="str">
        <f>HYPERLINK("https://ictv.global/id/ICTV201856815","ICTV201856815@prod")</f>
        <v>ICTV201856815@prod</v>
      </c>
    </row>
    <row r="2090" spans="1:15" x14ac:dyDescent="0.2">
      <c r="A2090">
        <v>34</v>
      </c>
      <c r="B2090">
        <v>201856816</v>
      </c>
      <c r="C2090">
        <v>201856816</v>
      </c>
      <c r="D2090" t="s">
        <v>29</v>
      </c>
      <c r="E2090" t="s">
        <v>2268</v>
      </c>
      <c r="F2090" t="s">
        <v>2269</v>
      </c>
      <c r="G2090" t="s">
        <v>1165</v>
      </c>
      <c r="L2090" t="str">
        <f>HYPERLINK("https://test.ictv.global/id/TN201856816","TN201856816@TEST")</f>
        <v>TN201856816@TEST</v>
      </c>
      <c r="M2090" t="str">
        <f>HYPERLINK("https://test.ictv.global/id/ICTV201856816","ICTV201856816@TEST")</f>
        <v>ICTV201856816@TEST</v>
      </c>
      <c r="N2090" t="str">
        <f>HYPERLINK("https://ictv.global/id/TN201856816","TN201856816@prod")</f>
        <v>TN201856816@prod</v>
      </c>
      <c r="O2090" t="str">
        <f>HYPERLINK("https://ictv.global/id/ICTV201856816","ICTV201856816@prod")</f>
        <v>ICTV201856816@prod</v>
      </c>
    </row>
    <row r="2091" spans="1:15" x14ac:dyDescent="0.2">
      <c r="A2091">
        <v>35</v>
      </c>
      <c r="B2091">
        <v>201900136</v>
      </c>
      <c r="C2091">
        <v>19760224</v>
      </c>
      <c r="D2091" t="s">
        <v>29</v>
      </c>
      <c r="E2091" t="s">
        <v>2270</v>
      </c>
      <c r="G2091" t="s">
        <v>1165</v>
      </c>
      <c r="L2091" t="str">
        <f>HYPERLINK("https://test.ictv.global/id/TN201900136","TN201900136@TEST")</f>
        <v>TN201900136@TEST</v>
      </c>
      <c r="M2091" t="str">
        <f>HYPERLINK("https://test.ictv.global/id/ICTV19760224","ICTV19760224@TEST")</f>
        <v>ICTV19760224@TEST</v>
      </c>
      <c r="N2091" t="str">
        <f>HYPERLINK("https://ictv.global/id/TN201900136","TN201900136@prod")</f>
        <v>TN201900136@prod</v>
      </c>
      <c r="O2091" t="str">
        <f>HYPERLINK("https://ictv.global/id/ICTV19760224","ICTV19760224@prod")</f>
        <v>ICTV19760224@prod</v>
      </c>
    </row>
    <row r="2092" spans="1:15" x14ac:dyDescent="0.2">
      <c r="A2092">
        <v>35</v>
      </c>
      <c r="B2092">
        <v>201900232</v>
      </c>
      <c r="C2092">
        <v>20115516</v>
      </c>
      <c r="D2092" t="s">
        <v>29</v>
      </c>
      <c r="E2092" t="s">
        <v>2271</v>
      </c>
      <c r="G2092" t="s">
        <v>1165</v>
      </c>
      <c r="L2092" t="str">
        <f>HYPERLINK("https://test.ictv.global/id/TN201900232","TN201900232@TEST")</f>
        <v>TN201900232@TEST</v>
      </c>
      <c r="M2092" t="str">
        <f>HYPERLINK("https://test.ictv.global/id/ICTV20115516","ICTV20115516@TEST")</f>
        <v>ICTV20115516@TEST</v>
      </c>
      <c r="N2092" t="str">
        <f>HYPERLINK("https://ictv.global/id/TN201900232","TN201900232@prod")</f>
        <v>TN201900232@prod</v>
      </c>
      <c r="O2092" t="str">
        <f>HYPERLINK("https://ictv.global/id/ICTV20115516","ICTV20115516@prod")</f>
        <v>ICTV20115516@prod</v>
      </c>
    </row>
    <row r="2093" spans="1:15" x14ac:dyDescent="0.2">
      <c r="A2093">
        <v>35</v>
      </c>
      <c r="B2093">
        <v>201900344</v>
      </c>
      <c r="C2093">
        <v>19990391</v>
      </c>
      <c r="D2093" t="s">
        <v>29</v>
      </c>
      <c r="E2093" t="s">
        <v>2272</v>
      </c>
      <c r="G2093" t="s">
        <v>1165</v>
      </c>
      <c r="L2093" t="str">
        <f>HYPERLINK("https://test.ictv.global/id/TN201900344","TN201900344@TEST")</f>
        <v>TN201900344@TEST</v>
      </c>
      <c r="M2093" t="str">
        <f>HYPERLINK("https://test.ictv.global/id/ICTV19990391","ICTV19990391@TEST")</f>
        <v>ICTV19990391@TEST</v>
      </c>
      <c r="N2093" t="str">
        <f>HYPERLINK("https://ictv.global/id/TN201900344","TN201900344@prod")</f>
        <v>TN201900344@prod</v>
      </c>
      <c r="O2093" t="str">
        <f>HYPERLINK("https://ictv.global/id/ICTV19990391","ICTV19990391@prod")</f>
        <v>ICTV19990391@prod</v>
      </c>
    </row>
    <row r="2094" spans="1:15" x14ac:dyDescent="0.2">
      <c r="A2094">
        <v>35</v>
      </c>
      <c r="B2094">
        <v>201900451</v>
      </c>
      <c r="C2094">
        <v>20164872</v>
      </c>
      <c r="D2094" t="s">
        <v>29</v>
      </c>
      <c r="E2094" t="s">
        <v>1054</v>
      </c>
      <c r="F2094" t="s">
        <v>2273</v>
      </c>
      <c r="G2094" t="s">
        <v>33</v>
      </c>
      <c r="H2094" t="s">
        <v>1055</v>
      </c>
      <c r="I2094" t="s">
        <v>29</v>
      </c>
      <c r="J2094">
        <v>201857005</v>
      </c>
      <c r="K2094">
        <v>202007005</v>
      </c>
      <c r="L2094" t="str">
        <f>HYPERLINK("https://test.ictv.global/id/TN201900451","TN201900451@TEST")</f>
        <v>TN201900451@TEST</v>
      </c>
      <c r="M2094" t="str">
        <f>HYPERLINK("https://test.ictv.global/id/ICTV20164872","ICTV20164872@TEST")</f>
        <v>ICTV20164872@TEST</v>
      </c>
      <c r="N2094" t="str">
        <f>HYPERLINK("https://ictv.global/id/TN201900451","TN201900451@prod")</f>
        <v>TN201900451@prod</v>
      </c>
      <c r="O2094" t="str">
        <f>HYPERLINK("https://ictv.global/id/ICTV20164872","ICTV20164872@prod")</f>
        <v>ICTV20164872@prod</v>
      </c>
    </row>
    <row r="2095" spans="1:15" x14ac:dyDescent="0.2">
      <c r="A2095">
        <v>35</v>
      </c>
      <c r="B2095">
        <v>201900520</v>
      </c>
      <c r="C2095">
        <v>20125861</v>
      </c>
      <c r="D2095" t="s">
        <v>19</v>
      </c>
      <c r="E2095" t="s">
        <v>1056</v>
      </c>
      <c r="G2095" t="s">
        <v>186</v>
      </c>
      <c r="H2095" t="s">
        <v>1057</v>
      </c>
      <c r="I2095" t="s">
        <v>19</v>
      </c>
      <c r="J2095">
        <v>20175473</v>
      </c>
      <c r="K2095">
        <v>202005473</v>
      </c>
      <c r="L2095" t="str">
        <f>HYPERLINK("https://test.ictv.global/id/TN201900520","TN201900520@TEST")</f>
        <v>TN201900520@TEST</v>
      </c>
      <c r="M2095" t="str">
        <f>HYPERLINK("https://test.ictv.global/id/ICTV20125861","ICTV20125861@TEST")</f>
        <v>ICTV20125861@TEST</v>
      </c>
      <c r="N2095" t="str">
        <f>HYPERLINK("https://ictv.global/id/TN201900520","TN201900520@prod")</f>
        <v>TN201900520@prod</v>
      </c>
      <c r="O2095" t="str">
        <f>HYPERLINK("https://ictv.global/id/ICTV20125861","ICTV20125861@prod")</f>
        <v>ICTV20125861@prod</v>
      </c>
    </row>
    <row r="2096" spans="1:15" x14ac:dyDescent="0.2">
      <c r="A2096">
        <v>35</v>
      </c>
      <c r="B2096">
        <v>201900601</v>
      </c>
      <c r="C2096">
        <v>19990396</v>
      </c>
      <c r="D2096" t="s">
        <v>29</v>
      </c>
      <c r="E2096" t="s">
        <v>2274</v>
      </c>
      <c r="G2096" t="s">
        <v>1165</v>
      </c>
      <c r="L2096" t="str">
        <f>HYPERLINK("https://test.ictv.global/id/TN201900601","TN201900601@TEST")</f>
        <v>TN201900601@TEST</v>
      </c>
      <c r="M2096" t="str">
        <f>HYPERLINK("https://test.ictv.global/id/ICTV19990396","ICTV19990396@TEST")</f>
        <v>ICTV19990396@TEST</v>
      </c>
      <c r="N2096" t="str">
        <f>HYPERLINK("https://ictv.global/id/TN201900601","TN201900601@prod")</f>
        <v>TN201900601@prod</v>
      </c>
      <c r="O2096" t="str">
        <f>HYPERLINK("https://ictv.global/id/ICTV19990396","ICTV19990396@prod")</f>
        <v>ICTV19990396@prod</v>
      </c>
    </row>
    <row r="2097" spans="1:15" x14ac:dyDescent="0.2">
      <c r="A2097">
        <v>35</v>
      </c>
      <c r="B2097">
        <v>201900817</v>
      </c>
      <c r="C2097">
        <v>20125847</v>
      </c>
      <c r="D2097" t="s">
        <v>29</v>
      </c>
      <c r="E2097" t="s">
        <v>2275</v>
      </c>
      <c r="G2097" t="s">
        <v>1165</v>
      </c>
      <c r="L2097" t="str">
        <f>HYPERLINK("https://test.ictv.global/id/TN201900817","TN201900817@TEST")</f>
        <v>TN201900817@TEST</v>
      </c>
      <c r="M2097" t="str">
        <f>HYPERLINK("https://test.ictv.global/id/ICTV20125847","ICTV20125847@TEST")</f>
        <v>ICTV20125847@TEST</v>
      </c>
      <c r="N2097" t="str">
        <f>HYPERLINK("https://ictv.global/id/TN201900817","TN201900817@prod")</f>
        <v>TN201900817@prod</v>
      </c>
      <c r="O2097" t="str">
        <f>HYPERLINK("https://ictv.global/id/ICTV20125847","ICTV20125847@prod")</f>
        <v>ICTV20125847@prod</v>
      </c>
    </row>
    <row r="2098" spans="1:15" x14ac:dyDescent="0.2">
      <c r="A2098">
        <v>35</v>
      </c>
      <c r="B2098">
        <v>201900961</v>
      </c>
      <c r="C2098">
        <v>20164986</v>
      </c>
      <c r="D2098" t="s">
        <v>29</v>
      </c>
      <c r="E2098" t="s">
        <v>2276</v>
      </c>
      <c r="F2098" t="s">
        <v>2277</v>
      </c>
      <c r="G2098" t="s">
        <v>1165</v>
      </c>
      <c r="L2098" t="str">
        <f>HYPERLINK("https://test.ictv.global/id/TN201900961","TN201900961@TEST")</f>
        <v>TN201900961@TEST</v>
      </c>
      <c r="M2098" t="str">
        <f>HYPERLINK("https://test.ictv.global/id/ICTV20164986","ICTV20164986@TEST")</f>
        <v>ICTV20164986@TEST</v>
      </c>
      <c r="N2098" t="str">
        <f>HYPERLINK("https://ictv.global/id/TN201900961","TN201900961@prod")</f>
        <v>TN201900961@prod</v>
      </c>
      <c r="O2098" t="str">
        <f>HYPERLINK("https://ictv.global/id/ICTV20164986","ICTV20164986@prod")</f>
        <v>ICTV20164986@prod</v>
      </c>
    </row>
    <row r="2099" spans="1:15" x14ac:dyDescent="0.2">
      <c r="A2099">
        <v>35</v>
      </c>
      <c r="B2099">
        <v>201901179</v>
      </c>
      <c r="C2099">
        <v>20140394</v>
      </c>
      <c r="D2099" t="s">
        <v>19</v>
      </c>
      <c r="E2099" t="s">
        <v>2278</v>
      </c>
      <c r="G2099" t="s">
        <v>1165</v>
      </c>
      <c r="L2099" t="str">
        <f>HYPERLINK("https://test.ictv.global/id/TN201901179","TN201901179@TEST")</f>
        <v>TN201901179@TEST</v>
      </c>
      <c r="M2099" t="str">
        <f>HYPERLINK("https://test.ictv.global/id/ICTV20140394","ICTV20140394@TEST")</f>
        <v>ICTV20140394@TEST</v>
      </c>
      <c r="N2099" t="str">
        <f>HYPERLINK("https://ictv.global/id/TN201901179","TN201901179@prod")</f>
        <v>TN201901179@prod</v>
      </c>
      <c r="O2099" t="str">
        <f>HYPERLINK("https://ictv.global/id/ICTV20140394","ICTV20140394@prod")</f>
        <v>ICTV20140394@prod</v>
      </c>
    </row>
    <row r="2100" spans="1:15" x14ac:dyDescent="0.2">
      <c r="A2100">
        <v>35</v>
      </c>
      <c r="B2100">
        <v>201901180</v>
      </c>
      <c r="C2100">
        <v>20140395</v>
      </c>
      <c r="D2100" t="s">
        <v>29</v>
      </c>
      <c r="E2100" t="s">
        <v>2279</v>
      </c>
      <c r="F2100" t="s">
        <v>2280</v>
      </c>
      <c r="G2100" t="s">
        <v>1165</v>
      </c>
      <c r="L2100" t="str">
        <f>HYPERLINK("https://test.ictv.global/id/TN201901180","TN201901180@TEST")</f>
        <v>TN201901180@TEST</v>
      </c>
      <c r="M2100" t="str">
        <f>HYPERLINK("https://test.ictv.global/id/ICTV20140395","ICTV20140395@TEST")</f>
        <v>ICTV20140395@TEST</v>
      </c>
      <c r="N2100" t="str">
        <f>HYPERLINK("https://ictv.global/id/TN201901180","TN201901180@prod")</f>
        <v>TN201901180@prod</v>
      </c>
      <c r="O2100" t="str">
        <f>HYPERLINK("https://ictv.global/id/ICTV20140395","ICTV20140395@prod")</f>
        <v>ICTV20140395@prod</v>
      </c>
    </row>
    <row r="2101" spans="1:15" x14ac:dyDescent="0.2">
      <c r="A2101">
        <v>35</v>
      </c>
      <c r="B2101">
        <v>201901284</v>
      </c>
      <c r="C2101">
        <v>20165087</v>
      </c>
      <c r="D2101" t="s">
        <v>29</v>
      </c>
      <c r="E2101" t="s">
        <v>2281</v>
      </c>
      <c r="F2101" t="s">
        <v>2282</v>
      </c>
      <c r="G2101" t="s">
        <v>1165</v>
      </c>
      <c r="L2101" t="str">
        <f>HYPERLINK("https://test.ictv.global/id/TN201901284","TN201901284@TEST")</f>
        <v>TN201901284@TEST</v>
      </c>
      <c r="M2101" t="str">
        <f>HYPERLINK("https://test.ictv.global/id/ICTV20165087","ICTV20165087@TEST")</f>
        <v>ICTV20165087@TEST</v>
      </c>
      <c r="N2101" t="str">
        <f>HYPERLINK("https://ictv.global/id/TN201901284","TN201901284@prod")</f>
        <v>TN201901284@prod</v>
      </c>
      <c r="O2101" t="str">
        <f>HYPERLINK("https://ictv.global/id/ICTV20165087","ICTV20165087@prod")</f>
        <v>ICTV20165087@prod</v>
      </c>
    </row>
    <row r="2102" spans="1:15" x14ac:dyDescent="0.2">
      <c r="A2102">
        <v>35</v>
      </c>
      <c r="B2102">
        <v>201901297</v>
      </c>
      <c r="C2102">
        <v>20140484</v>
      </c>
      <c r="D2102" t="s">
        <v>29</v>
      </c>
      <c r="E2102" t="s">
        <v>2283</v>
      </c>
      <c r="F2102" t="s">
        <v>2284</v>
      </c>
      <c r="G2102" t="s">
        <v>1165</v>
      </c>
      <c r="L2102" t="str">
        <f>HYPERLINK("https://test.ictv.global/id/TN201901297","TN201901297@TEST")</f>
        <v>TN201901297@TEST</v>
      </c>
      <c r="M2102" t="str">
        <f>HYPERLINK("https://test.ictv.global/id/ICTV20140484","ICTV20140484@TEST")</f>
        <v>ICTV20140484@TEST</v>
      </c>
      <c r="N2102" t="str">
        <f>HYPERLINK("https://ictv.global/id/TN201901297","TN201901297@prod")</f>
        <v>TN201901297@prod</v>
      </c>
      <c r="O2102" t="str">
        <f>HYPERLINK("https://ictv.global/id/ICTV20140484","ICTV20140484@prod")</f>
        <v>ICTV20140484@prod</v>
      </c>
    </row>
    <row r="2103" spans="1:15" x14ac:dyDescent="0.2">
      <c r="A2103">
        <v>35</v>
      </c>
      <c r="B2103">
        <v>201901298</v>
      </c>
      <c r="C2103">
        <v>20140477</v>
      </c>
      <c r="D2103" t="s">
        <v>29</v>
      </c>
      <c r="E2103" t="s">
        <v>2285</v>
      </c>
      <c r="F2103" t="s">
        <v>2286</v>
      </c>
      <c r="G2103" t="s">
        <v>1165</v>
      </c>
      <c r="L2103" t="str">
        <f>HYPERLINK("https://test.ictv.global/id/TN201901298","TN201901298@TEST")</f>
        <v>TN201901298@TEST</v>
      </c>
      <c r="M2103" t="str">
        <f>HYPERLINK("https://test.ictv.global/id/ICTV20140477","ICTV20140477@TEST")</f>
        <v>ICTV20140477@TEST</v>
      </c>
      <c r="N2103" t="str">
        <f>HYPERLINK("https://ictv.global/id/TN201901298","TN201901298@prod")</f>
        <v>TN201901298@prod</v>
      </c>
      <c r="O2103" t="str">
        <f>HYPERLINK("https://ictv.global/id/ICTV20140477","ICTV20140477@prod")</f>
        <v>ICTV20140477@prod</v>
      </c>
    </row>
    <row r="2104" spans="1:15" x14ac:dyDescent="0.2">
      <c r="A2104">
        <v>35</v>
      </c>
      <c r="B2104">
        <v>201901299</v>
      </c>
      <c r="C2104">
        <v>20140486</v>
      </c>
      <c r="D2104" t="s">
        <v>29</v>
      </c>
      <c r="E2104" t="s">
        <v>2287</v>
      </c>
      <c r="F2104" t="s">
        <v>2288</v>
      </c>
      <c r="G2104" t="s">
        <v>1165</v>
      </c>
      <c r="L2104" t="str">
        <f>HYPERLINK("https://test.ictv.global/id/TN201901299","TN201901299@TEST")</f>
        <v>TN201901299@TEST</v>
      </c>
      <c r="M2104" t="str">
        <f>HYPERLINK("https://test.ictv.global/id/ICTV20140486","ICTV20140486@TEST")</f>
        <v>ICTV20140486@TEST</v>
      </c>
      <c r="N2104" t="str">
        <f>HYPERLINK("https://ictv.global/id/TN201901299","TN201901299@prod")</f>
        <v>TN201901299@prod</v>
      </c>
      <c r="O2104" t="str">
        <f>HYPERLINK("https://ictv.global/id/ICTV20140486","ICTV20140486@prod")</f>
        <v>ICTV20140486@prod</v>
      </c>
    </row>
    <row r="2105" spans="1:15" x14ac:dyDescent="0.2">
      <c r="A2105">
        <v>35</v>
      </c>
      <c r="B2105">
        <v>201901338</v>
      </c>
      <c r="C2105">
        <v>20165098</v>
      </c>
      <c r="D2105" t="s">
        <v>29</v>
      </c>
      <c r="E2105" t="s">
        <v>2289</v>
      </c>
      <c r="F2105" t="s">
        <v>2290</v>
      </c>
      <c r="G2105" t="s">
        <v>1165</v>
      </c>
      <c r="L2105" t="str">
        <f>HYPERLINK("https://test.ictv.global/id/TN201901338","TN201901338@TEST")</f>
        <v>TN201901338@TEST</v>
      </c>
      <c r="M2105" t="str">
        <f>HYPERLINK("https://test.ictv.global/id/ICTV20165098","ICTV20165098@TEST")</f>
        <v>ICTV20165098@TEST</v>
      </c>
      <c r="N2105" t="str">
        <f>HYPERLINK("https://ictv.global/id/TN201901338","TN201901338@prod")</f>
        <v>TN201901338@prod</v>
      </c>
      <c r="O2105" t="str">
        <f>HYPERLINK("https://ictv.global/id/ICTV20165098","ICTV20165098@prod")</f>
        <v>ICTV20165098@prod</v>
      </c>
    </row>
    <row r="2106" spans="1:15" x14ac:dyDescent="0.2">
      <c r="A2106">
        <v>35</v>
      </c>
      <c r="B2106">
        <v>201901373</v>
      </c>
      <c r="C2106">
        <v>20165104</v>
      </c>
      <c r="D2106" t="s">
        <v>29</v>
      </c>
      <c r="E2106" t="s">
        <v>2291</v>
      </c>
      <c r="F2106" t="s">
        <v>2292</v>
      </c>
      <c r="G2106" t="s">
        <v>1165</v>
      </c>
      <c r="L2106" t="str">
        <f>HYPERLINK("https://test.ictv.global/id/TN201901373","TN201901373@TEST")</f>
        <v>TN201901373@TEST</v>
      </c>
      <c r="M2106" t="str">
        <f>HYPERLINK("https://test.ictv.global/id/ICTV20165104","ICTV20165104@TEST")</f>
        <v>ICTV20165104@TEST</v>
      </c>
      <c r="N2106" t="str">
        <f>HYPERLINK("https://ictv.global/id/TN201901373","TN201901373@prod")</f>
        <v>TN201901373@prod</v>
      </c>
      <c r="O2106" t="str">
        <f>HYPERLINK("https://ictv.global/id/ICTV20165104","ICTV20165104@prod")</f>
        <v>ICTV20165104@prod</v>
      </c>
    </row>
    <row r="2107" spans="1:15" x14ac:dyDescent="0.2">
      <c r="A2107">
        <v>35</v>
      </c>
      <c r="B2107">
        <v>201902187</v>
      </c>
      <c r="C2107">
        <v>20040260</v>
      </c>
      <c r="D2107" t="s">
        <v>19</v>
      </c>
      <c r="E2107" t="s">
        <v>1058</v>
      </c>
      <c r="G2107" t="s">
        <v>1059</v>
      </c>
      <c r="H2107" t="s">
        <v>1058</v>
      </c>
      <c r="I2107" t="s">
        <v>1060</v>
      </c>
      <c r="J2107">
        <v>20040260</v>
      </c>
      <c r="K2107">
        <v>202002187</v>
      </c>
      <c r="L2107" t="str">
        <f>HYPERLINK("https://test.ictv.global/id/TN201902187","TN201902187@TEST")</f>
        <v>TN201902187@TEST</v>
      </c>
      <c r="M2107" t="str">
        <f>HYPERLINK("https://test.ictv.global/id/ICTV20040260","ICTV20040260@TEST")</f>
        <v>ICTV20040260@TEST</v>
      </c>
      <c r="N2107" t="str">
        <f>HYPERLINK("https://ictv.global/id/TN201902187","TN201902187@prod")</f>
        <v>TN201902187@prod</v>
      </c>
      <c r="O2107" t="str">
        <f>HYPERLINK("https://ictv.global/id/ICTV20040260","ICTV20040260@prod")</f>
        <v>ICTV20040260@prod</v>
      </c>
    </row>
    <row r="2108" spans="1:15" x14ac:dyDescent="0.2">
      <c r="A2108">
        <v>35</v>
      </c>
      <c r="B2108">
        <v>201902218</v>
      </c>
      <c r="C2108">
        <v>19821286</v>
      </c>
      <c r="D2108" t="s">
        <v>29</v>
      </c>
      <c r="E2108" t="s">
        <v>1061</v>
      </c>
      <c r="G2108" t="s">
        <v>33</v>
      </c>
      <c r="H2108" t="s">
        <v>1061</v>
      </c>
      <c r="I2108" t="s">
        <v>29</v>
      </c>
      <c r="J2108">
        <v>19821286</v>
      </c>
      <c r="K2108">
        <v>202002218</v>
      </c>
      <c r="L2108" t="str">
        <f>HYPERLINK("https://test.ictv.global/id/TN201902218","TN201902218@TEST")</f>
        <v>TN201902218@TEST</v>
      </c>
      <c r="M2108" t="str">
        <f>HYPERLINK("https://test.ictv.global/id/ICTV19821286","ICTV19821286@TEST")</f>
        <v>ICTV19821286@TEST</v>
      </c>
      <c r="N2108" t="str">
        <f>HYPERLINK("https://ictv.global/id/TN201902218","TN201902218@prod")</f>
        <v>TN201902218@prod</v>
      </c>
      <c r="O2108" t="str">
        <f>HYPERLINK("https://ictv.global/id/ICTV19821286","ICTV19821286@prod")</f>
        <v>ICTV19821286@prod</v>
      </c>
    </row>
    <row r="2109" spans="1:15" x14ac:dyDescent="0.2">
      <c r="A2109">
        <v>35</v>
      </c>
      <c r="B2109">
        <v>201902494</v>
      </c>
      <c r="C2109">
        <v>20093122</v>
      </c>
      <c r="D2109" t="s">
        <v>29</v>
      </c>
      <c r="E2109" t="s">
        <v>1062</v>
      </c>
      <c r="G2109" t="s">
        <v>33</v>
      </c>
      <c r="H2109" t="s">
        <v>1062</v>
      </c>
      <c r="I2109" t="s">
        <v>29</v>
      </c>
      <c r="J2109">
        <v>20093122</v>
      </c>
      <c r="K2109">
        <v>202002494</v>
      </c>
      <c r="L2109" t="str">
        <f>HYPERLINK("https://test.ictv.global/id/TN201902494","TN201902494@TEST")</f>
        <v>TN201902494@TEST</v>
      </c>
      <c r="M2109" t="str">
        <f>HYPERLINK("https://test.ictv.global/id/ICTV20093122","ICTV20093122@TEST")</f>
        <v>ICTV20093122@TEST</v>
      </c>
      <c r="N2109" t="str">
        <f>HYPERLINK("https://ictv.global/id/TN201902494","TN201902494@prod")</f>
        <v>TN201902494@prod</v>
      </c>
      <c r="O2109" t="str">
        <f>HYPERLINK("https://ictv.global/id/ICTV20093122","ICTV20093122@prod")</f>
        <v>ICTV20093122@prod</v>
      </c>
    </row>
    <row r="2110" spans="1:15" x14ac:dyDescent="0.2">
      <c r="A2110">
        <v>35</v>
      </c>
      <c r="B2110">
        <v>201902495</v>
      </c>
      <c r="C2110">
        <v>20093123</v>
      </c>
      <c r="D2110" t="s">
        <v>29</v>
      </c>
      <c r="E2110" t="s">
        <v>1063</v>
      </c>
      <c r="G2110" t="s">
        <v>33</v>
      </c>
      <c r="H2110" t="s">
        <v>1062</v>
      </c>
      <c r="I2110" t="s">
        <v>29</v>
      </c>
      <c r="J2110">
        <v>20093122</v>
      </c>
      <c r="K2110">
        <v>202002494</v>
      </c>
      <c r="L2110" t="str">
        <f>HYPERLINK("https://test.ictv.global/id/TN201902495","TN201902495@TEST")</f>
        <v>TN201902495@TEST</v>
      </c>
      <c r="M2110" t="str">
        <f>HYPERLINK("https://test.ictv.global/id/ICTV20093123","ICTV20093123@TEST")</f>
        <v>ICTV20093123@TEST</v>
      </c>
      <c r="N2110" t="str">
        <f>HYPERLINK("https://ictv.global/id/TN201902495","TN201902495@prod")</f>
        <v>TN201902495@prod</v>
      </c>
      <c r="O2110" t="str">
        <f>HYPERLINK("https://ictv.global/id/ICTV20093123","ICTV20093123@prod")</f>
        <v>ICTV20093123@prod</v>
      </c>
    </row>
    <row r="2111" spans="1:15" x14ac:dyDescent="0.2">
      <c r="A2111">
        <v>35</v>
      </c>
      <c r="B2111">
        <v>201902496</v>
      </c>
      <c r="C2111">
        <v>20093124</v>
      </c>
      <c r="D2111" t="s">
        <v>29</v>
      </c>
      <c r="E2111" t="s">
        <v>1064</v>
      </c>
      <c r="G2111" t="s">
        <v>33</v>
      </c>
      <c r="H2111" t="s">
        <v>1064</v>
      </c>
      <c r="I2111" t="s">
        <v>29</v>
      </c>
      <c r="J2111">
        <v>20093124</v>
      </c>
      <c r="K2111">
        <v>202002496</v>
      </c>
      <c r="L2111" t="str">
        <f>HYPERLINK("https://test.ictv.global/id/TN201902496","TN201902496@TEST")</f>
        <v>TN201902496@TEST</v>
      </c>
      <c r="M2111" t="str">
        <f>HYPERLINK("https://test.ictv.global/id/ICTV20093124","ICTV20093124@TEST")</f>
        <v>ICTV20093124@TEST</v>
      </c>
      <c r="N2111" t="str">
        <f>HYPERLINK("https://ictv.global/id/TN201902496","TN201902496@prod")</f>
        <v>TN201902496@prod</v>
      </c>
      <c r="O2111" t="str">
        <f>HYPERLINK("https://ictv.global/id/ICTV20093124","ICTV20093124@prod")</f>
        <v>ICTV20093124@prod</v>
      </c>
    </row>
    <row r="2112" spans="1:15" x14ac:dyDescent="0.2">
      <c r="A2112">
        <v>35</v>
      </c>
      <c r="B2112">
        <v>201902498</v>
      </c>
      <c r="C2112">
        <v>20093098</v>
      </c>
      <c r="D2112" t="s">
        <v>29</v>
      </c>
      <c r="E2112" t="s">
        <v>1065</v>
      </c>
      <c r="G2112" t="s">
        <v>33</v>
      </c>
      <c r="H2112" t="s">
        <v>1064</v>
      </c>
      <c r="I2112" t="s">
        <v>29</v>
      </c>
      <c r="J2112">
        <v>20093124</v>
      </c>
      <c r="K2112">
        <v>202002496</v>
      </c>
      <c r="L2112" t="str">
        <f>HYPERLINK("https://test.ictv.global/id/TN201902498","TN201902498@TEST")</f>
        <v>TN201902498@TEST</v>
      </c>
      <c r="M2112" t="str">
        <f>HYPERLINK("https://test.ictv.global/id/ICTV20093098","ICTV20093098@TEST")</f>
        <v>ICTV20093098@TEST</v>
      </c>
      <c r="N2112" t="str">
        <f>HYPERLINK("https://ictv.global/id/TN201902498","TN201902498@prod")</f>
        <v>TN201902498@prod</v>
      </c>
      <c r="O2112" t="str">
        <f>HYPERLINK("https://ictv.global/id/ICTV20093098","ICTV20093098@prod")</f>
        <v>ICTV20093098@prod</v>
      </c>
    </row>
    <row r="2113" spans="1:15" x14ac:dyDescent="0.2">
      <c r="A2113">
        <v>35</v>
      </c>
      <c r="B2113">
        <v>201902499</v>
      </c>
      <c r="C2113">
        <v>20093099</v>
      </c>
      <c r="D2113" t="s">
        <v>29</v>
      </c>
      <c r="E2113" t="s">
        <v>1066</v>
      </c>
      <c r="G2113" t="s">
        <v>33</v>
      </c>
      <c r="H2113" t="s">
        <v>1064</v>
      </c>
      <c r="I2113" t="s">
        <v>29</v>
      </c>
      <c r="J2113">
        <v>20093124</v>
      </c>
      <c r="K2113">
        <v>202002496</v>
      </c>
      <c r="L2113" t="str">
        <f>HYPERLINK("https://test.ictv.global/id/TN201902499","TN201902499@TEST")</f>
        <v>TN201902499@TEST</v>
      </c>
      <c r="M2113" t="str">
        <f>HYPERLINK("https://test.ictv.global/id/ICTV20093099","ICTV20093099@TEST")</f>
        <v>ICTV20093099@TEST</v>
      </c>
      <c r="N2113" t="str">
        <f>HYPERLINK("https://ictv.global/id/TN201902499","TN201902499@prod")</f>
        <v>TN201902499@prod</v>
      </c>
      <c r="O2113" t="str">
        <f>HYPERLINK("https://ictv.global/id/ICTV20093099","ICTV20093099@prod")</f>
        <v>ICTV20093099@prod</v>
      </c>
    </row>
    <row r="2114" spans="1:15" x14ac:dyDescent="0.2">
      <c r="A2114">
        <v>35</v>
      </c>
      <c r="B2114">
        <v>201902502</v>
      </c>
      <c r="C2114">
        <v>20093102</v>
      </c>
      <c r="D2114" t="s">
        <v>29</v>
      </c>
      <c r="E2114" t="s">
        <v>1067</v>
      </c>
      <c r="G2114" t="s">
        <v>33</v>
      </c>
      <c r="H2114" t="s">
        <v>1067</v>
      </c>
      <c r="I2114" t="s">
        <v>29</v>
      </c>
      <c r="J2114">
        <v>20093102</v>
      </c>
      <c r="K2114">
        <v>202002502</v>
      </c>
      <c r="L2114" t="str">
        <f>HYPERLINK("https://test.ictv.global/id/TN201902502","TN201902502@TEST")</f>
        <v>TN201902502@TEST</v>
      </c>
      <c r="M2114" t="str">
        <f>HYPERLINK("https://test.ictv.global/id/ICTV20093102","ICTV20093102@TEST")</f>
        <v>ICTV20093102@TEST</v>
      </c>
      <c r="N2114" t="str">
        <f>HYPERLINK("https://ictv.global/id/TN201902502","TN201902502@prod")</f>
        <v>TN201902502@prod</v>
      </c>
      <c r="O2114" t="str">
        <f>HYPERLINK("https://ictv.global/id/ICTV20093102","ICTV20093102@prod")</f>
        <v>ICTV20093102@prod</v>
      </c>
    </row>
    <row r="2115" spans="1:15" x14ac:dyDescent="0.2">
      <c r="A2115">
        <v>35</v>
      </c>
      <c r="B2115">
        <v>201902503</v>
      </c>
      <c r="C2115">
        <v>20093103</v>
      </c>
      <c r="D2115" t="s">
        <v>29</v>
      </c>
      <c r="E2115" t="s">
        <v>1068</v>
      </c>
      <c r="G2115" t="s">
        <v>33</v>
      </c>
      <c r="H2115" t="s">
        <v>1067</v>
      </c>
      <c r="I2115" t="s">
        <v>29</v>
      </c>
      <c r="J2115">
        <v>20093102</v>
      </c>
      <c r="K2115">
        <v>202002502</v>
      </c>
      <c r="L2115" t="str">
        <f>HYPERLINK("https://test.ictv.global/id/TN201902503","TN201902503@TEST")</f>
        <v>TN201902503@TEST</v>
      </c>
      <c r="M2115" t="str">
        <f>HYPERLINK("https://test.ictv.global/id/ICTV20093103","ICTV20093103@TEST")</f>
        <v>ICTV20093103@TEST</v>
      </c>
      <c r="N2115" t="str">
        <f>HYPERLINK("https://ictv.global/id/TN201902503","TN201902503@prod")</f>
        <v>TN201902503@prod</v>
      </c>
      <c r="O2115" t="str">
        <f>HYPERLINK("https://ictv.global/id/ICTV20093103","ICTV20093103@prod")</f>
        <v>ICTV20093103@prod</v>
      </c>
    </row>
    <row r="2116" spans="1:15" x14ac:dyDescent="0.2">
      <c r="A2116">
        <v>35</v>
      </c>
      <c r="B2116">
        <v>201902509</v>
      </c>
      <c r="C2116">
        <v>20093110</v>
      </c>
      <c r="D2116" t="s">
        <v>29</v>
      </c>
      <c r="E2116" t="s">
        <v>1069</v>
      </c>
      <c r="G2116" t="s">
        <v>33</v>
      </c>
      <c r="H2116" t="s">
        <v>1070</v>
      </c>
      <c r="I2116" t="s">
        <v>29</v>
      </c>
      <c r="J2116">
        <v>20093112</v>
      </c>
      <c r="K2116">
        <v>202002511</v>
      </c>
      <c r="L2116" t="str">
        <f>HYPERLINK("https://test.ictv.global/id/TN201902509","TN201902509@TEST")</f>
        <v>TN201902509@TEST</v>
      </c>
      <c r="M2116" t="str">
        <f>HYPERLINK("https://test.ictv.global/id/ICTV20093110","ICTV20093110@TEST")</f>
        <v>ICTV20093110@TEST</v>
      </c>
      <c r="N2116" t="str">
        <f>HYPERLINK("https://ictv.global/id/TN201902509","TN201902509@prod")</f>
        <v>TN201902509@prod</v>
      </c>
      <c r="O2116" t="str">
        <f>HYPERLINK("https://ictv.global/id/ICTV20093110","ICTV20093110@prod")</f>
        <v>ICTV20093110@prod</v>
      </c>
    </row>
    <row r="2117" spans="1:15" x14ac:dyDescent="0.2">
      <c r="A2117">
        <v>35</v>
      </c>
      <c r="B2117">
        <v>201902510</v>
      </c>
      <c r="C2117">
        <v>20093111</v>
      </c>
      <c r="D2117" t="s">
        <v>29</v>
      </c>
      <c r="E2117" t="s">
        <v>1071</v>
      </c>
      <c r="G2117" t="s">
        <v>33</v>
      </c>
      <c r="H2117" t="s">
        <v>1070</v>
      </c>
      <c r="I2117" t="s">
        <v>29</v>
      </c>
      <c r="J2117">
        <v>20093112</v>
      </c>
      <c r="K2117">
        <v>202002511</v>
      </c>
      <c r="L2117" t="str">
        <f>HYPERLINK("https://test.ictv.global/id/TN201902510","TN201902510@TEST")</f>
        <v>TN201902510@TEST</v>
      </c>
      <c r="M2117" t="str">
        <f>HYPERLINK("https://test.ictv.global/id/ICTV20093111","ICTV20093111@TEST")</f>
        <v>ICTV20093111@TEST</v>
      </c>
      <c r="N2117" t="str">
        <f>HYPERLINK("https://ictv.global/id/TN201902510","TN201902510@prod")</f>
        <v>TN201902510@prod</v>
      </c>
      <c r="O2117" t="str">
        <f>HYPERLINK("https://ictv.global/id/ICTV20093111","ICTV20093111@prod")</f>
        <v>ICTV20093111@prod</v>
      </c>
    </row>
    <row r="2118" spans="1:15" x14ac:dyDescent="0.2">
      <c r="A2118">
        <v>35</v>
      </c>
      <c r="B2118">
        <v>201902511</v>
      </c>
      <c r="C2118">
        <v>20093112</v>
      </c>
      <c r="D2118" t="s">
        <v>29</v>
      </c>
      <c r="E2118" t="s">
        <v>1070</v>
      </c>
      <c r="G2118" t="s">
        <v>33</v>
      </c>
      <c r="H2118" t="s">
        <v>1070</v>
      </c>
      <c r="I2118" t="s">
        <v>29</v>
      </c>
      <c r="J2118">
        <v>20093112</v>
      </c>
      <c r="K2118">
        <v>202002511</v>
      </c>
      <c r="L2118" t="str">
        <f>HYPERLINK("https://test.ictv.global/id/TN201902511","TN201902511@TEST")</f>
        <v>TN201902511@TEST</v>
      </c>
      <c r="M2118" t="str">
        <f>HYPERLINK("https://test.ictv.global/id/ICTV20093112","ICTV20093112@TEST")</f>
        <v>ICTV20093112@TEST</v>
      </c>
      <c r="N2118" t="str">
        <f>HYPERLINK("https://ictv.global/id/TN201902511","TN201902511@prod")</f>
        <v>TN201902511@prod</v>
      </c>
      <c r="O2118" t="str">
        <f>HYPERLINK("https://ictv.global/id/ICTV20093112","ICTV20093112@prod")</f>
        <v>ICTV20093112@prod</v>
      </c>
    </row>
    <row r="2119" spans="1:15" x14ac:dyDescent="0.2">
      <c r="A2119">
        <v>35</v>
      </c>
      <c r="B2119">
        <v>201902514</v>
      </c>
      <c r="C2119">
        <v>20093115</v>
      </c>
      <c r="D2119" t="s">
        <v>29</v>
      </c>
      <c r="E2119" t="s">
        <v>1072</v>
      </c>
      <c r="G2119" t="s">
        <v>33</v>
      </c>
      <c r="H2119" t="s">
        <v>1073</v>
      </c>
      <c r="I2119" t="s">
        <v>29</v>
      </c>
      <c r="J2119">
        <v>20093117</v>
      </c>
      <c r="K2119">
        <v>202002516</v>
      </c>
      <c r="L2119" t="str">
        <f>HYPERLINK("https://test.ictv.global/id/TN201902514","TN201902514@TEST")</f>
        <v>TN201902514@TEST</v>
      </c>
      <c r="M2119" t="str">
        <f>HYPERLINK("https://test.ictv.global/id/ICTV20093115","ICTV20093115@TEST")</f>
        <v>ICTV20093115@TEST</v>
      </c>
      <c r="N2119" t="str">
        <f>HYPERLINK("https://ictv.global/id/TN201902514","TN201902514@prod")</f>
        <v>TN201902514@prod</v>
      </c>
      <c r="O2119" t="str">
        <f>HYPERLINK("https://ictv.global/id/ICTV20093115","ICTV20093115@prod")</f>
        <v>ICTV20093115@prod</v>
      </c>
    </row>
    <row r="2120" spans="1:15" x14ac:dyDescent="0.2">
      <c r="A2120">
        <v>35</v>
      </c>
      <c r="B2120">
        <v>201902515</v>
      </c>
      <c r="C2120">
        <v>20093116</v>
      </c>
      <c r="D2120" t="s">
        <v>29</v>
      </c>
      <c r="E2120" t="s">
        <v>1074</v>
      </c>
      <c r="G2120" t="s">
        <v>33</v>
      </c>
      <c r="H2120" t="s">
        <v>1073</v>
      </c>
      <c r="I2120" t="s">
        <v>29</v>
      </c>
      <c r="J2120">
        <v>20093117</v>
      </c>
      <c r="K2120">
        <v>202002516</v>
      </c>
      <c r="L2120" t="str">
        <f>HYPERLINK("https://test.ictv.global/id/TN201902515","TN201902515@TEST")</f>
        <v>TN201902515@TEST</v>
      </c>
      <c r="M2120" t="str">
        <f>HYPERLINK("https://test.ictv.global/id/ICTV20093116","ICTV20093116@TEST")</f>
        <v>ICTV20093116@TEST</v>
      </c>
      <c r="N2120" t="str">
        <f>HYPERLINK("https://ictv.global/id/TN201902515","TN201902515@prod")</f>
        <v>TN201902515@prod</v>
      </c>
      <c r="O2120" t="str">
        <f>HYPERLINK("https://ictv.global/id/ICTV20093116","ICTV20093116@prod")</f>
        <v>ICTV20093116@prod</v>
      </c>
    </row>
    <row r="2121" spans="1:15" x14ac:dyDescent="0.2">
      <c r="A2121">
        <v>35</v>
      </c>
      <c r="B2121">
        <v>201902516</v>
      </c>
      <c r="C2121">
        <v>20093117</v>
      </c>
      <c r="D2121" t="s">
        <v>29</v>
      </c>
      <c r="E2121" t="s">
        <v>1073</v>
      </c>
      <c r="G2121" t="s">
        <v>33</v>
      </c>
      <c r="H2121" t="s">
        <v>1073</v>
      </c>
      <c r="I2121" t="s">
        <v>29</v>
      </c>
      <c r="J2121">
        <v>20093117</v>
      </c>
      <c r="K2121">
        <v>202002516</v>
      </c>
      <c r="L2121" t="str">
        <f>HYPERLINK("https://test.ictv.global/id/TN201902516","TN201902516@TEST")</f>
        <v>TN201902516@TEST</v>
      </c>
      <c r="M2121" t="str">
        <f>HYPERLINK("https://test.ictv.global/id/ICTV20093117","ICTV20093117@TEST")</f>
        <v>ICTV20093117@TEST</v>
      </c>
      <c r="N2121" t="str">
        <f>HYPERLINK("https://ictv.global/id/TN201902516","TN201902516@prod")</f>
        <v>TN201902516@prod</v>
      </c>
      <c r="O2121" t="str">
        <f>HYPERLINK("https://ictv.global/id/ICTV20093117","ICTV20093117@prod")</f>
        <v>ICTV20093117@prod</v>
      </c>
    </row>
    <row r="2122" spans="1:15" x14ac:dyDescent="0.2">
      <c r="A2122">
        <v>35</v>
      </c>
      <c r="B2122">
        <v>201902556</v>
      </c>
      <c r="C2122">
        <v>20093139</v>
      </c>
      <c r="D2122" t="s">
        <v>29</v>
      </c>
      <c r="E2122" t="s">
        <v>1075</v>
      </c>
      <c r="G2122" t="s">
        <v>48</v>
      </c>
      <c r="H2122" t="s">
        <v>1075</v>
      </c>
      <c r="I2122" t="s">
        <v>29</v>
      </c>
      <c r="J2122">
        <v>20093139</v>
      </c>
      <c r="K2122">
        <v>202002556</v>
      </c>
      <c r="L2122" t="str">
        <f>HYPERLINK("https://test.ictv.global/id/TN201902556","TN201902556@TEST")</f>
        <v>TN201902556@TEST</v>
      </c>
      <c r="M2122" t="str">
        <f>HYPERLINK("https://test.ictv.global/id/ICTV20093139","ICTV20093139@TEST")</f>
        <v>ICTV20093139@TEST</v>
      </c>
      <c r="N2122" t="str">
        <f>HYPERLINK("https://ictv.global/id/TN201902556","TN201902556@prod")</f>
        <v>TN201902556@prod</v>
      </c>
      <c r="O2122" t="str">
        <f>HYPERLINK("https://ictv.global/id/ICTV20093139","ICTV20093139@prod")</f>
        <v>ICTV20093139@prod</v>
      </c>
    </row>
    <row r="2123" spans="1:15" x14ac:dyDescent="0.2">
      <c r="A2123">
        <v>35</v>
      </c>
      <c r="B2123">
        <v>201902557</v>
      </c>
      <c r="C2123">
        <v>20093140</v>
      </c>
      <c r="D2123" t="s">
        <v>29</v>
      </c>
      <c r="E2123" t="s">
        <v>1076</v>
      </c>
      <c r="G2123" t="s">
        <v>33</v>
      </c>
      <c r="H2123" t="s">
        <v>1075</v>
      </c>
      <c r="I2123" t="s">
        <v>29</v>
      </c>
      <c r="J2123">
        <v>20093139</v>
      </c>
      <c r="K2123">
        <v>202002556</v>
      </c>
      <c r="L2123" t="str">
        <f>HYPERLINK("https://test.ictv.global/id/TN201902557","TN201902557@TEST")</f>
        <v>TN201902557@TEST</v>
      </c>
      <c r="M2123" t="str">
        <f>HYPERLINK("https://test.ictv.global/id/ICTV20093140","ICTV20093140@TEST")</f>
        <v>ICTV20093140@TEST</v>
      </c>
      <c r="N2123" t="str">
        <f>HYPERLINK("https://ictv.global/id/TN201902557","TN201902557@prod")</f>
        <v>TN201902557@prod</v>
      </c>
      <c r="O2123" t="str">
        <f>HYPERLINK("https://ictv.global/id/ICTV20093140","ICTV20093140@prod")</f>
        <v>ICTV20093140@prod</v>
      </c>
    </row>
    <row r="2124" spans="1:15" x14ac:dyDescent="0.2">
      <c r="A2124">
        <v>35</v>
      </c>
      <c r="B2124">
        <v>201903321</v>
      </c>
      <c r="C2124">
        <v>20083916</v>
      </c>
      <c r="D2124" t="s">
        <v>29</v>
      </c>
      <c r="E2124" t="s">
        <v>2293</v>
      </c>
      <c r="G2124" t="s">
        <v>1165</v>
      </c>
      <c r="L2124" t="str">
        <f>HYPERLINK("https://test.ictv.global/id/TN201903321","TN201903321@TEST")</f>
        <v>TN201903321@TEST</v>
      </c>
      <c r="M2124" t="str">
        <f>HYPERLINK("https://test.ictv.global/id/ICTV20083916","ICTV20083916@TEST")</f>
        <v>ICTV20083916@TEST</v>
      </c>
      <c r="N2124" t="str">
        <f>HYPERLINK("https://ictv.global/id/TN201903321","TN201903321@prod")</f>
        <v>TN201903321@prod</v>
      </c>
      <c r="O2124" t="str">
        <f>HYPERLINK("https://ictv.global/id/ICTV20083916","ICTV20083916@prod")</f>
        <v>ICTV20083916@prod</v>
      </c>
    </row>
    <row r="2125" spans="1:15" x14ac:dyDescent="0.2">
      <c r="A2125">
        <v>35</v>
      </c>
      <c r="B2125">
        <v>201903549</v>
      </c>
      <c r="C2125">
        <v>20165311</v>
      </c>
      <c r="D2125" t="s">
        <v>29</v>
      </c>
      <c r="E2125" t="s">
        <v>2294</v>
      </c>
      <c r="F2125" t="s">
        <v>2295</v>
      </c>
      <c r="G2125" t="s">
        <v>1165</v>
      </c>
      <c r="L2125" t="str">
        <f>HYPERLINK("https://test.ictv.global/id/TN201903549","TN201903549@TEST")</f>
        <v>TN201903549@TEST</v>
      </c>
      <c r="M2125" t="str">
        <f>HYPERLINK("https://test.ictv.global/id/ICTV20165311","ICTV20165311@TEST")</f>
        <v>ICTV20165311@TEST</v>
      </c>
      <c r="N2125" t="str">
        <f>HYPERLINK("https://ictv.global/id/TN201903549","TN201903549@prod")</f>
        <v>TN201903549@prod</v>
      </c>
      <c r="O2125" t="str">
        <f>HYPERLINK("https://ictv.global/id/ICTV20165311","ICTV20165311@prod")</f>
        <v>ICTV20165311@prod</v>
      </c>
    </row>
    <row r="2126" spans="1:15" x14ac:dyDescent="0.2">
      <c r="A2126">
        <v>35</v>
      </c>
      <c r="B2126">
        <v>201903759</v>
      </c>
      <c r="C2126">
        <v>19980042</v>
      </c>
      <c r="D2126" t="s">
        <v>23</v>
      </c>
      <c r="E2126" t="s">
        <v>2296</v>
      </c>
      <c r="G2126" t="s">
        <v>1165</v>
      </c>
      <c r="L2126" t="str">
        <f>HYPERLINK("https://test.ictv.global/id/TN201903759","TN201903759@TEST")</f>
        <v>TN201903759@TEST</v>
      </c>
      <c r="M2126" t="str">
        <f>HYPERLINK("https://test.ictv.global/id/ICTV19980042","ICTV19980042@TEST")</f>
        <v>ICTV19980042@TEST</v>
      </c>
      <c r="N2126" t="str">
        <f>HYPERLINK("https://ictv.global/id/TN201903759","TN201903759@prod")</f>
        <v>TN201903759@prod</v>
      </c>
      <c r="O2126" t="str">
        <f>HYPERLINK("https://ictv.global/id/ICTV19980042","ICTV19980042@prod")</f>
        <v>ICTV19980042@prod</v>
      </c>
    </row>
    <row r="2127" spans="1:15" x14ac:dyDescent="0.2">
      <c r="A2127">
        <v>35</v>
      </c>
      <c r="B2127">
        <v>201905123</v>
      </c>
      <c r="C2127">
        <v>20165434</v>
      </c>
      <c r="D2127" t="s">
        <v>29</v>
      </c>
      <c r="E2127" t="s">
        <v>2297</v>
      </c>
      <c r="F2127" t="s">
        <v>2298</v>
      </c>
      <c r="G2127" t="s">
        <v>1165</v>
      </c>
      <c r="L2127" t="str">
        <f>HYPERLINK("https://test.ictv.global/id/TN201905123","TN201905123@TEST")</f>
        <v>TN201905123@TEST</v>
      </c>
      <c r="M2127" t="str">
        <f>HYPERLINK("https://test.ictv.global/id/ICTV20165434","ICTV20165434@TEST")</f>
        <v>ICTV20165434@TEST</v>
      </c>
      <c r="N2127" t="str">
        <f>HYPERLINK("https://ictv.global/id/TN201905123","TN201905123@prod")</f>
        <v>TN201905123@prod</v>
      </c>
      <c r="O2127" t="str">
        <f>HYPERLINK("https://ictv.global/id/ICTV20165434","ICTV20165434@prod")</f>
        <v>ICTV20165434@prod</v>
      </c>
    </row>
    <row r="2128" spans="1:15" x14ac:dyDescent="0.2">
      <c r="A2128">
        <v>35</v>
      </c>
      <c r="B2128">
        <v>201905142</v>
      </c>
      <c r="C2128">
        <v>20165453</v>
      </c>
      <c r="D2128" t="s">
        <v>29</v>
      </c>
      <c r="E2128" t="s">
        <v>2299</v>
      </c>
      <c r="F2128" t="s">
        <v>2300</v>
      </c>
      <c r="G2128" t="s">
        <v>1165</v>
      </c>
      <c r="L2128" t="str">
        <f>HYPERLINK("https://test.ictv.global/id/TN201905142","TN201905142@TEST")</f>
        <v>TN201905142@TEST</v>
      </c>
      <c r="M2128" t="str">
        <f>HYPERLINK("https://test.ictv.global/id/ICTV20165453","ICTV20165453@TEST")</f>
        <v>ICTV20165453@TEST</v>
      </c>
      <c r="N2128" t="str">
        <f>HYPERLINK("https://ictv.global/id/TN201905142","TN201905142@prod")</f>
        <v>TN201905142@prod</v>
      </c>
      <c r="O2128" t="str">
        <f>HYPERLINK("https://ictv.global/id/ICTV20165453","ICTV20165453@prod")</f>
        <v>ICTV20165453@prod</v>
      </c>
    </row>
    <row r="2129" spans="1:15" x14ac:dyDescent="0.2">
      <c r="A2129">
        <v>35</v>
      </c>
      <c r="B2129">
        <v>201905173</v>
      </c>
      <c r="C2129">
        <v>20165484</v>
      </c>
      <c r="D2129" t="s">
        <v>29</v>
      </c>
      <c r="E2129" t="s">
        <v>2301</v>
      </c>
      <c r="F2129" t="s">
        <v>2302</v>
      </c>
      <c r="G2129" t="s">
        <v>1165</v>
      </c>
      <c r="L2129" t="str">
        <f>HYPERLINK("https://test.ictv.global/id/TN201905173","TN201905173@TEST")</f>
        <v>TN201905173@TEST</v>
      </c>
      <c r="M2129" t="str">
        <f>HYPERLINK("https://test.ictv.global/id/ICTV20165484","ICTV20165484@TEST")</f>
        <v>ICTV20165484@TEST</v>
      </c>
      <c r="N2129" t="str">
        <f>HYPERLINK("https://ictv.global/id/TN201905173","TN201905173@prod")</f>
        <v>TN201905173@prod</v>
      </c>
      <c r="O2129" t="str">
        <f>HYPERLINK("https://ictv.global/id/ICTV20165484","ICTV20165484@prod")</f>
        <v>ICTV20165484@prod</v>
      </c>
    </row>
    <row r="2130" spans="1:15" x14ac:dyDescent="0.2">
      <c r="A2130">
        <v>35</v>
      </c>
      <c r="B2130">
        <v>201905473</v>
      </c>
      <c r="C2130">
        <v>20175473</v>
      </c>
      <c r="D2130" t="s">
        <v>19</v>
      </c>
      <c r="E2130" t="s">
        <v>1057</v>
      </c>
      <c r="G2130" t="s">
        <v>33</v>
      </c>
      <c r="H2130" t="s">
        <v>1057</v>
      </c>
      <c r="I2130" t="s">
        <v>19</v>
      </c>
      <c r="J2130">
        <v>20175473</v>
      </c>
      <c r="K2130">
        <v>202005473</v>
      </c>
      <c r="L2130" t="str">
        <f>HYPERLINK("https://test.ictv.global/id/TN201905473","TN201905473@TEST")</f>
        <v>TN201905473@TEST</v>
      </c>
      <c r="M2130" t="str">
        <f>HYPERLINK("https://test.ictv.global/id/ICTV20175473","ICTV20175473@TEST")</f>
        <v>ICTV20175473@TEST</v>
      </c>
      <c r="N2130" t="str">
        <f>HYPERLINK("https://ictv.global/id/TN201905473","TN201905473@prod")</f>
        <v>TN201905473@prod</v>
      </c>
      <c r="O2130" t="str">
        <f>HYPERLINK("https://ictv.global/id/ICTV20175473","ICTV20175473@prod")</f>
        <v>ICTV20175473@prod</v>
      </c>
    </row>
    <row r="2131" spans="1:15" x14ac:dyDescent="0.2">
      <c r="A2131">
        <v>35</v>
      </c>
      <c r="B2131">
        <v>201905517</v>
      </c>
      <c r="C2131">
        <v>20175517</v>
      </c>
      <c r="D2131" t="s">
        <v>29</v>
      </c>
      <c r="E2131" t="s">
        <v>2303</v>
      </c>
      <c r="G2131" t="s">
        <v>1165</v>
      </c>
      <c r="L2131" t="str">
        <f>HYPERLINK("https://test.ictv.global/id/TN201905517","TN201905517@TEST")</f>
        <v>TN201905517@TEST</v>
      </c>
      <c r="M2131" t="str">
        <f>HYPERLINK("https://test.ictv.global/id/ICTV20175517","ICTV20175517@TEST")</f>
        <v>ICTV20175517@TEST</v>
      </c>
      <c r="N2131" t="str">
        <f>HYPERLINK("https://ictv.global/id/TN201905517","TN201905517@prod")</f>
        <v>TN201905517@prod</v>
      </c>
      <c r="O2131" t="str">
        <f>HYPERLINK("https://ictv.global/id/ICTV20175517","ICTV20175517@prod")</f>
        <v>ICTV20175517@prod</v>
      </c>
    </row>
    <row r="2132" spans="1:15" x14ac:dyDescent="0.2">
      <c r="A2132">
        <v>35</v>
      </c>
      <c r="B2132">
        <v>201905523</v>
      </c>
      <c r="C2132">
        <v>20175523</v>
      </c>
      <c r="D2132" t="s">
        <v>29</v>
      </c>
      <c r="E2132" t="s">
        <v>2304</v>
      </c>
      <c r="G2132" t="s">
        <v>1165</v>
      </c>
      <c r="L2132" t="str">
        <f>HYPERLINK("https://test.ictv.global/id/TN201905523","TN201905523@TEST")</f>
        <v>TN201905523@TEST</v>
      </c>
      <c r="M2132" t="str">
        <f>HYPERLINK("https://test.ictv.global/id/ICTV20175523","ICTV20175523@TEST")</f>
        <v>ICTV20175523@TEST</v>
      </c>
      <c r="N2132" t="str">
        <f>HYPERLINK("https://ictv.global/id/TN201905523","TN201905523@prod")</f>
        <v>TN201905523@prod</v>
      </c>
      <c r="O2132" t="str">
        <f>HYPERLINK("https://ictv.global/id/ICTV20175523","ICTV20175523@prod")</f>
        <v>ICTV20175523@prod</v>
      </c>
    </row>
    <row r="2133" spans="1:15" x14ac:dyDescent="0.2">
      <c r="A2133">
        <v>35</v>
      </c>
      <c r="B2133">
        <v>201905525</v>
      </c>
      <c r="C2133">
        <v>20175525</v>
      </c>
      <c r="D2133" t="s">
        <v>29</v>
      </c>
      <c r="E2133" t="s">
        <v>2305</v>
      </c>
      <c r="G2133" t="s">
        <v>1165</v>
      </c>
      <c r="L2133" t="str">
        <f>HYPERLINK("https://test.ictv.global/id/TN201905525","TN201905525@TEST")</f>
        <v>TN201905525@TEST</v>
      </c>
      <c r="M2133" t="str">
        <f>HYPERLINK("https://test.ictv.global/id/ICTV20175525","ICTV20175525@TEST")</f>
        <v>ICTV20175525@TEST</v>
      </c>
      <c r="N2133" t="str">
        <f>HYPERLINK("https://ictv.global/id/TN201905525","TN201905525@prod")</f>
        <v>TN201905525@prod</v>
      </c>
      <c r="O2133" t="str">
        <f>HYPERLINK("https://ictv.global/id/ICTV20175525","ICTV20175525@prod")</f>
        <v>ICTV20175525@prod</v>
      </c>
    </row>
    <row r="2134" spans="1:15" x14ac:dyDescent="0.2">
      <c r="A2134">
        <v>35</v>
      </c>
      <c r="B2134">
        <v>201905557</v>
      </c>
      <c r="C2134">
        <v>20175557</v>
      </c>
      <c r="D2134" t="s">
        <v>19</v>
      </c>
      <c r="E2134" t="s">
        <v>1077</v>
      </c>
      <c r="G2134" t="s">
        <v>21</v>
      </c>
      <c r="H2134" t="s">
        <v>1078</v>
      </c>
      <c r="I2134" t="s">
        <v>26</v>
      </c>
      <c r="J2134">
        <v>20175557</v>
      </c>
      <c r="K2134">
        <v>202005557</v>
      </c>
      <c r="L2134" t="str">
        <f>HYPERLINK("https://test.ictv.global/id/TN201905557","TN201905557@TEST")</f>
        <v>TN201905557@TEST</v>
      </c>
      <c r="M2134" t="str">
        <f>HYPERLINK("https://test.ictv.global/id/ICTV20175557","ICTV20175557@TEST")</f>
        <v>ICTV20175557@TEST</v>
      </c>
      <c r="N2134" t="str">
        <f>HYPERLINK("https://ictv.global/id/TN201905557","TN201905557@prod")</f>
        <v>TN201905557@prod</v>
      </c>
      <c r="O2134" t="str">
        <f>HYPERLINK("https://ictv.global/id/ICTV20175557","ICTV20175557@prod")</f>
        <v>ICTV20175557@prod</v>
      </c>
    </row>
    <row r="2135" spans="1:15" x14ac:dyDescent="0.2">
      <c r="A2135">
        <v>35</v>
      </c>
      <c r="B2135">
        <v>201905634</v>
      </c>
      <c r="C2135">
        <v>20175634</v>
      </c>
      <c r="D2135" t="s">
        <v>29</v>
      </c>
      <c r="E2135" t="s">
        <v>1079</v>
      </c>
      <c r="G2135" t="s">
        <v>33</v>
      </c>
      <c r="H2135" t="s">
        <v>1061</v>
      </c>
      <c r="I2135" t="s">
        <v>29</v>
      </c>
      <c r="J2135">
        <v>19821286</v>
      </c>
      <c r="K2135">
        <v>202002218</v>
      </c>
      <c r="L2135" t="str">
        <f>HYPERLINK("https://test.ictv.global/id/TN201905634","TN201905634@TEST")</f>
        <v>TN201905634@TEST</v>
      </c>
      <c r="M2135" t="str">
        <f>HYPERLINK("https://test.ictv.global/id/ICTV20175634","ICTV20175634@TEST")</f>
        <v>ICTV20175634@TEST</v>
      </c>
      <c r="N2135" t="str">
        <f>HYPERLINK("https://ictv.global/id/TN201905634","TN201905634@prod")</f>
        <v>TN201905634@prod</v>
      </c>
      <c r="O2135" t="str">
        <f>HYPERLINK("https://ictv.global/id/ICTV20175634","ICTV20175634@prod")</f>
        <v>ICTV20175634@prod</v>
      </c>
    </row>
    <row r="2136" spans="1:15" x14ac:dyDescent="0.2">
      <c r="A2136">
        <v>35</v>
      </c>
      <c r="B2136">
        <v>201906050</v>
      </c>
      <c r="C2136">
        <v>20186050</v>
      </c>
      <c r="D2136" t="s">
        <v>29</v>
      </c>
      <c r="E2136" t="s">
        <v>2306</v>
      </c>
      <c r="F2136" t="s">
        <v>2307</v>
      </c>
      <c r="G2136" t="s">
        <v>1165</v>
      </c>
      <c r="L2136" t="str">
        <f>HYPERLINK("https://test.ictv.global/id/TN201906050","TN201906050@TEST")</f>
        <v>TN201906050@TEST</v>
      </c>
      <c r="M2136" t="str">
        <f>HYPERLINK("https://test.ictv.global/id/ICTV20186050","ICTV20186050@TEST")</f>
        <v>ICTV20186050@TEST</v>
      </c>
      <c r="N2136" t="str">
        <f>HYPERLINK("https://ictv.global/id/TN201906050","TN201906050@prod")</f>
        <v>TN201906050@prod</v>
      </c>
      <c r="O2136" t="str">
        <f>HYPERLINK("https://ictv.global/id/ICTV20186050","ICTV20186050@prod")</f>
        <v>ICTV20186050@prod</v>
      </c>
    </row>
    <row r="2137" spans="1:15" x14ac:dyDescent="0.2">
      <c r="A2137">
        <v>35</v>
      </c>
      <c r="B2137">
        <v>201906053</v>
      </c>
      <c r="C2137">
        <v>20186053</v>
      </c>
      <c r="D2137" t="s">
        <v>29</v>
      </c>
      <c r="E2137" t="s">
        <v>2308</v>
      </c>
      <c r="F2137" t="s">
        <v>2309</v>
      </c>
      <c r="G2137" t="s">
        <v>1165</v>
      </c>
      <c r="L2137" t="str">
        <f>HYPERLINK("https://test.ictv.global/id/TN201906053","TN201906053@TEST")</f>
        <v>TN201906053@TEST</v>
      </c>
      <c r="M2137" t="str">
        <f>HYPERLINK("https://test.ictv.global/id/ICTV20186053","ICTV20186053@TEST")</f>
        <v>ICTV20186053@TEST</v>
      </c>
      <c r="N2137" t="str">
        <f>HYPERLINK("https://ictv.global/id/TN201906053","TN201906053@prod")</f>
        <v>TN201906053@prod</v>
      </c>
      <c r="O2137" t="str">
        <f>HYPERLINK("https://ictv.global/id/ICTV20186053","ICTV20186053@prod")</f>
        <v>ICTV20186053@prod</v>
      </c>
    </row>
    <row r="2138" spans="1:15" x14ac:dyDescent="0.2">
      <c r="A2138">
        <v>35</v>
      </c>
      <c r="B2138">
        <v>201906058</v>
      </c>
      <c r="C2138">
        <v>20186058</v>
      </c>
      <c r="D2138" t="s">
        <v>29</v>
      </c>
      <c r="E2138" t="s">
        <v>2310</v>
      </c>
      <c r="F2138" t="s">
        <v>2311</v>
      </c>
      <c r="G2138" t="s">
        <v>1165</v>
      </c>
      <c r="L2138" t="str">
        <f>HYPERLINK("https://test.ictv.global/id/TN201906058","TN201906058@TEST")</f>
        <v>TN201906058@TEST</v>
      </c>
      <c r="M2138" t="str">
        <f>HYPERLINK("https://test.ictv.global/id/ICTV20186058","ICTV20186058@TEST")</f>
        <v>ICTV20186058@TEST</v>
      </c>
      <c r="N2138" t="str">
        <f>HYPERLINK("https://ictv.global/id/TN201906058","TN201906058@prod")</f>
        <v>TN201906058@prod</v>
      </c>
      <c r="O2138" t="str">
        <f>HYPERLINK("https://ictv.global/id/ICTV20186058","ICTV20186058@prod")</f>
        <v>ICTV20186058@prod</v>
      </c>
    </row>
    <row r="2139" spans="1:15" x14ac:dyDescent="0.2">
      <c r="A2139">
        <v>35</v>
      </c>
      <c r="B2139">
        <v>201906070</v>
      </c>
      <c r="C2139">
        <v>20186070</v>
      </c>
      <c r="D2139" t="s">
        <v>29</v>
      </c>
      <c r="E2139" t="s">
        <v>2312</v>
      </c>
      <c r="F2139" t="s">
        <v>2313</v>
      </c>
      <c r="G2139" t="s">
        <v>1165</v>
      </c>
      <c r="L2139" t="str">
        <f>HYPERLINK("https://test.ictv.global/id/TN201906070","TN201906070@TEST")</f>
        <v>TN201906070@TEST</v>
      </c>
      <c r="M2139" t="str">
        <f>HYPERLINK("https://test.ictv.global/id/ICTV20186070","ICTV20186070@TEST")</f>
        <v>ICTV20186070@TEST</v>
      </c>
      <c r="N2139" t="str">
        <f>HYPERLINK("https://ictv.global/id/TN201906070","TN201906070@prod")</f>
        <v>TN201906070@prod</v>
      </c>
      <c r="O2139" t="str">
        <f>HYPERLINK("https://ictv.global/id/ICTV20186070","ICTV20186070@prod")</f>
        <v>ICTV20186070@prod</v>
      </c>
    </row>
    <row r="2140" spans="1:15" x14ac:dyDescent="0.2">
      <c r="A2140">
        <v>35</v>
      </c>
      <c r="B2140">
        <v>201906246</v>
      </c>
      <c r="C2140">
        <v>20186246</v>
      </c>
      <c r="D2140" t="s">
        <v>29</v>
      </c>
      <c r="E2140" t="s">
        <v>2314</v>
      </c>
      <c r="F2140" t="s">
        <v>2315</v>
      </c>
      <c r="G2140" t="s">
        <v>1165</v>
      </c>
      <c r="L2140" t="str">
        <f>HYPERLINK("https://test.ictv.global/id/TN201906246","TN201906246@TEST")</f>
        <v>TN201906246@TEST</v>
      </c>
      <c r="M2140" t="str">
        <f>HYPERLINK("https://test.ictv.global/id/ICTV20186246","ICTV20186246@TEST")</f>
        <v>ICTV20186246@TEST</v>
      </c>
      <c r="N2140" t="str">
        <f>HYPERLINK("https://ictv.global/id/TN201906246","TN201906246@prod")</f>
        <v>TN201906246@prod</v>
      </c>
      <c r="O2140" t="str">
        <f>HYPERLINK("https://ictv.global/id/ICTV20186246","ICTV20186246@prod")</f>
        <v>ICTV20186246@prod</v>
      </c>
    </row>
    <row r="2141" spans="1:15" x14ac:dyDescent="0.2">
      <c r="A2141">
        <v>35</v>
      </c>
      <c r="B2141">
        <v>201906516</v>
      </c>
      <c r="C2141">
        <v>201856516</v>
      </c>
      <c r="D2141" t="s">
        <v>29</v>
      </c>
      <c r="E2141" t="s">
        <v>1080</v>
      </c>
      <c r="F2141" t="s">
        <v>2316</v>
      </c>
      <c r="G2141" t="s">
        <v>48</v>
      </c>
      <c r="H2141" t="s">
        <v>1081</v>
      </c>
      <c r="I2141" t="s">
        <v>29</v>
      </c>
      <c r="J2141">
        <v>201856516</v>
      </c>
      <c r="K2141">
        <v>202006516</v>
      </c>
      <c r="L2141" t="str">
        <f>HYPERLINK("https://test.ictv.global/id/TN201906516","TN201906516@TEST")</f>
        <v>TN201906516@TEST</v>
      </c>
      <c r="M2141" t="str">
        <f>HYPERLINK("https://test.ictv.global/id/ICTV201856516","ICTV201856516@TEST")</f>
        <v>ICTV201856516@TEST</v>
      </c>
      <c r="N2141" t="str">
        <f>HYPERLINK("https://ictv.global/id/TN201906516","TN201906516@prod")</f>
        <v>TN201906516@prod</v>
      </c>
      <c r="O2141" t="str">
        <f>HYPERLINK("https://ictv.global/id/ICTV201856516","ICTV201856516@prod")</f>
        <v>ICTV201856516@prod</v>
      </c>
    </row>
    <row r="2142" spans="1:15" x14ac:dyDescent="0.2">
      <c r="A2142">
        <v>35</v>
      </c>
      <c r="B2142">
        <v>201906517</v>
      </c>
      <c r="C2142">
        <v>201856517</v>
      </c>
      <c r="D2142" t="s">
        <v>29</v>
      </c>
      <c r="E2142" t="s">
        <v>1082</v>
      </c>
      <c r="F2142" t="s">
        <v>2317</v>
      </c>
      <c r="G2142" t="s">
        <v>33</v>
      </c>
      <c r="H2142" t="s">
        <v>1081</v>
      </c>
      <c r="I2142" t="s">
        <v>29</v>
      </c>
      <c r="J2142">
        <v>201856516</v>
      </c>
      <c r="K2142">
        <v>202006516</v>
      </c>
      <c r="L2142" t="str">
        <f>HYPERLINK("https://test.ictv.global/id/TN201906517","TN201906517@TEST")</f>
        <v>TN201906517@TEST</v>
      </c>
      <c r="M2142" t="str">
        <f>HYPERLINK("https://test.ictv.global/id/ICTV201856517","ICTV201856517@TEST")</f>
        <v>ICTV201856517@TEST</v>
      </c>
      <c r="N2142" t="str">
        <f>HYPERLINK("https://ictv.global/id/TN201906517","TN201906517@prod")</f>
        <v>TN201906517@prod</v>
      </c>
      <c r="O2142" t="str">
        <f>HYPERLINK("https://ictv.global/id/ICTV201856517","ICTV201856517@prod")</f>
        <v>ICTV201856517@prod</v>
      </c>
    </row>
    <row r="2143" spans="1:15" x14ac:dyDescent="0.2">
      <c r="A2143">
        <v>35</v>
      </c>
      <c r="B2143">
        <v>201907005</v>
      </c>
      <c r="C2143">
        <v>201857005</v>
      </c>
      <c r="D2143" t="s">
        <v>29</v>
      </c>
      <c r="E2143" t="s">
        <v>1055</v>
      </c>
      <c r="F2143" t="s">
        <v>2318</v>
      </c>
      <c r="G2143" t="s">
        <v>33</v>
      </c>
      <c r="H2143" t="s">
        <v>1055</v>
      </c>
      <c r="I2143" t="s">
        <v>29</v>
      </c>
      <c r="J2143">
        <v>201857005</v>
      </c>
      <c r="K2143">
        <v>202007005</v>
      </c>
      <c r="L2143" t="str">
        <f>HYPERLINK("https://test.ictv.global/id/TN201907005","TN201907005@TEST")</f>
        <v>TN201907005@TEST</v>
      </c>
      <c r="M2143" t="str">
        <f>HYPERLINK("https://test.ictv.global/id/ICTV201857005","ICTV201857005@TEST")</f>
        <v>ICTV201857005@TEST</v>
      </c>
      <c r="N2143" t="str">
        <f>HYPERLINK("https://ictv.global/id/TN201907005","TN201907005@prod")</f>
        <v>TN201907005@prod</v>
      </c>
      <c r="O2143" t="str">
        <f>HYPERLINK("https://ictv.global/id/ICTV201857005","ICTV201857005@prod")</f>
        <v>ICTV201857005@prod</v>
      </c>
    </row>
    <row r="2144" spans="1:15" x14ac:dyDescent="0.2">
      <c r="A2144">
        <v>35</v>
      </c>
      <c r="B2144">
        <v>201907415</v>
      </c>
      <c r="C2144">
        <v>201907415</v>
      </c>
      <c r="D2144" t="s">
        <v>29</v>
      </c>
      <c r="E2144" t="s">
        <v>2319</v>
      </c>
      <c r="F2144" t="s">
        <v>2320</v>
      </c>
      <c r="G2144" t="s">
        <v>1165</v>
      </c>
      <c r="L2144" t="str">
        <f>HYPERLINK("https://test.ictv.global/id/TN201907415","TN201907415@TEST")</f>
        <v>TN201907415@TEST</v>
      </c>
      <c r="M2144" t="str">
        <f>HYPERLINK("https://test.ictv.global/id/ICTV201907415","ICTV201907415@TEST")</f>
        <v>ICTV201907415@TEST</v>
      </c>
      <c r="N2144" t="str">
        <f>HYPERLINK("https://ictv.global/id/TN201907415","TN201907415@prod")</f>
        <v>TN201907415@prod</v>
      </c>
      <c r="O2144" t="str">
        <f>HYPERLINK("https://ictv.global/id/ICTV201907415","ICTV201907415@prod")</f>
        <v>ICTV201907415@prod</v>
      </c>
    </row>
    <row r="2145" spans="1:15" x14ac:dyDescent="0.2">
      <c r="A2145">
        <v>35</v>
      </c>
      <c r="B2145">
        <v>201908135</v>
      </c>
      <c r="C2145">
        <v>201908135</v>
      </c>
      <c r="D2145" t="s">
        <v>29</v>
      </c>
      <c r="E2145" t="s">
        <v>2321</v>
      </c>
      <c r="F2145" t="s">
        <v>2322</v>
      </c>
      <c r="G2145" t="s">
        <v>1165</v>
      </c>
      <c r="L2145" t="str">
        <f>HYPERLINK("https://test.ictv.global/id/TN201908135","TN201908135@TEST")</f>
        <v>TN201908135@TEST</v>
      </c>
      <c r="M2145" t="str">
        <f>HYPERLINK("https://test.ictv.global/id/ICTV201908135","ICTV201908135@TEST")</f>
        <v>ICTV201908135@TEST</v>
      </c>
      <c r="N2145" t="str">
        <f>HYPERLINK("https://ictv.global/id/TN201908135","TN201908135@prod")</f>
        <v>TN201908135@prod</v>
      </c>
      <c r="O2145" t="str">
        <f>HYPERLINK("https://ictv.global/id/ICTV201908135","ICTV201908135@prod")</f>
        <v>ICTV201908135@prod</v>
      </c>
    </row>
    <row r="2146" spans="1:15" x14ac:dyDescent="0.2">
      <c r="A2146">
        <v>35</v>
      </c>
      <c r="B2146">
        <v>201908179</v>
      </c>
      <c r="C2146">
        <v>201908179</v>
      </c>
      <c r="D2146" t="s">
        <v>29</v>
      </c>
      <c r="E2146" t="s">
        <v>2323</v>
      </c>
      <c r="F2146" t="s">
        <v>2324</v>
      </c>
      <c r="G2146" t="s">
        <v>1165</v>
      </c>
      <c r="L2146" t="str">
        <f>HYPERLINK("https://test.ictv.global/id/TN201908179","TN201908179@TEST")</f>
        <v>TN201908179@TEST</v>
      </c>
      <c r="M2146" t="str">
        <f>HYPERLINK("https://test.ictv.global/id/ICTV201908179","ICTV201908179@TEST")</f>
        <v>ICTV201908179@TEST</v>
      </c>
      <c r="N2146" t="str">
        <f>HYPERLINK("https://ictv.global/id/TN201908179","TN201908179@prod")</f>
        <v>TN201908179@prod</v>
      </c>
      <c r="O2146" t="str">
        <f>HYPERLINK("https://ictv.global/id/ICTV201908179","ICTV201908179@prod")</f>
        <v>ICTV201908179@prod</v>
      </c>
    </row>
    <row r="2147" spans="1:15" x14ac:dyDescent="0.2">
      <c r="A2147">
        <v>35</v>
      </c>
      <c r="B2147">
        <v>201908181</v>
      </c>
      <c r="C2147">
        <v>201908181</v>
      </c>
      <c r="D2147" t="s">
        <v>29</v>
      </c>
      <c r="E2147" t="s">
        <v>2325</v>
      </c>
      <c r="F2147" t="s">
        <v>2326</v>
      </c>
      <c r="G2147" t="s">
        <v>1165</v>
      </c>
      <c r="L2147" t="str">
        <f>HYPERLINK("https://test.ictv.global/id/TN201908181","TN201908181@TEST")</f>
        <v>TN201908181@TEST</v>
      </c>
      <c r="M2147" t="str">
        <f>HYPERLINK("https://test.ictv.global/id/ICTV201908181","ICTV201908181@TEST")</f>
        <v>ICTV201908181@TEST</v>
      </c>
      <c r="N2147" t="str">
        <f>HYPERLINK("https://ictv.global/id/TN201908181","TN201908181@prod")</f>
        <v>TN201908181@prod</v>
      </c>
      <c r="O2147" t="str">
        <f>HYPERLINK("https://ictv.global/id/ICTV201908181","ICTV201908181@prod")</f>
        <v>ICTV201908181@prod</v>
      </c>
    </row>
    <row r="2148" spans="1:15" x14ac:dyDescent="0.2">
      <c r="A2148">
        <v>36</v>
      </c>
      <c r="B2148">
        <v>202000190</v>
      </c>
      <c r="C2148">
        <v>19980001</v>
      </c>
      <c r="D2148" t="s">
        <v>1094</v>
      </c>
      <c r="E2148" t="s">
        <v>2327</v>
      </c>
      <c r="G2148" t="s">
        <v>1165</v>
      </c>
      <c r="L2148" t="str">
        <f>HYPERLINK("https://test.ictv.global/id/TN202000190","TN202000190@TEST")</f>
        <v>TN202000190@TEST</v>
      </c>
      <c r="M2148" t="str">
        <f>HYPERLINK("https://test.ictv.global/id/ICTV19980001","ICTV19980001@TEST")</f>
        <v>ICTV19980001@TEST</v>
      </c>
      <c r="N2148" t="str">
        <f>HYPERLINK("https://ictv.global/id/TN202000190","TN202000190@prod")</f>
        <v>TN202000190@prod</v>
      </c>
      <c r="O2148" t="str">
        <f>HYPERLINK("https://ictv.global/id/ICTV19980001","ICTV19980001@prod")</f>
        <v>ICTV19980001@prod</v>
      </c>
    </row>
    <row r="2149" spans="1:15" x14ac:dyDescent="0.2">
      <c r="A2149">
        <v>36</v>
      </c>
      <c r="B2149">
        <v>202000191</v>
      </c>
      <c r="C2149">
        <v>19810015</v>
      </c>
      <c r="D2149" t="s">
        <v>23</v>
      </c>
      <c r="E2149" t="s">
        <v>2328</v>
      </c>
      <c r="G2149" t="s">
        <v>1165</v>
      </c>
      <c r="L2149" t="str">
        <f>HYPERLINK("https://test.ictv.global/id/TN202000191","TN202000191@TEST")</f>
        <v>TN202000191@TEST</v>
      </c>
      <c r="M2149" t="str">
        <f>HYPERLINK("https://test.ictv.global/id/ICTV19810015","ICTV19810015@TEST")</f>
        <v>ICTV19810015@TEST</v>
      </c>
      <c r="N2149" t="str">
        <f>HYPERLINK("https://ictv.global/id/TN202000191","TN202000191@prod")</f>
        <v>TN202000191@prod</v>
      </c>
      <c r="O2149" t="str">
        <f>HYPERLINK("https://ictv.global/id/ICTV19810015","ICTV19810015@prod")</f>
        <v>ICTV19810015@prod</v>
      </c>
    </row>
    <row r="2150" spans="1:15" x14ac:dyDescent="0.2">
      <c r="A2150">
        <v>36</v>
      </c>
      <c r="B2150">
        <v>202000225</v>
      </c>
      <c r="C2150">
        <v>20115499</v>
      </c>
      <c r="D2150" t="s">
        <v>26</v>
      </c>
      <c r="E2150" t="s">
        <v>1083</v>
      </c>
      <c r="G2150" t="s">
        <v>21</v>
      </c>
      <c r="H2150" t="s">
        <v>1084</v>
      </c>
      <c r="I2150" t="s">
        <v>23</v>
      </c>
      <c r="J2150">
        <v>20115499</v>
      </c>
      <c r="K2150">
        <v>202100225</v>
      </c>
      <c r="L2150" t="str">
        <f>HYPERLINK("https://test.ictv.global/id/TN202000225","TN202000225@TEST")</f>
        <v>TN202000225@TEST</v>
      </c>
      <c r="M2150" t="str">
        <f>HYPERLINK("https://test.ictv.global/id/ICTV20115499","ICTV20115499@TEST")</f>
        <v>ICTV20115499@TEST</v>
      </c>
      <c r="N2150" t="str">
        <f>HYPERLINK("https://ictv.global/id/TN202000225","TN202000225@prod")</f>
        <v>TN202000225@prod</v>
      </c>
      <c r="O2150" t="str">
        <f>HYPERLINK("https://ictv.global/id/ICTV20115499","ICTV20115499@prod")</f>
        <v>ICTV20115499@prod</v>
      </c>
    </row>
    <row r="2151" spans="1:15" x14ac:dyDescent="0.2">
      <c r="A2151">
        <v>36</v>
      </c>
      <c r="B2151">
        <v>202000297</v>
      </c>
      <c r="C2151">
        <v>20164841</v>
      </c>
      <c r="D2151" t="s">
        <v>29</v>
      </c>
      <c r="E2151" t="s">
        <v>2329</v>
      </c>
      <c r="F2151" t="s">
        <v>2330</v>
      </c>
      <c r="G2151" t="s">
        <v>1165</v>
      </c>
      <c r="L2151" t="str">
        <f>HYPERLINK("https://test.ictv.global/id/TN202000297","TN202000297@TEST")</f>
        <v>TN202000297@TEST</v>
      </c>
      <c r="M2151" t="str">
        <f>HYPERLINK("https://test.ictv.global/id/ICTV20164841","ICTV20164841@TEST")</f>
        <v>ICTV20164841@TEST</v>
      </c>
      <c r="N2151" t="str">
        <f>HYPERLINK("https://ictv.global/id/TN202000297","TN202000297@prod")</f>
        <v>TN202000297@prod</v>
      </c>
      <c r="O2151" t="str">
        <f>HYPERLINK("https://ictv.global/id/ICTV20164841","ICTV20164841@prod")</f>
        <v>ICTV20164841@prod</v>
      </c>
    </row>
    <row r="2152" spans="1:15" x14ac:dyDescent="0.2">
      <c r="A2152">
        <v>36</v>
      </c>
      <c r="B2152">
        <v>202000540</v>
      </c>
      <c r="C2152">
        <v>19810024</v>
      </c>
      <c r="D2152" t="s">
        <v>23</v>
      </c>
      <c r="E2152" t="s">
        <v>2331</v>
      </c>
      <c r="G2152" t="s">
        <v>1165</v>
      </c>
      <c r="L2152" t="str">
        <f>HYPERLINK("https://test.ictv.global/id/TN202000540","TN202000540@TEST")</f>
        <v>TN202000540@TEST</v>
      </c>
      <c r="M2152" t="str">
        <f>HYPERLINK("https://test.ictv.global/id/ICTV19810024","ICTV19810024@TEST")</f>
        <v>ICTV19810024@TEST</v>
      </c>
      <c r="N2152" t="str">
        <f>HYPERLINK("https://ictv.global/id/TN202000540","TN202000540@prod")</f>
        <v>TN202000540@prod</v>
      </c>
      <c r="O2152" t="str">
        <f>HYPERLINK("https://ictv.global/id/ICTV19810024","ICTV19810024@prod")</f>
        <v>ICTV19810024@prod</v>
      </c>
    </row>
    <row r="2153" spans="1:15" x14ac:dyDescent="0.2">
      <c r="A2153">
        <v>36</v>
      </c>
      <c r="B2153">
        <v>202000713</v>
      </c>
      <c r="C2153">
        <v>19840033</v>
      </c>
      <c r="D2153" t="s">
        <v>23</v>
      </c>
      <c r="E2153" t="s">
        <v>2332</v>
      </c>
      <c r="G2153" t="s">
        <v>1165</v>
      </c>
      <c r="L2153" t="str">
        <f>HYPERLINK("https://test.ictv.global/id/TN202000713","TN202000713@TEST")</f>
        <v>TN202000713@TEST</v>
      </c>
      <c r="M2153" t="str">
        <f>HYPERLINK("https://test.ictv.global/id/ICTV19840033","ICTV19840033@TEST")</f>
        <v>ICTV19840033@TEST</v>
      </c>
      <c r="N2153" t="str">
        <f>HYPERLINK("https://ictv.global/id/TN202000713","TN202000713@prod")</f>
        <v>TN202000713@prod</v>
      </c>
      <c r="O2153" t="str">
        <f>HYPERLINK("https://ictv.global/id/ICTV19840033","ICTV19840033@prod")</f>
        <v>ICTV19840033@prod</v>
      </c>
    </row>
    <row r="2154" spans="1:15" x14ac:dyDescent="0.2">
      <c r="A2154">
        <v>36</v>
      </c>
      <c r="B2154">
        <v>202001948</v>
      </c>
      <c r="C2154">
        <v>20083296</v>
      </c>
      <c r="D2154" t="s">
        <v>29</v>
      </c>
      <c r="E2154" t="s">
        <v>2333</v>
      </c>
      <c r="G2154" t="s">
        <v>1165</v>
      </c>
      <c r="L2154" t="str">
        <f>HYPERLINK("https://test.ictv.global/id/TN202001948","TN202001948@TEST")</f>
        <v>TN202001948@TEST</v>
      </c>
      <c r="M2154" t="str">
        <f>HYPERLINK("https://test.ictv.global/id/ICTV20083296","ICTV20083296@TEST")</f>
        <v>ICTV20083296@TEST</v>
      </c>
      <c r="N2154" t="str">
        <f>HYPERLINK("https://ictv.global/id/TN202001948","TN202001948@prod")</f>
        <v>TN202001948@prod</v>
      </c>
      <c r="O2154" t="str">
        <f>HYPERLINK("https://ictv.global/id/ICTV20083296","ICTV20083296@prod")</f>
        <v>ICTV20083296@prod</v>
      </c>
    </row>
    <row r="2155" spans="1:15" x14ac:dyDescent="0.2">
      <c r="A2155">
        <v>36</v>
      </c>
      <c r="B2155">
        <v>202002849</v>
      </c>
      <c r="C2155">
        <v>19952320</v>
      </c>
      <c r="D2155" t="s">
        <v>29</v>
      </c>
      <c r="E2155" t="s">
        <v>2334</v>
      </c>
      <c r="G2155" t="s">
        <v>1165</v>
      </c>
      <c r="L2155" t="str">
        <f>HYPERLINK("https://test.ictv.global/id/TN202002849","TN202002849@TEST")</f>
        <v>TN202002849@TEST</v>
      </c>
      <c r="M2155" t="str">
        <f>HYPERLINK("https://test.ictv.global/id/ICTV19952320","ICTV19952320@TEST")</f>
        <v>ICTV19952320@TEST</v>
      </c>
      <c r="N2155" t="str">
        <f>HYPERLINK("https://ictv.global/id/TN202002849","TN202002849@prod")</f>
        <v>TN202002849@prod</v>
      </c>
      <c r="O2155" t="str">
        <f>HYPERLINK("https://ictv.global/id/ICTV19952320","ICTV19952320@prod")</f>
        <v>ICTV19952320@prod</v>
      </c>
    </row>
    <row r="2156" spans="1:15" x14ac:dyDescent="0.2">
      <c r="A2156">
        <v>36</v>
      </c>
      <c r="B2156">
        <v>202003020</v>
      </c>
      <c r="C2156">
        <v>20020814</v>
      </c>
      <c r="D2156" t="s">
        <v>29</v>
      </c>
      <c r="E2156" t="s">
        <v>2335</v>
      </c>
      <c r="G2156" t="s">
        <v>1165</v>
      </c>
      <c r="L2156" t="str">
        <f>HYPERLINK("https://test.ictv.global/id/TN202003020","TN202003020@TEST")</f>
        <v>TN202003020@TEST</v>
      </c>
      <c r="M2156" t="str">
        <f>HYPERLINK("https://test.ictv.global/id/ICTV20020814","ICTV20020814@TEST")</f>
        <v>ICTV20020814@TEST</v>
      </c>
      <c r="N2156" t="str">
        <f>HYPERLINK("https://ictv.global/id/TN202003020","TN202003020@prod")</f>
        <v>TN202003020@prod</v>
      </c>
      <c r="O2156" t="str">
        <f>HYPERLINK("https://ictv.global/id/ICTV20020814","ICTV20020814@prod")</f>
        <v>ICTV20020814@prod</v>
      </c>
    </row>
    <row r="2157" spans="1:15" x14ac:dyDescent="0.2">
      <c r="A2157">
        <v>36</v>
      </c>
      <c r="B2157">
        <v>202003022</v>
      </c>
      <c r="C2157">
        <v>20020817</v>
      </c>
      <c r="D2157" t="s">
        <v>29</v>
      </c>
      <c r="E2157" t="s">
        <v>2336</v>
      </c>
      <c r="G2157" t="s">
        <v>1165</v>
      </c>
      <c r="L2157" t="str">
        <f>HYPERLINK("https://test.ictv.global/id/TN202003022","TN202003022@TEST")</f>
        <v>TN202003022@TEST</v>
      </c>
      <c r="M2157" t="str">
        <f>HYPERLINK("https://test.ictv.global/id/ICTV20020817","ICTV20020817@TEST")</f>
        <v>ICTV20020817@TEST</v>
      </c>
      <c r="N2157" t="str">
        <f>HYPERLINK("https://ictv.global/id/TN202003022","TN202003022@prod")</f>
        <v>TN202003022@prod</v>
      </c>
      <c r="O2157" t="str">
        <f>HYPERLINK("https://ictv.global/id/ICTV20020817","ICTV20020817@prod")</f>
        <v>ICTV20020817@prod</v>
      </c>
    </row>
    <row r="2158" spans="1:15" x14ac:dyDescent="0.2">
      <c r="A2158">
        <v>36</v>
      </c>
      <c r="B2158">
        <v>202003641</v>
      </c>
      <c r="C2158">
        <v>20040269</v>
      </c>
      <c r="D2158" t="s">
        <v>19</v>
      </c>
      <c r="E2158" t="s">
        <v>2337</v>
      </c>
      <c r="G2158" t="s">
        <v>1165</v>
      </c>
      <c r="L2158" t="str">
        <f>HYPERLINK("https://test.ictv.global/id/TN202003641","TN202003641@TEST")</f>
        <v>TN202003641@TEST</v>
      </c>
      <c r="M2158" t="str">
        <f>HYPERLINK("https://test.ictv.global/id/ICTV20040269","ICTV20040269@TEST")</f>
        <v>ICTV20040269@TEST</v>
      </c>
      <c r="N2158" t="str">
        <f>HYPERLINK("https://ictv.global/id/TN202003641","TN202003641@prod")</f>
        <v>TN202003641@prod</v>
      </c>
      <c r="O2158" t="str">
        <f>HYPERLINK("https://ictv.global/id/ICTV20040269","ICTV20040269@prod")</f>
        <v>ICTV20040269@prod</v>
      </c>
    </row>
    <row r="2159" spans="1:15" x14ac:dyDescent="0.2">
      <c r="A2159">
        <v>36</v>
      </c>
      <c r="B2159">
        <v>202003642</v>
      </c>
      <c r="C2159">
        <v>19982697</v>
      </c>
      <c r="D2159" t="s">
        <v>29</v>
      </c>
      <c r="E2159" t="s">
        <v>2338</v>
      </c>
      <c r="G2159" t="s">
        <v>1165</v>
      </c>
      <c r="L2159" t="str">
        <f>HYPERLINK("https://test.ictv.global/id/TN202003642","TN202003642@TEST")</f>
        <v>TN202003642@TEST</v>
      </c>
      <c r="M2159" t="str">
        <f>HYPERLINK("https://test.ictv.global/id/ICTV19982697","ICTV19982697@TEST")</f>
        <v>ICTV19982697@TEST</v>
      </c>
      <c r="N2159" t="str">
        <f>HYPERLINK("https://ictv.global/id/TN202003642","TN202003642@prod")</f>
        <v>TN202003642@prod</v>
      </c>
      <c r="O2159" t="str">
        <f>HYPERLINK("https://ictv.global/id/ICTV19982697","ICTV19982697@prod")</f>
        <v>ICTV19982697@prod</v>
      </c>
    </row>
    <row r="2160" spans="1:15" x14ac:dyDescent="0.2">
      <c r="A2160">
        <v>36</v>
      </c>
      <c r="B2160">
        <v>202003664</v>
      </c>
      <c r="C2160">
        <v>19980364</v>
      </c>
      <c r="D2160" t="s">
        <v>19</v>
      </c>
      <c r="E2160" t="s">
        <v>2339</v>
      </c>
      <c r="G2160" t="s">
        <v>1165</v>
      </c>
      <c r="L2160" t="str">
        <f>HYPERLINK("https://test.ictv.global/id/TN202003664","TN202003664@TEST")</f>
        <v>TN202003664@TEST</v>
      </c>
      <c r="M2160" t="str">
        <f>HYPERLINK("https://test.ictv.global/id/ICTV19980364","ICTV19980364@TEST")</f>
        <v>ICTV19980364@TEST</v>
      </c>
      <c r="N2160" t="str">
        <f>HYPERLINK("https://ictv.global/id/TN202003664","TN202003664@prod")</f>
        <v>TN202003664@prod</v>
      </c>
      <c r="O2160" t="str">
        <f>HYPERLINK("https://ictv.global/id/ICTV19980364","ICTV19980364@prod")</f>
        <v>ICTV19980364@prod</v>
      </c>
    </row>
    <row r="2161" spans="1:15" x14ac:dyDescent="0.2">
      <c r="A2161">
        <v>36</v>
      </c>
      <c r="B2161">
        <v>202003673</v>
      </c>
      <c r="C2161">
        <v>19930159</v>
      </c>
      <c r="D2161" t="s">
        <v>19</v>
      </c>
      <c r="E2161" t="s">
        <v>2340</v>
      </c>
      <c r="G2161" t="s">
        <v>1165</v>
      </c>
      <c r="L2161" t="str">
        <f>HYPERLINK("https://test.ictv.global/id/TN202003673","TN202003673@TEST")</f>
        <v>TN202003673@TEST</v>
      </c>
      <c r="M2161" t="str">
        <f>HYPERLINK("https://test.ictv.global/id/ICTV19930159","ICTV19930159@TEST")</f>
        <v>ICTV19930159@TEST</v>
      </c>
      <c r="N2161" t="str">
        <f>HYPERLINK("https://ictv.global/id/TN202003673","TN202003673@prod")</f>
        <v>TN202003673@prod</v>
      </c>
      <c r="O2161" t="str">
        <f>HYPERLINK("https://ictv.global/id/ICTV19930159","ICTV19930159@prod")</f>
        <v>ICTV19930159@prod</v>
      </c>
    </row>
    <row r="2162" spans="1:15" x14ac:dyDescent="0.2">
      <c r="A2162">
        <v>36</v>
      </c>
      <c r="B2162">
        <v>202003910</v>
      </c>
      <c r="C2162">
        <v>19980262</v>
      </c>
      <c r="D2162" t="s">
        <v>19</v>
      </c>
      <c r="E2162" t="s">
        <v>2341</v>
      </c>
      <c r="G2162" t="s">
        <v>1165</v>
      </c>
      <c r="L2162" t="str">
        <f>HYPERLINK("https://test.ictv.global/id/TN202003910","TN202003910@TEST")</f>
        <v>TN202003910@TEST</v>
      </c>
      <c r="M2162" t="str">
        <f>HYPERLINK("https://test.ictv.global/id/ICTV19980262","ICTV19980262@TEST")</f>
        <v>ICTV19980262@TEST</v>
      </c>
      <c r="N2162" t="str">
        <f>HYPERLINK("https://ictv.global/id/TN202003910","TN202003910@prod")</f>
        <v>TN202003910@prod</v>
      </c>
      <c r="O2162" t="str">
        <f>HYPERLINK("https://ictv.global/id/ICTV19980262","ICTV19980262@prod")</f>
        <v>ICTV19980262@prod</v>
      </c>
    </row>
    <row r="2163" spans="1:15" x14ac:dyDescent="0.2">
      <c r="A2163">
        <v>36</v>
      </c>
      <c r="B2163">
        <v>202004736</v>
      </c>
      <c r="C2163">
        <v>20041835</v>
      </c>
      <c r="D2163" t="s">
        <v>29</v>
      </c>
      <c r="E2163" t="s">
        <v>2342</v>
      </c>
      <c r="G2163" t="s">
        <v>1165</v>
      </c>
      <c r="L2163" t="str">
        <f>HYPERLINK("https://test.ictv.global/id/TN202004736","TN202004736@TEST")</f>
        <v>TN202004736@TEST</v>
      </c>
      <c r="M2163" t="str">
        <f>HYPERLINK("https://test.ictv.global/id/ICTV20041835","ICTV20041835@TEST")</f>
        <v>ICTV20041835@TEST</v>
      </c>
      <c r="N2163" t="str">
        <f>HYPERLINK("https://ictv.global/id/TN202004736","TN202004736@prod")</f>
        <v>TN202004736@prod</v>
      </c>
      <c r="O2163" t="str">
        <f>HYPERLINK("https://ictv.global/id/ICTV20041835","ICTV20041835@prod")</f>
        <v>ICTV20041835@prod</v>
      </c>
    </row>
    <row r="2164" spans="1:15" x14ac:dyDescent="0.2">
      <c r="A2164">
        <v>36</v>
      </c>
      <c r="B2164">
        <v>202004871</v>
      </c>
      <c r="C2164">
        <v>19740005</v>
      </c>
      <c r="D2164" t="s">
        <v>23</v>
      </c>
      <c r="E2164" t="s">
        <v>2343</v>
      </c>
      <c r="G2164" t="s">
        <v>1165</v>
      </c>
      <c r="L2164" t="str">
        <f>HYPERLINK("https://test.ictv.global/id/TN202004871","TN202004871@TEST")</f>
        <v>TN202004871@TEST</v>
      </c>
      <c r="M2164" t="str">
        <f>HYPERLINK("https://test.ictv.global/id/ICTV19740005","ICTV19740005@TEST")</f>
        <v>ICTV19740005@TEST</v>
      </c>
      <c r="N2164" t="str">
        <f>HYPERLINK("https://ictv.global/id/TN202004871","TN202004871@prod")</f>
        <v>TN202004871@prod</v>
      </c>
      <c r="O2164" t="str">
        <f>HYPERLINK("https://ictv.global/id/ICTV19740005","ICTV19740005@prod")</f>
        <v>ICTV19740005@prod</v>
      </c>
    </row>
    <row r="2165" spans="1:15" x14ac:dyDescent="0.2">
      <c r="A2165">
        <v>36</v>
      </c>
      <c r="B2165">
        <v>202004872</v>
      </c>
      <c r="C2165">
        <v>20090683</v>
      </c>
      <c r="D2165" t="s">
        <v>26</v>
      </c>
      <c r="E2165" t="s">
        <v>1085</v>
      </c>
      <c r="G2165" t="s">
        <v>21</v>
      </c>
      <c r="H2165" t="s">
        <v>1086</v>
      </c>
      <c r="I2165" t="s">
        <v>23</v>
      </c>
      <c r="J2165">
        <v>20090683</v>
      </c>
      <c r="K2165">
        <v>202104872</v>
      </c>
      <c r="L2165" t="str">
        <f>HYPERLINK("https://test.ictv.global/id/TN202004872","TN202004872@TEST")</f>
        <v>TN202004872@TEST</v>
      </c>
      <c r="M2165" t="str">
        <f>HYPERLINK("https://test.ictv.global/id/ICTV20090683","ICTV20090683@TEST")</f>
        <v>ICTV20090683@TEST</v>
      </c>
      <c r="N2165" t="str">
        <f>HYPERLINK("https://ictv.global/id/TN202004872","TN202004872@prod")</f>
        <v>TN202004872@prod</v>
      </c>
      <c r="O2165" t="str">
        <f>HYPERLINK("https://ictv.global/id/ICTV20090683","ICTV20090683@prod")</f>
        <v>ICTV20090683@prod</v>
      </c>
    </row>
    <row r="2166" spans="1:15" x14ac:dyDescent="0.2">
      <c r="A2166">
        <v>36</v>
      </c>
      <c r="B2166">
        <v>202004918</v>
      </c>
      <c r="C2166">
        <v>20090684</v>
      </c>
      <c r="D2166" t="s">
        <v>26</v>
      </c>
      <c r="E2166" t="s">
        <v>1087</v>
      </c>
      <c r="G2166" t="s">
        <v>21</v>
      </c>
      <c r="H2166" t="s">
        <v>1088</v>
      </c>
      <c r="I2166" t="s">
        <v>23</v>
      </c>
      <c r="J2166">
        <v>20090684</v>
      </c>
      <c r="K2166">
        <v>202104918</v>
      </c>
      <c r="L2166" t="str">
        <f>HYPERLINK("https://test.ictv.global/id/TN202004918","TN202004918@TEST")</f>
        <v>TN202004918@TEST</v>
      </c>
      <c r="M2166" t="str">
        <f>HYPERLINK("https://test.ictv.global/id/ICTV20090684","ICTV20090684@TEST")</f>
        <v>ICTV20090684@TEST</v>
      </c>
      <c r="N2166" t="str">
        <f>HYPERLINK("https://ictv.global/id/TN202004918","TN202004918@prod")</f>
        <v>TN202004918@prod</v>
      </c>
      <c r="O2166" t="str">
        <f>HYPERLINK("https://ictv.global/id/ICTV20090684","ICTV20090684@prod")</f>
        <v>ICTV20090684@prod</v>
      </c>
    </row>
    <row r="2167" spans="1:15" x14ac:dyDescent="0.2">
      <c r="A2167">
        <v>36</v>
      </c>
      <c r="B2167">
        <v>202005490</v>
      </c>
      <c r="C2167">
        <v>20175490</v>
      </c>
      <c r="D2167" t="s">
        <v>29</v>
      </c>
      <c r="E2167" t="s">
        <v>2344</v>
      </c>
      <c r="G2167" t="s">
        <v>1165</v>
      </c>
      <c r="L2167" t="str">
        <f>HYPERLINK("https://test.ictv.global/id/TN202005490","TN202005490@TEST")</f>
        <v>TN202005490@TEST</v>
      </c>
      <c r="M2167" t="str">
        <f>HYPERLINK("https://test.ictv.global/id/ICTV20175490","ICTV20175490@TEST")</f>
        <v>ICTV20175490@TEST</v>
      </c>
      <c r="N2167" t="str">
        <f>HYPERLINK("https://ictv.global/id/TN202005490","TN202005490@prod")</f>
        <v>TN202005490@prod</v>
      </c>
      <c r="O2167" t="str">
        <f>HYPERLINK("https://ictv.global/id/ICTV20175490","ICTV20175490@prod")</f>
        <v>ICTV20175490@prod</v>
      </c>
    </row>
    <row r="2168" spans="1:15" x14ac:dyDescent="0.2">
      <c r="A2168">
        <v>36</v>
      </c>
      <c r="B2168">
        <v>202005530</v>
      </c>
      <c r="C2168">
        <v>20175530</v>
      </c>
      <c r="D2168" t="s">
        <v>19</v>
      </c>
      <c r="E2168" t="s">
        <v>2345</v>
      </c>
      <c r="G2168" t="s">
        <v>1165</v>
      </c>
      <c r="L2168" t="str">
        <f>HYPERLINK("https://test.ictv.global/id/TN202005530","TN202005530@TEST")</f>
        <v>TN202005530@TEST</v>
      </c>
      <c r="M2168" t="str">
        <f>HYPERLINK("https://test.ictv.global/id/ICTV20175530","ICTV20175530@TEST")</f>
        <v>ICTV20175530@TEST</v>
      </c>
      <c r="N2168" t="str">
        <f>HYPERLINK("https://ictv.global/id/TN202005530","TN202005530@prod")</f>
        <v>TN202005530@prod</v>
      </c>
      <c r="O2168" t="str">
        <f>HYPERLINK("https://ictv.global/id/ICTV20175530","ICTV20175530@prod")</f>
        <v>ICTV20175530@prod</v>
      </c>
    </row>
    <row r="2169" spans="1:15" x14ac:dyDescent="0.2">
      <c r="A2169">
        <v>36</v>
      </c>
      <c r="B2169">
        <v>202005536</v>
      </c>
      <c r="C2169">
        <v>20175536</v>
      </c>
      <c r="D2169" t="s">
        <v>19</v>
      </c>
      <c r="E2169" t="s">
        <v>2346</v>
      </c>
      <c r="G2169" t="s">
        <v>1165</v>
      </c>
      <c r="L2169" t="str">
        <f>HYPERLINK("https://test.ictv.global/id/TN202005536","TN202005536@TEST")</f>
        <v>TN202005536@TEST</v>
      </c>
      <c r="M2169" t="str">
        <f>HYPERLINK("https://test.ictv.global/id/ICTV20175536","ICTV20175536@TEST")</f>
        <v>ICTV20175536@TEST</v>
      </c>
      <c r="N2169" t="str">
        <f>HYPERLINK("https://ictv.global/id/TN202005536","TN202005536@prod")</f>
        <v>TN202005536@prod</v>
      </c>
      <c r="O2169" t="str">
        <f>HYPERLINK("https://ictv.global/id/ICTV20175536","ICTV20175536@prod")</f>
        <v>ICTV20175536@prod</v>
      </c>
    </row>
    <row r="2170" spans="1:15" x14ac:dyDescent="0.2">
      <c r="A2170">
        <v>36</v>
      </c>
      <c r="B2170">
        <v>202006176</v>
      </c>
      <c r="C2170">
        <v>20186176</v>
      </c>
      <c r="D2170" t="s">
        <v>26</v>
      </c>
      <c r="E2170" t="s">
        <v>2347</v>
      </c>
      <c r="G2170" t="s">
        <v>1165</v>
      </c>
      <c r="L2170" t="str">
        <f>HYPERLINK("https://test.ictv.global/id/TN202006176","TN202006176@TEST")</f>
        <v>TN202006176@TEST</v>
      </c>
      <c r="M2170" t="str">
        <f>HYPERLINK("https://test.ictv.global/id/ICTV20186176","ICTV20186176@TEST")</f>
        <v>ICTV20186176@TEST</v>
      </c>
      <c r="N2170" t="str">
        <f>HYPERLINK("https://ictv.global/id/TN202006176","TN202006176@prod")</f>
        <v>TN202006176@prod</v>
      </c>
      <c r="O2170" t="str">
        <f>HYPERLINK("https://ictv.global/id/ICTV20186176","ICTV20186176@prod")</f>
        <v>ICTV20186176@prod</v>
      </c>
    </row>
    <row r="2171" spans="1:15" x14ac:dyDescent="0.2">
      <c r="A2171">
        <v>36</v>
      </c>
      <c r="B2171">
        <v>202006191</v>
      </c>
      <c r="C2171">
        <v>20186191</v>
      </c>
      <c r="D2171" t="s">
        <v>26</v>
      </c>
      <c r="E2171" t="s">
        <v>2348</v>
      </c>
      <c r="G2171" t="s">
        <v>1165</v>
      </c>
      <c r="L2171" t="str">
        <f>HYPERLINK("https://test.ictv.global/id/TN202006191","TN202006191@TEST")</f>
        <v>TN202006191@TEST</v>
      </c>
      <c r="M2171" t="str">
        <f>HYPERLINK("https://test.ictv.global/id/ICTV20186191","ICTV20186191@TEST")</f>
        <v>ICTV20186191@TEST</v>
      </c>
      <c r="N2171" t="str">
        <f>HYPERLINK("https://ictv.global/id/TN202006191","TN202006191@prod")</f>
        <v>TN202006191@prod</v>
      </c>
      <c r="O2171" t="str">
        <f>HYPERLINK("https://ictv.global/id/ICTV20186191","ICTV20186191@prod")</f>
        <v>ICTV20186191@prod</v>
      </c>
    </row>
    <row r="2172" spans="1:15" x14ac:dyDescent="0.2">
      <c r="A2172">
        <v>36</v>
      </c>
      <c r="B2172">
        <v>202006264</v>
      </c>
      <c r="C2172">
        <v>20186264</v>
      </c>
      <c r="D2172" t="s">
        <v>29</v>
      </c>
      <c r="E2172" t="s">
        <v>2349</v>
      </c>
      <c r="F2172" t="s">
        <v>2350</v>
      </c>
      <c r="G2172" t="s">
        <v>1165</v>
      </c>
      <c r="L2172" t="str">
        <f>HYPERLINK("https://test.ictv.global/id/TN202006264","TN202006264@TEST")</f>
        <v>TN202006264@TEST</v>
      </c>
      <c r="M2172" t="str">
        <f>HYPERLINK("https://test.ictv.global/id/ICTV20186264","ICTV20186264@TEST")</f>
        <v>ICTV20186264@TEST</v>
      </c>
      <c r="N2172" t="str">
        <f>HYPERLINK("https://ictv.global/id/TN202006264","TN202006264@prod")</f>
        <v>TN202006264@prod</v>
      </c>
      <c r="O2172" t="str">
        <f>HYPERLINK("https://ictv.global/id/ICTV20186264","ICTV20186264@prod")</f>
        <v>ICTV20186264@prod</v>
      </c>
    </row>
    <row r="2173" spans="1:15" x14ac:dyDescent="0.2">
      <c r="A2173">
        <v>36</v>
      </c>
      <c r="B2173">
        <v>202006681</v>
      </c>
      <c r="C2173">
        <v>201856681</v>
      </c>
      <c r="D2173" t="s">
        <v>29</v>
      </c>
      <c r="E2173" t="s">
        <v>2351</v>
      </c>
      <c r="F2173" t="s">
        <v>2352</v>
      </c>
      <c r="G2173" t="s">
        <v>1165</v>
      </c>
      <c r="L2173" t="str">
        <f>HYPERLINK("https://test.ictv.global/id/TN202006681","TN202006681@TEST")</f>
        <v>TN202006681@TEST</v>
      </c>
      <c r="M2173" t="str">
        <f>HYPERLINK("https://test.ictv.global/id/ICTV201856681","ICTV201856681@TEST")</f>
        <v>ICTV201856681@TEST</v>
      </c>
      <c r="N2173" t="str">
        <f>HYPERLINK("https://ictv.global/id/TN202006681","TN202006681@prod")</f>
        <v>TN202006681@prod</v>
      </c>
      <c r="O2173" t="str">
        <f>HYPERLINK("https://ictv.global/id/ICTV201856681","ICTV201856681@prod")</f>
        <v>ICTV201856681@prod</v>
      </c>
    </row>
    <row r="2174" spans="1:15" x14ac:dyDescent="0.2">
      <c r="A2174">
        <v>36</v>
      </c>
      <c r="B2174">
        <v>202006682</v>
      </c>
      <c r="C2174">
        <v>201856682</v>
      </c>
      <c r="D2174" t="s">
        <v>29</v>
      </c>
      <c r="E2174" t="s">
        <v>2353</v>
      </c>
      <c r="F2174" t="s">
        <v>2354</v>
      </c>
      <c r="G2174" t="s">
        <v>1165</v>
      </c>
      <c r="L2174" t="str">
        <f>HYPERLINK("https://test.ictv.global/id/TN202006682","TN202006682@TEST")</f>
        <v>TN202006682@TEST</v>
      </c>
      <c r="M2174" t="str">
        <f>HYPERLINK("https://test.ictv.global/id/ICTV201856682","ICTV201856682@TEST")</f>
        <v>ICTV201856682@TEST</v>
      </c>
      <c r="N2174" t="str">
        <f>HYPERLINK("https://ictv.global/id/TN202006682","TN202006682@prod")</f>
        <v>TN202006682@prod</v>
      </c>
      <c r="O2174" t="str">
        <f>HYPERLINK("https://ictv.global/id/ICTV201856682","ICTV201856682@prod")</f>
        <v>ICTV201856682@prod</v>
      </c>
    </row>
    <row r="2175" spans="1:15" x14ac:dyDescent="0.2">
      <c r="A2175">
        <v>36</v>
      </c>
      <c r="B2175">
        <v>202007036</v>
      </c>
      <c r="C2175">
        <v>201857036</v>
      </c>
      <c r="D2175" t="s">
        <v>29</v>
      </c>
      <c r="E2175" t="s">
        <v>2355</v>
      </c>
      <c r="F2175" t="s">
        <v>2356</v>
      </c>
      <c r="G2175" t="s">
        <v>1165</v>
      </c>
      <c r="L2175" t="str">
        <f>HYPERLINK("https://test.ictv.global/id/TN202007036","TN202007036@TEST")</f>
        <v>TN202007036@TEST</v>
      </c>
      <c r="M2175" t="str">
        <f>HYPERLINK("https://test.ictv.global/id/ICTV201857036","ICTV201857036@TEST")</f>
        <v>ICTV201857036@TEST</v>
      </c>
      <c r="N2175" t="str">
        <f>HYPERLINK("https://ictv.global/id/TN202007036","TN202007036@prod")</f>
        <v>TN202007036@prod</v>
      </c>
      <c r="O2175" t="str">
        <f>HYPERLINK("https://ictv.global/id/ICTV201857036","ICTV201857036@prod")</f>
        <v>ICTV201857036@prod</v>
      </c>
    </row>
    <row r="2176" spans="1:15" x14ac:dyDescent="0.2">
      <c r="A2176">
        <v>36</v>
      </c>
      <c r="B2176">
        <v>202007043</v>
      </c>
      <c r="C2176">
        <v>201857043</v>
      </c>
      <c r="D2176" t="s">
        <v>29</v>
      </c>
      <c r="E2176" t="s">
        <v>2357</v>
      </c>
      <c r="F2176" t="s">
        <v>2358</v>
      </c>
      <c r="G2176" t="s">
        <v>1165</v>
      </c>
      <c r="L2176" t="str">
        <f>HYPERLINK("https://test.ictv.global/id/TN202007043","TN202007043@TEST")</f>
        <v>TN202007043@TEST</v>
      </c>
      <c r="M2176" t="str">
        <f>HYPERLINK("https://test.ictv.global/id/ICTV201857043","ICTV201857043@TEST")</f>
        <v>ICTV201857043@TEST</v>
      </c>
      <c r="N2176" t="str">
        <f>HYPERLINK("https://ictv.global/id/TN202007043","TN202007043@prod")</f>
        <v>TN202007043@prod</v>
      </c>
      <c r="O2176" t="str">
        <f>HYPERLINK("https://ictv.global/id/ICTV201857043","ICTV201857043@prod")</f>
        <v>ICTV201857043@prod</v>
      </c>
    </row>
    <row r="2177" spans="1:15" x14ac:dyDescent="0.2">
      <c r="A2177">
        <v>36</v>
      </c>
      <c r="B2177">
        <v>202007046</v>
      </c>
      <c r="C2177">
        <v>201857046</v>
      </c>
      <c r="D2177" t="s">
        <v>29</v>
      </c>
      <c r="E2177" t="s">
        <v>2359</v>
      </c>
      <c r="F2177" t="s">
        <v>2360</v>
      </c>
      <c r="G2177" t="s">
        <v>1165</v>
      </c>
      <c r="L2177" t="str">
        <f>HYPERLINK("https://test.ictv.global/id/TN202007046","TN202007046@TEST")</f>
        <v>TN202007046@TEST</v>
      </c>
      <c r="M2177" t="str">
        <f>HYPERLINK("https://test.ictv.global/id/ICTV201857046","ICTV201857046@TEST")</f>
        <v>ICTV201857046@TEST</v>
      </c>
      <c r="N2177" t="str">
        <f>HYPERLINK("https://ictv.global/id/TN202007046","TN202007046@prod")</f>
        <v>TN202007046@prod</v>
      </c>
      <c r="O2177" t="str">
        <f>HYPERLINK("https://ictv.global/id/ICTV201857046","ICTV201857046@prod")</f>
        <v>ICTV201857046@prod</v>
      </c>
    </row>
    <row r="2178" spans="1:15" x14ac:dyDescent="0.2">
      <c r="A2178">
        <v>36</v>
      </c>
      <c r="B2178">
        <v>202007794</v>
      </c>
      <c r="C2178">
        <v>201907794</v>
      </c>
      <c r="D2178" t="s">
        <v>29</v>
      </c>
      <c r="E2178" t="s">
        <v>2361</v>
      </c>
      <c r="F2178" t="s">
        <v>2362</v>
      </c>
      <c r="G2178" t="s">
        <v>1165</v>
      </c>
      <c r="L2178" t="str">
        <f>HYPERLINK("https://test.ictv.global/id/TN202007794","TN202007794@TEST")</f>
        <v>TN202007794@TEST</v>
      </c>
      <c r="M2178" t="str">
        <f>HYPERLINK("https://test.ictv.global/id/ICTV201907794","ICTV201907794@TEST")</f>
        <v>ICTV201907794@TEST</v>
      </c>
      <c r="N2178" t="str">
        <f>HYPERLINK("https://ictv.global/id/TN202007794","TN202007794@prod")</f>
        <v>TN202007794@prod</v>
      </c>
      <c r="O2178" t="str">
        <f>HYPERLINK("https://ictv.global/id/ICTV201907794","ICTV201907794@prod")</f>
        <v>ICTV201907794@prod</v>
      </c>
    </row>
    <row r="2179" spans="1:15" x14ac:dyDescent="0.2">
      <c r="A2179">
        <v>36</v>
      </c>
      <c r="B2179">
        <v>202008168</v>
      </c>
      <c r="C2179">
        <v>201908168</v>
      </c>
      <c r="D2179" t="s">
        <v>19</v>
      </c>
      <c r="E2179" t="s">
        <v>2363</v>
      </c>
      <c r="G2179" t="s">
        <v>1165</v>
      </c>
      <c r="L2179" t="str">
        <f>HYPERLINK("https://test.ictv.global/id/TN202008168","TN202008168@TEST")</f>
        <v>TN202008168@TEST</v>
      </c>
      <c r="M2179" t="str">
        <f>HYPERLINK("https://test.ictv.global/id/ICTV201908168","ICTV201908168@TEST")</f>
        <v>ICTV201908168@TEST</v>
      </c>
      <c r="N2179" t="str">
        <f>HYPERLINK("https://ictv.global/id/TN202008168","TN202008168@prod")</f>
        <v>TN202008168@prod</v>
      </c>
      <c r="O2179" t="str">
        <f>HYPERLINK("https://ictv.global/id/ICTV201908168","ICTV201908168@prod")</f>
        <v>ICTV201908168@prod</v>
      </c>
    </row>
    <row r="2180" spans="1:15" x14ac:dyDescent="0.2">
      <c r="A2180">
        <v>36</v>
      </c>
      <c r="B2180">
        <v>202008169</v>
      </c>
      <c r="C2180">
        <v>201908169</v>
      </c>
      <c r="D2180" t="s">
        <v>29</v>
      </c>
      <c r="E2180" t="s">
        <v>2364</v>
      </c>
      <c r="F2180" t="s">
        <v>2365</v>
      </c>
      <c r="G2180" t="s">
        <v>1165</v>
      </c>
      <c r="L2180" t="str">
        <f>HYPERLINK("https://test.ictv.global/id/TN202008169","TN202008169@TEST")</f>
        <v>TN202008169@TEST</v>
      </c>
      <c r="M2180" t="str">
        <f>HYPERLINK("https://test.ictv.global/id/ICTV201908169","ICTV201908169@TEST")</f>
        <v>ICTV201908169@TEST</v>
      </c>
      <c r="N2180" t="str">
        <f>HYPERLINK("https://ictv.global/id/TN202008169","TN202008169@prod")</f>
        <v>TN202008169@prod</v>
      </c>
      <c r="O2180" t="str">
        <f>HYPERLINK("https://ictv.global/id/ICTV201908169","ICTV201908169@prod")</f>
        <v>ICTV201908169@prod</v>
      </c>
    </row>
    <row r="2181" spans="1:15" x14ac:dyDescent="0.2">
      <c r="A2181">
        <v>36</v>
      </c>
      <c r="B2181">
        <v>202008775</v>
      </c>
      <c r="C2181">
        <v>202008775</v>
      </c>
      <c r="D2181" t="s">
        <v>29</v>
      </c>
      <c r="E2181" t="s">
        <v>2366</v>
      </c>
      <c r="F2181" t="s">
        <v>2367</v>
      </c>
      <c r="G2181" t="s">
        <v>1165</v>
      </c>
      <c r="L2181" t="str">
        <f>HYPERLINK("https://test.ictv.global/id/TN202008775","TN202008775@TEST")</f>
        <v>TN202008775@TEST</v>
      </c>
      <c r="M2181" t="str">
        <f>HYPERLINK("https://test.ictv.global/id/ICTV202008775","ICTV202008775@TEST")</f>
        <v>ICTV202008775@TEST</v>
      </c>
      <c r="N2181" t="str">
        <f>HYPERLINK("https://ictv.global/id/TN202008775","TN202008775@prod")</f>
        <v>TN202008775@prod</v>
      </c>
      <c r="O2181" t="str">
        <f>HYPERLINK("https://ictv.global/id/ICTV202008775","ICTV202008775@prod")</f>
        <v>ICTV202008775@prod</v>
      </c>
    </row>
    <row r="2182" spans="1:15" x14ac:dyDescent="0.2">
      <c r="A2182">
        <v>36</v>
      </c>
      <c r="B2182">
        <v>202008778</v>
      </c>
      <c r="C2182">
        <v>202008778</v>
      </c>
      <c r="D2182" t="s">
        <v>29</v>
      </c>
      <c r="E2182" t="s">
        <v>2368</v>
      </c>
      <c r="F2182" t="s">
        <v>2369</v>
      </c>
      <c r="G2182" t="s">
        <v>1165</v>
      </c>
      <c r="L2182" t="str">
        <f>HYPERLINK("https://test.ictv.global/id/TN202008778","TN202008778@TEST")</f>
        <v>TN202008778@TEST</v>
      </c>
      <c r="M2182" t="str">
        <f>HYPERLINK("https://test.ictv.global/id/ICTV202008778","ICTV202008778@TEST")</f>
        <v>ICTV202008778@TEST</v>
      </c>
      <c r="N2182" t="str">
        <f>HYPERLINK("https://ictv.global/id/TN202008778","TN202008778@prod")</f>
        <v>TN202008778@prod</v>
      </c>
      <c r="O2182" t="str">
        <f>HYPERLINK("https://ictv.global/id/ICTV202008778","ICTV202008778@prod")</f>
        <v>ICTV202008778@prod</v>
      </c>
    </row>
    <row r="2183" spans="1:15" x14ac:dyDescent="0.2">
      <c r="A2183">
        <v>36</v>
      </c>
      <c r="B2183">
        <v>202009455</v>
      </c>
      <c r="C2183">
        <v>202009455</v>
      </c>
      <c r="D2183" t="s">
        <v>19</v>
      </c>
      <c r="E2183" t="s">
        <v>2370</v>
      </c>
      <c r="G2183" t="s">
        <v>1165</v>
      </c>
      <c r="L2183" t="str">
        <f>HYPERLINK("https://test.ictv.global/id/TN202009455","TN202009455@TEST")</f>
        <v>TN202009455@TEST</v>
      </c>
      <c r="M2183" t="str">
        <f>HYPERLINK("https://test.ictv.global/id/ICTV202009455","ICTV202009455@TEST")</f>
        <v>ICTV202009455@TEST</v>
      </c>
      <c r="N2183" t="str">
        <f>HYPERLINK("https://ictv.global/id/TN202009455","TN202009455@prod")</f>
        <v>TN202009455@prod</v>
      </c>
      <c r="O2183" t="str">
        <f>HYPERLINK("https://ictv.global/id/ICTV202009455","ICTV202009455@prod")</f>
        <v>ICTV202009455@prod</v>
      </c>
    </row>
    <row r="2184" spans="1:15" x14ac:dyDescent="0.2">
      <c r="A2184">
        <v>37</v>
      </c>
      <c r="B2184">
        <v>202100091</v>
      </c>
      <c r="C2184">
        <v>19990613</v>
      </c>
      <c r="D2184" t="s">
        <v>29</v>
      </c>
      <c r="E2184" t="s">
        <v>2371</v>
      </c>
      <c r="G2184" t="s">
        <v>1165</v>
      </c>
      <c r="L2184" t="str">
        <f>HYPERLINK("https://test.ictv.global/id/TN202100091","TN202100091@TEST")</f>
        <v>TN202100091@TEST</v>
      </c>
      <c r="M2184" t="str">
        <f>HYPERLINK("https://test.ictv.global/id/ICTV19990613","ICTV19990613@TEST")</f>
        <v>ICTV19990613@TEST</v>
      </c>
      <c r="N2184" t="str">
        <f>HYPERLINK("https://ictv.global/id/TN202100091","TN202100091@prod")</f>
        <v>TN202100091@prod</v>
      </c>
      <c r="O2184" t="str">
        <f>HYPERLINK("https://ictv.global/id/ICTV19990613","ICTV19990613@prod")</f>
        <v>ICTV19990613@prod</v>
      </c>
    </row>
    <row r="2185" spans="1:15" x14ac:dyDescent="0.2">
      <c r="A2185">
        <v>37</v>
      </c>
      <c r="B2185">
        <v>202100096</v>
      </c>
      <c r="C2185">
        <v>19820270</v>
      </c>
      <c r="D2185" t="s">
        <v>29</v>
      </c>
      <c r="E2185" t="s">
        <v>2372</v>
      </c>
      <c r="G2185" t="s">
        <v>1165</v>
      </c>
      <c r="L2185" t="str">
        <f>HYPERLINK("https://test.ictv.global/id/TN202100096","TN202100096@TEST")</f>
        <v>TN202100096@TEST</v>
      </c>
      <c r="M2185" t="str">
        <f>HYPERLINK("https://test.ictv.global/id/ICTV19820270","ICTV19820270@TEST")</f>
        <v>ICTV19820270@TEST</v>
      </c>
      <c r="N2185" t="str">
        <f>HYPERLINK("https://ictv.global/id/TN202100096","TN202100096@prod")</f>
        <v>TN202100096@prod</v>
      </c>
      <c r="O2185" t="str">
        <f>HYPERLINK("https://ictv.global/id/ICTV19820270","ICTV19820270@prod")</f>
        <v>ICTV19820270@prod</v>
      </c>
    </row>
    <row r="2186" spans="1:15" x14ac:dyDescent="0.2">
      <c r="A2186">
        <v>37</v>
      </c>
      <c r="B2186">
        <v>202100098</v>
      </c>
      <c r="C2186">
        <v>19760146</v>
      </c>
      <c r="D2186" t="s">
        <v>29</v>
      </c>
      <c r="E2186" t="s">
        <v>2373</v>
      </c>
      <c r="G2186" t="s">
        <v>1165</v>
      </c>
      <c r="L2186" t="str">
        <f>HYPERLINK("https://test.ictv.global/id/TN202100098","TN202100098@TEST")</f>
        <v>TN202100098@TEST</v>
      </c>
      <c r="M2186" t="str">
        <f>HYPERLINK("https://test.ictv.global/id/ICTV19760146","ICTV19760146@TEST")</f>
        <v>ICTV19760146@TEST</v>
      </c>
      <c r="N2186" t="str">
        <f>HYPERLINK("https://ictv.global/id/TN202100098","TN202100098@prod")</f>
        <v>TN202100098@prod</v>
      </c>
      <c r="O2186" t="str">
        <f>HYPERLINK("https://ictv.global/id/ICTV19760146","ICTV19760146@prod")</f>
        <v>ICTV19760146@prod</v>
      </c>
    </row>
    <row r="2187" spans="1:15" x14ac:dyDescent="0.2">
      <c r="A2187">
        <v>37</v>
      </c>
      <c r="B2187">
        <v>202101346</v>
      </c>
      <c r="C2187">
        <v>20140421</v>
      </c>
      <c r="D2187" t="s">
        <v>29</v>
      </c>
      <c r="E2187" t="s">
        <v>2374</v>
      </c>
      <c r="G2187" t="s">
        <v>1165</v>
      </c>
      <c r="L2187" t="str">
        <f>HYPERLINK("https://test.ictv.global/id/TN202101346","TN202101346@TEST")</f>
        <v>TN202101346@TEST</v>
      </c>
      <c r="M2187" t="str">
        <f>HYPERLINK("https://test.ictv.global/id/ICTV20140421","ICTV20140421@TEST")</f>
        <v>ICTV20140421@TEST</v>
      </c>
      <c r="N2187" t="str">
        <f>HYPERLINK("https://ictv.global/id/TN202101346","TN202101346@prod")</f>
        <v>TN202101346@prod</v>
      </c>
      <c r="O2187" t="str">
        <f>HYPERLINK("https://ictv.global/id/ICTV20140421","ICTV20140421@prod")</f>
        <v>ICTV20140421@prod</v>
      </c>
    </row>
    <row r="2188" spans="1:15" x14ac:dyDescent="0.2">
      <c r="A2188">
        <v>37</v>
      </c>
      <c r="B2188">
        <v>202101438</v>
      </c>
      <c r="C2188">
        <v>20083055</v>
      </c>
      <c r="D2188" t="s">
        <v>29</v>
      </c>
      <c r="E2188" t="s">
        <v>2375</v>
      </c>
      <c r="G2188" t="s">
        <v>1165</v>
      </c>
      <c r="L2188" t="str">
        <f>HYPERLINK("https://test.ictv.global/id/TN202101438","TN202101438@TEST")</f>
        <v>TN202101438@TEST</v>
      </c>
      <c r="M2188" t="str">
        <f>HYPERLINK("https://test.ictv.global/id/ICTV20083055","ICTV20083055@TEST")</f>
        <v>ICTV20083055@TEST</v>
      </c>
      <c r="N2188" t="str">
        <f>HYPERLINK("https://ictv.global/id/TN202101438","TN202101438@prod")</f>
        <v>TN202101438@prod</v>
      </c>
      <c r="O2188" t="str">
        <f>HYPERLINK("https://ictv.global/id/ICTV20083055","ICTV20083055@prod")</f>
        <v>ICTV20083055@prod</v>
      </c>
    </row>
    <row r="2189" spans="1:15" x14ac:dyDescent="0.2">
      <c r="A2189">
        <v>37</v>
      </c>
      <c r="B2189">
        <v>202101484</v>
      </c>
      <c r="C2189">
        <v>19951063</v>
      </c>
      <c r="D2189" t="s">
        <v>29</v>
      </c>
      <c r="E2189" t="s">
        <v>2376</v>
      </c>
      <c r="G2189" t="s">
        <v>1165</v>
      </c>
      <c r="L2189" t="str">
        <f>HYPERLINK("https://test.ictv.global/id/TN202101484","TN202101484@TEST")</f>
        <v>TN202101484@TEST</v>
      </c>
      <c r="M2189" t="str">
        <f>HYPERLINK("https://test.ictv.global/id/ICTV19951063","ICTV19951063@TEST")</f>
        <v>ICTV19951063@TEST</v>
      </c>
      <c r="N2189" t="str">
        <f>HYPERLINK("https://ictv.global/id/TN202101484","TN202101484@prod")</f>
        <v>TN202101484@prod</v>
      </c>
      <c r="O2189" t="str">
        <f>HYPERLINK("https://ictv.global/id/ICTV19951063","ICTV19951063@prod")</f>
        <v>ICTV19951063@prod</v>
      </c>
    </row>
    <row r="2190" spans="1:15" x14ac:dyDescent="0.2">
      <c r="A2190">
        <v>37</v>
      </c>
      <c r="B2190">
        <v>202101516</v>
      </c>
      <c r="C2190">
        <v>19951058</v>
      </c>
      <c r="D2190" t="s">
        <v>29</v>
      </c>
      <c r="E2190" t="s">
        <v>2377</v>
      </c>
      <c r="G2190" t="s">
        <v>1165</v>
      </c>
      <c r="L2190" t="str">
        <f>HYPERLINK("https://test.ictv.global/id/TN202101516","TN202101516@TEST")</f>
        <v>TN202101516@TEST</v>
      </c>
      <c r="M2190" t="str">
        <f>HYPERLINK("https://test.ictv.global/id/ICTV19951058","ICTV19951058@TEST")</f>
        <v>ICTV19951058@TEST</v>
      </c>
      <c r="N2190" t="str">
        <f>HYPERLINK("https://ictv.global/id/TN202101516","TN202101516@prod")</f>
        <v>TN202101516@prod</v>
      </c>
      <c r="O2190" t="str">
        <f>HYPERLINK("https://ictv.global/id/ICTV19951058","ICTV19951058@prod")</f>
        <v>ICTV19951058@prod</v>
      </c>
    </row>
    <row r="2191" spans="1:15" x14ac:dyDescent="0.2">
      <c r="A2191">
        <v>37</v>
      </c>
      <c r="B2191">
        <v>202101517</v>
      </c>
      <c r="C2191">
        <v>20083113</v>
      </c>
      <c r="D2191" t="s">
        <v>29</v>
      </c>
      <c r="E2191" t="s">
        <v>2378</v>
      </c>
      <c r="G2191" t="s">
        <v>1165</v>
      </c>
      <c r="L2191" t="str">
        <f>HYPERLINK("https://test.ictv.global/id/TN202101517","TN202101517@TEST")</f>
        <v>TN202101517@TEST</v>
      </c>
      <c r="M2191" t="str">
        <f>HYPERLINK("https://test.ictv.global/id/ICTV20083113","ICTV20083113@TEST")</f>
        <v>ICTV20083113@TEST</v>
      </c>
      <c r="N2191" t="str">
        <f>HYPERLINK("https://ictv.global/id/TN202101517","TN202101517@prod")</f>
        <v>TN202101517@prod</v>
      </c>
      <c r="O2191" t="str">
        <f>HYPERLINK("https://ictv.global/id/ICTV20083113","ICTV20083113@prod")</f>
        <v>ICTV20083113@prod</v>
      </c>
    </row>
    <row r="2192" spans="1:15" x14ac:dyDescent="0.2">
      <c r="A2192">
        <v>37</v>
      </c>
      <c r="B2192">
        <v>202101518</v>
      </c>
      <c r="C2192">
        <v>20073869</v>
      </c>
      <c r="D2192" t="s">
        <v>29</v>
      </c>
      <c r="E2192" t="s">
        <v>2379</v>
      </c>
      <c r="G2192" t="s">
        <v>1165</v>
      </c>
      <c r="L2192" t="str">
        <f>HYPERLINK("https://test.ictv.global/id/TN202101518","TN202101518@TEST")</f>
        <v>TN202101518@TEST</v>
      </c>
      <c r="M2192" t="str">
        <f>HYPERLINK("https://test.ictv.global/id/ICTV20073869","ICTV20073869@TEST")</f>
        <v>ICTV20073869@TEST</v>
      </c>
      <c r="N2192" t="str">
        <f>HYPERLINK("https://ictv.global/id/TN202101518","TN202101518@prod")</f>
        <v>TN202101518@prod</v>
      </c>
      <c r="O2192" t="str">
        <f>HYPERLINK("https://ictv.global/id/ICTV20073869","ICTV20073869@prod")</f>
        <v>ICTV20073869@prod</v>
      </c>
    </row>
    <row r="2193" spans="1:15" x14ac:dyDescent="0.2">
      <c r="A2193">
        <v>37</v>
      </c>
      <c r="B2193">
        <v>202101521</v>
      </c>
      <c r="C2193">
        <v>20083115</v>
      </c>
      <c r="D2193" t="s">
        <v>29</v>
      </c>
      <c r="E2193" t="s">
        <v>2380</v>
      </c>
      <c r="G2193" t="s">
        <v>1165</v>
      </c>
      <c r="L2193" t="str">
        <f>HYPERLINK("https://test.ictv.global/id/TN202101521","TN202101521@TEST")</f>
        <v>TN202101521@TEST</v>
      </c>
      <c r="M2193" t="str">
        <f>HYPERLINK("https://test.ictv.global/id/ICTV20083115","ICTV20083115@TEST")</f>
        <v>ICTV20083115@TEST</v>
      </c>
      <c r="N2193" t="str">
        <f>HYPERLINK("https://ictv.global/id/TN202101521","TN202101521@prod")</f>
        <v>TN202101521@prod</v>
      </c>
      <c r="O2193" t="str">
        <f>HYPERLINK("https://ictv.global/id/ICTV20083115","ICTV20083115@prod")</f>
        <v>ICTV20083115@prod</v>
      </c>
    </row>
    <row r="2194" spans="1:15" x14ac:dyDescent="0.2">
      <c r="A2194">
        <v>37</v>
      </c>
      <c r="B2194">
        <v>202103887</v>
      </c>
      <c r="C2194">
        <v>20125704</v>
      </c>
      <c r="D2194" t="s">
        <v>19</v>
      </c>
      <c r="E2194" t="s">
        <v>2381</v>
      </c>
      <c r="G2194" t="s">
        <v>1165</v>
      </c>
      <c r="L2194" t="str">
        <f>HYPERLINK("https://test.ictv.global/id/TN202103887","TN202103887@TEST")</f>
        <v>TN202103887@TEST</v>
      </c>
      <c r="M2194" t="str">
        <f>HYPERLINK("https://test.ictv.global/id/ICTV20125704","ICTV20125704@TEST")</f>
        <v>ICTV20125704@TEST</v>
      </c>
      <c r="N2194" t="str">
        <f>HYPERLINK("https://ictv.global/id/TN202103887","TN202103887@prod")</f>
        <v>TN202103887@prod</v>
      </c>
      <c r="O2194" t="str">
        <f>HYPERLINK("https://ictv.global/id/ICTV20125704","ICTV20125704@prod")</f>
        <v>ICTV20125704@prod</v>
      </c>
    </row>
    <row r="2195" spans="1:15" x14ac:dyDescent="0.2">
      <c r="A2195">
        <v>37</v>
      </c>
      <c r="B2195">
        <v>202107041</v>
      </c>
      <c r="C2195">
        <v>201857041</v>
      </c>
      <c r="D2195" t="s">
        <v>29</v>
      </c>
      <c r="E2195" t="s">
        <v>2382</v>
      </c>
      <c r="F2195" t="s">
        <v>2383</v>
      </c>
      <c r="G2195" t="s">
        <v>1165</v>
      </c>
      <c r="L2195" t="str">
        <f>HYPERLINK("https://test.ictv.global/id/TN202107041","TN202107041@TEST")</f>
        <v>TN202107041@TEST</v>
      </c>
      <c r="M2195" t="str">
        <f>HYPERLINK("https://test.ictv.global/id/ICTV201857041","ICTV201857041@TEST")</f>
        <v>ICTV201857041@TEST</v>
      </c>
      <c r="N2195" t="str">
        <f>HYPERLINK("https://ictv.global/id/TN202107041","TN202107041@prod")</f>
        <v>TN202107041@prod</v>
      </c>
      <c r="O2195" t="str">
        <f>HYPERLINK("https://ictv.global/id/ICTV201857041","ICTV201857041@prod")</f>
        <v>ICTV201857041@prod</v>
      </c>
    </row>
    <row r="2196" spans="1:15" x14ac:dyDescent="0.2">
      <c r="A2196">
        <v>37</v>
      </c>
      <c r="B2196">
        <v>202107056</v>
      </c>
      <c r="C2196">
        <v>201857056</v>
      </c>
      <c r="D2196" t="s">
        <v>29</v>
      </c>
      <c r="E2196" t="s">
        <v>2384</v>
      </c>
      <c r="F2196" t="s">
        <v>2385</v>
      </c>
      <c r="G2196" t="s">
        <v>1165</v>
      </c>
      <c r="L2196" t="str">
        <f>HYPERLINK("https://test.ictv.global/id/TN202107056","TN202107056@TEST")</f>
        <v>TN202107056@TEST</v>
      </c>
      <c r="M2196" t="str">
        <f>HYPERLINK("https://test.ictv.global/id/ICTV201857056","ICTV201857056@TEST")</f>
        <v>ICTV201857056@TEST</v>
      </c>
      <c r="N2196" t="str">
        <f>HYPERLINK("https://ictv.global/id/TN202107056","TN202107056@prod")</f>
        <v>TN202107056@prod</v>
      </c>
      <c r="O2196" t="str">
        <f>HYPERLINK("https://ictv.global/id/ICTV201857056","ICTV201857056@prod")</f>
        <v>ICTV201857056@prod</v>
      </c>
    </row>
    <row r="2197" spans="1:15" x14ac:dyDescent="0.2">
      <c r="A2197">
        <v>37</v>
      </c>
      <c r="B2197">
        <v>202108105</v>
      </c>
      <c r="C2197">
        <v>201908105</v>
      </c>
      <c r="D2197" t="s">
        <v>29</v>
      </c>
      <c r="E2197" t="s">
        <v>2386</v>
      </c>
      <c r="F2197" t="s">
        <v>2387</v>
      </c>
      <c r="G2197" t="s">
        <v>1165</v>
      </c>
      <c r="L2197" t="str">
        <f>HYPERLINK("https://test.ictv.global/id/TN202108105","TN202108105@TEST")</f>
        <v>TN202108105@TEST</v>
      </c>
      <c r="M2197" t="str">
        <f>HYPERLINK("https://test.ictv.global/id/ICTV201908105","ICTV201908105@TEST")</f>
        <v>ICTV201908105@TEST</v>
      </c>
      <c r="N2197" t="str">
        <f>HYPERLINK("https://ictv.global/id/TN202108105","TN202108105@prod")</f>
        <v>TN202108105@prod</v>
      </c>
      <c r="O2197" t="str">
        <f>HYPERLINK("https://ictv.global/id/ICTV201908105","ICTV201908105@prod")</f>
        <v>ICTV201908105@prod</v>
      </c>
    </row>
    <row r="2198" spans="1:15" x14ac:dyDescent="0.2">
      <c r="A2198">
        <v>37</v>
      </c>
      <c r="B2198">
        <v>202108113</v>
      </c>
      <c r="C2198">
        <v>201908113</v>
      </c>
      <c r="D2198" t="s">
        <v>19</v>
      </c>
      <c r="E2198" t="s">
        <v>2388</v>
      </c>
      <c r="G2198" t="s">
        <v>1165</v>
      </c>
      <c r="L2198" t="str">
        <f>HYPERLINK("https://test.ictv.global/id/TN202108113","TN202108113@TEST")</f>
        <v>TN202108113@TEST</v>
      </c>
      <c r="M2198" t="str">
        <f>HYPERLINK("https://test.ictv.global/id/ICTV201908113","ICTV201908113@TEST")</f>
        <v>ICTV201908113@TEST</v>
      </c>
      <c r="N2198" t="str">
        <f>HYPERLINK("https://ictv.global/id/TN202108113","TN202108113@prod")</f>
        <v>TN202108113@prod</v>
      </c>
      <c r="O2198" t="str">
        <f>HYPERLINK("https://ictv.global/id/ICTV201908113","ICTV201908113@prod")</f>
        <v>ICTV201908113@prod</v>
      </c>
    </row>
    <row r="2199" spans="1:15" x14ac:dyDescent="0.2">
      <c r="A2199">
        <v>37</v>
      </c>
      <c r="B2199">
        <v>202109326</v>
      </c>
      <c r="C2199">
        <v>202009326</v>
      </c>
      <c r="D2199" t="s">
        <v>29</v>
      </c>
      <c r="E2199" t="s">
        <v>2389</v>
      </c>
      <c r="F2199" t="s">
        <v>2390</v>
      </c>
      <c r="G2199" t="s">
        <v>1165</v>
      </c>
      <c r="L2199" t="str">
        <f>HYPERLINK("https://test.ictv.global/id/TN202109326","TN202109326@TEST")</f>
        <v>TN202109326@TEST</v>
      </c>
      <c r="M2199" t="str">
        <f>HYPERLINK("https://test.ictv.global/id/ICTV202009326","ICTV202009326@TEST")</f>
        <v>ICTV202009326@TEST</v>
      </c>
      <c r="N2199" t="str">
        <f>HYPERLINK("https://ictv.global/id/TN202109326","TN202109326@prod")</f>
        <v>TN202109326@prod</v>
      </c>
      <c r="O2199" t="str">
        <f>HYPERLINK("https://ictv.global/id/ICTV202009326","ICTV202009326@prod")</f>
        <v>ICTV202009326@prod</v>
      </c>
    </row>
    <row r="2200" spans="1:15" x14ac:dyDescent="0.2">
      <c r="A2200">
        <v>37</v>
      </c>
      <c r="B2200">
        <v>202111672</v>
      </c>
      <c r="C2200">
        <v>202011672</v>
      </c>
      <c r="D2200" t="s">
        <v>29</v>
      </c>
      <c r="E2200" t="s">
        <v>2391</v>
      </c>
      <c r="F2200" t="s">
        <v>2392</v>
      </c>
      <c r="G2200" t="s">
        <v>1165</v>
      </c>
      <c r="L2200" t="str">
        <f>HYPERLINK("https://test.ictv.global/id/TN202111672","TN202111672@TEST")</f>
        <v>TN202111672@TEST</v>
      </c>
      <c r="M2200" t="str">
        <f>HYPERLINK("https://test.ictv.global/id/ICTV202011672","ICTV202011672@TEST")</f>
        <v>ICTV202011672@TEST</v>
      </c>
      <c r="N2200" t="str">
        <f>HYPERLINK("https://ictv.global/id/TN202111672","TN202111672@prod")</f>
        <v>TN202111672@prod</v>
      </c>
      <c r="O2200" t="str">
        <f>HYPERLINK("https://ictv.global/id/ICTV202011672","ICTV202011672@prod")</f>
        <v>ICTV202011672@prod</v>
      </c>
    </row>
    <row r="2201" spans="1:15" x14ac:dyDescent="0.2">
      <c r="A2201">
        <v>37</v>
      </c>
      <c r="B2201">
        <v>202111673</v>
      </c>
      <c r="C2201">
        <v>202011673</v>
      </c>
      <c r="D2201" t="s">
        <v>29</v>
      </c>
      <c r="E2201" t="s">
        <v>2393</v>
      </c>
      <c r="F2201" t="s">
        <v>2394</v>
      </c>
      <c r="G2201" t="s">
        <v>1165</v>
      </c>
      <c r="L2201" t="str">
        <f>HYPERLINK("https://test.ictv.global/id/TN202111673","TN202111673@TEST")</f>
        <v>TN202111673@TEST</v>
      </c>
      <c r="M2201" t="str">
        <f>HYPERLINK("https://test.ictv.global/id/ICTV202011673","ICTV202011673@TEST")</f>
        <v>ICTV202011673@TEST</v>
      </c>
      <c r="N2201" t="str">
        <f>HYPERLINK("https://ictv.global/id/TN202111673","TN202111673@prod")</f>
        <v>TN202111673@prod</v>
      </c>
      <c r="O2201" t="str">
        <f>HYPERLINK("https://ictv.global/id/ICTV202011673","ICTV202011673@prod")</f>
        <v>ICTV202011673@prod</v>
      </c>
    </row>
    <row r="2202" spans="1:15" x14ac:dyDescent="0.2">
      <c r="A2202">
        <v>37</v>
      </c>
      <c r="B2202">
        <v>202112004</v>
      </c>
      <c r="C2202">
        <v>202012004</v>
      </c>
      <c r="D2202" t="s">
        <v>29</v>
      </c>
      <c r="E2202" t="s">
        <v>2395</v>
      </c>
      <c r="F2202" t="s">
        <v>2396</v>
      </c>
      <c r="G2202" t="s">
        <v>1165</v>
      </c>
      <c r="L2202" t="str">
        <f>HYPERLINK("https://test.ictv.global/id/TN202112004","TN202112004@TEST")</f>
        <v>TN202112004@TEST</v>
      </c>
      <c r="M2202" t="str">
        <f>HYPERLINK("https://test.ictv.global/id/ICTV202012004","ICTV202012004@TEST")</f>
        <v>ICTV202012004@TEST</v>
      </c>
      <c r="N2202" t="str">
        <f>HYPERLINK("https://ictv.global/id/TN202112004","TN202112004@prod")</f>
        <v>TN202112004@prod</v>
      </c>
      <c r="O2202" t="str">
        <f>HYPERLINK("https://ictv.global/id/ICTV202012004","ICTV202012004@prod")</f>
        <v>ICTV202012004@prod</v>
      </c>
    </row>
    <row r="2203" spans="1:15" x14ac:dyDescent="0.2">
      <c r="A2203">
        <v>37</v>
      </c>
      <c r="B2203">
        <v>202112013</v>
      </c>
      <c r="C2203">
        <v>202012013</v>
      </c>
      <c r="D2203" t="s">
        <v>29</v>
      </c>
      <c r="E2203" t="s">
        <v>2397</v>
      </c>
      <c r="F2203" t="s">
        <v>2398</v>
      </c>
      <c r="G2203" t="s">
        <v>1165</v>
      </c>
      <c r="L2203" t="str">
        <f>HYPERLINK("https://test.ictv.global/id/TN202112013","TN202112013@TEST")</f>
        <v>TN202112013@TEST</v>
      </c>
      <c r="M2203" t="str">
        <f>HYPERLINK("https://test.ictv.global/id/ICTV202012013","ICTV202012013@TEST")</f>
        <v>ICTV202012013@TEST</v>
      </c>
      <c r="N2203" t="str">
        <f>HYPERLINK("https://ictv.global/id/TN202112013","TN202112013@prod")</f>
        <v>TN202112013@prod</v>
      </c>
      <c r="O2203" t="str">
        <f>HYPERLINK("https://ictv.global/id/ICTV202012013","ICTV202012013@prod")</f>
        <v>ICTV202012013@prod</v>
      </c>
    </row>
    <row r="2204" spans="1:15" x14ac:dyDescent="0.2">
      <c r="A2204">
        <v>37</v>
      </c>
      <c r="B2204">
        <v>202112815</v>
      </c>
      <c r="C2204">
        <v>202112815</v>
      </c>
      <c r="D2204" t="s">
        <v>29</v>
      </c>
      <c r="E2204" t="s">
        <v>2399</v>
      </c>
      <c r="F2204" t="s">
        <v>2400</v>
      </c>
      <c r="G2204" t="s">
        <v>1165</v>
      </c>
      <c r="L2204" t="str">
        <f>HYPERLINK("https://test.ictv.global/id/TN202112815","TN202112815@TEST")</f>
        <v>TN202112815@TEST</v>
      </c>
      <c r="M2204" t="str">
        <f>HYPERLINK("https://test.ictv.global/id/ICTV202112815","ICTV202112815@TEST")</f>
        <v>ICTV202112815@TEST</v>
      </c>
      <c r="N2204" t="str">
        <f>HYPERLINK("https://ictv.global/id/TN202112815","TN202112815@prod")</f>
        <v>TN202112815@prod</v>
      </c>
      <c r="O2204" t="str">
        <f>HYPERLINK("https://ictv.global/id/ICTV202112815","ICTV202112815@prod")</f>
        <v>ICTV202112815@prod</v>
      </c>
    </row>
    <row r="2205" spans="1:15" x14ac:dyDescent="0.2">
      <c r="A2205">
        <v>38</v>
      </c>
      <c r="B2205">
        <v>202200021</v>
      </c>
      <c r="C2205">
        <v>20164773</v>
      </c>
      <c r="D2205" t="s">
        <v>29</v>
      </c>
      <c r="E2205" t="s">
        <v>2401</v>
      </c>
      <c r="F2205" t="s">
        <v>2402</v>
      </c>
      <c r="G2205" t="s">
        <v>1165</v>
      </c>
      <c r="L2205" t="str">
        <f>HYPERLINK("https://test.ictv.global/id/TN202200021","TN202200021@TEST")</f>
        <v>TN202200021@TEST</v>
      </c>
      <c r="M2205" t="str">
        <f>HYPERLINK("https://test.ictv.global/id/ICTV20164773","ICTV20164773@TEST")</f>
        <v>ICTV20164773@TEST</v>
      </c>
      <c r="N2205" t="str">
        <f>HYPERLINK("https://ictv.global/id/TN202200021","TN202200021@prod")</f>
        <v>TN202200021@prod</v>
      </c>
      <c r="O2205" t="str">
        <f>HYPERLINK("https://ictv.global/id/ICTV20164773","ICTV20164773@prod")</f>
        <v>ICTV20164773@prod</v>
      </c>
    </row>
    <row r="2206" spans="1:15" x14ac:dyDescent="0.2">
      <c r="A2206">
        <v>38</v>
      </c>
      <c r="B2206">
        <v>202200036</v>
      </c>
      <c r="C2206">
        <v>20164782</v>
      </c>
      <c r="D2206" t="s">
        <v>29</v>
      </c>
      <c r="E2206" t="s">
        <v>2403</v>
      </c>
      <c r="F2206" t="s">
        <v>2404</v>
      </c>
      <c r="G2206" t="s">
        <v>1165</v>
      </c>
      <c r="L2206" t="str">
        <f>HYPERLINK("https://test.ictv.global/id/TN202200036","TN202200036@TEST")</f>
        <v>TN202200036@TEST</v>
      </c>
      <c r="M2206" t="str">
        <f>HYPERLINK("https://test.ictv.global/id/ICTV20164782","ICTV20164782@TEST")</f>
        <v>ICTV20164782@TEST</v>
      </c>
      <c r="N2206" t="str">
        <f>HYPERLINK("https://ictv.global/id/TN202200036","TN202200036@prod")</f>
        <v>TN202200036@prod</v>
      </c>
      <c r="O2206" t="str">
        <f>HYPERLINK("https://ictv.global/id/ICTV20164782","ICTV20164782@prod")</f>
        <v>ICTV20164782@prod</v>
      </c>
    </row>
    <row r="2207" spans="1:15" x14ac:dyDescent="0.2">
      <c r="A2207">
        <v>38</v>
      </c>
      <c r="B2207">
        <v>202200048</v>
      </c>
      <c r="C2207">
        <v>20164791</v>
      </c>
      <c r="D2207" t="s">
        <v>29</v>
      </c>
      <c r="E2207" t="s">
        <v>2405</v>
      </c>
      <c r="F2207" t="s">
        <v>2406</v>
      </c>
      <c r="G2207" t="s">
        <v>1165</v>
      </c>
      <c r="L2207" t="str">
        <f>HYPERLINK("https://test.ictv.global/id/TN202200048","TN202200048@TEST")</f>
        <v>TN202200048@TEST</v>
      </c>
      <c r="M2207" t="str">
        <f>HYPERLINK("https://test.ictv.global/id/ICTV20164791","ICTV20164791@TEST")</f>
        <v>ICTV20164791@TEST</v>
      </c>
      <c r="N2207" t="str">
        <f>HYPERLINK("https://ictv.global/id/TN202200048","TN202200048@prod")</f>
        <v>TN202200048@prod</v>
      </c>
      <c r="O2207" t="str">
        <f>HYPERLINK("https://ictv.global/id/ICTV20164791","ICTV20164791@prod")</f>
        <v>ICTV20164791@prod</v>
      </c>
    </row>
    <row r="2208" spans="1:15" x14ac:dyDescent="0.2">
      <c r="A2208">
        <v>38</v>
      </c>
      <c r="B2208">
        <v>202200050</v>
      </c>
      <c r="C2208">
        <v>20164793</v>
      </c>
      <c r="D2208" t="s">
        <v>29</v>
      </c>
      <c r="E2208" t="s">
        <v>2407</v>
      </c>
      <c r="F2208" t="s">
        <v>2408</v>
      </c>
      <c r="G2208" t="s">
        <v>1165</v>
      </c>
      <c r="L2208" t="str">
        <f>HYPERLINK("https://test.ictv.global/id/TN202200050","TN202200050@TEST")</f>
        <v>TN202200050@TEST</v>
      </c>
      <c r="M2208" t="str">
        <f>HYPERLINK("https://test.ictv.global/id/ICTV20164793","ICTV20164793@TEST")</f>
        <v>ICTV20164793@TEST</v>
      </c>
      <c r="N2208" t="str">
        <f>HYPERLINK("https://ictv.global/id/TN202200050","TN202200050@prod")</f>
        <v>TN202200050@prod</v>
      </c>
      <c r="O2208" t="str">
        <f>HYPERLINK("https://ictv.global/id/ICTV20164793","ICTV20164793@prod")</f>
        <v>ICTV20164793@prod</v>
      </c>
    </row>
    <row r="2209" spans="1:15" x14ac:dyDescent="0.2">
      <c r="A2209">
        <v>38</v>
      </c>
      <c r="B2209">
        <v>202200061</v>
      </c>
      <c r="C2209">
        <v>20164796</v>
      </c>
      <c r="D2209" t="s">
        <v>29</v>
      </c>
      <c r="E2209" t="s">
        <v>2409</v>
      </c>
      <c r="F2209" t="s">
        <v>2410</v>
      </c>
      <c r="G2209" t="s">
        <v>1165</v>
      </c>
      <c r="L2209" t="str">
        <f>HYPERLINK("https://test.ictv.global/id/TN202200061","TN202200061@TEST")</f>
        <v>TN202200061@TEST</v>
      </c>
      <c r="M2209" t="str">
        <f>HYPERLINK("https://test.ictv.global/id/ICTV20164796","ICTV20164796@TEST")</f>
        <v>ICTV20164796@TEST</v>
      </c>
      <c r="N2209" t="str">
        <f>HYPERLINK("https://ictv.global/id/TN202200061","TN202200061@prod")</f>
        <v>TN202200061@prod</v>
      </c>
      <c r="O2209" t="str">
        <f>HYPERLINK("https://ictv.global/id/ICTV20164796","ICTV20164796@prod")</f>
        <v>ICTV20164796@prod</v>
      </c>
    </row>
    <row r="2210" spans="1:15" x14ac:dyDescent="0.2">
      <c r="A2210">
        <v>38</v>
      </c>
      <c r="B2210">
        <v>202200771</v>
      </c>
      <c r="C2210">
        <v>20150778</v>
      </c>
      <c r="D2210" t="s">
        <v>29</v>
      </c>
      <c r="E2210" t="s">
        <v>2411</v>
      </c>
      <c r="G2210" t="s">
        <v>1165</v>
      </c>
      <c r="L2210" t="str">
        <f>HYPERLINK("https://test.ictv.global/id/TN202200771","TN202200771@TEST")</f>
        <v>TN202200771@TEST</v>
      </c>
      <c r="M2210" t="str">
        <f>HYPERLINK("https://test.ictv.global/id/ICTV20150778","ICTV20150778@TEST")</f>
        <v>ICTV20150778@TEST</v>
      </c>
      <c r="N2210" t="str">
        <f>HYPERLINK("https://ictv.global/id/TN202200771","TN202200771@prod")</f>
        <v>TN202200771@prod</v>
      </c>
      <c r="O2210" t="str">
        <f>HYPERLINK("https://ictv.global/id/ICTV20150778","ICTV20150778@prod")</f>
        <v>ICTV20150778@prod</v>
      </c>
    </row>
    <row r="2211" spans="1:15" x14ac:dyDescent="0.2">
      <c r="A2211">
        <v>38</v>
      </c>
      <c r="B2211">
        <v>202202801</v>
      </c>
      <c r="C2211">
        <v>19960858</v>
      </c>
      <c r="D2211" t="s">
        <v>29</v>
      </c>
      <c r="E2211" t="s">
        <v>1089</v>
      </c>
      <c r="G2211" t="s">
        <v>33</v>
      </c>
      <c r="H2211" t="s">
        <v>1090</v>
      </c>
      <c r="I2211" t="s">
        <v>29</v>
      </c>
      <c r="J2211">
        <v>19950818</v>
      </c>
      <c r="K2211">
        <v>202302802</v>
      </c>
      <c r="L2211" t="str">
        <f>HYPERLINK("https://test.ictv.global/id/TN202202801","TN202202801@TEST")</f>
        <v>TN202202801@TEST</v>
      </c>
      <c r="M2211" t="str">
        <f>HYPERLINK("https://test.ictv.global/id/ICTV19960858","ICTV19960858@TEST")</f>
        <v>ICTV19960858@TEST</v>
      </c>
      <c r="N2211" t="str">
        <f>HYPERLINK("https://ictv.global/id/TN202202801","TN202202801@prod")</f>
        <v>TN202202801@prod</v>
      </c>
      <c r="O2211" t="str">
        <f>HYPERLINK("https://ictv.global/id/ICTV19960858","ICTV19960858@prod")</f>
        <v>ICTV19960858@prod</v>
      </c>
    </row>
    <row r="2212" spans="1:15" x14ac:dyDescent="0.2">
      <c r="A2212">
        <v>38</v>
      </c>
      <c r="B2212">
        <v>202202802</v>
      </c>
      <c r="C2212">
        <v>19950818</v>
      </c>
      <c r="D2212" t="s">
        <v>29</v>
      </c>
      <c r="E2212" t="s">
        <v>1091</v>
      </c>
      <c r="G2212" t="s">
        <v>33</v>
      </c>
      <c r="H2212" t="s">
        <v>1090</v>
      </c>
      <c r="I2212" t="s">
        <v>29</v>
      </c>
      <c r="J2212">
        <v>19950818</v>
      </c>
      <c r="K2212">
        <v>202302802</v>
      </c>
      <c r="L2212" t="str">
        <f>HYPERLINK("https://test.ictv.global/id/TN202202802","TN202202802@TEST")</f>
        <v>TN202202802@TEST</v>
      </c>
      <c r="M2212" t="str">
        <f>HYPERLINK("https://test.ictv.global/id/ICTV19950818","ICTV19950818@TEST")</f>
        <v>ICTV19950818@TEST</v>
      </c>
      <c r="N2212" t="str">
        <f>HYPERLINK("https://ictv.global/id/TN202202802","TN202202802@prod")</f>
        <v>TN202202802@prod</v>
      </c>
      <c r="O2212" t="str">
        <f>HYPERLINK("https://ictv.global/id/ICTV19950818","ICTV19950818@prod")</f>
        <v>ICTV19950818@prod</v>
      </c>
    </row>
    <row r="2213" spans="1:15" x14ac:dyDescent="0.2">
      <c r="A2213">
        <v>38</v>
      </c>
      <c r="B2213">
        <v>202203745</v>
      </c>
      <c r="C2213">
        <v>20154632</v>
      </c>
      <c r="D2213" t="s">
        <v>23</v>
      </c>
      <c r="E2213" t="s">
        <v>1092</v>
      </c>
      <c r="G2213" t="s">
        <v>21</v>
      </c>
      <c r="H2213" t="s">
        <v>1093</v>
      </c>
      <c r="I2213" t="s">
        <v>1094</v>
      </c>
      <c r="J2213">
        <v>20154632</v>
      </c>
      <c r="K2213">
        <v>202303745</v>
      </c>
      <c r="L2213" t="str">
        <f>HYPERLINK("https://test.ictv.global/id/TN202203745","TN202203745@TEST")</f>
        <v>TN202203745@TEST</v>
      </c>
      <c r="M2213" t="str">
        <f>HYPERLINK("https://test.ictv.global/id/ICTV20154632","ICTV20154632@TEST")</f>
        <v>ICTV20154632@TEST</v>
      </c>
      <c r="N2213" t="str">
        <f>HYPERLINK("https://ictv.global/id/TN202203745","TN202203745@prod")</f>
        <v>TN202203745@prod</v>
      </c>
      <c r="O2213" t="str">
        <f>HYPERLINK("https://ictv.global/id/ICTV20154632","ICTV20154632@prod")</f>
        <v>ICTV20154632@prod</v>
      </c>
    </row>
    <row r="2214" spans="1:15" x14ac:dyDescent="0.2">
      <c r="A2214">
        <v>38</v>
      </c>
      <c r="B2214">
        <v>202203781</v>
      </c>
      <c r="C2214">
        <v>20132169</v>
      </c>
      <c r="D2214" t="s">
        <v>29</v>
      </c>
      <c r="E2214" t="s">
        <v>1095</v>
      </c>
      <c r="F2214" t="s">
        <v>2412</v>
      </c>
      <c r="G2214" t="s">
        <v>33</v>
      </c>
      <c r="H2214" t="s">
        <v>1096</v>
      </c>
      <c r="I2214" t="s">
        <v>29</v>
      </c>
      <c r="J2214">
        <v>20132169</v>
      </c>
      <c r="K2214">
        <v>202303781</v>
      </c>
      <c r="L2214" t="str">
        <f>HYPERLINK("https://test.ictv.global/id/TN202203781","TN202203781@TEST")</f>
        <v>TN202203781@TEST</v>
      </c>
      <c r="M2214" t="str">
        <f>HYPERLINK("https://test.ictv.global/id/ICTV20132169","ICTV20132169@TEST")</f>
        <v>ICTV20132169@TEST</v>
      </c>
      <c r="N2214" t="str">
        <f>HYPERLINK("https://ictv.global/id/TN202203781","TN202203781@prod")</f>
        <v>TN202203781@prod</v>
      </c>
      <c r="O2214" t="str">
        <f>HYPERLINK("https://ictv.global/id/ICTV20132169","ICTV20132169@prod")</f>
        <v>ICTV20132169@prod</v>
      </c>
    </row>
    <row r="2215" spans="1:15" x14ac:dyDescent="0.2">
      <c r="A2215">
        <v>38</v>
      </c>
      <c r="B2215">
        <v>202203794</v>
      </c>
      <c r="C2215">
        <v>19981716</v>
      </c>
      <c r="D2215" t="s">
        <v>29</v>
      </c>
      <c r="E2215" t="s">
        <v>1097</v>
      </c>
      <c r="F2215" t="s">
        <v>2413</v>
      </c>
      <c r="G2215" t="s">
        <v>186</v>
      </c>
      <c r="H2215" t="s">
        <v>1096</v>
      </c>
      <c r="I2215" t="s">
        <v>29</v>
      </c>
      <c r="J2215">
        <v>20132169</v>
      </c>
      <c r="K2215">
        <v>202303781</v>
      </c>
      <c r="L2215" t="str">
        <f>HYPERLINK("https://test.ictv.global/id/TN202203794","TN202203794@TEST")</f>
        <v>TN202203794@TEST</v>
      </c>
      <c r="M2215" t="str">
        <f>HYPERLINK("https://test.ictv.global/id/ICTV19981716","ICTV19981716@TEST")</f>
        <v>ICTV19981716@TEST</v>
      </c>
      <c r="N2215" t="str">
        <f>HYPERLINK("https://ictv.global/id/TN202203794","TN202203794@prod")</f>
        <v>TN202203794@prod</v>
      </c>
      <c r="O2215" t="str">
        <f>HYPERLINK("https://ictv.global/id/ICTV19981716","ICTV19981716@prod")</f>
        <v>ICTV19981716@prod</v>
      </c>
    </row>
    <row r="2216" spans="1:15" x14ac:dyDescent="0.2">
      <c r="A2216">
        <v>38</v>
      </c>
      <c r="B2216">
        <v>202203796</v>
      </c>
      <c r="C2216">
        <v>19821233</v>
      </c>
      <c r="D2216" t="s">
        <v>29</v>
      </c>
      <c r="E2216" t="s">
        <v>2414</v>
      </c>
      <c r="G2216" t="s">
        <v>1165</v>
      </c>
      <c r="L2216" t="str">
        <f>HYPERLINK("https://test.ictv.global/id/TN202203796","TN202203796@TEST")</f>
        <v>TN202203796@TEST</v>
      </c>
      <c r="M2216" t="str">
        <f>HYPERLINK("https://test.ictv.global/id/ICTV19821233","ICTV19821233@TEST")</f>
        <v>ICTV19821233@TEST</v>
      </c>
      <c r="N2216" t="str">
        <f>HYPERLINK("https://ictv.global/id/TN202203796","TN202203796@prod")</f>
        <v>TN202203796@prod</v>
      </c>
      <c r="O2216" t="str">
        <f>HYPERLINK("https://ictv.global/id/ICTV19821233","ICTV19821233@prod")</f>
        <v>ICTV19821233@prod</v>
      </c>
    </row>
    <row r="2217" spans="1:15" x14ac:dyDescent="0.2">
      <c r="A2217">
        <v>38</v>
      </c>
      <c r="B2217">
        <v>202204191</v>
      </c>
      <c r="C2217">
        <v>19911013</v>
      </c>
      <c r="D2217" t="s">
        <v>29</v>
      </c>
      <c r="E2217" t="s">
        <v>2415</v>
      </c>
      <c r="G2217" t="s">
        <v>1165</v>
      </c>
      <c r="L2217" t="str">
        <f>HYPERLINK("https://test.ictv.global/id/TN202204191","TN202204191@TEST")</f>
        <v>TN202204191@TEST</v>
      </c>
      <c r="M2217" t="str">
        <f>HYPERLINK("https://test.ictv.global/id/ICTV19911013","ICTV19911013@TEST")</f>
        <v>ICTV19911013@TEST</v>
      </c>
      <c r="N2217" t="str">
        <f>HYPERLINK("https://ictv.global/id/TN202204191","TN202204191@prod")</f>
        <v>TN202204191@prod</v>
      </c>
      <c r="O2217" t="str">
        <f>HYPERLINK("https://ictv.global/id/ICTV19911013","ICTV19911013@prod")</f>
        <v>ICTV19911013@prod</v>
      </c>
    </row>
    <row r="2218" spans="1:15" x14ac:dyDescent="0.2">
      <c r="A2218">
        <v>38</v>
      </c>
      <c r="B2218">
        <v>202204192</v>
      </c>
      <c r="C2218">
        <v>19911595</v>
      </c>
      <c r="D2218" t="s">
        <v>29</v>
      </c>
      <c r="E2218" t="s">
        <v>2416</v>
      </c>
      <c r="G2218" t="s">
        <v>1165</v>
      </c>
      <c r="L2218" t="str">
        <f>HYPERLINK("https://test.ictv.global/id/TN202204192","TN202204192@TEST")</f>
        <v>TN202204192@TEST</v>
      </c>
      <c r="M2218" t="str">
        <f>HYPERLINK("https://test.ictv.global/id/ICTV19911595","ICTV19911595@TEST")</f>
        <v>ICTV19911595@TEST</v>
      </c>
      <c r="N2218" t="str">
        <f>HYPERLINK("https://ictv.global/id/TN202204192","TN202204192@prod")</f>
        <v>TN202204192@prod</v>
      </c>
      <c r="O2218" t="str">
        <f>HYPERLINK("https://ictv.global/id/ICTV19911595","ICTV19911595@prod")</f>
        <v>ICTV19911595@prod</v>
      </c>
    </row>
    <row r="2219" spans="1:15" x14ac:dyDescent="0.2">
      <c r="A2219">
        <v>38</v>
      </c>
      <c r="B2219">
        <v>202204193</v>
      </c>
      <c r="C2219">
        <v>19871276</v>
      </c>
      <c r="D2219" t="s">
        <v>29</v>
      </c>
      <c r="E2219" t="s">
        <v>2417</v>
      </c>
      <c r="G2219" t="s">
        <v>1165</v>
      </c>
      <c r="L2219" t="str">
        <f>HYPERLINK("https://test.ictv.global/id/TN202204193","TN202204193@TEST")</f>
        <v>TN202204193@TEST</v>
      </c>
      <c r="M2219" t="str">
        <f>HYPERLINK("https://test.ictv.global/id/ICTV19871276","ICTV19871276@TEST")</f>
        <v>ICTV19871276@TEST</v>
      </c>
      <c r="N2219" t="str">
        <f>HYPERLINK("https://ictv.global/id/TN202204193","TN202204193@prod")</f>
        <v>TN202204193@prod</v>
      </c>
      <c r="O2219" t="str">
        <f>HYPERLINK("https://ictv.global/id/ICTV19871276","ICTV19871276@prod")</f>
        <v>ICTV19871276@prod</v>
      </c>
    </row>
    <row r="2220" spans="1:15" x14ac:dyDescent="0.2">
      <c r="A2220">
        <v>38</v>
      </c>
      <c r="B2220">
        <v>202204194</v>
      </c>
      <c r="C2220">
        <v>19911600</v>
      </c>
      <c r="D2220" t="s">
        <v>29</v>
      </c>
      <c r="E2220" t="s">
        <v>2418</v>
      </c>
      <c r="G2220" t="s">
        <v>1165</v>
      </c>
      <c r="L2220" t="str">
        <f>HYPERLINK("https://test.ictv.global/id/TN202204194","TN202204194@TEST")</f>
        <v>TN202204194@TEST</v>
      </c>
      <c r="M2220" t="str">
        <f>HYPERLINK("https://test.ictv.global/id/ICTV19911600","ICTV19911600@TEST")</f>
        <v>ICTV19911600@TEST</v>
      </c>
      <c r="N2220" t="str">
        <f>HYPERLINK("https://ictv.global/id/TN202204194","TN202204194@prod")</f>
        <v>TN202204194@prod</v>
      </c>
      <c r="O2220" t="str">
        <f>HYPERLINK("https://ictv.global/id/ICTV19911600","ICTV19911600@prod")</f>
        <v>ICTV19911600@prod</v>
      </c>
    </row>
    <row r="2221" spans="1:15" x14ac:dyDescent="0.2">
      <c r="A2221">
        <v>38</v>
      </c>
      <c r="B2221">
        <v>202204195</v>
      </c>
      <c r="C2221">
        <v>19911611</v>
      </c>
      <c r="D2221" t="s">
        <v>29</v>
      </c>
      <c r="E2221" t="s">
        <v>2419</v>
      </c>
      <c r="G2221" t="s">
        <v>1165</v>
      </c>
      <c r="L2221" t="str">
        <f>HYPERLINK("https://test.ictv.global/id/TN202204195","TN202204195@TEST")</f>
        <v>TN202204195@TEST</v>
      </c>
      <c r="M2221" t="str">
        <f>HYPERLINK("https://test.ictv.global/id/ICTV19911611","ICTV19911611@TEST")</f>
        <v>ICTV19911611@TEST</v>
      </c>
      <c r="N2221" t="str">
        <f>HYPERLINK("https://ictv.global/id/TN202204195","TN202204195@prod")</f>
        <v>TN202204195@prod</v>
      </c>
      <c r="O2221" t="str">
        <f>HYPERLINK("https://ictv.global/id/ICTV19911611","ICTV19911611@prod")</f>
        <v>ICTV19911611@prod</v>
      </c>
    </row>
    <row r="2222" spans="1:15" x14ac:dyDescent="0.2">
      <c r="A2222">
        <v>38</v>
      </c>
      <c r="B2222">
        <v>202204196</v>
      </c>
      <c r="C2222">
        <v>19911601</v>
      </c>
      <c r="D2222" t="s">
        <v>29</v>
      </c>
      <c r="E2222" t="s">
        <v>2420</v>
      </c>
      <c r="G2222" t="s">
        <v>1165</v>
      </c>
      <c r="L2222" t="str">
        <f>HYPERLINK("https://test.ictv.global/id/TN202204196","TN202204196@TEST")</f>
        <v>TN202204196@TEST</v>
      </c>
      <c r="M2222" t="str">
        <f>HYPERLINK("https://test.ictv.global/id/ICTV19911601","ICTV19911601@TEST")</f>
        <v>ICTV19911601@TEST</v>
      </c>
      <c r="N2222" t="str">
        <f>HYPERLINK("https://ictv.global/id/TN202204196","TN202204196@prod")</f>
        <v>TN202204196@prod</v>
      </c>
      <c r="O2222" t="str">
        <f>HYPERLINK("https://ictv.global/id/ICTV19911601","ICTV19911601@prod")</f>
        <v>ICTV19911601@prod</v>
      </c>
    </row>
    <row r="2223" spans="1:15" x14ac:dyDescent="0.2">
      <c r="A2223">
        <v>38</v>
      </c>
      <c r="B2223">
        <v>202204197</v>
      </c>
      <c r="C2223">
        <v>19911602</v>
      </c>
      <c r="D2223" t="s">
        <v>29</v>
      </c>
      <c r="E2223" t="s">
        <v>2421</v>
      </c>
      <c r="G2223" t="s">
        <v>1165</v>
      </c>
      <c r="L2223" t="str">
        <f>HYPERLINK("https://test.ictv.global/id/TN202204197","TN202204197@TEST")</f>
        <v>TN202204197@TEST</v>
      </c>
      <c r="M2223" t="str">
        <f>HYPERLINK("https://test.ictv.global/id/ICTV19911602","ICTV19911602@TEST")</f>
        <v>ICTV19911602@TEST</v>
      </c>
      <c r="N2223" t="str">
        <f>HYPERLINK("https://ictv.global/id/TN202204197","TN202204197@prod")</f>
        <v>TN202204197@prod</v>
      </c>
      <c r="O2223" t="str">
        <f>HYPERLINK("https://ictv.global/id/ICTV19911602","ICTV19911602@prod")</f>
        <v>ICTV19911602@prod</v>
      </c>
    </row>
    <row r="2224" spans="1:15" x14ac:dyDescent="0.2">
      <c r="A2224">
        <v>38</v>
      </c>
      <c r="B2224">
        <v>202204198</v>
      </c>
      <c r="C2224">
        <v>19821204</v>
      </c>
      <c r="D2224" t="s">
        <v>29</v>
      </c>
      <c r="E2224" t="s">
        <v>2422</v>
      </c>
      <c r="G2224" t="s">
        <v>1165</v>
      </c>
      <c r="L2224" t="str">
        <f>HYPERLINK("https://test.ictv.global/id/TN202204198","TN202204198@TEST")</f>
        <v>TN202204198@TEST</v>
      </c>
      <c r="M2224" t="str">
        <f>HYPERLINK("https://test.ictv.global/id/ICTV19821204","ICTV19821204@TEST")</f>
        <v>ICTV19821204@TEST</v>
      </c>
      <c r="N2224" t="str">
        <f>HYPERLINK("https://ictv.global/id/TN202204198","TN202204198@prod")</f>
        <v>TN202204198@prod</v>
      </c>
      <c r="O2224" t="str">
        <f>HYPERLINK("https://ictv.global/id/ICTV19821204","ICTV19821204@prod")</f>
        <v>ICTV19821204@prod</v>
      </c>
    </row>
    <row r="2225" spans="1:15" x14ac:dyDescent="0.2">
      <c r="A2225">
        <v>38</v>
      </c>
      <c r="B2225">
        <v>202204199</v>
      </c>
      <c r="C2225">
        <v>19821205</v>
      </c>
      <c r="D2225" t="s">
        <v>29</v>
      </c>
      <c r="E2225" t="s">
        <v>2423</v>
      </c>
      <c r="G2225" t="s">
        <v>1165</v>
      </c>
      <c r="L2225" t="str">
        <f>HYPERLINK("https://test.ictv.global/id/TN202204199","TN202204199@TEST")</f>
        <v>TN202204199@TEST</v>
      </c>
      <c r="M2225" t="str">
        <f>HYPERLINK("https://test.ictv.global/id/ICTV19821205","ICTV19821205@TEST")</f>
        <v>ICTV19821205@TEST</v>
      </c>
      <c r="N2225" t="str">
        <f>HYPERLINK("https://ictv.global/id/TN202204199","TN202204199@prod")</f>
        <v>TN202204199@prod</v>
      </c>
      <c r="O2225" t="str">
        <f>HYPERLINK("https://ictv.global/id/ICTV19821205","ICTV19821205@prod")</f>
        <v>ICTV19821205@prod</v>
      </c>
    </row>
    <row r="2226" spans="1:15" x14ac:dyDescent="0.2">
      <c r="A2226">
        <v>38</v>
      </c>
      <c r="B2226">
        <v>202204200</v>
      </c>
      <c r="C2226">
        <v>19871277</v>
      </c>
      <c r="D2226" t="s">
        <v>29</v>
      </c>
      <c r="E2226" t="s">
        <v>2424</v>
      </c>
      <c r="G2226" t="s">
        <v>1165</v>
      </c>
      <c r="L2226" t="str">
        <f>HYPERLINK("https://test.ictv.global/id/TN202204200","TN202204200@TEST")</f>
        <v>TN202204200@TEST</v>
      </c>
      <c r="M2226" t="str">
        <f>HYPERLINK("https://test.ictv.global/id/ICTV19871277","ICTV19871277@TEST")</f>
        <v>ICTV19871277@TEST</v>
      </c>
      <c r="N2226" t="str">
        <f>HYPERLINK("https://ictv.global/id/TN202204200","TN202204200@prod")</f>
        <v>TN202204200@prod</v>
      </c>
      <c r="O2226" t="str">
        <f>HYPERLINK("https://ictv.global/id/ICTV19871277","ICTV19871277@prod")</f>
        <v>ICTV19871277@prod</v>
      </c>
    </row>
    <row r="2227" spans="1:15" x14ac:dyDescent="0.2">
      <c r="A2227">
        <v>38</v>
      </c>
      <c r="B2227">
        <v>202204201</v>
      </c>
      <c r="C2227">
        <v>19911604</v>
      </c>
      <c r="D2227" t="s">
        <v>29</v>
      </c>
      <c r="E2227" t="s">
        <v>2425</v>
      </c>
      <c r="G2227" t="s">
        <v>1165</v>
      </c>
      <c r="L2227" t="str">
        <f>HYPERLINK("https://test.ictv.global/id/TN202204201","TN202204201@TEST")</f>
        <v>TN202204201@TEST</v>
      </c>
      <c r="M2227" t="str">
        <f>HYPERLINK("https://test.ictv.global/id/ICTV19911604","ICTV19911604@TEST")</f>
        <v>ICTV19911604@TEST</v>
      </c>
      <c r="N2227" t="str">
        <f>HYPERLINK("https://ictv.global/id/TN202204201","TN202204201@prod")</f>
        <v>TN202204201@prod</v>
      </c>
      <c r="O2227" t="str">
        <f>HYPERLINK("https://ictv.global/id/ICTV19911604","ICTV19911604@prod")</f>
        <v>ICTV19911604@prod</v>
      </c>
    </row>
    <row r="2228" spans="1:15" x14ac:dyDescent="0.2">
      <c r="A2228">
        <v>38</v>
      </c>
      <c r="B2228">
        <v>202204202</v>
      </c>
      <c r="C2228">
        <v>19871278</v>
      </c>
      <c r="D2228" t="s">
        <v>29</v>
      </c>
      <c r="E2228" t="s">
        <v>2426</v>
      </c>
      <c r="G2228" t="s">
        <v>1165</v>
      </c>
      <c r="L2228" t="str">
        <f>HYPERLINK("https://test.ictv.global/id/TN202204202","TN202204202@TEST")</f>
        <v>TN202204202@TEST</v>
      </c>
      <c r="M2228" t="str">
        <f>HYPERLINK("https://test.ictv.global/id/ICTV19871278","ICTV19871278@TEST")</f>
        <v>ICTV19871278@TEST</v>
      </c>
      <c r="N2228" t="str">
        <f>HYPERLINK("https://ictv.global/id/TN202204202","TN202204202@prod")</f>
        <v>TN202204202@prod</v>
      </c>
      <c r="O2228" t="str">
        <f>HYPERLINK("https://ictv.global/id/ICTV19871278","ICTV19871278@prod")</f>
        <v>ICTV19871278@prod</v>
      </c>
    </row>
    <row r="2229" spans="1:15" x14ac:dyDescent="0.2">
      <c r="A2229">
        <v>38</v>
      </c>
      <c r="B2229">
        <v>202204203</v>
      </c>
      <c r="C2229">
        <v>19871279</v>
      </c>
      <c r="D2229" t="s">
        <v>29</v>
      </c>
      <c r="E2229" t="s">
        <v>2427</v>
      </c>
      <c r="G2229" t="s">
        <v>1165</v>
      </c>
      <c r="L2229" t="str">
        <f>HYPERLINK("https://test.ictv.global/id/TN202204203","TN202204203@TEST")</f>
        <v>TN202204203@TEST</v>
      </c>
      <c r="M2229" t="str">
        <f>HYPERLINK("https://test.ictv.global/id/ICTV19871279","ICTV19871279@TEST")</f>
        <v>ICTV19871279@TEST</v>
      </c>
      <c r="N2229" t="str">
        <f>HYPERLINK("https://ictv.global/id/TN202204203","TN202204203@prod")</f>
        <v>TN202204203@prod</v>
      </c>
      <c r="O2229" t="str">
        <f>HYPERLINK("https://ictv.global/id/ICTV19871279","ICTV19871279@prod")</f>
        <v>ICTV19871279@prod</v>
      </c>
    </row>
    <row r="2230" spans="1:15" x14ac:dyDescent="0.2">
      <c r="A2230">
        <v>38</v>
      </c>
      <c r="B2230">
        <v>202204204</v>
      </c>
      <c r="C2230">
        <v>19871280</v>
      </c>
      <c r="D2230" t="s">
        <v>29</v>
      </c>
      <c r="E2230" t="s">
        <v>2428</v>
      </c>
      <c r="G2230" t="s">
        <v>1165</v>
      </c>
      <c r="L2230" t="str">
        <f>HYPERLINK("https://test.ictv.global/id/TN202204204","TN202204204@TEST")</f>
        <v>TN202204204@TEST</v>
      </c>
      <c r="M2230" t="str">
        <f>HYPERLINK("https://test.ictv.global/id/ICTV19871280","ICTV19871280@TEST")</f>
        <v>ICTV19871280@TEST</v>
      </c>
      <c r="N2230" t="str">
        <f>HYPERLINK("https://ictv.global/id/TN202204204","TN202204204@prod")</f>
        <v>TN202204204@prod</v>
      </c>
      <c r="O2230" t="str">
        <f>HYPERLINK("https://ictv.global/id/ICTV19871280","ICTV19871280@prod")</f>
        <v>ICTV19871280@prod</v>
      </c>
    </row>
    <row r="2231" spans="1:15" x14ac:dyDescent="0.2">
      <c r="A2231">
        <v>38</v>
      </c>
      <c r="B2231">
        <v>202204205</v>
      </c>
      <c r="C2231">
        <v>19871283</v>
      </c>
      <c r="D2231" t="s">
        <v>29</v>
      </c>
      <c r="E2231" t="s">
        <v>2429</v>
      </c>
      <c r="G2231" t="s">
        <v>1165</v>
      </c>
      <c r="L2231" t="str">
        <f>HYPERLINK("https://test.ictv.global/id/TN202204205","TN202204205@TEST")</f>
        <v>TN202204205@TEST</v>
      </c>
      <c r="M2231" t="str">
        <f>HYPERLINK("https://test.ictv.global/id/ICTV19871283","ICTV19871283@TEST")</f>
        <v>ICTV19871283@TEST</v>
      </c>
      <c r="N2231" t="str">
        <f>HYPERLINK("https://ictv.global/id/TN202204205","TN202204205@prod")</f>
        <v>TN202204205@prod</v>
      </c>
      <c r="O2231" t="str">
        <f>HYPERLINK("https://ictv.global/id/ICTV19871283","ICTV19871283@prod")</f>
        <v>ICTV19871283@prod</v>
      </c>
    </row>
    <row r="2232" spans="1:15" x14ac:dyDescent="0.2">
      <c r="A2232">
        <v>38</v>
      </c>
      <c r="B2232">
        <v>202204237</v>
      </c>
      <c r="C2232">
        <v>20132553</v>
      </c>
      <c r="D2232" t="s">
        <v>29</v>
      </c>
      <c r="E2232" t="s">
        <v>1098</v>
      </c>
      <c r="G2232" t="s">
        <v>53</v>
      </c>
      <c r="H2232" t="s">
        <v>1098</v>
      </c>
      <c r="I2232" t="s">
        <v>29</v>
      </c>
      <c r="J2232">
        <v>20132553</v>
      </c>
      <c r="K2232">
        <v>202304237</v>
      </c>
      <c r="L2232" t="str">
        <f>HYPERLINK("https://test.ictv.global/id/TN202204237","TN202204237@TEST")</f>
        <v>TN202204237@TEST</v>
      </c>
      <c r="M2232" t="str">
        <f>HYPERLINK("https://test.ictv.global/id/ICTV20132553","ICTV20132553@TEST")</f>
        <v>ICTV20132553@TEST</v>
      </c>
      <c r="N2232" t="str">
        <f>HYPERLINK("https://ictv.global/id/TN202204237","TN202204237@prod")</f>
        <v>TN202204237@prod</v>
      </c>
      <c r="O2232" t="str">
        <f>HYPERLINK("https://ictv.global/id/ICTV20132553","ICTV20132553@prod")</f>
        <v>ICTV20132553@prod</v>
      </c>
    </row>
    <row r="2233" spans="1:15" x14ac:dyDescent="0.2">
      <c r="A2233">
        <v>38</v>
      </c>
      <c r="B2233">
        <v>202204237</v>
      </c>
      <c r="C2233">
        <v>20132553</v>
      </c>
      <c r="D2233" t="s">
        <v>29</v>
      </c>
      <c r="E2233" t="s">
        <v>1098</v>
      </c>
      <c r="G2233" t="s">
        <v>53</v>
      </c>
      <c r="H2233" t="s">
        <v>1099</v>
      </c>
      <c r="I2233" t="s">
        <v>29</v>
      </c>
      <c r="J2233">
        <v>202317844</v>
      </c>
      <c r="K2233">
        <v>202317844</v>
      </c>
      <c r="L2233" t="str">
        <f>HYPERLINK("https://test.ictv.global/id/TN202204237","TN202204237@TEST")</f>
        <v>TN202204237@TEST</v>
      </c>
      <c r="M2233" t="str">
        <f>HYPERLINK("https://test.ictv.global/id/ICTV20132553","ICTV20132553@TEST")</f>
        <v>ICTV20132553@TEST</v>
      </c>
      <c r="N2233" t="str">
        <f>HYPERLINK("https://ictv.global/id/TN202204237","TN202204237@prod")</f>
        <v>TN202204237@prod</v>
      </c>
      <c r="O2233" t="str">
        <f>HYPERLINK("https://ictv.global/id/ICTV20132553","ICTV20132553@prod")</f>
        <v>ICTV20132553@prod</v>
      </c>
    </row>
    <row r="2234" spans="1:15" x14ac:dyDescent="0.2">
      <c r="A2234">
        <v>38</v>
      </c>
      <c r="B2234">
        <v>202204237</v>
      </c>
      <c r="C2234">
        <v>20132553</v>
      </c>
      <c r="D2234" t="s">
        <v>29</v>
      </c>
      <c r="E2234" t="s">
        <v>1098</v>
      </c>
      <c r="G2234" t="s">
        <v>53</v>
      </c>
      <c r="H2234" t="s">
        <v>1100</v>
      </c>
      <c r="I2234" t="s">
        <v>29</v>
      </c>
      <c r="J2234">
        <v>202317845</v>
      </c>
      <c r="K2234">
        <v>202317845</v>
      </c>
      <c r="L2234" t="str">
        <f>HYPERLINK("https://test.ictv.global/id/TN202204237","TN202204237@TEST")</f>
        <v>TN202204237@TEST</v>
      </c>
      <c r="M2234" t="str">
        <f>HYPERLINK("https://test.ictv.global/id/ICTV20132553","ICTV20132553@TEST")</f>
        <v>ICTV20132553@TEST</v>
      </c>
      <c r="N2234" t="str">
        <f>HYPERLINK("https://ictv.global/id/TN202204237","TN202204237@prod")</f>
        <v>TN202204237@prod</v>
      </c>
      <c r="O2234" t="str">
        <f>HYPERLINK("https://ictv.global/id/ICTV20132553","ICTV20132553@prod")</f>
        <v>ICTV20132553@prod</v>
      </c>
    </row>
    <row r="2235" spans="1:15" x14ac:dyDescent="0.2">
      <c r="A2235">
        <v>38</v>
      </c>
      <c r="B2235">
        <v>202204294</v>
      </c>
      <c r="C2235">
        <v>19911045</v>
      </c>
      <c r="D2235" t="s">
        <v>29</v>
      </c>
      <c r="E2235" t="s">
        <v>2430</v>
      </c>
      <c r="G2235" t="s">
        <v>1165</v>
      </c>
      <c r="L2235" t="str">
        <f>HYPERLINK("https://test.ictv.global/id/TN202204294","TN202204294@TEST")</f>
        <v>TN202204294@TEST</v>
      </c>
      <c r="M2235" t="str">
        <f>HYPERLINK("https://test.ictv.global/id/ICTV19911045","ICTV19911045@TEST")</f>
        <v>ICTV19911045@TEST</v>
      </c>
      <c r="N2235" t="str">
        <f>HYPERLINK("https://ictv.global/id/TN202204294","TN202204294@prod")</f>
        <v>TN202204294@prod</v>
      </c>
      <c r="O2235" t="str">
        <f>HYPERLINK("https://ictv.global/id/ICTV19911045","ICTV19911045@prod")</f>
        <v>ICTV19911045@prod</v>
      </c>
    </row>
    <row r="2236" spans="1:15" x14ac:dyDescent="0.2">
      <c r="A2236">
        <v>38</v>
      </c>
      <c r="B2236">
        <v>202204297</v>
      </c>
      <c r="C2236">
        <v>19911050</v>
      </c>
      <c r="D2236" t="s">
        <v>29</v>
      </c>
      <c r="E2236" t="s">
        <v>2431</v>
      </c>
      <c r="G2236" t="s">
        <v>1165</v>
      </c>
      <c r="L2236" t="str">
        <f>HYPERLINK("https://test.ictv.global/id/TN202204297","TN202204297@TEST")</f>
        <v>TN202204297@TEST</v>
      </c>
      <c r="M2236" t="str">
        <f>HYPERLINK("https://test.ictv.global/id/ICTV19911050","ICTV19911050@TEST")</f>
        <v>ICTV19911050@TEST</v>
      </c>
      <c r="N2236" t="str">
        <f>HYPERLINK("https://ictv.global/id/TN202204297","TN202204297@prod")</f>
        <v>TN202204297@prod</v>
      </c>
      <c r="O2236" t="str">
        <f>HYPERLINK("https://ictv.global/id/ICTV19911050","ICTV19911050@prod")</f>
        <v>ICTV19911050@prod</v>
      </c>
    </row>
    <row r="2237" spans="1:15" x14ac:dyDescent="0.2">
      <c r="A2237">
        <v>38</v>
      </c>
      <c r="B2237">
        <v>202204298</v>
      </c>
      <c r="C2237">
        <v>19911051</v>
      </c>
      <c r="D2237" t="s">
        <v>29</v>
      </c>
      <c r="E2237" t="s">
        <v>2432</v>
      </c>
      <c r="G2237" t="s">
        <v>1165</v>
      </c>
      <c r="L2237" t="str">
        <f>HYPERLINK("https://test.ictv.global/id/TN202204298","TN202204298@TEST")</f>
        <v>TN202204298@TEST</v>
      </c>
      <c r="M2237" t="str">
        <f>HYPERLINK("https://test.ictv.global/id/ICTV19911051","ICTV19911051@TEST")</f>
        <v>ICTV19911051@TEST</v>
      </c>
      <c r="N2237" t="str">
        <f>HYPERLINK("https://ictv.global/id/TN202204298","TN202204298@prod")</f>
        <v>TN202204298@prod</v>
      </c>
      <c r="O2237" t="str">
        <f>HYPERLINK("https://ictv.global/id/ICTV19911051","ICTV19911051@prod")</f>
        <v>ICTV19911051@prod</v>
      </c>
    </row>
    <row r="2238" spans="1:15" x14ac:dyDescent="0.2">
      <c r="A2238">
        <v>38</v>
      </c>
      <c r="B2238">
        <v>202204299</v>
      </c>
      <c r="C2238">
        <v>19911054</v>
      </c>
      <c r="D2238" t="s">
        <v>29</v>
      </c>
      <c r="E2238" t="s">
        <v>2433</v>
      </c>
      <c r="G2238" t="s">
        <v>1165</v>
      </c>
      <c r="L2238" t="str">
        <f>HYPERLINK("https://test.ictv.global/id/TN202204299","TN202204299@TEST")</f>
        <v>TN202204299@TEST</v>
      </c>
      <c r="M2238" t="str">
        <f>HYPERLINK("https://test.ictv.global/id/ICTV19911054","ICTV19911054@TEST")</f>
        <v>ICTV19911054@TEST</v>
      </c>
      <c r="N2238" t="str">
        <f>HYPERLINK("https://ictv.global/id/TN202204299","TN202204299@prod")</f>
        <v>TN202204299@prod</v>
      </c>
      <c r="O2238" t="str">
        <f>HYPERLINK("https://ictv.global/id/ICTV19911054","ICTV19911054@prod")</f>
        <v>ICTV19911054@prod</v>
      </c>
    </row>
    <row r="2239" spans="1:15" x14ac:dyDescent="0.2">
      <c r="A2239">
        <v>38</v>
      </c>
      <c r="B2239">
        <v>202204300</v>
      </c>
      <c r="C2239">
        <v>19911058</v>
      </c>
      <c r="D2239" t="s">
        <v>29</v>
      </c>
      <c r="E2239" t="s">
        <v>2434</v>
      </c>
      <c r="G2239" t="s">
        <v>1165</v>
      </c>
      <c r="L2239" t="str">
        <f>HYPERLINK("https://test.ictv.global/id/TN202204300","TN202204300@TEST")</f>
        <v>TN202204300@TEST</v>
      </c>
      <c r="M2239" t="str">
        <f>HYPERLINK("https://test.ictv.global/id/ICTV19911058","ICTV19911058@TEST")</f>
        <v>ICTV19911058@TEST</v>
      </c>
      <c r="N2239" t="str">
        <f>HYPERLINK("https://ictv.global/id/TN202204300","TN202204300@prod")</f>
        <v>TN202204300@prod</v>
      </c>
      <c r="O2239" t="str">
        <f>HYPERLINK("https://ictv.global/id/ICTV19911058","ICTV19911058@prod")</f>
        <v>ICTV19911058@prod</v>
      </c>
    </row>
    <row r="2240" spans="1:15" x14ac:dyDescent="0.2">
      <c r="A2240">
        <v>38</v>
      </c>
      <c r="B2240">
        <v>202204301</v>
      </c>
      <c r="C2240">
        <v>19911059</v>
      </c>
      <c r="D2240" t="s">
        <v>29</v>
      </c>
      <c r="E2240" t="s">
        <v>2435</v>
      </c>
      <c r="G2240" t="s">
        <v>1165</v>
      </c>
      <c r="L2240" t="str">
        <f>HYPERLINK("https://test.ictv.global/id/TN202204301","TN202204301@TEST")</f>
        <v>TN202204301@TEST</v>
      </c>
      <c r="M2240" t="str">
        <f>HYPERLINK("https://test.ictv.global/id/ICTV19911059","ICTV19911059@TEST")</f>
        <v>ICTV19911059@TEST</v>
      </c>
      <c r="N2240" t="str">
        <f>HYPERLINK("https://ictv.global/id/TN202204301","TN202204301@prod")</f>
        <v>TN202204301@prod</v>
      </c>
      <c r="O2240" t="str">
        <f>HYPERLINK("https://ictv.global/id/ICTV19911059","ICTV19911059@prod")</f>
        <v>ICTV19911059@prod</v>
      </c>
    </row>
    <row r="2241" spans="1:15" x14ac:dyDescent="0.2">
      <c r="A2241">
        <v>38</v>
      </c>
      <c r="B2241">
        <v>202204303</v>
      </c>
      <c r="C2241">
        <v>19911069</v>
      </c>
      <c r="D2241" t="s">
        <v>29</v>
      </c>
      <c r="E2241" t="s">
        <v>2436</v>
      </c>
      <c r="G2241" t="s">
        <v>1165</v>
      </c>
      <c r="L2241" t="str">
        <f>HYPERLINK("https://test.ictv.global/id/TN202204303","TN202204303@TEST")</f>
        <v>TN202204303@TEST</v>
      </c>
      <c r="M2241" t="str">
        <f>HYPERLINK("https://test.ictv.global/id/ICTV19911069","ICTV19911069@TEST")</f>
        <v>ICTV19911069@TEST</v>
      </c>
      <c r="N2241" t="str">
        <f>HYPERLINK("https://ictv.global/id/TN202204303","TN202204303@prod")</f>
        <v>TN202204303@prod</v>
      </c>
      <c r="O2241" t="str">
        <f>HYPERLINK("https://ictv.global/id/ICTV19911069","ICTV19911069@prod")</f>
        <v>ICTV19911069@prod</v>
      </c>
    </row>
    <row r="2242" spans="1:15" x14ac:dyDescent="0.2">
      <c r="A2242">
        <v>38</v>
      </c>
      <c r="B2242">
        <v>202204304</v>
      </c>
      <c r="C2242">
        <v>19911073</v>
      </c>
      <c r="D2242" t="s">
        <v>29</v>
      </c>
      <c r="E2242" t="s">
        <v>2437</v>
      </c>
      <c r="G2242" t="s">
        <v>1165</v>
      </c>
      <c r="L2242" t="str">
        <f>HYPERLINK("https://test.ictv.global/id/TN202204304","TN202204304@TEST")</f>
        <v>TN202204304@TEST</v>
      </c>
      <c r="M2242" t="str">
        <f>HYPERLINK("https://test.ictv.global/id/ICTV19911073","ICTV19911073@TEST")</f>
        <v>ICTV19911073@TEST</v>
      </c>
      <c r="N2242" t="str">
        <f>HYPERLINK("https://ictv.global/id/TN202204304","TN202204304@prod")</f>
        <v>TN202204304@prod</v>
      </c>
      <c r="O2242" t="str">
        <f>HYPERLINK("https://ictv.global/id/ICTV19911073","ICTV19911073@prod")</f>
        <v>ICTV19911073@prod</v>
      </c>
    </row>
    <row r="2243" spans="1:15" x14ac:dyDescent="0.2">
      <c r="A2243">
        <v>38</v>
      </c>
      <c r="B2243">
        <v>202204307</v>
      </c>
      <c r="C2243">
        <v>19911082</v>
      </c>
      <c r="D2243" t="s">
        <v>29</v>
      </c>
      <c r="E2243" t="s">
        <v>2438</v>
      </c>
      <c r="G2243" t="s">
        <v>1165</v>
      </c>
      <c r="L2243" t="str">
        <f>HYPERLINK("https://test.ictv.global/id/TN202204307","TN202204307@TEST")</f>
        <v>TN202204307@TEST</v>
      </c>
      <c r="M2243" t="str">
        <f>HYPERLINK("https://test.ictv.global/id/ICTV19911082","ICTV19911082@TEST")</f>
        <v>ICTV19911082@TEST</v>
      </c>
      <c r="N2243" t="str">
        <f>HYPERLINK("https://ictv.global/id/TN202204307","TN202204307@prod")</f>
        <v>TN202204307@prod</v>
      </c>
      <c r="O2243" t="str">
        <f>HYPERLINK("https://ictv.global/id/ICTV19911082","ICTV19911082@prod")</f>
        <v>ICTV19911082@prod</v>
      </c>
    </row>
    <row r="2244" spans="1:15" x14ac:dyDescent="0.2">
      <c r="A2244">
        <v>38</v>
      </c>
      <c r="B2244">
        <v>202204308</v>
      </c>
      <c r="C2244">
        <v>19911089</v>
      </c>
      <c r="D2244" t="s">
        <v>29</v>
      </c>
      <c r="E2244" t="s">
        <v>2439</v>
      </c>
      <c r="G2244" t="s">
        <v>1165</v>
      </c>
      <c r="L2244" t="str">
        <f>HYPERLINK("https://test.ictv.global/id/TN202204308","TN202204308@TEST")</f>
        <v>TN202204308@TEST</v>
      </c>
      <c r="M2244" t="str">
        <f>HYPERLINK("https://test.ictv.global/id/ICTV19911089","ICTV19911089@TEST")</f>
        <v>ICTV19911089@TEST</v>
      </c>
      <c r="N2244" t="str">
        <f>HYPERLINK("https://ictv.global/id/TN202204308","TN202204308@prod")</f>
        <v>TN202204308@prod</v>
      </c>
      <c r="O2244" t="str">
        <f>HYPERLINK("https://ictv.global/id/ICTV19911089","ICTV19911089@prod")</f>
        <v>ICTV19911089@prod</v>
      </c>
    </row>
    <row r="2245" spans="1:15" x14ac:dyDescent="0.2">
      <c r="A2245">
        <v>38</v>
      </c>
      <c r="B2245">
        <v>202204309</v>
      </c>
      <c r="C2245">
        <v>19911085</v>
      </c>
      <c r="D2245" t="s">
        <v>29</v>
      </c>
      <c r="E2245" t="s">
        <v>2440</v>
      </c>
      <c r="G2245" t="s">
        <v>1165</v>
      </c>
      <c r="L2245" t="str">
        <f>HYPERLINK("https://test.ictv.global/id/TN202204309","TN202204309@TEST")</f>
        <v>TN202204309@TEST</v>
      </c>
      <c r="M2245" t="str">
        <f>HYPERLINK("https://test.ictv.global/id/ICTV19911085","ICTV19911085@TEST")</f>
        <v>ICTV19911085@TEST</v>
      </c>
      <c r="N2245" t="str">
        <f>HYPERLINK("https://ictv.global/id/TN202204309","TN202204309@prod")</f>
        <v>TN202204309@prod</v>
      </c>
      <c r="O2245" t="str">
        <f>HYPERLINK("https://ictv.global/id/ICTV19911085","ICTV19911085@prod")</f>
        <v>ICTV19911085@prod</v>
      </c>
    </row>
    <row r="2246" spans="1:15" x14ac:dyDescent="0.2">
      <c r="A2246">
        <v>38</v>
      </c>
      <c r="B2246">
        <v>202204310</v>
      </c>
      <c r="C2246">
        <v>19911086</v>
      </c>
      <c r="D2246" t="s">
        <v>29</v>
      </c>
      <c r="E2246" t="s">
        <v>2441</v>
      </c>
      <c r="G2246" t="s">
        <v>1165</v>
      </c>
      <c r="L2246" t="str">
        <f>HYPERLINK("https://test.ictv.global/id/TN202204310","TN202204310@TEST")</f>
        <v>TN202204310@TEST</v>
      </c>
      <c r="M2246" t="str">
        <f>HYPERLINK("https://test.ictv.global/id/ICTV19911086","ICTV19911086@TEST")</f>
        <v>ICTV19911086@TEST</v>
      </c>
      <c r="N2246" t="str">
        <f>HYPERLINK("https://ictv.global/id/TN202204310","TN202204310@prod")</f>
        <v>TN202204310@prod</v>
      </c>
      <c r="O2246" t="str">
        <f>HYPERLINK("https://ictv.global/id/ICTV19911086","ICTV19911086@prod")</f>
        <v>ICTV19911086@prod</v>
      </c>
    </row>
    <row r="2247" spans="1:15" x14ac:dyDescent="0.2">
      <c r="A2247">
        <v>38</v>
      </c>
      <c r="B2247">
        <v>202204311</v>
      </c>
      <c r="C2247">
        <v>19911087</v>
      </c>
      <c r="D2247" t="s">
        <v>29</v>
      </c>
      <c r="E2247" t="s">
        <v>2442</v>
      </c>
      <c r="G2247" t="s">
        <v>1165</v>
      </c>
      <c r="L2247" t="str">
        <f>HYPERLINK("https://test.ictv.global/id/TN202204311","TN202204311@TEST")</f>
        <v>TN202204311@TEST</v>
      </c>
      <c r="M2247" t="str">
        <f>HYPERLINK("https://test.ictv.global/id/ICTV19911087","ICTV19911087@TEST")</f>
        <v>ICTV19911087@TEST</v>
      </c>
      <c r="N2247" t="str">
        <f>HYPERLINK("https://ictv.global/id/TN202204311","TN202204311@prod")</f>
        <v>TN202204311@prod</v>
      </c>
      <c r="O2247" t="str">
        <f>HYPERLINK("https://ictv.global/id/ICTV19911087","ICTV19911087@prod")</f>
        <v>ICTV19911087@prod</v>
      </c>
    </row>
    <row r="2248" spans="1:15" x14ac:dyDescent="0.2">
      <c r="A2248">
        <v>38</v>
      </c>
      <c r="B2248">
        <v>202204315</v>
      </c>
      <c r="C2248">
        <v>19991232</v>
      </c>
      <c r="D2248" t="s">
        <v>29</v>
      </c>
      <c r="E2248" t="s">
        <v>2443</v>
      </c>
      <c r="G2248" t="s">
        <v>1165</v>
      </c>
      <c r="L2248" t="str">
        <f>HYPERLINK("https://test.ictv.global/id/TN202204315","TN202204315@TEST")</f>
        <v>TN202204315@TEST</v>
      </c>
      <c r="M2248" t="str">
        <f>HYPERLINK("https://test.ictv.global/id/ICTV19991232","ICTV19991232@TEST")</f>
        <v>ICTV19991232@TEST</v>
      </c>
      <c r="N2248" t="str">
        <f>HYPERLINK("https://ictv.global/id/TN202204315","TN202204315@prod")</f>
        <v>TN202204315@prod</v>
      </c>
      <c r="O2248" t="str">
        <f>HYPERLINK("https://ictv.global/id/ICTV19991232","ICTV19991232@prod")</f>
        <v>ICTV19991232@prod</v>
      </c>
    </row>
    <row r="2249" spans="1:15" x14ac:dyDescent="0.2">
      <c r="A2249">
        <v>38</v>
      </c>
      <c r="B2249">
        <v>202204317</v>
      </c>
      <c r="C2249">
        <v>19991234</v>
      </c>
      <c r="D2249" t="s">
        <v>29</v>
      </c>
      <c r="E2249" t="s">
        <v>2444</v>
      </c>
      <c r="G2249" t="s">
        <v>1165</v>
      </c>
      <c r="L2249" t="str">
        <f>HYPERLINK("https://test.ictv.global/id/TN202204317","TN202204317@TEST")</f>
        <v>TN202204317@TEST</v>
      </c>
      <c r="M2249" t="str">
        <f>HYPERLINK("https://test.ictv.global/id/ICTV19991234","ICTV19991234@TEST")</f>
        <v>ICTV19991234@TEST</v>
      </c>
      <c r="N2249" t="str">
        <f>HYPERLINK("https://ictv.global/id/TN202204317","TN202204317@prod")</f>
        <v>TN202204317@prod</v>
      </c>
      <c r="O2249" t="str">
        <f>HYPERLINK("https://ictv.global/id/ICTV19991234","ICTV19991234@prod")</f>
        <v>ICTV19991234@prod</v>
      </c>
    </row>
    <row r="2250" spans="1:15" x14ac:dyDescent="0.2">
      <c r="A2250">
        <v>38</v>
      </c>
      <c r="B2250">
        <v>202204320</v>
      </c>
      <c r="C2250">
        <v>19991237</v>
      </c>
      <c r="D2250" t="s">
        <v>29</v>
      </c>
      <c r="E2250" t="s">
        <v>2445</v>
      </c>
      <c r="G2250" t="s">
        <v>1165</v>
      </c>
      <c r="L2250" t="str">
        <f>HYPERLINK("https://test.ictv.global/id/TN202204320","TN202204320@TEST")</f>
        <v>TN202204320@TEST</v>
      </c>
      <c r="M2250" t="str">
        <f>HYPERLINK("https://test.ictv.global/id/ICTV19991237","ICTV19991237@TEST")</f>
        <v>ICTV19991237@TEST</v>
      </c>
      <c r="N2250" t="str">
        <f>HYPERLINK("https://ictv.global/id/TN202204320","TN202204320@prod")</f>
        <v>TN202204320@prod</v>
      </c>
      <c r="O2250" t="str">
        <f>HYPERLINK("https://ictv.global/id/ICTV19991237","ICTV19991237@prod")</f>
        <v>ICTV19991237@prod</v>
      </c>
    </row>
    <row r="2251" spans="1:15" x14ac:dyDescent="0.2">
      <c r="A2251">
        <v>38</v>
      </c>
      <c r="B2251">
        <v>202204321</v>
      </c>
      <c r="C2251">
        <v>19991238</v>
      </c>
      <c r="D2251" t="s">
        <v>29</v>
      </c>
      <c r="E2251" t="s">
        <v>2446</v>
      </c>
      <c r="G2251" t="s">
        <v>1165</v>
      </c>
      <c r="L2251" t="str">
        <f>HYPERLINK("https://test.ictv.global/id/TN202204321","TN202204321@TEST")</f>
        <v>TN202204321@TEST</v>
      </c>
      <c r="M2251" t="str">
        <f>HYPERLINK("https://test.ictv.global/id/ICTV19991238","ICTV19991238@TEST")</f>
        <v>ICTV19991238@TEST</v>
      </c>
      <c r="N2251" t="str">
        <f>HYPERLINK("https://ictv.global/id/TN202204321","TN202204321@prod")</f>
        <v>TN202204321@prod</v>
      </c>
      <c r="O2251" t="str">
        <f>HYPERLINK("https://ictv.global/id/ICTV19991238","ICTV19991238@prod")</f>
        <v>ICTV19991238@prod</v>
      </c>
    </row>
    <row r="2252" spans="1:15" x14ac:dyDescent="0.2">
      <c r="A2252">
        <v>38</v>
      </c>
      <c r="B2252">
        <v>202204322</v>
      </c>
      <c r="C2252">
        <v>19991239</v>
      </c>
      <c r="D2252" t="s">
        <v>29</v>
      </c>
      <c r="E2252" t="s">
        <v>2447</v>
      </c>
      <c r="G2252" t="s">
        <v>1165</v>
      </c>
      <c r="L2252" t="str">
        <f>HYPERLINK("https://test.ictv.global/id/TN202204322","TN202204322@TEST")</f>
        <v>TN202204322@TEST</v>
      </c>
      <c r="M2252" t="str">
        <f>HYPERLINK("https://test.ictv.global/id/ICTV19991239","ICTV19991239@TEST")</f>
        <v>ICTV19991239@TEST</v>
      </c>
      <c r="N2252" t="str">
        <f>HYPERLINK("https://ictv.global/id/TN202204322","TN202204322@prod")</f>
        <v>TN202204322@prod</v>
      </c>
      <c r="O2252" t="str">
        <f>HYPERLINK("https://ictv.global/id/ICTV19991239","ICTV19991239@prod")</f>
        <v>ICTV19991239@prod</v>
      </c>
    </row>
    <row r="2253" spans="1:15" x14ac:dyDescent="0.2">
      <c r="A2253">
        <v>38</v>
      </c>
      <c r="B2253">
        <v>202204323</v>
      </c>
      <c r="C2253">
        <v>20041595</v>
      </c>
      <c r="D2253" t="s">
        <v>29</v>
      </c>
      <c r="E2253" t="s">
        <v>2448</v>
      </c>
      <c r="G2253" t="s">
        <v>1165</v>
      </c>
      <c r="L2253" t="str">
        <f>HYPERLINK("https://test.ictv.global/id/TN202204323","TN202204323@TEST")</f>
        <v>TN202204323@TEST</v>
      </c>
      <c r="M2253" t="str">
        <f>HYPERLINK("https://test.ictv.global/id/ICTV20041595","ICTV20041595@TEST")</f>
        <v>ICTV20041595@TEST</v>
      </c>
      <c r="N2253" t="str">
        <f>HYPERLINK("https://ictv.global/id/TN202204323","TN202204323@prod")</f>
        <v>TN202204323@prod</v>
      </c>
      <c r="O2253" t="str">
        <f>HYPERLINK("https://ictv.global/id/ICTV20041595","ICTV20041595@prod")</f>
        <v>ICTV20041595@prod</v>
      </c>
    </row>
    <row r="2254" spans="1:15" x14ac:dyDescent="0.2">
      <c r="A2254">
        <v>38</v>
      </c>
      <c r="B2254">
        <v>202204742</v>
      </c>
      <c r="C2254">
        <v>19710275</v>
      </c>
      <c r="D2254" t="s">
        <v>29</v>
      </c>
      <c r="E2254" t="s">
        <v>2449</v>
      </c>
      <c r="G2254" t="s">
        <v>1165</v>
      </c>
      <c r="L2254" t="str">
        <f>HYPERLINK("https://test.ictv.global/id/TN202204742","TN202204742@TEST")</f>
        <v>TN202204742@TEST</v>
      </c>
      <c r="M2254" t="str">
        <f>HYPERLINK("https://test.ictv.global/id/ICTV19710275","ICTV19710275@TEST")</f>
        <v>ICTV19710275@TEST</v>
      </c>
      <c r="N2254" t="str">
        <f>HYPERLINK("https://ictv.global/id/TN202204742","TN202204742@prod")</f>
        <v>TN202204742@prod</v>
      </c>
      <c r="O2254" t="str">
        <f>HYPERLINK("https://ictv.global/id/ICTV19710275","ICTV19710275@prod")</f>
        <v>ICTV19710275@prod</v>
      </c>
    </row>
    <row r="2255" spans="1:15" x14ac:dyDescent="0.2">
      <c r="A2255">
        <v>38</v>
      </c>
      <c r="B2255">
        <v>202204743</v>
      </c>
      <c r="C2255">
        <v>19951941</v>
      </c>
      <c r="D2255" t="s">
        <v>29</v>
      </c>
      <c r="E2255" t="s">
        <v>2450</v>
      </c>
      <c r="G2255" t="s">
        <v>1165</v>
      </c>
      <c r="L2255" t="str">
        <f>HYPERLINK("https://test.ictv.global/id/TN202204743","TN202204743@TEST")</f>
        <v>TN202204743@TEST</v>
      </c>
      <c r="M2255" t="str">
        <f>HYPERLINK("https://test.ictv.global/id/ICTV19951941","ICTV19951941@TEST")</f>
        <v>ICTV19951941@TEST</v>
      </c>
      <c r="N2255" t="str">
        <f>HYPERLINK("https://ictv.global/id/TN202204743","TN202204743@prod")</f>
        <v>TN202204743@prod</v>
      </c>
      <c r="O2255" t="str">
        <f>HYPERLINK("https://ictv.global/id/ICTV19951941","ICTV19951941@prod")</f>
        <v>ICTV19951941@prod</v>
      </c>
    </row>
    <row r="2256" spans="1:15" x14ac:dyDescent="0.2">
      <c r="A2256">
        <v>38</v>
      </c>
      <c r="B2256">
        <v>202204745</v>
      </c>
      <c r="C2256">
        <v>19911327</v>
      </c>
      <c r="D2256" t="s">
        <v>29</v>
      </c>
      <c r="E2256" t="s">
        <v>2451</v>
      </c>
      <c r="G2256" t="s">
        <v>1165</v>
      </c>
      <c r="L2256" t="str">
        <f>HYPERLINK("https://test.ictv.global/id/TN202204745","TN202204745@TEST")</f>
        <v>TN202204745@TEST</v>
      </c>
      <c r="M2256" t="str">
        <f>HYPERLINK("https://test.ictv.global/id/ICTV19911327","ICTV19911327@TEST")</f>
        <v>ICTV19911327@TEST</v>
      </c>
      <c r="N2256" t="str">
        <f>HYPERLINK("https://ictv.global/id/TN202204745","TN202204745@prod")</f>
        <v>TN202204745@prod</v>
      </c>
      <c r="O2256" t="str">
        <f>HYPERLINK("https://ictv.global/id/ICTV19911327","ICTV19911327@prod")</f>
        <v>ICTV19911327@prod</v>
      </c>
    </row>
    <row r="2257" spans="1:15" x14ac:dyDescent="0.2">
      <c r="A2257">
        <v>38</v>
      </c>
      <c r="B2257">
        <v>202204747</v>
      </c>
      <c r="C2257">
        <v>19710287</v>
      </c>
      <c r="D2257" t="s">
        <v>29</v>
      </c>
      <c r="E2257" t="s">
        <v>2452</v>
      </c>
      <c r="G2257" t="s">
        <v>1165</v>
      </c>
      <c r="L2257" t="str">
        <f>HYPERLINK("https://test.ictv.global/id/TN202204747","TN202204747@TEST")</f>
        <v>TN202204747@TEST</v>
      </c>
      <c r="M2257" t="str">
        <f>HYPERLINK("https://test.ictv.global/id/ICTV19710287","ICTV19710287@TEST")</f>
        <v>ICTV19710287@TEST</v>
      </c>
      <c r="N2257" t="str">
        <f>HYPERLINK("https://ictv.global/id/TN202204747","TN202204747@prod")</f>
        <v>TN202204747@prod</v>
      </c>
      <c r="O2257" t="str">
        <f>HYPERLINK("https://ictv.global/id/ICTV19710287","ICTV19710287@prod")</f>
        <v>ICTV19710287@prod</v>
      </c>
    </row>
    <row r="2258" spans="1:15" x14ac:dyDescent="0.2">
      <c r="A2258">
        <v>38</v>
      </c>
      <c r="B2258">
        <v>202204748</v>
      </c>
      <c r="C2258">
        <v>19710289</v>
      </c>
      <c r="D2258" t="s">
        <v>29</v>
      </c>
      <c r="E2258" t="s">
        <v>2453</v>
      </c>
      <c r="G2258" t="s">
        <v>1165</v>
      </c>
      <c r="L2258" t="str">
        <f>HYPERLINK("https://test.ictv.global/id/TN202204748","TN202204748@TEST")</f>
        <v>TN202204748@TEST</v>
      </c>
      <c r="M2258" t="str">
        <f>HYPERLINK("https://test.ictv.global/id/ICTV19710289","ICTV19710289@TEST")</f>
        <v>ICTV19710289@TEST</v>
      </c>
      <c r="N2258" t="str">
        <f>HYPERLINK("https://ictv.global/id/TN202204748","TN202204748@prod")</f>
        <v>TN202204748@prod</v>
      </c>
      <c r="O2258" t="str">
        <f>HYPERLINK("https://ictv.global/id/ICTV19710289","ICTV19710289@prod")</f>
        <v>ICTV19710289@prod</v>
      </c>
    </row>
    <row r="2259" spans="1:15" x14ac:dyDescent="0.2">
      <c r="A2259">
        <v>38</v>
      </c>
      <c r="B2259">
        <v>202204761</v>
      </c>
      <c r="C2259">
        <v>19710272</v>
      </c>
      <c r="D2259" t="s">
        <v>29</v>
      </c>
      <c r="E2259" t="s">
        <v>2454</v>
      </c>
      <c r="G2259" t="s">
        <v>1165</v>
      </c>
      <c r="L2259" t="str">
        <f>HYPERLINK("https://test.ictv.global/id/TN202204761","TN202204761@TEST")</f>
        <v>TN202204761@TEST</v>
      </c>
      <c r="M2259" t="str">
        <f>HYPERLINK("https://test.ictv.global/id/ICTV19710272","ICTV19710272@TEST")</f>
        <v>ICTV19710272@TEST</v>
      </c>
      <c r="N2259" t="str">
        <f>HYPERLINK("https://ictv.global/id/TN202204761","TN202204761@prod")</f>
        <v>TN202204761@prod</v>
      </c>
      <c r="O2259" t="str">
        <f>HYPERLINK("https://ictv.global/id/ICTV19710272","ICTV19710272@prod")</f>
        <v>ICTV19710272@prod</v>
      </c>
    </row>
    <row r="2260" spans="1:15" x14ac:dyDescent="0.2">
      <c r="A2260">
        <v>38</v>
      </c>
      <c r="B2260">
        <v>202204794</v>
      </c>
      <c r="C2260">
        <v>19760461</v>
      </c>
      <c r="D2260" t="s">
        <v>29</v>
      </c>
      <c r="E2260" t="s">
        <v>2455</v>
      </c>
      <c r="G2260" t="s">
        <v>1165</v>
      </c>
      <c r="L2260" t="str">
        <f>HYPERLINK("https://test.ictv.global/id/TN202204794","TN202204794@TEST")</f>
        <v>TN202204794@TEST</v>
      </c>
      <c r="M2260" t="str">
        <f>HYPERLINK("https://test.ictv.global/id/ICTV19760461","ICTV19760461@TEST")</f>
        <v>ICTV19760461@TEST</v>
      </c>
      <c r="N2260" t="str">
        <f>HYPERLINK("https://ictv.global/id/TN202204794","TN202204794@prod")</f>
        <v>TN202204794@prod</v>
      </c>
      <c r="O2260" t="str">
        <f>HYPERLINK("https://ictv.global/id/ICTV19760461","ICTV19760461@prod")</f>
        <v>ICTV19760461@prod</v>
      </c>
    </row>
    <row r="2261" spans="1:15" x14ac:dyDescent="0.2">
      <c r="A2261">
        <v>38</v>
      </c>
      <c r="B2261">
        <v>202204795</v>
      </c>
      <c r="C2261">
        <v>19760470</v>
      </c>
      <c r="D2261" t="s">
        <v>29</v>
      </c>
      <c r="E2261" t="s">
        <v>2456</v>
      </c>
      <c r="G2261" t="s">
        <v>1165</v>
      </c>
      <c r="L2261" t="str">
        <f>HYPERLINK("https://test.ictv.global/id/TN202204795","TN202204795@TEST")</f>
        <v>TN202204795@TEST</v>
      </c>
      <c r="M2261" t="str">
        <f>HYPERLINK("https://test.ictv.global/id/ICTV19760470","ICTV19760470@TEST")</f>
        <v>ICTV19760470@TEST</v>
      </c>
      <c r="N2261" t="str">
        <f>HYPERLINK("https://ictv.global/id/TN202204795","TN202204795@prod")</f>
        <v>TN202204795@prod</v>
      </c>
      <c r="O2261" t="str">
        <f>HYPERLINK("https://ictv.global/id/ICTV19760470","ICTV19760470@prod")</f>
        <v>ICTV19760470@prod</v>
      </c>
    </row>
    <row r="2262" spans="1:15" x14ac:dyDescent="0.2">
      <c r="A2262">
        <v>38</v>
      </c>
      <c r="B2262">
        <v>202204796</v>
      </c>
      <c r="C2262">
        <v>19760471</v>
      </c>
      <c r="D2262" t="s">
        <v>29</v>
      </c>
      <c r="E2262" t="s">
        <v>2457</v>
      </c>
      <c r="G2262" t="s">
        <v>1165</v>
      </c>
      <c r="L2262" t="str">
        <f>HYPERLINK("https://test.ictv.global/id/TN202204796","TN202204796@TEST")</f>
        <v>TN202204796@TEST</v>
      </c>
      <c r="M2262" t="str">
        <f>HYPERLINK("https://test.ictv.global/id/ICTV19760471","ICTV19760471@TEST")</f>
        <v>ICTV19760471@TEST</v>
      </c>
      <c r="N2262" t="str">
        <f>HYPERLINK("https://ictv.global/id/TN202204796","TN202204796@prod")</f>
        <v>TN202204796@prod</v>
      </c>
      <c r="O2262" t="str">
        <f>HYPERLINK("https://ictv.global/id/ICTV19760471","ICTV19760471@prod")</f>
        <v>ICTV19760471@prod</v>
      </c>
    </row>
    <row r="2263" spans="1:15" x14ac:dyDescent="0.2">
      <c r="A2263">
        <v>38</v>
      </c>
      <c r="B2263">
        <v>202204797</v>
      </c>
      <c r="C2263">
        <v>19760472</v>
      </c>
      <c r="D2263" t="s">
        <v>29</v>
      </c>
      <c r="E2263" t="s">
        <v>2458</v>
      </c>
      <c r="G2263" t="s">
        <v>1165</v>
      </c>
      <c r="L2263" t="str">
        <f>HYPERLINK("https://test.ictv.global/id/TN202204797","TN202204797@TEST")</f>
        <v>TN202204797@TEST</v>
      </c>
      <c r="M2263" t="str">
        <f>HYPERLINK("https://test.ictv.global/id/ICTV19760472","ICTV19760472@TEST")</f>
        <v>ICTV19760472@TEST</v>
      </c>
      <c r="N2263" t="str">
        <f>HYPERLINK("https://ictv.global/id/TN202204797","TN202204797@prod")</f>
        <v>TN202204797@prod</v>
      </c>
      <c r="O2263" t="str">
        <f>HYPERLINK("https://ictv.global/id/ICTV19760472","ICTV19760472@prod")</f>
        <v>ICTV19760472@prod</v>
      </c>
    </row>
    <row r="2264" spans="1:15" x14ac:dyDescent="0.2">
      <c r="A2264">
        <v>38</v>
      </c>
      <c r="B2264">
        <v>202204798</v>
      </c>
      <c r="C2264">
        <v>19760473</v>
      </c>
      <c r="D2264" t="s">
        <v>29</v>
      </c>
      <c r="E2264" t="s">
        <v>2459</v>
      </c>
      <c r="G2264" t="s">
        <v>1165</v>
      </c>
      <c r="L2264" t="str">
        <f>HYPERLINK("https://test.ictv.global/id/TN202204798","TN202204798@TEST")</f>
        <v>TN202204798@TEST</v>
      </c>
      <c r="M2264" t="str">
        <f>HYPERLINK("https://test.ictv.global/id/ICTV19760473","ICTV19760473@TEST")</f>
        <v>ICTV19760473@TEST</v>
      </c>
      <c r="N2264" t="str">
        <f>HYPERLINK("https://ictv.global/id/TN202204798","TN202204798@prod")</f>
        <v>TN202204798@prod</v>
      </c>
      <c r="O2264" t="str">
        <f>HYPERLINK("https://ictv.global/id/ICTV19760473","ICTV19760473@prod")</f>
        <v>ICTV19760473@prod</v>
      </c>
    </row>
    <row r="2265" spans="1:15" x14ac:dyDescent="0.2">
      <c r="A2265">
        <v>38</v>
      </c>
      <c r="B2265">
        <v>202204801</v>
      </c>
      <c r="C2265">
        <v>19760457</v>
      </c>
      <c r="D2265" t="s">
        <v>29</v>
      </c>
      <c r="E2265" t="s">
        <v>2460</v>
      </c>
      <c r="G2265" t="s">
        <v>1165</v>
      </c>
      <c r="L2265" t="str">
        <f>HYPERLINK("https://test.ictv.global/id/TN202204801","TN202204801@TEST")</f>
        <v>TN202204801@TEST</v>
      </c>
      <c r="M2265" t="str">
        <f>HYPERLINK("https://test.ictv.global/id/ICTV19760457","ICTV19760457@TEST")</f>
        <v>ICTV19760457@TEST</v>
      </c>
      <c r="N2265" t="str">
        <f>HYPERLINK("https://ictv.global/id/TN202204801","TN202204801@prod")</f>
        <v>TN202204801@prod</v>
      </c>
      <c r="O2265" t="str">
        <f>HYPERLINK("https://ictv.global/id/ICTV19760457","ICTV19760457@prod")</f>
        <v>ICTV19760457@prod</v>
      </c>
    </row>
    <row r="2266" spans="1:15" x14ac:dyDescent="0.2">
      <c r="A2266">
        <v>38</v>
      </c>
      <c r="B2266">
        <v>202204804</v>
      </c>
      <c r="C2266">
        <v>19911363</v>
      </c>
      <c r="D2266" t="s">
        <v>29</v>
      </c>
      <c r="E2266" t="s">
        <v>2461</v>
      </c>
      <c r="G2266" t="s">
        <v>1165</v>
      </c>
      <c r="L2266" t="str">
        <f>HYPERLINK("https://test.ictv.global/id/TN202204804","TN202204804@TEST")</f>
        <v>TN202204804@TEST</v>
      </c>
      <c r="M2266" t="str">
        <f>HYPERLINK("https://test.ictv.global/id/ICTV19911363","ICTV19911363@TEST")</f>
        <v>ICTV19911363@TEST</v>
      </c>
      <c r="N2266" t="str">
        <f>HYPERLINK("https://ictv.global/id/TN202204804","TN202204804@prod")</f>
        <v>TN202204804@prod</v>
      </c>
      <c r="O2266" t="str">
        <f>HYPERLINK("https://ictv.global/id/ICTV19911363","ICTV19911363@prod")</f>
        <v>ICTV19911363@prod</v>
      </c>
    </row>
    <row r="2267" spans="1:15" x14ac:dyDescent="0.2">
      <c r="A2267">
        <v>38</v>
      </c>
      <c r="B2267">
        <v>202204806</v>
      </c>
      <c r="C2267">
        <v>19760467</v>
      </c>
      <c r="D2267" t="s">
        <v>29</v>
      </c>
      <c r="E2267" t="s">
        <v>2462</v>
      </c>
      <c r="G2267" t="s">
        <v>1165</v>
      </c>
      <c r="L2267" t="str">
        <f>HYPERLINK("https://test.ictv.global/id/TN202204806","TN202204806@TEST")</f>
        <v>TN202204806@TEST</v>
      </c>
      <c r="M2267" t="str">
        <f>HYPERLINK("https://test.ictv.global/id/ICTV19760467","ICTV19760467@TEST")</f>
        <v>ICTV19760467@TEST</v>
      </c>
      <c r="N2267" t="str">
        <f>HYPERLINK("https://ictv.global/id/TN202204806","TN202204806@prod")</f>
        <v>TN202204806@prod</v>
      </c>
      <c r="O2267" t="str">
        <f>HYPERLINK("https://ictv.global/id/ICTV19760467","ICTV19760467@prod")</f>
        <v>ICTV19760467@prod</v>
      </c>
    </row>
    <row r="2268" spans="1:15" x14ac:dyDescent="0.2">
      <c r="A2268">
        <v>38</v>
      </c>
      <c r="B2268">
        <v>202204807</v>
      </c>
      <c r="C2268">
        <v>19760468</v>
      </c>
      <c r="D2268" t="s">
        <v>29</v>
      </c>
      <c r="E2268" t="s">
        <v>2463</v>
      </c>
      <c r="G2268" t="s">
        <v>1165</v>
      </c>
      <c r="L2268" t="str">
        <f>HYPERLINK("https://test.ictv.global/id/TN202204807","TN202204807@TEST")</f>
        <v>TN202204807@TEST</v>
      </c>
      <c r="M2268" t="str">
        <f>HYPERLINK("https://test.ictv.global/id/ICTV19760468","ICTV19760468@TEST")</f>
        <v>ICTV19760468@TEST</v>
      </c>
      <c r="N2268" t="str">
        <f>HYPERLINK("https://ictv.global/id/TN202204807","TN202204807@prod")</f>
        <v>TN202204807@prod</v>
      </c>
      <c r="O2268" t="str">
        <f>HYPERLINK("https://ictv.global/id/ICTV19760468","ICTV19760468@prod")</f>
        <v>ICTV19760468@prod</v>
      </c>
    </row>
    <row r="2269" spans="1:15" x14ac:dyDescent="0.2">
      <c r="A2269">
        <v>38</v>
      </c>
      <c r="B2269">
        <v>202204810</v>
      </c>
      <c r="C2269">
        <v>19760469</v>
      </c>
      <c r="D2269" t="s">
        <v>29</v>
      </c>
      <c r="E2269" t="s">
        <v>2464</v>
      </c>
      <c r="G2269" t="s">
        <v>1165</v>
      </c>
      <c r="L2269" t="str">
        <f>HYPERLINK("https://test.ictv.global/id/TN202204810","TN202204810@TEST")</f>
        <v>TN202204810@TEST</v>
      </c>
      <c r="M2269" t="str">
        <f>HYPERLINK("https://test.ictv.global/id/ICTV19760469","ICTV19760469@TEST")</f>
        <v>ICTV19760469@TEST</v>
      </c>
      <c r="N2269" t="str">
        <f>HYPERLINK("https://ictv.global/id/TN202204810","TN202204810@prod")</f>
        <v>TN202204810@prod</v>
      </c>
      <c r="O2269" t="str">
        <f>HYPERLINK("https://ictv.global/id/ICTV19760469","ICTV19760469@prod")</f>
        <v>ICTV19760469@prod</v>
      </c>
    </row>
    <row r="2270" spans="1:15" x14ac:dyDescent="0.2">
      <c r="A2270">
        <v>38</v>
      </c>
      <c r="B2270">
        <v>202204811</v>
      </c>
      <c r="C2270">
        <v>19991507</v>
      </c>
      <c r="D2270" t="s">
        <v>29</v>
      </c>
      <c r="E2270" t="s">
        <v>2465</v>
      </c>
      <c r="G2270" t="s">
        <v>1165</v>
      </c>
      <c r="L2270" t="str">
        <f>HYPERLINK("https://test.ictv.global/id/TN202204811","TN202204811@TEST")</f>
        <v>TN202204811@TEST</v>
      </c>
      <c r="M2270" t="str">
        <f>HYPERLINK("https://test.ictv.global/id/ICTV19991507","ICTV19991507@TEST")</f>
        <v>ICTV19991507@TEST</v>
      </c>
      <c r="N2270" t="str">
        <f>HYPERLINK("https://ictv.global/id/TN202204811","TN202204811@prod")</f>
        <v>TN202204811@prod</v>
      </c>
      <c r="O2270" t="str">
        <f>HYPERLINK("https://ictv.global/id/ICTV19991507","ICTV19991507@prod")</f>
        <v>ICTV19991507@prod</v>
      </c>
    </row>
    <row r="2271" spans="1:15" x14ac:dyDescent="0.2">
      <c r="A2271">
        <v>38</v>
      </c>
      <c r="B2271">
        <v>202204812</v>
      </c>
      <c r="C2271">
        <v>19911368</v>
      </c>
      <c r="D2271" t="s">
        <v>29</v>
      </c>
      <c r="E2271" t="s">
        <v>2466</v>
      </c>
      <c r="G2271" t="s">
        <v>1165</v>
      </c>
      <c r="L2271" t="str">
        <f>HYPERLINK("https://test.ictv.global/id/TN202204812","TN202204812@TEST")</f>
        <v>TN202204812@TEST</v>
      </c>
      <c r="M2271" t="str">
        <f>HYPERLINK("https://test.ictv.global/id/ICTV19911368","ICTV19911368@TEST")</f>
        <v>ICTV19911368@TEST</v>
      </c>
      <c r="N2271" t="str">
        <f>HYPERLINK("https://ictv.global/id/TN202204812","TN202204812@prod")</f>
        <v>TN202204812@prod</v>
      </c>
      <c r="O2271" t="str">
        <f>HYPERLINK("https://ictv.global/id/ICTV19911368","ICTV19911368@prod")</f>
        <v>ICTV19911368@prod</v>
      </c>
    </row>
    <row r="2272" spans="1:15" x14ac:dyDescent="0.2">
      <c r="A2272">
        <v>38</v>
      </c>
      <c r="B2272">
        <v>202204814</v>
      </c>
      <c r="C2272">
        <v>19911370</v>
      </c>
      <c r="D2272" t="s">
        <v>29</v>
      </c>
      <c r="E2272" t="s">
        <v>2467</v>
      </c>
      <c r="G2272" t="s">
        <v>1165</v>
      </c>
      <c r="L2272" t="str">
        <f>HYPERLINK("https://test.ictv.global/id/TN202204814","TN202204814@TEST")</f>
        <v>TN202204814@TEST</v>
      </c>
      <c r="M2272" t="str">
        <f>HYPERLINK("https://test.ictv.global/id/ICTV19911370","ICTV19911370@TEST")</f>
        <v>ICTV19911370@TEST</v>
      </c>
      <c r="N2272" t="str">
        <f>HYPERLINK("https://ictv.global/id/TN202204814","TN202204814@prod")</f>
        <v>TN202204814@prod</v>
      </c>
      <c r="O2272" t="str">
        <f>HYPERLINK("https://ictv.global/id/ICTV19911370","ICTV19911370@prod")</f>
        <v>ICTV19911370@prod</v>
      </c>
    </row>
    <row r="2273" spans="1:15" x14ac:dyDescent="0.2">
      <c r="A2273">
        <v>38</v>
      </c>
      <c r="B2273">
        <v>202204815</v>
      </c>
      <c r="C2273">
        <v>19760477</v>
      </c>
      <c r="D2273" t="s">
        <v>29</v>
      </c>
      <c r="E2273" t="s">
        <v>2468</v>
      </c>
      <c r="G2273" t="s">
        <v>1165</v>
      </c>
      <c r="L2273" t="str">
        <f>HYPERLINK("https://test.ictv.global/id/TN202204815","TN202204815@TEST")</f>
        <v>TN202204815@TEST</v>
      </c>
      <c r="M2273" t="str">
        <f>HYPERLINK("https://test.ictv.global/id/ICTV19760477","ICTV19760477@TEST")</f>
        <v>ICTV19760477@TEST</v>
      </c>
      <c r="N2273" t="str">
        <f>HYPERLINK("https://ictv.global/id/TN202204815","TN202204815@prod")</f>
        <v>TN202204815@prod</v>
      </c>
      <c r="O2273" t="str">
        <f>HYPERLINK("https://ictv.global/id/ICTV19760477","ICTV19760477@prod")</f>
        <v>ICTV19760477@prod</v>
      </c>
    </row>
    <row r="2274" spans="1:15" x14ac:dyDescent="0.2">
      <c r="A2274">
        <v>38</v>
      </c>
      <c r="B2274">
        <v>202204816</v>
      </c>
      <c r="C2274">
        <v>19911372</v>
      </c>
      <c r="D2274" t="s">
        <v>29</v>
      </c>
      <c r="E2274" t="s">
        <v>2469</v>
      </c>
      <c r="G2274" t="s">
        <v>1165</v>
      </c>
      <c r="L2274" t="str">
        <f>HYPERLINK("https://test.ictv.global/id/TN202204816","TN202204816@TEST")</f>
        <v>TN202204816@TEST</v>
      </c>
      <c r="M2274" t="str">
        <f>HYPERLINK("https://test.ictv.global/id/ICTV19911372","ICTV19911372@TEST")</f>
        <v>ICTV19911372@TEST</v>
      </c>
      <c r="N2274" t="str">
        <f>HYPERLINK("https://ictv.global/id/TN202204816","TN202204816@prod")</f>
        <v>TN202204816@prod</v>
      </c>
      <c r="O2274" t="str">
        <f>HYPERLINK("https://ictv.global/id/ICTV19911372","ICTV19911372@prod")</f>
        <v>ICTV19911372@prod</v>
      </c>
    </row>
    <row r="2275" spans="1:15" x14ac:dyDescent="0.2">
      <c r="A2275">
        <v>38</v>
      </c>
      <c r="B2275">
        <v>202204817</v>
      </c>
      <c r="C2275">
        <v>19910170</v>
      </c>
      <c r="D2275" t="s">
        <v>19</v>
      </c>
      <c r="E2275" t="s">
        <v>2470</v>
      </c>
      <c r="G2275" t="s">
        <v>1165</v>
      </c>
      <c r="L2275" t="str">
        <f>HYPERLINK("https://test.ictv.global/id/TN202204817","TN202204817@TEST")</f>
        <v>TN202204817@TEST</v>
      </c>
      <c r="M2275" t="str">
        <f>HYPERLINK("https://test.ictv.global/id/ICTV19910170","ICTV19910170@TEST")</f>
        <v>ICTV19910170@TEST</v>
      </c>
      <c r="N2275" t="str">
        <f>HYPERLINK("https://ictv.global/id/TN202204817","TN202204817@prod")</f>
        <v>TN202204817@prod</v>
      </c>
      <c r="O2275" t="str">
        <f>HYPERLINK("https://ictv.global/id/ICTV19910170","ICTV19910170@prod")</f>
        <v>ICTV19910170@prod</v>
      </c>
    </row>
    <row r="2276" spans="1:15" x14ac:dyDescent="0.2">
      <c r="A2276">
        <v>38</v>
      </c>
      <c r="B2276">
        <v>202204818</v>
      </c>
      <c r="C2276">
        <v>19760458</v>
      </c>
      <c r="D2276" t="s">
        <v>29</v>
      </c>
      <c r="E2276" t="s">
        <v>2471</v>
      </c>
      <c r="G2276" t="s">
        <v>1165</v>
      </c>
      <c r="L2276" t="str">
        <f>HYPERLINK("https://test.ictv.global/id/TN202204818","TN202204818@TEST")</f>
        <v>TN202204818@TEST</v>
      </c>
      <c r="M2276" t="str">
        <f>HYPERLINK("https://test.ictv.global/id/ICTV19760458","ICTV19760458@TEST")</f>
        <v>ICTV19760458@TEST</v>
      </c>
      <c r="N2276" t="str">
        <f>HYPERLINK("https://ictv.global/id/TN202204818","TN202204818@prod")</f>
        <v>TN202204818@prod</v>
      </c>
      <c r="O2276" t="str">
        <f>HYPERLINK("https://ictv.global/id/ICTV19760458","ICTV19760458@prod")</f>
        <v>ICTV19760458@prod</v>
      </c>
    </row>
    <row r="2277" spans="1:15" x14ac:dyDescent="0.2">
      <c r="A2277">
        <v>38</v>
      </c>
      <c r="B2277">
        <v>202204819</v>
      </c>
      <c r="C2277">
        <v>19760462</v>
      </c>
      <c r="D2277" t="s">
        <v>29</v>
      </c>
      <c r="E2277" t="s">
        <v>2472</v>
      </c>
      <c r="G2277" t="s">
        <v>1165</v>
      </c>
      <c r="L2277" t="str">
        <f>HYPERLINK("https://test.ictv.global/id/TN202204819","TN202204819@TEST")</f>
        <v>TN202204819@TEST</v>
      </c>
      <c r="M2277" t="str">
        <f>HYPERLINK("https://test.ictv.global/id/ICTV19760462","ICTV19760462@TEST")</f>
        <v>ICTV19760462@TEST</v>
      </c>
      <c r="N2277" t="str">
        <f>HYPERLINK("https://ictv.global/id/TN202204819","TN202204819@prod")</f>
        <v>TN202204819@prod</v>
      </c>
      <c r="O2277" t="str">
        <f>HYPERLINK("https://ictv.global/id/ICTV19760462","ICTV19760462@prod")</f>
        <v>ICTV19760462@prod</v>
      </c>
    </row>
    <row r="2278" spans="1:15" x14ac:dyDescent="0.2">
      <c r="A2278">
        <v>38</v>
      </c>
      <c r="B2278">
        <v>202204820</v>
      </c>
      <c r="C2278">
        <v>19760463</v>
      </c>
      <c r="D2278" t="s">
        <v>29</v>
      </c>
      <c r="E2278" t="s">
        <v>2473</v>
      </c>
      <c r="G2278" t="s">
        <v>1165</v>
      </c>
      <c r="L2278" t="str">
        <f>HYPERLINK("https://test.ictv.global/id/TN202204820","TN202204820@TEST")</f>
        <v>TN202204820@TEST</v>
      </c>
      <c r="M2278" t="str">
        <f>HYPERLINK("https://test.ictv.global/id/ICTV19760463","ICTV19760463@TEST")</f>
        <v>ICTV19760463@TEST</v>
      </c>
      <c r="N2278" t="str">
        <f>HYPERLINK("https://ictv.global/id/TN202204820","TN202204820@prod")</f>
        <v>TN202204820@prod</v>
      </c>
      <c r="O2278" t="str">
        <f>HYPERLINK("https://ictv.global/id/ICTV19760463","ICTV19760463@prod")</f>
        <v>ICTV19760463@prod</v>
      </c>
    </row>
    <row r="2279" spans="1:15" x14ac:dyDescent="0.2">
      <c r="A2279">
        <v>38</v>
      </c>
      <c r="B2279">
        <v>202204821</v>
      </c>
      <c r="C2279">
        <v>19760464</v>
      </c>
      <c r="D2279" t="s">
        <v>29</v>
      </c>
      <c r="E2279" t="s">
        <v>2474</v>
      </c>
      <c r="G2279" t="s">
        <v>1165</v>
      </c>
      <c r="L2279" t="str">
        <f>HYPERLINK("https://test.ictv.global/id/TN202204821","TN202204821@TEST")</f>
        <v>TN202204821@TEST</v>
      </c>
      <c r="M2279" t="str">
        <f>HYPERLINK("https://test.ictv.global/id/ICTV19760464","ICTV19760464@TEST")</f>
        <v>ICTV19760464@TEST</v>
      </c>
      <c r="N2279" t="str">
        <f>HYPERLINK("https://ictv.global/id/TN202204821","TN202204821@prod")</f>
        <v>TN202204821@prod</v>
      </c>
      <c r="O2279" t="str">
        <f>HYPERLINK("https://ictv.global/id/ICTV19760464","ICTV19760464@prod")</f>
        <v>ICTV19760464@prod</v>
      </c>
    </row>
    <row r="2280" spans="1:15" x14ac:dyDescent="0.2">
      <c r="A2280">
        <v>38</v>
      </c>
      <c r="B2280">
        <v>202204822</v>
      </c>
      <c r="C2280">
        <v>19760465</v>
      </c>
      <c r="D2280" t="s">
        <v>29</v>
      </c>
      <c r="E2280" t="s">
        <v>2475</v>
      </c>
      <c r="G2280" t="s">
        <v>1165</v>
      </c>
      <c r="L2280" t="str">
        <f>HYPERLINK("https://test.ictv.global/id/TN202204822","TN202204822@TEST")</f>
        <v>TN202204822@TEST</v>
      </c>
      <c r="M2280" t="str">
        <f>HYPERLINK("https://test.ictv.global/id/ICTV19760465","ICTV19760465@TEST")</f>
        <v>ICTV19760465@TEST</v>
      </c>
      <c r="N2280" t="str">
        <f>HYPERLINK("https://ictv.global/id/TN202204822","TN202204822@prod")</f>
        <v>TN202204822@prod</v>
      </c>
      <c r="O2280" t="str">
        <f>HYPERLINK("https://ictv.global/id/ICTV19760465","ICTV19760465@prod")</f>
        <v>ICTV19760465@prod</v>
      </c>
    </row>
    <row r="2281" spans="1:15" x14ac:dyDescent="0.2">
      <c r="A2281">
        <v>38</v>
      </c>
      <c r="B2281">
        <v>202204823</v>
      </c>
      <c r="C2281">
        <v>19760474</v>
      </c>
      <c r="D2281" t="s">
        <v>29</v>
      </c>
      <c r="E2281" t="s">
        <v>2476</v>
      </c>
      <c r="G2281" t="s">
        <v>1165</v>
      </c>
      <c r="L2281" t="str">
        <f>HYPERLINK("https://test.ictv.global/id/TN202204823","TN202204823@TEST")</f>
        <v>TN202204823@TEST</v>
      </c>
      <c r="M2281" t="str">
        <f>HYPERLINK("https://test.ictv.global/id/ICTV19760474","ICTV19760474@TEST")</f>
        <v>ICTV19760474@TEST</v>
      </c>
      <c r="N2281" t="str">
        <f>HYPERLINK("https://ictv.global/id/TN202204823","TN202204823@prod")</f>
        <v>TN202204823@prod</v>
      </c>
      <c r="O2281" t="str">
        <f>HYPERLINK("https://ictv.global/id/ICTV19760474","ICTV19760474@prod")</f>
        <v>ICTV19760474@prod</v>
      </c>
    </row>
    <row r="2282" spans="1:15" x14ac:dyDescent="0.2">
      <c r="A2282">
        <v>38</v>
      </c>
      <c r="B2282">
        <v>202204866</v>
      </c>
      <c r="C2282">
        <v>20041933</v>
      </c>
      <c r="D2282" t="s">
        <v>29</v>
      </c>
      <c r="E2282" t="s">
        <v>2477</v>
      </c>
      <c r="F2282" t="s">
        <v>2478</v>
      </c>
      <c r="G2282" t="s">
        <v>1165</v>
      </c>
      <c r="L2282" t="str">
        <f>HYPERLINK("https://test.ictv.global/id/TN202204866","TN202204866@TEST")</f>
        <v>TN202204866@TEST</v>
      </c>
      <c r="M2282" t="str">
        <f>HYPERLINK("https://test.ictv.global/id/ICTV20041933","ICTV20041933@TEST")</f>
        <v>ICTV20041933@TEST</v>
      </c>
      <c r="N2282" t="str">
        <f>HYPERLINK("https://ictv.global/id/TN202204866","TN202204866@prod")</f>
        <v>TN202204866@prod</v>
      </c>
      <c r="O2282" t="str">
        <f>HYPERLINK("https://ictv.global/id/ICTV20041933","ICTV20041933@prod")</f>
        <v>ICTV20041933@prod</v>
      </c>
    </row>
    <row r="2283" spans="1:15" x14ac:dyDescent="0.2">
      <c r="A2283">
        <v>38</v>
      </c>
      <c r="B2283">
        <v>202205010</v>
      </c>
      <c r="C2283">
        <v>19952093</v>
      </c>
      <c r="D2283" t="s">
        <v>29</v>
      </c>
      <c r="E2283" t="s">
        <v>2479</v>
      </c>
      <c r="G2283" t="s">
        <v>1165</v>
      </c>
      <c r="L2283" t="str">
        <f>HYPERLINK("https://test.ictv.global/id/TN202205010","TN202205010@TEST")</f>
        <v>TN202205010@TEST</v>
      </c>
      <c r="M2283" t="str">
        <f>HYPERLINK("https://test.ictv.global/id/ICTV19952093","ICTV19952093@TEST")</f>
        <v>ICTV19952093@TEST</v>
      </c>
      <c r="N2283" t="str">
        <f>HYPERLINK("https://ictv.global/id/TN202205010","TN202205010@prod")</f>
        <v>TN202205010@prod</v>
      </c>
      <c r="O2283" t="str">
        <f>HYPERLINK("https://ictv.global/id/ICTV19952093","ICTV19952093@prod")</f>
        <v>ICTV19952093@prod</v>
      </c>
    </row>
    <row r="2284" spans="1:15" x14ac:dyDescent="0.2">
      <c r="A2284">
        <v>38</v>
      </c>
      <c r="B2284">
        <v>202205012</v>
      </c>
      <c r="C2284">
        <v>19760535</v>
      </c>
      <c r="D2284" t="s">
        <v>29</v>
      </c>
      <c r="E2284" t="s">
        <v>2480</v>
      </c>
      <c r="G2284" t="s">
        <v>1165</v>
      </c>
      <c r="L2284" t="str">
        <f>HYPERLINK("https://test.ictv.global/id/TN202205012","TN202205012@TEST")</f>
        <v>TN202205012@TEST</v>
      </c>
      <c r="M2284" t="str">
        <f>HYPERLINK("https://test.ictv.global/id/ICTV19760535","ICTV19760535@TEST")</f>
        <v>ICTV19760535@TEST</v>
      </c>
      <c r="N2284" t="str">
        <f>HYPERLINK("https://ictv.global/id/TN202205012","TN202205012@prod")</f>
        <v>TN202205012@prod</v>
      </c>
      <c r="O2284" t="str">
        <f>HYPERLINK("https://ictv.global/id/ICTV19760535","ICTV19760535@prod")</f>
        <v>ICTV19760535@prod</v>
      </c>
    </row>
    <row r="2285" spans="1:15" x14ac:dyDescent="0.2">
      <c r="A2285">
        <v>38</v>
      </c>
      <c r="B2285">
        <v>202205023</v>
      </c>
      <c r="C2285">
        <v>19821020</v>
      </c>
      <c r="D2285" t="s">
        <v>29</v>
      </c>
      <c r="E2285" t="s">
        <v>2481</v>
      </c>
      <c r="G2285" t="s">
        <v>1165</v>
      </c>
      <c r="L2285" t="str">
        <f>HYPERLINK("https://test.ictv.global/id/TN202205023","TN202205023@TEST")</f>
        <v>TN202205023@TEST</v>
      </c>
      <c r="M2285" t="str">
        <f>HYPERLINK("https://test.ictv.global/id/ICTV19821020","ICTV19821020@TEST")</f>
        <v>ICTV19821020@TEST</v>
      </c>
      <c r="N2285" t="str">
        <f>HYPERLINK("https://ictv.global/id/TN202205023","TN202205023@prod")</f>
        <v>TN202205023@prod</v>
      </c>
      <c r="O2285" t="str">
        <f>HYPERLINK("https://ictv.global/id/ICTV19821020","ICTV19821020@prod")</f>
        <v>ICTV19821020@prod</v>
      </c>
    </row>
    <row r="2286" spans="1:15" x14ac:dyDescent="0.2">
      <c r="A2286">
        <v>38</v>
      </c>
      <c r="B2286">
        <v>202206980</v>
      </c>
      <c r="C2286">
        <v>201856980</v>
      </c>
      <c r="D2286" t="s">
        <v>29</v>
      </c>
      <c r="E2286" t="s">
        <v>2482</v>
      </c>
      <c r="F2286" t="s">
        <v>2483</v>
      </c>
      <c r="G2286" t="s">
        <v>1165</v>
      </c>
      <c r="L2286" t="str">
        <f>HYPERLINK("https://test.ictv.global/id/TN202206980","TN202206980@TEST")</f>
        <v>TN202206980@TEST</v>
      </c>
      <c r="M2286" t="str">
        <f>HYPERLINK("https://test.ictv.global/id/ICTV201856980","ICTV201856980@TEST")</f>
        <v>ICTV201856980@TEST</v>
      </c>
      <c r="N2286" t="str">
        <f>HYPERLINK("https://ictv.global/id/TN202206980","TN202206980@prod")</f>
        <v>TN202206980@prod</v>
      </c>
      <c r="O2286" t="str">
        <f>HYPERLINK("https://ictv.global/id/ICTV201856980","ICTV201856980@prod")</f>
        <v>ICTV201856980@prod</v>
      </c>
    </row>
    <row r="2287" spans="1:15" x14ac:dyDescent="0.2">
      <c r="A2287">
        <v>38</v>
      </c>
      <c r="B2287">
        <v>202207557</v>
      </c>
      <c r="C2287">
        <v>201907557</v>
      </c>
      <c r="D2287" t="s">
        <v>29</v>
      </c>
      <c r="E2287" t="s">
        <v>2484</v>
      </c>
      <c r="F2287" t="s">
        <v>2485</v>
      </c>
      <c r="G2287" t="s">
        <v>1165</v>
      </c>
      <c r="L2287" t="str">
        <f>HYPERLINK("https://test.ictv.global/id/TN202207557","TN202207557@TEST")</f>
        <v>TN202207557@TEST</v>
      </c>
      <c r="M2287" t="str">
        <f>HYPERLINK("https://test.ictv.global/id/ICTV201907557","ICTV201907557@TEST")</f>
        <v>ICTV201907557@TEST</v>
      </c>
      <c r="N2287" t="str">
        <f>HYPERLINK("https://ictv.global/id/TN202207557","TN202207557@prod")</f>
        <v>TN202207557@prod</v>
      </c>
      <c r="O2287" t="str">
        <f>HYPERLINK("https://ictv.global/id/ICTV201907557","ICTV201907557@prod")</f>
        <v>ICTV201907557@prod</v>
      </c>
    </row>
    <row r="2288" spans="1:15" x14ac:dyDescent="0.2">
      <c r="A2288">
        <v>38</v>
      </c>
      <c r="B2288">
        <v>202207983</v>
      </c>
      <c r="C2288">
        <v>201907983</v>
      </c>
      <c r="D2288" t="s">
        <v>19</v>
      </c>
      <c r="E2288" t="s">
        <v>2486</v>
      </c>
      <c r="G2288" t="s">
        <v>1165</v>
      </c>
      <c r="L2288" t="str">
        <f>HYPERLINK("https://test.ictv.global/id/TN202207983","TN202207983@TEST")</f>
        <v>TN202207983@TEST</v>
      </c>
      <c r="M2288" t="str">
        <f>HYPERLINK("https://test.ictv.global/id/ICTV201907983","ICTV201907983@TEST")</f>
        <v>ICTV201907983@TEST</v>
      </c>
      <c r="N2288" t="str">
        <f>HYPERLINK("https://ictv.global/id/TN202207983","TN202207983@prod")</f>
        <v>TN202207983@prod</v>
      </c>
      <c r="O2288" t="str">
        <f>HYPERLINK("https://ictv.global/id/ICTV201907983","ICTV201907983@prod")</f>
        <v>ICTV201907983@prod</v>
      </c>
    </row>
    <row r="2289" spans="1:15" x14ac:dyDescent="0.2">
      <c r="A2289">
        <v>38</v>
      </c>
      <c r="B2289">
        <v>202208136</v>
      </c>
      <c r="C2289">
        <v>201908136</v>
      </c>
      <c r="D2289" t="s">
        <v>29</v>
      </c>
      <c r="E2289" t="s">
        <v>2487</v>
      </c>
      <c r="F2289" t="s">
        <v>2488</v>
      </c>
      <c r="G2289" t="s">
        <v>1165</v>
      </c>
      <c r="L2289" t="str">
        <f>HYPERLINK("https://test.ictv.global/id/TN202208136","TN202208136@TEST")</f>
        <v>TN202208136@TEST</v>
      </c>
      <c r="M2289" t="str">
        <f>HYPERLINK("https://test.ictv.global/id/ICTV201908136","ICTV201908136@TEST")</f>
        <v>ICTV201908136@TEST</v>
      </c>
      <c r="N2289" t="str">
        <f>HYPERLINK("https://ictv.global/id/TN202208136","TN202208136@prod")</f>
        <v>TN202208136@prod</v>
      </c>
      <c r="O2289" t="str">
        <f>HYPERLINK("https://ictv.global/id/ICTV201908136","ICTV201908136@prod")</f>
        <v>ICTV201908136@prod</v>
      </c>
    </row>
    <row r="2290" spans="1:15" x14ac:dyDescent="0.2">
      <c r="A2290">
        <v>38</v>
      </c>
      <c r="B2290">
        <v>202208162</v>
      </c>
      <c r="C2290">
        <v>201908162</v>
      </c>
      <c r="D2290" t="s">
        <v>29</v>
      </c>
      <c r="E2290" t="s">
        <v>2489</v>
      </c>
      <c r="F2290" t="s">
        <v>2490</v>
      </c>
      <c r="G2290" t="s">
        <v>1165</v>
      </c>
      <c r="L2290" t="str">
        <f>HYPERLINK("https://test.ictv.global/id/TN202208162","TN202208162@TEST")</f>
        <v>TN202208162@TEST</v>
      </c>
      <c r="M2290" t="str">
        <f>HYPERLINK("https://test.ictv.global/id/ICTV201908162","ICTV201908162@TEST")</f>
        <v>ICTV201908162@TEST</v>
      </c>
      <c r="N2290" t="str">
        <f>HYPERLINK("https://ictv.global/id/TN202208162","TN202208162@prod")</f>
        <v>TN202208162@prod</v>
      </c>
      <c r="O2290" t="str">
        <f>HYPERLINK("https://ictv.global/id/ICTV201908162","ICTV201908162@prod")</f>
        <v>ICTV201908162@prod</v>
      </c>
    </row>
    <row r="2291" spans="1:15" x14ac:dyDescent="0.2">
      <c r="A2291">
        <v>38</v>
      </c>
      <c r="B2291">
        <v>202210218</v>
      </c>
      <c r="C2291">
        <v>202010218</v>
      </c>
      <c r="D2291" t="s">
        <v>19</v>
      </c>
      <c r="E2291" t="s">
        <v>2491</v>
      </c>
      <c r="G2291" t="s">
        <v>1165</v>
      </c>
      <c r="L2291" t="str">
        <f>HYPERLINK("https://test.ictv.global/id/TN202210218","TN202210218@TEST")</f>
        <v>TN202210218@TEST</v>
      </c>
      <c r="M2291" t="str">
        <f>HYPERLINK("https://test.ictv.global/id/ICTV202010218","ICTV202010218@TEST")</f>
        <v>ICTV202010218@TEST</v>
      </c>
      <c r="N2291" t="str">
        <f>HYPERLINK("https://ictv.global/id/TN202210218","TN202210218@prod")</f>
        <v>TN202210218@prod</v>
      </c>
      <c r="O2291" t="str">
        <f>HYPERLINK("https://ictv.global/id/ICTV202010218","ICTV202010218@prod")</f>
        <v>ICTV202010218@prod</v>
      </c>
    </row>
    <row r="2292" spans="1:15" x14ac:dyDescent="0.2">
      <c r="A2292">
        <v>38</v>
      </c>
      <c r="B2292">
        <v>202210220</v>
      </c>
      <c r="C2292">
        <v>202010220</v>
      </c>
      <c r="D2292" t="s">
        <v>19</v>
      </c>
      <c r="E2292" t="s">
        <v>2492</v>
      </c>
      <c r="G2292" t="s">
        <v>1165</v>
      </c>
      <c r="L2292" t="str">
        <f>HYPERLINK("https://test.ictv.global/id/TN202210220","TN202210220@TEST")</f>
        <v>TN202210220@TEST</v>
      </c>
      <c r="M2292" t="str">
        <f>HYPERLINK("https://test.ictv.global/id/ICTV202010220","ICTV202010220@TEST")</f>
        <v>ICTV202010220@TEST</v>
      </c>
      <c r="N2292" t="str">
        <f>HYPERLINK("https://ictv.global/id/TN202210220","TN202210220@prod")</f>
        <v>TN202210220@prod</v>
      </c>
      <c r="O2292" t="str">
        <f>HYPERLINK("https://ictv.global/id/ICTV202010220","ICTV202010220@prod")</f>
        <v>ICTV202010220@prod</v>
      </c>
    </row>
    <row r="2293" spans="1:15" x14ac:dyDescent="0.2">
      <c r="A2293">
        <v>38</v>
      </c>
      <c r="B2293">
        <v>202210231</v>
      </c>
      <c r="C2293">
        <v>202010231</v>
      </c>
      <c r="D2293" t="s">
        <v>19</v>
      </c>
      <c r="E2293" t="s">
        <v>2493</v>
      </c>
      <c r="G2293" t="s">
        <v>1165</v>
      </c>
      <c r="L2293" t="str">
        <f>HYPERLINK("https://test.ictv.global/id/TN202210231","TN202210231@TEST")</f>
        <v>TN202210231@TEST</v>
      </c>
      <c r="M2293" t="str">
        <f>HYPERLINK("https://test.ictv.global/id/ICTV202010231","ICTV202010231@TEST")</f>
        <v>ICTV202010231@TEST</v>
      </c>
      <c r="N2293" t="str">
        <f>HYPERLINK("https://ictv.global/id/TN202210231","TN202210231@prod")</f>
        <v>TN202210231@prod</v>
      </c>
      <c r="O2293" t="str">
        <f>HYPERLINK("https://ictv.global/id/ICTV202010231","ICTV202010231@prod")</f>
        <v>ICTV202010231@prod</v>
      </c>
    </row>
    <row r="2294" spans="1:15" x14ac:dyDescent="0.2">
      <c r="A2294">
        <v>38</v>
      </c>
      <c r="B2294">
        <v>202210233</v>
      </c>
      <c r="C2294">
        <v>202010233</v>
      </c>
      <c r="D2294" t="s">
        <v>19</v>
      </c>
      <c r="E2294" t="s">
        <v>2494</v>
      </c>
      <c r="G2294" t="s">
        <v>1165</v>
      </c>
      <c r="L2294" t="str">
        <f>HYPERLINK("https://test.ictv.global/id/TN202210233","TN202210233@TEST")</f>
        <v>TN202210233@TEST</v>
      </c>
      <c r="M2294" t="str">
        <f>HYPERLINK("https://test.ictv.global/id/ICTV202010233","ICTV202010233@TEST")</f>
        <v>ICTV202010233@TEST</v>
      </c>
      <c r="N2294" t="str">
        <f>HYPERLINK("https://ictv.global/id/TN202210233","TN202210233@prod")</f>
        <v>TN202210233@prod</v>
      </c>
      <c r="O2294" t="str">
        <f>HYPERLINK("https://ictv.global/id/ICTV202010233","ICTV202010233@prod")</f>
        <v>ICTV202010233@prod</v>
      </c>
    </row>
    <row r="2295" spans="1:15" x14ac:dyDescent="0.2">
      <c r="A2295">
        <v>38</v>
      </c>
      <c r="B2295">
        <v>202210241</v>
      </c>
      <c r="C2295">
        <v>202010241</v>
      </c>
      <c r="D2295" t="s">
        <v>19</v>
      </c>
      <c r="E2295" t="s">
        <v>2495</v>
      </c>
      <c r="G2295" t="s">
        <v>1165</v>
      </c>
      <c r="L2295" t="str">
        <f>HYPERLINK("https://test.ictv.global/id/TN202210241","TN202210241@TEST")</f>
        <v>TN202210241@TEST</v>
      </c>
      <c r="M2295" t="str">
        <f>HYPERLINK("https://test.ictv.global/id/ICTV202010241","ICTV202010241@TEST")</f>
        <v>ICTV202010241@TEST</v>
      </c>
      <c r="N2295" t="str">
        <f>HYPERLINK("https://ictv.global/id/TN202210241","TN202210241@prod")</f>
        <v>TN202210241@prod</v>
      </c>
      <c r="O2295" t="str">
        <f>HYPERLINK("https://ictv.global/id/ICTV202010241","ICTV202010241@prod")</f>
        <v>ICTV202010241@prod</v>
      </c>
    </row>
    <row r="2296" spans="1:15" x14ac:dyDescent="0.2">
      <c r="A2296">
        <v>38</v>
      </c>
      <c r="B2296">
        <v>202210247</v>
      </c>
      <c r="C2296">
        <v>202010247</v>
      </c>
      <c r="D2296" t="s">
        <v>19</v>
      </c>
      <c r="E2296" t="s">
        <v>2496</v>
      </c>
      <c r="G2296" t="s">
        <v>1165</v>
      </c>
      <c r="L2296" t="str">
        <f>HYPERLINK("https://test.ictv.global/id/TN202210247","TN202210247@TEST")</f>
        <v>TN202210247@TEST</v>
      </c>
      <c r="M2296" t="str">
        <f>HYPERLINK("https://test.ictv.global/id/ICTV202010247","ICTV202010247@TEST")</f>
        <v>ICTV202010247@TEST</v>
      </c>
      <c r="N2296" t="str">
        <f>HYPERLINK("https://ictv.global/id/TN202210247","TN202210247@prod")</f>
        <v>TN202210247@prod</v>
      </c>
      <c r="O2296" t="str">
        <f>HYPERLINK("https://ictv.global/id/ICTV202010247","ICTV202010247@prod")</f>
        <v>ICTV202010247@prod</v>
      </c>
    </row>
    <row r="2297" spans="1:15" x14ac:dyDescent="0.2">
      <c r="A2297">
        <v>38</v>
      </c>
      <c r="B2297">
        <v>202210259</v>
      </c>
      <c r="C2297">
        <v>202010259</v>
      </c>
      <c r="D2297" t="s">
        <v>19</v>
      </c>
      <c r="E2297" t="s">
        <v>2497</v>
      </c>
      <c r="G2297" t="s">
        <v>1165</v>
      </c>
      <c r="L2297" t="str">
        <f>HYPERLINK("https://test.ictv.global/id/TN202210259","TN202210259@TEST")</f>
        <v>TN202210259@TEST</v>
      </c>
      <c r="M2297" t="str">
        <f>HYPERLINK("https://test.ictv.global/id/ICTV202010259","ICTV202010259@TEST")</f>
        <v>ICTV202010259@TEST</v>
      </c>
      <c r="N2297" t="str">
        <f>HYPERLINK("https://ictv.global/id/TN202210259","TN202210259@prod")</f>
        <v>TN202210259@prod</v>
      </c>
      <c r="O2297" t="str">
        <f>HYPERLINK("https://ictv.global/id/ICTV202010259","ICTV202010259@prod")</f>
        <v>ICTV202010259@prod</v>
      </c>
    </row>
    <row r="2298" spans="1:15" x14ac:dyDescent="0.2">
      <c r="A2298">
        <v>38</v>
      </c>
      <c r="B2298">
        <v>202210268</v>
      </c>
      <c r="C2298">
        <v>202010268</v>
      </c>
      <c r="D2298" t="s">
        <v>19</v>
      </c>
      <c r="E2298" t="s">
        <v>2498</v>
      </c>
      <c r="G2298" t="s">
        <v>1165</v>
      </c>
      <c r="L2298" t="str">
        <f>HYPERLINK("https://test.ictv.global/id/TN202210268","TN202210268@TEST")</f>
        <v>TN202210268@TEST</v>
      </c>
      <c r="M2298" t="str">
        <f>HYPERLINK("https://test.ictv.global/id/ICTV202010268","ICTV202010268@TEST")</f>
        <v>ICTV202010268@TEST</v>
      </c>
      <c r="N2298" t="str">
        <f>HYPERLINK("https://ictv.global/id/TN202210268","TN202210268@prod")</f>
        <v>TN202210268@prod</v>
      </c>
      <c r="O2298" t="str">
        <f>HYPERLINK("https://ictv.global/id/ICTV202010268","ICTV202010268@prod")</f>
        <v>ICTV202010268@prod</v>
      </c>
    </row>
    <row r="2299" spans="1:15" x14ac:dyDescent="0.2">
      <c r="A2299">
        <v>38</v>
      </c>
      <c r="B2299">
        <v>202210310</v>
      </c>
      <c r="C2299">
        <v>202010310</v>
      </c>
      <c r="D2299" t="s">
        <v>19</v>
      </c>
      <c r="E2299" t="s">
        <v>2499</v>
      </c>
      <c r="G2299" t="s">
        <v>1165</v>
      </c>
      <c r="L2299" t="str">
        <f>HYPERLINK("https://test.ictv.global/id/TN202210310","TN202210310@TEST")</f>
        <v>TN202210310@TEST</v>
      </c>
      <c r="M2299" t="str">
        <f>HYPERLINK("https://test.ictv.global/id/ICTV202010310","ICTV202010310@TEST")</f>
        <v>ICTV202010310@TEST</v>
      </c>
      <c r="N2299" t="str">
        <f>HYPERLINK("https://ictv.global/id/TN202210310","TN202210310@prod")</f>
        <v>TN202210310@prod</v>
      </c>
      <c r="O2299" t="str">
        <f>HYPERLINK("https://ictv.global/id/ICTV202010310","ICTV202010310@prod")</f>
        <v>ICTV202010310@prod</v>
      </c>
    </row>
    <row r="2300" spans="1:15" x14ac:dyDescent="0.2">
      <c r="A2300">
        <v>38</v>
      </c>
      <c r="B2300">
        <v>202210314</v>
      </c>
      <c r="C2300">
        <v>202010314</v>
      </c>
      <c r="D2300" t="s">
        <v>29</v>
      </c>
      <c r="E2300" t="s">
        <v>2500</v>
      </c>
      <c r="F2300" t="s">
        <v>2501</v>
      </c>
      <c r="G2300" t="s">
        <v>1165</v>
      </c>
      <c r="L2300" t="str">
        <f>HYPERLINK("https://test.ictv.global/id/TN202210314","TN202210314@TEST")</f>
        <v>TN202210314@TEST</v>
      </c>
      <c r="M2300" t="str">
        <f>HYPERLINK("https://test.ictv.global/id/ICTV202010314","ICTV202010314@TEST")</f>
        <v>ICTV202010314@TEST</v>
      </c>
      <c r="N2300" t="str">
        <f>HYPERLINK("https://ictv.global/id/TN202210314","TN202210314@prod")</f>
        <v>TN202210314@prod</v>
      </c>
      <c r="O2300" t="str">
        <f>HYPERLINK("https://ictv.global/id/ICTV202010314","ICTV202010314@prod")</f>
        <v>ICTV202010314@prod</v>
      </c>
    </row>
    <row r="2301" spans="1:15" x14ac:dyDescent="0.2">
      <c r="A2301">
        <v>38</v>
      </c>
      <c r="B2301">
        <v>202210321</v>
      </c>
      <c r="C2301">
        <v>202010321</v>
      </c>
      <c r="D2301" t="s">
        <v>19</v>
      </c>
      <c r="E2301" t="s">
        <v>2502</v>
      </c>
      <c r="G2301" t="s">
        <v>1165</v>
      </c>
      <c r="L2301" t="str">
        <f>HYPERLINK("https://test.ictv.global/id/TN202210321","TN202210321@TEST")</f>
        <v>TN202210321@TEST</v>
      </c>
      <c r="M2301" t="str">
        <f>HYPERLINK("https://test.ictv.global/id/ICTV202010321","ICTV202010321@TEST")</f>
        <v>ICTV202010321@TEST</v>
      </c>
      <c r="N2301" t="str">
        <f>HYPERLINK("https://ictv.global/id/TN202210321","TN202210321@prod")</f>
        <v>TN202210321@prod</v>
      </c>
      <c r="O2301" t="str">
        <f>HYPERLINK("https://ictv.global/id/ICTV202010321","ICTV202010321@prod")</f>
        <v>ICTV202010321@prod</v>
      </c>
    </row>
    <row r="2302" spans="1:15" x14ac:dyDescent="0.2">
      <c r="A2302">
        <v>38</v>
      </c>
      <c r="B2302">
        <v>202210333</v>
      </c>
      <c r="C2302">
        <v>202010333</v>
      </c>
      <c r="D2302" t="s">
        <v>19</v>
      </c>
      <c r="E2302" t="s">
        <v>2503</v>
      </c>
      <c r="G2302" t="s">
        <v>1165</v>
      </c>
      <c r="L2302" t="str">
        <f>HYPERLINK("https://test.ictv.global/id/TN202210333","TN202210333@TEST")</f>
        <v>TN202210333@TEST</v>
      </c>
      <c r="M2302" t="str">
        <f>HYPERLINK("https://test.ictv.global/id/ICTV202010333","ICTV202010333@TEST")</f>
        <v>ICTV202010333@TEST</v>
      </c>
      <c r="N2302" t="str">
        <f>HYPERLINK("https://ictv.global/id/TN202210333","TN202210333@prod")</f>
        <v>TN202210333@prod</v>
      </c>
      <c r="O2302" t="str">
        <f>HYPERLINK("https://ictv.global/id/ICTV202010333","ICTV202010333@prod")</f>
        <v>ICTV202010333@prod</v>
      </c>
    </row>
    <row r="2303" spans="1:15" x14ac:dyDescent="0.2">
      <c r="A2303">
        <v>38</v>
      </c>
      <c r="B2303">
        <v>202210353</v>
      </c>
      <c r="C2303">
        <v>202010353</v>
      </c>
      <c r="D2303" t="s">
        <v>19</v>
      </c>
      <c r="E2303" t="s">
        <v>2504</v>
      </c>
      <c r="G2303" t="s">
        <v>1165</v>
      </c>
      <c r="L2303" t="str">
        <f>HYPERLINK("https://test.ictv.global/id/TN202210353","TN202210353@TEST")</f>
        <v>TN202210353@TEST</v>
      </c>
      <c r="M2303" t="str">
        <f>HYPERLINK("https://test.ictv.global/id/ICTV202010353","ICTV202010353@TEST")</f>
        <v>ICTV202010353@TEST</v>
      </c>
      <c r="N2303" t="str">
        <f>HYPERLINK("https://ictv.global/id/TN202210353","TN202210353@prod")</f>
        <v>TN202210353@prod</v>
      </c>
      <c r="O2303" t="str">
        <f>HYPERLINK("https://ictv.global/id/ICTV202010353","ICTV202010353@prod")</f>
        <v>ICTV202010353@prod</v>
      </c>
    </row>
    <row r="2304" spans="1:15" x14ac:dyDescent="0.2">
      <c r="A2304">
        <v>38</v>
      </c>
      <c r="B2304">
        <v>202210354</v>
      </c>
      <c r="C2304">
        <v>202010354</v>
      </c>
      <c r="D2304" t="s">
        <v>29</v>
      </c>
      <c r="E2304" t="s">
        <v>2505</v>
      </c>
      <c r="F2304" t="s">
        <v>2506</v>
      </c>
      <c r="G2304" t="s">
        <v>1165</v>
      </c>
      <c r="L2304" t="str">
        <f>HYPERLINK("https://test.ictv.global/id/TN202210354","TN202210354@TEST")</f>
        <v>TN202210354@TEST</v>
      </c>
      <c r="M2304" t="str">
        <f>HYPERLINK("https://test.ictv.global/id/ICTV202010354","ICTV202010354@TEST")</f>
        <v>ICTV202010354@TEST</v>
      </c>
      <c r="N2304" t="str">
        <f>HYPERLINK("https://ictv.global/id/TN202210354","TN202210354@prod")</f>
        <v>TN202210354@prod</v>
      </c>
      <c r="O2304" t="str">
        <f>HYPERLINK("https://ictv.global/id/ICTV202010354","ICTV202010354@prod")</f>
        <v>ICTV202010354@prod</v>
      </c>
    </row>
    <row r="2305" spans="1:15" x14ac:dyDescent="0.2">
      <c r="A2305">
        <v>38</v>
      </c>
      <c r="B2305">
        <v>202210357</v>
      </c>
      <c r="C2305">
        <v>202010357</v>
      </c>
      <c r="D2305" t="s">
        <v>19</v>
      </c>
      <c r="E2305" t="s">
        <v>2507</v>
      </c>
      <c r="G2305" t="s">
        <v>1165</v>
      </c>
      <c r="L2305" t="str">
        <f>HYPERLINK("https://test.ictv.global/id/TN202210357","TN202210357@TEST")</f>
        <v>TN202210357@TEST</v>
      </c>
      <c r="M2305" t="str">
        <f>HYPERLINK("https://test.ictv.global/id/ICTV202010357","ICTV202010357@TEST")</f>
        <v>ICTV202010357@TEST</v>
      </c>
      <c r="N2305" t="str">
        <f>HYPERLINK("https://ictv.global/id/TN202210357","TN202210357@prod")</f>
        <v>TN202210357@prod</v>
      </c>
      <c r="O2305" t="str">
        <f>HYPERLINK("https://ictv.global/id/ICTV202010357","ICTV202010357@prod")</f>
        <v>ICTV202010357@prod</v>
      </c>
    </row>
    <row r="2306" spans="1:15" x14ac:dyDescent="0.2">
      <c r="A2306">
        <v>38</v>
      </c>
      <c r="B2306">
        <v>202210365</v>
      </c>
      <c r="C2306">
        <v>202010365</v>
      </c>
      <c r="D2306" t="s">
        <v>19</v>
      </c>
      <c r="E2306" t="s">
        <v>2508</v>
      </c>
      <c r="G2306" t="s">
        <v>1165</v>
      </c>
      <c r="L2306" t="str">
        <f>HYPERLINK("https://test.ictv.global/id/TN202210365","TN202210365@TEST")</f>
        <v>TN202210365@TEST</v>
      </c>
      <c r="M2306" t="str">
        <f>HYPERLINK("https://test.ictv.global/id/ICTV202010365","ICTV202010365@TEST")</f>
        <v>ICTV202010365@TEST</v>
      </c>
      <c r="N2306" t="str">
        <f>HYPERLINK("https://ictv.global/id/TN202210365","TN202210365@prod")</f>
        <v>TN202210365@prod</v>
      </c>
      <c r="O2306" t="str">
        <f>HYPERLINK("https://ictv.global/id/ICTV202010365","ICTV202010365@prod")</f>
        <v>ICTV202010365@prod</v>
      </c>
    </row>
    <row r="2307" spans="1:15" x14ac:dyDescent="0.2">
      <c r="A2307">
        <v>38</v>
      </c>
      <c r="B2307">
        <v>202210420</v>
      </c>
      <c r="C2307">
        <v>202010420</v>
      </c>
      <c r="D2307" t="s">
        <v>19</v>
      </c>
      <c r="E2307" t="s">
        <v>2509</v>
      </c>
      <c r="G2307" t="s">
        <v>1165</v>
      </c>
      <c r="L2307" t="str">
        <f>HYPERLINK("https://test.ictv.global/id/TN202210420","TN202210420@TEST")</f>
        <v>TN202210420@TEST</v>
      </c>
      <c r="M2307" t="str">
        <f>HYPERLINK("https://test.ictv.global/id/ICTV202010420","ICTV202010420@TEST")</f>
        <v>ICTV202010420@TEST</v>
      </c>
      <c r="N2307" t="str">
        <f>HYPERLINK("https://ictv.global/id/TN202210420","TN202210420@prod")</f>
        <v>TN202210420@prod</v>
      </c>
      <c r="O2307" t="str">
        <f>HYPERLINK("https://ictv.global/id/ICTV202010420","ICTV202010420@prod")</f>
        <v>ICTV202010420@prod</v>
      </c>
    </row>
    <row r="2308" spans="1:15" x14ac:dyDescent="0.2">
      <c r="A2308">
        <v>38</v>
      </c>
      <c r="B2308">
        <v>202210438</v>
      </c>
      <c r="C2308">
        <v>202010438</v>
      </c>
      <c r="D2308" t="s">
        <v>19</v>
      </c>
      <c r="E2308" t="s">
        <v>2510</v>
      </c>
      <c r="G2308" t="s">
        <v>1165</v>
      </c>
      <c r="L2308" t="str">
        <f>HYPERLINK("https://test.ictv.global/id/TN202210438","TN202210438@TEST")</f>
        <v>TN202210438@TEST</v>
      </c>
      <c r="M2308" t="str">
        <f>HYPERLINK("https://test.ictv.global/id/ICTV202010438","ICTV202010438@TEST")</f>
        <v>ICTV202010438@TEST</v>
      </c>
      <c r="N2308" t="str">
        <f>HYPERLINK("https://ictv.global/id/TN202210438","TN202210438@prod")</f>
        <v>TN202210438@prod</v>
      </c>
      <c r="O2308" t="str">
        <f>HYPERLINK("https://ictv.global/id/ICTV202010438","ICTV202010438@prod")</f>
        <v>ICTV202010438@prod</v>
      </c>
    </row>
    <row r="2309" spans="1:15" x14ac:dyDescent="0.2">
      <c r="A2309">
        <v>38</v>
      </c>
      <c r="B2309">
        <v>202210449</v>
      </c>
      <c r="C2309">
        <v>202010449</v>
      </c>
      <c r="D2309" t="s">
        <v>19</v>
      </c>
      <c r="E2309" t="s">
        <v>2511</v>
      </c>
      <c r="G2309" t="s">
        <v>1165</v>
      </c>
      <c r="L2309" t="str">
        <f>HYPERLINK("https://test.ictv.global/id/TN202210449","TN202210449@TEST")</f>
        <v>TN202210449@TEST</v>
      </c>
      <c r="M2309" t="str">
        <f>HYPERLINK("https://test.ictv.global/id/ICTV202010449","ICTV202010449@TEST")</f>
        <v>ICTV202010449@TEST</v>
      </c>
      <c r="N2309" t="str">
        <f>HYPERLINK("https://ictv.global/id/TN202210449","TN202210449@prod")</f>
        <v>TN202210449@prod</v>
      </c>
      <c r="O2309" t="str">
        <f>HYPERLINK("https://ictv.global/id/ICTV202010449","ICTV202010449@prod")</f>
        <v>ICTV202010449@prod</v>
      </c>
    </row>
    <row r="2310" spans="1:15" x14ac:dyDescent="0.2">
      <c r="A2310">
        <v>38</v>
      </c>
      <c r="B2310">
        <v>202210476</v>
      </c>
      <c r="C2310">
        <v>202010476</v>
      </c>
      <c r="D2310" t="s">
        <v>19</v>
      </c>
      <c r="E2310" t="s">
        <v>2512</v>
      </c>
      <c r="G2310" t="s">
        <v>1165</v>
      </c>
      <c r="L2310" t="str">
        <f>HYPERLINK("https://test.ictv.global/id/TN202210476","TN202210476@TEST")</f>
        <v>TN202210476@TEST</v>
      </c>
      <c r="M2310" t="str">
        <f>HYPERLINK("https://test.ictv.global/id/ICTV202010476","ICTV202010476@TEST")</f>
        <v>ICTV202010476@TEST</v>
      </c>
      <c r="N2310" t="str">
        <f>HYPERLINK("https://ictv.global/id/TN202210476","TN202210476@prod")</f>
        <v>TN202210476@prod</v>
      </c>
      <c r="O2310" t="str">
        <f>HYPERLINK("https://ictv.global/id/ICTV202010476","ICTV202010476@prod")</f>
        <v>ICTV202010476@prod</v>
      </c>
    </row>
    <row r="2311" spans="1:15" x14ac:dyDescent="0.2">
      <c r="A2311">
        <v>38</v>
      </c>
      <c r="B2311">
        <v>202210479</v>
      </c>
      <c r="C2311">
        <v>202010479</v>
      </c>
      <c r="D2311" t="s">
        <v>19</v>
      </c>
      <c r="E2311" t="s">
        <v>2513</v>
      </c>
      <c r="G2311" t="s">
        <v>1165</v>
      </c>
      <c r="L2311" t="str">
        <f>HYPERLINK("https://test.ictv.global/id/TN202210479","TN202210479@TEST")</f>
        <v>TN202210479@TEST</v>
      </c>
      <c r="M2311" t="str">
        <f>HYPERLINK("https://test.ictv.global/id/ICTV202010479","ICTV202010479@TEST")</f>
        <v>ICTV202010479@TEST</v>
      </c>
      <c r="N2311" t="str">
        <f>HYPERLINK("https://ictv.global/id/TN202210479","TN202210479@prod")</f>
        <v>TN202210479@prod</v>
      </c>
      <c r="O2311" t="str">
        <f>HYPERLINK("https://ictv.global/id/ICTV202010479","ICTV202010479@prod")</f>
        <v>ICTV202010479@prod</v>
      </c>
    </row>
    <row r="2312" spans="1:15" x14ac:dyDescent="0.2">
      <c r="A2312">
        <v>38</v>
      </c>
      <c r="B2312">
        <v>202210480</v>
      </c>
      <c r="C2312">
        <v>202010480</v>
      </c>
      <c r="D2312" t="s">
        <v>29</v>
      </c>
      <c r="E2312" t="s">
        <v>2514</v>
      </c>
      <c r="F2312" t="s">
        <v>2515</v>
      </c>
      <c r="G2312" t="s">
        <v>1165</v>
      </c>
      <c r="L2312" t="str">
        <f>HYPERLINK("https://test.ictv.global/id/TN202210480","TN202210480@TEST")</f>
        <v>TN202210480@TEST</v>
      </c>
      <c r="M2312" t="str">
        <f>HYPERLINK("https://test.ictv.global/id/ICTV202010480","ICTV202010480@TEST")</f>
        <v>ICTV202010480@TEST</v>
      </c>
      <c r="N2312" t="str">
        <f>HYPERLINK("https://ictv.global/id/TN202210480","TN202210480@prod")</f>
        <v>TN202210480@prod</v>
      </c>
      <c r="O2312" t="str">
        <f>HYPERLINK("https://ictv.global/id/ICTV202010480","ICTV202010480@prod")</f>
        <v>ICTV202010480@prod</v>
      </c>
    </row>
    <row r="2313" spans="1:15" x14ac:dyDescent="0.2">
      <c r="A2313">
        <v>38</v>
      </c>
      <c r="B2313">
        <v>202210490</v>
      </c>
      <c r="C2313">
        <v>202010490</v>
      </c>
      <c r="D2313" t="s">
        <v>19</v>
      </c>
      <c r="E2313" t="s">
        <v>2516</v>
      </c>
      <c r="G2313" t="s">
        <v>1165</v>
      </c>
      <c r="L2313" t="str">
        <f>HYPERLINK("https://test.ictv.global/id/TN202210490","TN202210490@TEST")</f>
        <v>TN202210490@TEST</v>
      </c>
      <c r="M2313" t="str">
        <f>HYPERLINK("https://test.ictv.global/id/ICTV202010490","ICTV202010490@TEST")</f>
        <v>ICTV202010490@TEST</v>
      </c>
      <c r="N2313" t="str">
        <f>HYPERLINK("https://ictv.global/id/TN202210490","TN202210490@prod")</f>
        <v>TN202210490@prod</v>
      </c>
      <c r="O2313" t="str">
        <f>HYPERLINK("https://ictv.global/id/ICTV202010490","ICTV202010490@prod")</f>
        <v>ICTV202010490@prod</v>
      </c>
    </row>
    <row r="2314" spans="1:15" x14ac:dyDescent="0.2">
      <c r="A2314">
        <v>38</v>
      </c>
      <c r="B2314">
        <v>202210493</v>
      </c>
      <c r="C2314">
        <v>202010493</v>
      </c>
      <c r="D2314" t="s">
        <v>19</v>
      </c>
      <c r="E2314" t="s">
        <v>2517</v>
      </c>
      <c r="G2314" t="s">
        <v>1165</v>
      </c>
      <c r="L2314" t="str">
        <f>HYPERLINK("https://test.ictv.global/id/TN202210493","TN202210493@TEST")</f>
        <v>TN202210493@TEST</v>
      </c>
      <c r="M2314" t="str">
        <f>HYPERLINK("https://test.ictv.global/id/ICTV202010493","ICTV202010493@TEST")</f>
        <v>ICTV202010493@TEST</v>
      </c>
      <c r="N2314" t="str">
        <f>HYPERLINK("https://ictv.global/id/TN202210493","TN202210493@prod")</f>
        <v>TN202210493@prod</v>
      </c>
      <c r="O2314" t="str">
        <f>HYPERLINK("https://ictv.global/id/ICTV202010493","ICTV202010493@prod")</f>
        <v>ICTV202010493@prod</v>
      </c>
    </row>
    <row r="2315" spans="1:15" x14ac:dyDescent="0.2">
      <c r="A2315">
        <v>38</v>
      </c>
      <c r="B2315">
        <v>202210495</v>
      </c>
      <c r="C2315">
        <v>202010495</v>
      </c>
      <c r="D2315" t="s">
        <v>19</v>
      </c>
      <c r="E2315" t="s">
        <v>2518</v>
      </c>
      <c r="G2315" t="s">
        <v>1165</v>
      </c>
      <c r="L2315" t="str">
        <f>HYPERLINK("https://test.ictv.global/id/TN202210495","TN202210495@TEST")</f>
        <v>TN202210495@TEST</v>
      </c>
      <c r="M2315" t="str">
        <f>HYPERLINK("https://test.ictv.global/id/ICTV202010495","ICTV202010495@TEST")</f>
        <v>ICTV202010495@TEST</v>
      </c>
      <c r="N2315" t="str">
        <f>HYPERLINK("https://ictv.global/id/TN202210495","TN202210495@prod")</f>
        <v>TN202210495@prod</v>
      </c>
      <c r="O2315" t="str">
        <f>HYPERLINK("https://ictv.global/id/ICTV202010495","ICTV202010495@prod")</f>
        <v>ICTV202010495@prod</v>
      </c>
    </row>
    <row r="2316" spans="1:15" x14ac:dyDescent="0.2">
      <c r="A2316">
        <v>38</v>
      </c>
      <c r="B2316">
        <v>202210501</v>
      </c>
      <c r="C2316">
        <v>202010501</v>
      </c>
      <c r="D2316" t="s">
        <v>19</v>
      </c>
      <c r="E2316" t="s">
        <v>2519</v>
      </c>
      <c r="G2316" t="s">
        <v>1165</v>
      </c>
      <c r="L2316" t="str">
        <f>HYPERLINK("https://test.ictv.global/id/TN202210501","TN202210501@TEST")</f>
        <v>TN202210501@TEST</v>
      </c>
      <c r="M2316" t="str">
        <f>HYPERLINK("https://test.ictv.global/id/ICTV202010501","ICTV202010501@TEST")</f>
        <v>ICTV202010501@TEST</v>
      </c>
      <c r="N2316" t="str">
        <f>HYPERLINK("https://ictv.global/id/TN202210501","TN202210501@prod")</f>
        <v>TN202210501@prod</v>
      </c>
      <c r="O2316" t="str">
        <f>HYPERLINK("https://ictv.global/id/ICTV202010501","ICTV202010501@prod")</f>
        <v>ICTV202010501@prod</v>
      </c>
    </row>
    <row r="2317" spans="1:15" x14ac:dyDescent="0.2">
      <c r="A2317">
        <v>38</v>
      </c>
      <c r="B2317">
        <v>202210506</v>
      </c>
      <c r="C2317">
        <v>202010506</v>
      </c>
      <c r="D2317" t="s">
        <v>19</v>
      </c>
      <c r="E2317" t="s">
        <v>2520</v>
      </c>
      <c r="G2317" t="s">
        <v>1165</v>
      </c>
      <c r="L2317" t="str">
        <f>HYPERLINK("https://test.ictv.global/id/TN202210506","TN202210506@TEST")</f>
        <v>TN202210506@TEST</v>
      </c>
      <c r="M2317" t="str">
        <f>HYPERLINK("https://test.ictv.global/id/ICTV202010506","ICTV202010506@TEST")</f>
        <v>ICTV202010506@TEST</v>
      </c>
      <c r="N2317" t="str">
        <f>HYPERLINK("https://ictv.global/id/TN202210506","TN202210506@prod")</f>
        <v>TN202210506@prod</v>
      </c>
      <c r="O2317" t="str">
        <f>HYPERLINK("https://ictv.global/id/ICTV202010506","ICTV202010506@prod")</f>
        <v>ICTV202010506@prod</v>
      </c>
    </row>
    <row r="2318" spans="1:15" x14ac:dyDescent="0.2">
      <c r="A2318">
        <v>38</v>
      </c>
      <c r="B2318">
        <v>202210509</v>
      </c>
      <c r="C2318">
        <v>202010509</v>
      </c>
      <c r="D2318" t="s">
        <v>19</v>
      </c>
      <c r="E2318" t="s">
        <v>2521</v>
      </c>
      <c r="G2318" t="s">
        <v>1165</v>
      </c>
      <c r="L2318" t="str">
        <f>HYPERLINK("https://test.ictv.global/id/TN202210509","TN202210509@TEST")</f>
        <v>TN202210509@TEST</v>
      </c>
      <c r="M2318" t="str">
        <f>HYPERLINK("https://test.ictv.global/id/ICTV202010509","ICTV202010509@TEST")</f>
        <v>ICTV202010509@TEST</v>
      </c>
      <c r="N2318" t="str">
        <f>HYPERLINK("https://ictv.global/id/TN202210509","TN202210509@prod")</f>
        <v>TN202210509@prod</v>
      </c>
      <c r="O2318" t="str">
        <f>HYPERLINK("https://ictv.global/id/ICTV202010509","ICTV202010509@prod")</f>
        <v>ICTV202010509@prod</v>
      </c>
    </row>
    <row r="2319" spans="1:15" x14ac:dyDescent="0.2">
      <c r="A2319">
        <v>38</v>
      </c>
      <c r="B2319">
        <v>202210521</v>
      </c>
      <c r="C2319">
        <v>202010521</v>
      </c>
      <c r="D2319" t="s">
        <v>19</v>
      </c>
      <c r="E2319" t="s">
        <v>2522</v>
      </c>
      <c r="G2319" t="s">
        <v>1165</v>
      </c>
      <c r="L2319" t="str">
        <f>HYPERLINK("https://test.ictv.global/id/TN202210521","TN202210521@TEST")</f>
        <v>TN202210521@TEST</v>
      </c>
      <c r="M2319" t="str">
        <f>HYPERLINK("https://test.ictv.global/id/ICTV202010521","ICTV202010521@TEST")</f>
        <v>ICTV202010521@TEST</v>
      </c>
      <c r="N2319" t="str">
        <f>HYPERLINK("https://ictv.global/id/TN202210521","TN202210521@prod")</f>
        <v>TN202210521@prod</v>
      </c>
      <c r="O2319" t="str">
        <f>HYPERLINK("https://ictv.global/id/ICTV202010521","ICTV202010521@prod")</f>
        <v>ICTV202010521@prod</v>
      </c>
    </row>
    <row r="2320" spans="1:15" x14ac:dyDescent="0.2">
      <c r="A2320">
        <v>38</v>
      </c>
      <c r="B2320">
        <v>202210522</v>
      </c>
      <c r="C2320">
        <v>202010522</v>
      </c>
      <c r="D2320" t="s">
        <v>29</v>
      </c>
      <c r="E2320" t="s">
        <v>2523</v>
      </c>
      <c r="F2320" t="s">
        <v>2524</v>
      </c>
      <c r="G2320" t="s">
        <v>1165</v>
      </c>
      <c r="L2320" t="str">
        <f>HYPERLINK("https://test.ictv.global/id/TN202210522","TN202210522@TEST")</f>
        <v>TN202210522@TEST</v>
      </c>
      <c r="M2320" t="str">
        <f>HYPERLINK("https://test.ictv.global/id/ICTV202010522","ICTV202010522@TEST")</f>
        <v>ICTV202010522@TEST</v>
      </c>
      <c r="N2320" t="str">
        <f>HYPERLINK("https://ictv.global/id/TN202210522","TN202210522@prod")</f>
        <v>TN202210522@prod</v>
      </c>
      <c r="O2320" t="str">
        <f>HYPERLINK("https://ictv.global/id/ICTV202010522","ICTV202010522@prod")</f>
        <v>ICTV202010522@prod</v>
      </c>
    </row>
    <row r="2321" spans="1:15" x14ac:dyDescent="0.2">
      <c r="A2321">
        <v>38</v>
      </c>
      <c r="B2321">
        <v>202210543</v>
      </c>
      <c r="C2321">
        <v>202010543</v>
      </c>
      <c r="D2321" t="s">
        <v>29</v>
      </c>
      <c r="E2321" t="s">
        <v>2525</v>
      </c>
      <c r="F2321" t="s">
        <v>2526</v>
      </c>
      <c r="G2321" t="s">
        <v>1165</v>
      </c>
      <c r="L2321" t="str">
        <f>HYPERLINK("https://test.ictv.global/id/TN202210543","TN202210543@TEST")</f>
        <v>TN202210543@TEST</v>
      </c>
      <c r="M2321" t="str">
        <f>HYPERLINK("https://test.ictv.global/id/ICTV202010543","ICTV202010543@TEST")</f>
        <v>ICTV202010543@TEST</v>
      </c>
      <c r="N2321" t="str">
        <f>HYPERLINK("https://ictv.global/id/TN202210543","TN202210543@prod")</f>
        <v>TN202210543@prod</v>
      </c>
      <c r="O2321" t="str">
        <f>HYPERLINK("https://ictv.global/id/ICTV202010543","ICTV202010543@prod")</f>
        <v>ICTV202010543@prod</v>
      </c>
    </row>
    <row r="2322" spans="1:15" x14ac:dyDescent="0.2">
      <c r="A2322">
        <v>38</v>
      </c>
      <c r="B2322">
        <v>202210551</v>
      </c>
      <c r="C2322">
        <v>202010551</v>
      </c>
      <c r="D2322" t="s">
        <v>19</v>
      </c>
      <c r="E2322" t="s">
        <v>2527</v>
      </c>
      <c r="G2322" t="s">
        <v>1165</v>
      </c>
      <c r="L2322" t="str">
        <f>HYPERLINK("https://test.ictv.global/id/TN202210551","TN202210551@TEST")</f>
        <v>TN202210551@TEST</v>
      </c>
      <c r="M2322" t="str">
        <f>HYPERLINK("https://test.ictv.global/id/ICTV202010551","ICTV202010551@TEST")</f>
        <v>ICTV202010551@TEST</v>
      </c>
      <c r="N2322" t="str">
        <f>HYPERLINK("https://ictv.global/id/TN202210551","TN202210551@prod")</f>
        <v>TN202210551@prod</v>
      </c>
      <c r="O2322" t="str">
        <f>HYPERLINK("https://ictv.global/id/ICTV202010551","ICTV202010551@prod")</f>
        <v>ICTV202010551@prod</v>
      </c>
    </row>
    <row r="2323" spans="1:15" x14ac:dyDescent="0.2">
      <c r="A2323">
        <v>38</v>
      </c>
      <c r="B2323">
        <v>202210558</v>
      </c>
      <c r="C2323">
        <v>202010558</v>
      </c>
      <c r="D2323" t="s">
        <v>19</v>
      </c>
      <c r="E2323" t="s">
        <v>2528</v>
      </c>
      <c r="G2323" t="s">
        <v>1165</v>
      </c>
      <c r="L2323" t="str">
        <f>HYPERLINK("https://test.ictv.global/id/TN202210558","TN202210558@TEST")</f>
        <v>TN202210558@TEST</v>
      </c>
      <c r="M2323" t="str">
        <f>HYPERLINK("https://test.ictv.global/id/ICTV202010558","ICTV202010558@TEST")</f>
        <v>ICTV202010558@TEST</v>
      </c>
      <c r="N2323" t="str">
        <f>HYPERLINK("https://ictv.global/id/TN202210558","TN202210558@prod")</f>
        <v>TN202210558@prod</v>
      </c>
      <c r="O2323" t="str">
        <f>HYPERLINK("https://ictv.global/id/ICTV202010558","ICTV202010558@prod")</f>
        <v>ICTV202010558@prod</v>
      </c>
    </row>
    <row r="2324" spans="1:15" x14ac:dyDescent="0.2">
      <c r="A2324">
        <v>38</v>
      </c>
      <c r="B2324">
        <v>202210569</v>
      </c>
      <c r="C2324">
        <v>202010569</v>
      </c>
      <c r="D2324" t="s">
        <v>19</v>
      </c>
      <c r="E2324" t="s">
        <v>2529</v>
      </c>
      <c r="G2324" t="s">
        <v>1165</v>
      </c>
      <c r="L2324" t="str">
        <f>HYPERLINK("https://test.ictv.global/id/TN202210569","TN202210569@TEST")</f>
        <v>TN202210569@TEST</v>
      </c>
      <c r="M2324" t="str">
        <f>HYPERLINK("https://test.ictv.global/id/ICTV202010569","ICTV202010569@TEST")</f>
        <v>ICTV202010569@TEST</v>
      </c>
      <c r="N2324" t="str">
        <f>HYPERLINK("https://ictv.global/id/TN202210569","TN202210569@prod")</f>
        <v>TN202210569@prod</v>
      </c>
      <c r="O2324" t="str">
        <f>HYPERLINK("https://ictv.global/id/ICTV202010569","ICTV202010569@prod")</f>
        <v>ICTV202010569@prod</v>
      </c>
    </row>
    <row r="2325" spans="1:15" x14ac:dyDescent="0.2">
      <c r="A2325">
        <v>38</v>
      </c>
      <c r="B2325">
        <v>202210573</v>
      </c>
      <c r="C2325">
        <v>202010573</v>
      </c>
      <c r="D2325" t="s">
        <v>19</v>
      </c>
      <c r="E2325" t="s">
        <v>2530</v>
      </c>
      <c r="G2325" t="s">
        <v>1165</v>
      </c>
      <c r="L2325" t="str">
        <f>HYPERLINK("https://test.ictv.global/id/TN202210573","TN202210573@TEST")</f>
        <v>TN202210573@TEST</v>
      </c>
      <c r="M2325" t="str">
        <f>HYPERLINK("https://test.ictv.global/id/ICTV202010573","ICTV202010573@TEST")</f>
        <v>ICTV202010573@TEST</v>
      </c>
      <c r="N2325" t="str">
        <f>HYPERLINK("https://ictv.global/id/TN202210573","TN202210573@prod")</f>
        <v>TN202210573@prod</v>
      </c>
      <c r="O2325" t="str">
        <f>HYPERLINK("https://ictv.global/id/ICTV202010573","ICTV202010573@prod")</f>
        <v>ICTV202010573@prod</v>
      </c>
    </row>
    <row r="2326" spans="1:15" x14ac:dyDescent="0.2">
      <c r="A2326">
        <v>38</v>
      </c>
      <c r="B2326">
        <v>202210598</v>
      </c>
      <c r="C2326">
        <v>202010598</v>
      </c>
      <c r="D2326" t="s">
        <v>19</v>
      </c>
      <c r="E2326" t="s">
        <v>2531</v>
      </c>
      <c r="G2326" t="s">
        <v>1165</v>
      </c>
      <c r="L2326" t="str">
        <f>HYPERLINK("https://test.ictv.global/id/TN202210598","TN202210598@TEST")</f>
        <v>TN202210598@TEST</v>
      </c>
      <c r="M2326" t="str">
        <f>HYPERLINK("https://test.ictv.global/id/ICTV202010598","ICTV202010598@TEST")</f>
        <v>ICTV202010598@TEST</v>
      </c>
      <c r="N2326" t="str">
        <f>HYPERLINK("https://ictv.global/id/TN202210598","TN202210598@prod")</f>
        <v>TN202210598@prod</v>
      </c>
      <c r="O2326" t="str">
        <f>HYPERLINK("https://ictv.global/id/ICTV202010598","ICTV202010598@prod")</f>
        <v>ICTV202010598@prod</v>
      </c>
    </row>
    <row r="2327" spans="1:15" x14ac:dyDescent="0.2">
      <c r="A2327">
        <v>38</v>
      </c>
      <c r="B2327">
        <v>202210610</v>
      </c>
      <c r="C2327">
        <v>202010610</v>
      </c>
      <c r="D2327" t="s">
        <v>29</v>
      </c>
      <c r="E2327" t="s">
        <v>2532</v>
      </c>
      <c r="F2327" t="s">
        <v>2533</v>
      </c>
      <c r="G2327" t="s">
        <v>1165</v>
      </c>
      <c r="L2327" t="str">
        <f>HYPERLINK("https://test.ictv.global/id/TN202210610","TN202210610@TEST")</f>
        <v>TN202210610@TEST</v>
      </c>
      <c r="M2327" t="str">
        <f>HYPERLINK("https://test.ictv.global/id/ICTV202010610","ICTV202010610@TEST")</f>
        <v>ICTV202010610@TEST</v>
      </c>
      <c r="N2327" t="str">
        <f>HYPERLINK("https://ictv.global/id/TN202210610","TN202210610@prod")</f>
        <v>TN202210610@prod</v>
      </c>
      <c r="O2327" t="str">
        <f>HYPERLINK("https://ictv.global/id/ICTV202010610","ICTV202010610@prod")</f>
        <v>ICTV202010610@prod</v>
      </c>
    </row>
    <row r="2328" spans="1:15" x14ac:dyDescent="0.2">
      <c r="A2328">
        <v>38</v>
      </c>
      <c r="B2328">
        <v>202210611</v>
      </c>
      <c r="C2328">
        <v>202010611</v>
      </c>
      <c r="D2328" t="s">
        <v>29</v>
      </c>
      <c r="E2328" t="s">
        <v>2534</v>
      </c>
      <c r="F2328" t="s">
        <v>2535</v>
      </c>
      <c r="G2328" t="s">
        <v>1165</v>
      </c>
      <c r="L2328" t="str">
        <f>HYPERLINK("https://test.ictv.global/id/TN202210611","TN202210611@TEST")</f>
        <v>TN202210611@TEST</v>
      </c>
      <c r="M2328" t="str">
        <f>HYPERLINK("https://test.ictv.global/id/ICTV202010611","ICTV202010611@TEST")</f>
        <v>ICTV202010611@TEST</v>
      </c>
      <c r="N2328" t="str">
        <f>HYPERLINK("https://ictv.global/id/TN202210611","TN202210611@prod")</f>
        <v>TN202210611@prod</v>
      </c>
      <c r="O2328" t="str">
        <f>HYPERLINK("https://ictv.global/id/ICTV202010611","ICTV202010611@prod")</f>
        <v>ICTV202010611@prod</v>
      </c>
    </row>
    <row r="2329" spans="1:15" x14ac:dyDescent="0.2">
      <c r="A2329">
        <v>38</v>
      </c>
      <c r="B2329">
        <v>202210612</v>
      </c>
      <c r="C2329">
        <v>202010612</v>
      </c>
      <c r="D2329" t="s">
        <v>29</v>
      </c>
      <c r="E2329" t="s">
        <v>2536</v>
      </c>
      <c r="F2329" t="s">
        <v>2537</v>
      </c>
      <c r="G2329" t="s">
        <v>1165</v>
      </c>
      <c r="L2329" t="str">
        <f>HYPERLINK("https://test.ictv.global/id/TN202210612","TN202210612@TEST")</f>
        <v>TN202210612@TEST</v>
      </c>
      <c r="M2329" t="str">
        <f>HYPERLINK("https://test.ictv.global/id/ICTV202010612","ICTV202010612@TEST")</f>
        <v>ICTV202010612@TEST</v>
      </c>
      <c r="N2329" t="str">
        <f>HYPERLINK("https://ictv.global/id/TN202210612","TN202210612@prod")</f>
        <v>TN202210612@prod</v>
      </c>
      <c r="O2329" t="str">
        <f>HYPERLINK("https://ictv.global/id/ICTV202010612","ICTV202010612@prod")</f>
        <v>ICTV202010612@prod</v>
      </c>
    </row>
    <row r="2330" spans="1:15" x14ac:dyDescent="0.2">
      <c r="A2330">
        <v>38</v>
      </c>
      <c r="B2330">
        <v>202210616</v>
      </c>
      <c r="C2330">
        <v>202010616</v>
      </c>
      <c r="D2330" t="s">
        <v>19</v>
      </c>
      <c r="E2330" t="s">
        <v>2538</v>
      </c>
      <c r="G2330" t="s">
        <v>1165</v>
      </c>
      <c r="L2330" t="str">
        <f>HYPERLINK("https://test.ictv.global/id/TN202210616","TN202210616@TEST")</f>
        <v>TN202210616@TEST</v>
      </c>
      <c r="M2330" t="str">
        <f>HYPERLINK("https://test.ictv.global/id/ICTV202010616","ICTV202010616@TEST")</f>
        <v>ICTV202010616@TEST</v>
      </c>
      <c r="N2330" t="str">
        <f>HYPERLINK("https://ictv.global/id/TN202210616","TN202210616@prod")</f>
        <v>TN202210616@prod</v>
      </c>
      <c r="O2330" t="str">
        <f>HYPERLINK("https://ictv.global/id/ICTV202010616","ICTV202010616@prod")</f>
        <v>ICTV202010616@prod</v>
      </c>
    </row>
    <row r="2331" spans="1:15" x14ac:dyDescent="0.2">
      <c r="A2331">
        <v>38</v>
      </c>
      <c r="B2331">
        <v>202210627</v>
      </c>
      <c r="C2331">
        <v>202010627</v>
      </c>
      <c r="D2331" t="s">
        <v>19</v>
      </c>
      <c r="E2331" t="s">
        <v>2539</v>
      </c>
      <c r="G2331" t="s">
        <v>1165</v>
      </c>
      <c r="L2331" t="str">
        <f>HYPERLINK("https://test.ictv.global/id/TN202210627","TN202210627@TEST")</f>
        <v>TN202210627@TEST</v>
      </c>
      <c r="M2331" t="str">
        <f>HYPERLINK("https://test.ictv.global/id/ICTV202010627","ICTV202010627@TEST")</f>
        <v>ICTV202010627@TEST</v>
      </c>
      <c r="N2331" t="str">
        <f>HYPERLINK("https://ictv.global/id/TN202210627","TN202210627@prod")</f>
        <v>TN202210627@prod</v>
      </c>
      <c r="O2331" t="str">
        <f>HYPERLINK("https://ictv.global/id/ICTV202010627","ICTV202010627@prod")</f>
        <v>ICTV202010627@prod</v>
      </c>
    </row>
    <row r="2332" spans="1:15" x14ac:dyDescent="0.2">
      <c r="A2332">
        <v>38</v>
      </c>
      <c r="B2332">
        <v>202210641</v>
      </c>
      <c r="C2332">
        <v>202010641</v>
      </c>
      <c r="D2332" t="s">
        <v>19</v>
      </c>
      <c r="E2332" t="s">
        <v>2540</v>
      </c>
      <c r="G2332" t="s">
        <v>1165</v>
      </c>
      <c r="L2332" t="str">
        <f>HYPERLINK("https://test.ictv.global/id/TN202210641","TN202210641@TEST")</f>
        <v>TN202210641@TEST</v>
      </c>
      <c r="M2332" t="str">
        <f>HYPERLINK("https://test.ictv.global/id/ICTV202010641","ICTV202010641@TEST")</f>
        <v>ICTV202010641@TEST</v>
      </c>
      <c r="N2332" t="str">
        <f>HYPERLINK("https://ictv.global/id/TN202210641","TN202210641@prod")</f>
        <v>TN202210641@prod</v>
      </c>
      <c r="O2332" t="str">
        <f>HYPERLINK("https://ictv.global/id/ICTV202010641","ICTV202010641@prod")</f>
        <v>ICTV202010641@prod</v>
      </c>
    </row>
    <row r="2333" spans="1:15" x14ac:dyDescent="0.2">
      <c r="A2333">
        <v>38</v>
      </c>
      <c r="B2333">
        <v>202210645</v>
      </c>
      <c r="C2333">
        <v>202010645</v>
      </c>
      <c r="D2333" t="s">
        <v>19</v>
      </c>
      <c r="E2333" t="s">
        <v>2541</v>
      </c>
      <c r="G2333" t="s">
        <v>1165</v>
      </c>
      <c r="L2333" t="str">
        <f>HYPERLINK("https://test.ictv.global/id/TN202210645","TN202210645@TEST")</f>
        <v>TN202210645@TEST</v>
      </c>
      <c r="M2333" t="str">
        <f>HYPERLINK("https://test.ictv.global/id/ICTV202010645","ICTV202010645@TEST")</f>
        <v>ICTV202010645@TEST</v>
      </c>
      <c r="N2333" t="str">
        <f>HYPERLINK("https://ictv.global/id/TN202210645","TN202210645@prod")</f>
        <v>TN202210645@prod</v>
      </c>
      <c r="O2333" t="str">
        <f>HYPERLINK("https://ictv.global/id/ICTV202010645","ICTV202010645@prod")</f>
        <v>ICTV202010645@prod</v>
      </c>
    </row>
    <row r="2334" spans="1:15" x14ac:dyDescent="0.2">
      <c r="A2334">
        <v>38</v>
      </c>
      <c r="B2334">
        <v>202210646</v>
      </c>
      <c r="C2334">
        <v>202010646</v>
      </c>
      <c r="D2334" t="s">
        <v>29</v>
      </c>
      <c r="E2334" t="s">
        <v>2542</v>
      </c>
      <c r="F2334" t="s">
        <v>2543</v>
      </c>
      <c r="G2334" t="s">
        <v>1165</v>
      </c>
      <c r="L2334" t="str">
        <f>HYPERLINK("https://test.ictv.global/id/TN202210646","TN202210646@TEST")</f>
        <v>TN202210646@TEST</v>
      </c>
      <c r="M2334" t="str">
        <f>HYPERLINK("https://test.ictv.global/id/ICTV202010646","ICTV202010646@TEST")</f>
        <v>ICTV202010646@TEST</v>
      </c>
      <c r="N2334" t="str">
        <f>HYPERLINK("https://ictv.global/id/TN202210646","TN202210646@prod")</f>
        <v>TN202210646@prod</v>
      </c>
      <c r="O2334" t="str">
        <f>HYPERLINK("https://ictv.global/id/ICTV202010646","ICTV202010646@prod")</f>
        <v>ICTV202010646@prod</v>
      </c>
    </row>
    <row r="2335" spans="1:15" x14ac:dyDescent="0.2">
      <c r="A2335">
        <v>38</v>
      </c>
      <c r="B2335">
        <v>202210663</v>
      </c>
      <c r="C2335">
        <v>202010663</v>
      </c>
      <c r="D2335" t="s">
        <v>19</v>
      </c>
      <c r="E2335" t="s">
        <v>2544</v>
      </c>
      <c r="G2335" t="s">
        <v>1165</v>
      </c>
      <c r="L2335" t="str">
        <f>HYPERLINK("https://test.ictv.global/id/TN202210663","TN202210663@TEST")</f>
        <v>TN202210663@TEST</v>
      </c>
      <c r="M2335" t="str">
        <f>HYPERLINK("https://test.ictv.global/id/ICTV202010663","ICTV202010663@TEST")</f>
        <v>ICTV202010663@TEST</v>
      </c>
      <c r="N2335" t="str">
        <f>HYPERLINK("https://ictv.global/id/TN202210663","TN202210663@prod")</f>
        <v>TN202210663@prod</v>
      </c>
      <c r="O2335" t="str">
        <f>HYPERLINK("https://ictv.global/id/ICTV202010663","ICTV202010663@prod")</f>
        <v>ICTV202010663@prod</v>
      </c>
    </row>
    <row r="2336" spans="1:15" x14ac:dyDescent="0.2">
      <c r="A2336">
        <v>38</v>
      </c>
      <c r="B2336">
        <v>202210673</v>
      </c>
      <c r="C2336">
        <v>202010673</v>
      </c>
      <c r="D2336" t="s">
        <v>19</v>
      </c>
      <c r="E2336" t="s">
        <v>2545</v>
      </c>
      <c r="G2336" t="s">
        <v>1165</v>
      </c>
      <c r="L2336" t="str">
        <f>HYPERLINK("https://test.ictv.global/id/TN202210673","TN202210673@TEST")</f>
        <v>TN202210673@TEST</v>
      </c>
      <c r="M2336" t="str">
        <f>HYPERLINK("https://test.ictv.global/id/ICTV202010673","ICTV202010673@TEST")</f>
        <v>ICTV202010673@TEST</v>
      </c>
      <c r="N2336" t="str">
        <f>HYPERLINK("https://ictv.global/id/TN202210673","TN202210673@prod")</f>
        <v>TN202210673@prod</v>
      </c>
      <c r="O2336" t="str">
        <f>HYPERLINK("https://ictv.global/id/ICTV202010673","ICTV202010673@prod")</f>
        <v>ICTV202010673@prod</v>
      </c>
    </row>
    <row r="2337" spans="1:15" x14ac:dyDescent="0.2">
      <c r="A2337">
        <v>38</v>
      </c>
      <c r="B2337">
        <v>202210747</v>
      </c>
      <c r="C2337">
        <v>202010747</v>
      </c>
      <c r="D2337" t="s">
        <v>19</v>
      </c>
      <c r="E2337" t="s">
        <v>2546</v>
      </c>
      <c r="G2337" t="s">
        <v>1165</v>
      </c>
      <c r="L2337" t="str">
        <f>HYPERLINK("https://test.ictv.global/id/TN202210747","TN202210747@TEST")</f>
        <v>TN202210747@TEST</v>
      </c>
      <c r="M2337" t="str">
        <f>HYPERLINK("https://test.ictv.global/id/ICTV202010747","ICTV202010747@TEST")</f>
        <v>ICTV202010747@TEST</v>
      </c>
      <c r="N2337" t="str">
        <f>HYPERLINK("https://ictv.global/id/TN202210747","TN202210747@prod")</f>
        <v>TN202210747@prod</v>
      </c>
      <c r="O2337" t="str">
        <f>HYPERLINK("https://ictv.global/id/ICTV202010747","ICTV202010747@prod")</f>
        <v>ICTV202010747@prod</v>
      </c>
    </row>
    <row r="2338" spans="1:15" x14ac:dyDescent="0.2">
      <c r="A2338">
        <v>38</v>
      </c>
      <c r="B2338">
        <v>202210763</v>
      </c>
      <c r="C2338">
        <v>202010763</v>
      </c>
      <c r="D2338" t="s">
        <v>19</v>
      </c>
      <c r="E2338" t="s">
        <v>2547</v>
      </c>
      <c r="G2338" t="s">
        <v>1165</v>
      </c>
      <c r="L2338" t="str">
        <f>HYPERLINK("https://test.ictv.global/id/TN202210763","TN202210763@TEST")</f>
        <v>TN202210763@TEST</v>
      </c>
      <c r="M2338" t="str">
        <f>HYPERLINK("https://test.ictv.global/id/ICTV202010763","ICTV202010763@TEST")</f>
        <v>ICTV202010763@TEST</v>
      </c>
      <c r="N2338" t="str">
        <f>HYPERLINK("https://ictv.global/id/TN202210763","TN202210763@prod")</f>
        <v>TN202210763@prod</v>
      </c>
      <c r="O2338" t="str">
        <f>HYPERLINK("https://ictv.global/id/ICTV202010763","ICTV202010763@prod")</f>
        <v>ICTV202010763@prod</v>
      </c>
    </row>
    <row r="2339" spans="1:15" x14ac:dyDescent="0.2">
      <c r="A2339">
        <v>38</v>
      </c>
      <c r="B2339">
        <v>202210783</v>
      </c>
      <c r="C2339">
        <v>202010783</v>
      </c>
      <c r="D2339" t="s">
        <v>19</v>
      </c>
      <c r="E2339" t="s">
        <v>2548</v>
      </c>
      <c r="G2339" t="s">
        <v>1165</v>
      </c>
      <c r="L2339" t="str">
        <f>HYPERLINK("https://test.ictv.global/id/TN202210783","TN202210783@TEST")</f>
        <v>TN202210783@TEST</v>
      </c>
      <c r="M2339" t="str">
        <f>HYPERLINK("https://test.ictv.global/id/ICTV202010783","ICTV202010783@TEST")</f>
        <v>ICTV202010783@TEST</v>
      </c>
      <c r="N2339" t="str">
        <f>HYPERLINK("https://ictv.global/id/TN202210783","TN202210783@prod")</f>
        <v>TN202210783@prod</v>
      </c>
      <c r="O2339" t="str">
        <f>HYPERLINK("https://ictv.global/id/ICTV202010783","ICTV202010783@prod")</f>
        <v>ICTV202010783@prod</v>
      </c>
    </row>
    <row r="2340" spans="1:15" x14ac:dyDescent="0.2">
      <c r="A2340">
        <v>38</v>
      </c>
      <c r="B2340">
        <v>202210800</v>
      </c>
      <c r="C2340">
        <v>202010800</v>
      </c>
      <c r="D2340" t="s">
        <v>19</v>
      </c>
      <c r="E2340" t="s">
        <v>2549</v>
      </c>
      <c r="G2340" t="s">
        <v>1165</v>
      </c>
      <c r="L2340" t="str">
        <f>HYPERLINK("https://test.ictv.global/id/TN202210800","TN202210800@TEST")</f>
        <v>TN202210800@TEST</v>
      </c>
      <c r="M2340" t="str">
        <f>HYPERLINK("https://test.ictv.global/id/ICTV202010800","ICTV202010800@TEST")</f>
        <v>ICTV202010800@TEST</v>
      </c>
      <c r="N2340" t="str">
        <f>HYPERLINK("https://ictv.global/id/TN202210800","TN202210800@prod")</f>
        <v>TN202210800@prod</v>
      </c>
      <c r="O2340" t="str">
        <f>HYPERLINK("https://ictv.global/id/ICTV202010800","ICTV202010800@prod")</f>
        <v>ICTV202010800@prod</v>
      </c>
    </row>
    <row r="2341" spans="1:15" x14ac:dyDescent="0.2">
      <c r="A2341">
        <v>38</v>
      </c>
      <c r="B2341">
        <v>202210807</v>
      </c>
      <c r="C2341">
        <v>202010807</v>
      </c>
      <c r="D2341" t="s">
        <v>19</v>
      </c>
      <c r="E2341" t="s">
        <v>2550</v>
      </c>
      <c r="G2341" t="s">
        <v>1165</v>
      </c>
      <c r="L2341" t="str">
        <f>HYPERLINK("https://test.ictv.global/id/TN202210807","TN202210807@TEST")</f>
        <v>TN202210807@TEST</v>
      </c>
      <c r="M2341" t="str">
        <f>HYPERLINK("https://test.ictv.global/id/ICTV202010807","ICTV202010807@TEST")</f>
        <v>ICTV202010807@TEST</v>
      </c>
      <c r="N2341" t="str">
        <f>HYPERLINK("https://ictv.global/id/TN202210807","TN202210807@prod")</f>
        <v>TN202210807@prod</v>
      </c>
      <c r="O2341" t="str">
        <f>HYPERLINK("https://ictv.global/id/ICTV202010807","ICTV202010807@prod")</f>
        <v>ICTV202010807@prod</v>
      </c>
    </row>
    <row r="2342" spans="1:15" x14ac:dyDescent="0.2">
      <c r="A2342">
        <v>38</v>
      </c>
      <c r="B2342">
        <v>202210818</v>
      </c>
      <c r="C2342">
        <v>202010818</v>
      </c>
      <c r="D2342" t="s">
        <v>19</v>
      </c>
      <c r="E2342" t="s">
        <v>2551</v>
      </c>
      <c r="G2342" t="s">
        <v>1165</v>
      </c>
      <c r="L2342" t="str">
        <f>HYPERLINK("https://test.ictv.global/id/TN202210818","TN202210818@TEST")</f>
        <v>TN202210818@TEST</v>
      </c>
      <c r="M2342" t="str">
        <f>HYPERLINK("https://test.ictv.global/id/ICTV202010818","ICTV202010818@TEST")</f>
        <v>ICTV202010818@TEST</v>
      </c>
      <c r="N2342" t="str">
        <f>HYPERLINK("https://ictv.global/id/TN202210818","TN202210818@prod")</f>
        <v>TN202210818@prod</v>
      </c>
      <c r="O2342" t="str">
        <f>HYPERLINK("https://ictv.global/id/ICTV202010818","ICTV202010818@prod")</f>
        <v>ICTV202010818@prod</v>
      </c>
    </row>
    <row r="2343" spans="1:15" x14ac:dyDescent="0.2">
      <c r="A2343">
        <v>38</v>
      </c>
      <c r="B2343">
        <v>202210822</v>
      </c>
      <c r="C2343">
        <v>202010822</v>
      </c>
      <c r="D2343" t="s">
        <v>19</v>
      </c>
      <c r="E2343" t="s">
        <v>2552</v>
      </c>
      <c r="G2343" t="s">
        <v>1165</v>
      </c>
      <c r="L2343" t="str">
        <f>HYPERLINK("https://test.ictv.global/id/TN202210822","TN202210822@TEST")</f>
        <v>TN202210822@TEST</v>
      </c>
      <c r="M2343" t="str">
        <f>HYPERLINK("https://test.ictv.global/id/ICTV202010822","ICTV202010822@TEST")</f>
        <v>ICTV202010822@TEST</v>
      </c>
      <c r="N2343" t="str">
        <f>HYPERLINK("https://ictv.global/id/TN202210822","TN202210822@prod")</f>
        <v>TN202210822@prod</v>
      </c>
      <c r="O2343" t="str">
        <f>HYPERLINK("https://ictv.global/id/ICTV202010822","ICTV202010822@prod")</f>
        <v>ICTV202010822@prod</v>
      </c>
    </row>
    <row r="2344" spans="1:15" x14ac:dyDescent="0.2">
      <c r="A2344">
        <v>38</v>
      </c>
      <c r="B2344">
        <v>202210827</v>
      </c>
      <c r="C2344">
        <v>202010827</v>
      </c>
      <c r="D2344" t="s">
        <v>19</v>
      </c>
      <c r="E2344" t="s">
        <v>2553</v>
      </c>
      <c r="G2344" t="s">
        <v>1165</v>
      </c>
      <c r="L2344" t="str">
        <f>HYPERLINK("https://test.ictv.global/id/TN202210827","TN202210827@TEST")</f>
        <v>TN202210827@TEST</v>
      </c>
      <c r="M2344" t="str">
        <f>HYPERLINK("https://test.ictv.global/id/ICTV202010827","ICTV202010827@TEST")</f>
        <v>ICTV202010827@TEST</v>
      </c>
      <c r="N2344" t="str">
        <f>HYPERLINK("https://ictv.global/id/TN202210827","TN202210827@prod")</f>
        <v>TN202210827@prod</v>
      </c>
      <c r="O2344" t="str">
        <f>HYPERLINK("https://ictv.global/id/ICTV202010827","ICTV202010827@prod")</f>
        <v>ICTV202010827@prod</v>
      </c>
    </row>
    <row r="2345" spans="1:15" x14ac:dyDescent="0.2">
      <c r="A2345">
        <v>38</v>
      </c>
      <c r="B2345">
        <v>202210856</v>
      </c>
      <c r="C2345">
        <v>202010856</v>
      </c>
      <c r="D2345" t="s">
        <v>19</v>
      </c>
      <c r="E2345" t="s">
        <v>2554</v>
      </c>
      <c r="G2345" t="s">
        <v>1165</v>
      </c>
      <c r="L2345" t="str">
        <f>HYPERLINK("https://test.ictv.global/id/TN202210856","TN202210856@TEST")</f>
        <v>TN202210856@TEST</v>
      </c>
      <c r="M2345" t="str">
        <f>HYPERLINK("https://test.ictv.global/id/ICTV202010856","ICTV202010856@TEST")</f>
        <v>ICTV202010856@TEST</v>
      </c>
      <c r="N2345" t="str">
        <f>HYPERLINK("https://ictv.global/id/TN202210856","TN202210856@prod")</f>
        <v>TN202210856@prod</v>
      </c>
      <c r="O2345" t="str">
        <f>HYPERLINK("https://ictv.global/id/ICTV202010856","ICTV202010856@prod")</f>
        <v>ICTV202010856@prod</v>
      </c>
    </row>
    <row r="2346" spans="1:15" x14ac:dyDescent="0.2">
      <c r="A2346">
        <v>38</v>
      </c>
      <c r="B2346">
        <v>202210875</v>
      </c>
      <c r="C2346">
        <v>202010875</v>
      </c>
      <c r="D2346" t="s">
        <v>19</v>
      </c>
      <c r="E2346" t="s">
        <v>2555</v>
      </c>
      <c r="G2346" t="s">
        <v>1165</v>
      </c>
      <c r="L2346" t="str">
        <f>HYPERLINK("https://test.ictv.global/id/TN202210875","TN202210875@TEST")</f>
        <v>TN202210875@TEST</v>
      </c>
      <c r="M2346" t="str">
        <f>HYPERLINK("https://test.ictv.global/id/ICTV202010875","ICTV202010875@TEST")</f>
        <v>ICTV202010875@TEST</v>
      </c>
      <c r="N2346" t="str">
        <f>HYPERLINK("https://ictv.global/id/TN202210875","TN202210875@prod")</f>
        <v>TN202210875@prod</v>
      </c>
      <c r="O2346" t="str">
        <f>HYPERLINK("https://ictv.global/id/ICTV202010875","ICTV202010875@prod")</f>
        <v>ICTV202010875@prod</v>
      </c>
    </row>
    <row r="2347" spans="1:15" x14ac:dyDescent="0.2">
      <c r="A2347">
        <v>38</v>
      </c>
      <c r="B2347">
        <v>202210888</v>
      </c>
      <c r="C2347">
        <v>202010888</v>
      </c>
      <c r="D2347" t="s">
        <v>19</v>
      </c>
      <c r="E2347" t="s">
        <v>2556</v>
      </c>
      <c r="G2347" t="s">
        <v>1165</v>
      </c>
      <c r="L2347" t="str">
        <f>HYPERLINK("https://test.ictv.global/id/TN202210888","TN202210888@TEST")</f>
        <v>TN202210888@TEST</v>
      </c>
      <c r="M2347" t="str">
        <f>HYPERLINK("https://test.ictv.global/id/ICTV202010888","ICTV202010888@TEST")</f>
        <v>ICTV202010888@TEST</v>
      </c>
      <c r="N2347" t="str">
        <f>HYPERLINK("https://ictv.global/id/TN202210888","TN202210888@prod")</f>
        <v>TN202210888@prod</v>
      </c>
      <c r="O2347" t="str">
        <f>HYPERLINK("https://ictv.global/id/ICTV202010888","ICTV202010888@prod")</f>
        <v>ICTV202010888@prod</v>
      </c>
    </row>
    <row r="2348" spans="1:15" x14ac:dyDescent="0.2">
      <c r="A2348">
        <v>38</v>
      </c>
      <c r="B2348">
        <v>202210889</v>
      </c>
      <c r="C2348">
        <v>202010889</v>
      </c>
      <c r="D2348" t="s">
        <v>29</v>
      </c>
      <c r="E2348" t="s">
        <v>2557</v>
      </c>
      <c r="F2348" t="s">
        <v>2558</v>
      </c>
      <c r="G2348" t="s">
        <v>1165</v>
      </c>
      <c r="L2348" t="str">
        <f>HYPERLINK("https://test.ictv.global/id/TN202210889","TN202210889@TEST")</f>
        <v>TN202210889@TEST</v>
      </c>
      <c r="M2348" t="str">
        <f>HYPERLINK("https://test.ictv.global/id/ICTV202010889","ICTV202010889@TEST")</f>
        <v>ICTV202010889@TEST</v>
      </c>
      <c r="N2348" t="str">
        <f>HYPERLINK("https://ictv.global/id/TN202210889","TN202210889@prod")</f>
        <v>TN202210889@prod</v>
      </c>
      <c r="O2348" t="str">
        <f>HYPERLINK("https://ictv.global/id/ICTV202010889","ICTV202010889@prod")</f>
        <v>ICTV202010889@prod</v>
      </c>
    </row>
    <row r="2349" spans="1:15" x14ac:dyDescent="0.2">
      <c r="A2349">
        <v>38</v>
      </c>
      <c r="B2349">
        <v>202210890</v>
      </c>
      <c r="C2349">
        <v>202010890</v>
      </c>
      <c r="D2349" t="s">
        <v>19</v>
      </c>
      <c r="E2349" t="s">
        <v>2559</v>
      </c>
      <c r="G2349" t="s">
        <v>1165</v>
      </c>
      <c r="L2349" t="str">
        <f>HYPERLINK("https://test.ictv.global/id/TN202210890","TN202210890@TEST")</f>
        <v>TN202210890@TEST</v>
      </c>
      <c r="M2349" t="str">
        <f>HYPERLINK("https://test.ictv.global/id/ICTV202010890","ICTV202010890@TEST")</f>
        <v>ICTV202010890@TEST</v>
      </c>
      <c r="N2349" t="str">
        <f>HYPERLINK("https://ictv.global/id/TN202210890","TN202210890@prod")</f>
        <v>TN202210890@prod</v>
      </c>
      <c r="O2349" t="str">
        <f>HYPERLINK("https://ictv.global/id/ICTV202010890","ICTV202010890@prod")</f>
        <v>ICTV202010890@prod</v>
      </c>
    </row>
    <row r="2350" spans="1:15" x14ac:dyDescent="0.2">
      <c r="A2350">
        <v>38</v>
      </c>
      <c r="B2350">
        <v>202210891</v>
      </c>
      <c r="C2350">
        <v>202010891</v>
      </c>
      <c r="D2350" t="s">
        <v>29</v>
      </c>
      <c r="E2350" t="s">
        <v>2560</v>
      </c>
      <c r="F2350" t="s">
        <v>2561</v>
      </c>
      <c r="G2350" t="s">
        <v>1165</v>
      </c>
      <c r="L2350" t="str">
        <f>HYPERLINK("https://test.ictv.global/id/TN202210891","TN202210891@TEST")</f>
        <v>TN202210891@TEST</v>
      </c>
      <c r="M2350" t="str">
        <f>HYPERLINK("https://test.ictv.global/id/ICTV202010891","ICTV202010891@TEST")</f>
        <v>ICTV202010891@TEST</v>
      </c>
      <c r="N2350" t="str">
        <f>HYPERLINK("https://ictv.global/id/TN202210891","TN202210891@prod")</f>
        <v>TN202210891@prod</v>
      </c>
      <c r="O2350" t="str">
        <f>HYPERLINK("https://ictv.global/id/ICTV202010891","ICTV202010891@prod")</f>
        <v>ICTV202010891@prod</v>
      </c>
    </row>
    <row r="2351" spans="1:15" x14ac:dyDescent="0.2">
      <c r="A2351">
        <v>38</v>
      </c>
      <c r="B2351">
        <v>202210896</v>
      </c>
      <c r="C2351">
        <v>202010896</v>
      </c>
      <c r="D2351" t="s">
        <v>29</v>
      </c>
      <c r="E2351" t="s">
        <v>2562</v>
      </c>
      <c r="F2351" t="s">
        <v>2563</v>
      </c>
      <c r="G2351" t="s">
        <v>1165</v>
      </c>
      <c r="L2351" t="str">
        <f>HYPERLINK("https://test.ictv.global/id/TN202210896","TN202210896@TEST")</f>
        <v>TN202210896@TEST</v>
      </c>
      <c r="M2351" t="str">
        <f>HYPERLINK("https://test.ictv.global/id/ICTV202010896","ICTV202010896@TEST")</f>
        <v>ICTV202010896@TEST</v>
      </c>
      <c r="N2351" t="str">
        <f>HYPERLINK("https://ictv.global/id/TN202210896","TN202210896@prod")</f>
        <v>TN202210896@prod</v>
      </c>
      <c r="O2351" t="str">
        <f>HYPERLINK("https://ictv.global/id/ICTV202010896","ICTV202010896@prod")</f>
        <v>ICTV202010896@prod</v>
      </c>
    </row>
    <row r="2352" spans="1:15" x14ac:dyDescent="0.2">
      <c r="A2352">
        <v>38</v>
      </c>
      <c r="B2352">
        <v>202210909</v>
      </c>
      <c r="C2352">
        <v>202010909</v>
      </c>
      <c r="D2352" t="s">
        <v>19</v>
      </c>
      <c r="E2352" t="s">
        <v>2564</v>
      </c>
      <c r="G2352" t="s">
        <v>1165</v>
      </c>
      <c r="L2352" t="str">
        <f>HYPERLINK("https://test.ictv.global/id/TN202210909","TN202210909@TEST")</f>
        <v>TN202210909@TEST</v>
      </c>
      <c r="M2352" t="str">
        <f>HYPERLINK("https://test.ictv.global/id/ICTV202010909","ICTV202010909@TEST")</f>
        <v>ICTV202010909@TEST</v>
      </c>
      <c r="N2352" t="str">
        <f>HYPERLINK("https://ictv.global/id/TN202210909","TN202210909@prod")</f>
        <v>TN202210909@prod</v>
      </c>
      <c r="O2352" t="str">
        <f>HYPERLINK("https://ictv.global/id/ICTV202010909","ICTV202010909@prod")</f>
        <v>ICTV202010909@prod</v>
      </c>
    </row>
    <row r="2353" spans="1:15" x14ac:dyDescent="0.2">
      <c r="A2353">
        <v>38</v>
      </c>
      <c r="B2353">
        <v>202210910</v>
      </c>
      <c r="C2353">
        <v>202010910</v>
      </c>
      <c r="D2353" t="s">
        <v>29</v>
      </c>
      <c r="E2353" t="s">
        <v>2565</v>
      </c>
      <c r="F2353" t="s">
        <v>2566</v>
      </c>
      <c r="G2353" t="s">
        <v>1165</v>
      </c>
      <c r="L2353" t="str">
        <f>HYPERLINK("https://test.ictv.global/id/TN202210910","TN202210910@TEST")</f>
        <v>TN202210910@TEST</v>
      </c>
      <c r="M2353" t="str">
        <f>HYPERLINK("https://test.ictv.global/id/ICTV202010910","ICTV202010910@TEST")</f>
        <v>ICTV202010910@TEST</v>
      </c>
      <c r="N2353" t="str">
        <f>HYPERLINK("https://ictv.global/id/TN202210910","TN202210910@prod")</f>
        <v>TN202210910@prod</v>
      </c>
      <c r="O2353" t="str">
        <f>HYPERLINK("https://ictv.global/id/ICTV202010910","ICTV202010910@prod")</f>
        <v>ICTV202010910@prod</v>
      </c>
    </row>
    <row r="2354" spans="1:15" x14ac:dyDescent="0.2">
      <c r="A2354">
        <v>38</v>
      </c>
      <c r="B2354">
        <v>202210917</v>
      </c>
      <c r="C2354">
        <v>202010917</v>
      </c>
      <c r="D2354" t="s">
        <v>19</v>
      </c>
      <c r="E2354" t="s">
        <v>2567</v>
      </c>
      <c r="G2354" t="s">
        <v>1165</v>
      </c>
      <c r="L2354" t="str">
        <f>HYPERLINK("https://test.ictv.global/id/TN202210917","TN202210917@TEST")</f>
        <v>TN202210917@TEST</v>
      </c>
      <c r="M2354" t="str">
        <f>HYPERLINK("https://test.ictv.global/id/ICTV202010917","ICTV202010917@TEST")</f>
        <v>ICTV202010917@TEST</v>
      </c>
      <c r="N2354" t="str">
        <f>HYPERLINK("https://ictv.global/id/TN202210917","TN202210917@prod")</f>
        <v>TN202210917@prod</v>
      </c>
      <c r="O2354" t="str">
        <f>HYPERLINK("https://ictv.global/id/ICTV202010917","ICTV202010917@prod")</f>
        <v>ICTV202010917@prod</v>
      </c>
    </row>
    <row r="2355" spans="1:15" x14ac:dyDescent="0.2">
      <c r="A2355">
        <v>38</v>
      </c>
      <c r="B2355">
        <v>202210918</v>
      </c>
      <c r="C2355">
        <v>202010918</v>
      </c>
      <c r="D2355" t="s">
        <v>29</v>
      </c>
      <c r="E2355" t="s">
        <v>2568</v>
      </c>
      <c r="F2355" t="s">
        <v>2569</v>
      </c>
      <c r="G2355" t="s">
        <v>1165</v>
      </c>
      <c r="L2355" t="str">
        <f>HYPERLINK("https://test.ictv.global/id/TN202210918","TN202210918@TEST")</f>
        <v>TN202210918@TEST</v>
      </c>
      <c r="M2355" t="str">
        <f>HYPERLINK("https://test.ictv.global/id/ICTV202010918","ICTV202010918@TEST")</f>
        <v>ICTV202010918@TEST</v>
      </c>
      <c r="N2355" t="str">
        <f>HYPERLINK("https://ictv.global/id/TN202210918","TN202210918@prod")</f>
        <v>TN202210918@prod</v>
      </c>
      <c r="O2355" t="str">
        <f>HYPERLINK("https://ictv.global/id/ICTV202010918","ICTV202010918@prod")</f>
        <v>ICTV202010918@prod</v>
      </c>
    </row>
    <row r="2356" spans="1:15" x14ac:dyDescent="0.2">
      <c r="A2356">
        <v>38</v>
      </c>
      <c r="B2356">
        <v>202210947</v>
      </c>
      <c r="C2356">
        <v>202010947</v>
      </c>
      <c r="D2356" t="s">
        <v>19</v>
      </c>
      <c r="E2356" t="s">
        <v>2570</v>
      </c>
      <c r="G2356" t="s">
        <v>1165</v>
      </c>
      <c r="L2356" t="str">
        <f>HYPERLINK("https://test.ictv.global/id/TN202210947","TN202210947@TEST")</f>
        <v>TN202210947@TEST</v>
      </c>
      <c r="M2356" t="str">
        <f>HYPERLINK("https://test.ictv.global/id/ICTV202010947","ICTV202010947@TEST")</f>
        <v>ICTV202010947@TEST</v>
      </c>
      <c r="N2356" t="str">
        <f>HYPERLINK("https://ictv.global/id/TN202210947","TN202210947@prod")</f>
        <v>TN202210947@prod</v>
      </c>
      <c r="O2356" t="str">
        <f>HYPERLINK("https://ictv.global/id/ICTV202010947","ICTV202010947@prod")</f>
        <v>ICTV202010947@prod</v>
      </c>
    </row>
    <row r="2357" spans="1:15" x14ac:dyDescent="0.2">
      <c r="A2357">
        <v>38</v>
      </c>
      <c r="B2357">
        <v>202210948</v>
      </c>
      <c r="C2357">
        <v>202010948</v>
      </c>
      <c r="D2357" t="s">
        <v>29</v>
      </c>
      <c r="E2357" t="s">
        <v>2571</v>
      </c>
      <c r="F2357" t="s">
        <v>2572</v>
      </c>
      <c r="G2357" t="s">
        <v>1165</v>
      </c>
      <c r="L2357" t="str">
        <f>HYPERLINK("https://test.ictv.global/id/TN202210948","TN202210948@TEST")</f>
        <v>TN202210948@TEST</v>
      </c>
      <c r="M2357" t="str">
        <f>HYPERLINK("https://test.ictv.global/id/ICTV202010948","ICTV202010948@TEST")</f>
        <v>ICTV202010948@TEST</v>
      </c>
      <c r="N2357" t="str">
        <f>HYPERLINK("https://ictv.global/id/TN202210948","TN202210948@prod")</f>
        <v>TN202210948@prod</v>
      </c>
      <c r="O2357" t="str">
        <f>HYPERLINK("https://ictv.global/id/ICTV202010948","ICTV202010948@prod")</f>
        <v>ICTV202010948@prod</v>
      </c>
    </row>
    <row r="2358" spans="1:15" x14ac:dyDescent="0.2">
      <c r="A2358">
        <v>38</v>
      </c>
      <c r="B2358">
        <v>202210951</v>
      </c>
      <c r="C2358">
        <v>202010951</v>
      </c>
      <c r="D2358" t="s">
        <v>19</v>
      </c>
      <c r="E2358" t="s">
        <v>2573</v>
      </c>
      <c r="G2358" t="s">
        <v>1165</v>
      </c>
      <c r="L2358" t="str">
        <f>HYPERLINK("https://test.ictv.global/id/TN202210951","TN202210951@TEST")</f>
        <v>TN202210951@TEST</v>
      </c>
      <c r="M2358" t="str">
        <f>HYPERLINK("https://test.ictv.global/id/ICTV202010951","ICTV202010951@TEST")</f>
        <v>ICTV202010951@TEST</v>
      </c>
      <c r="N2358" t="str">
        <f>HYPERLINK("https://ictv.global/id/TN202210951","TN202210951@prod")</f>
        <v>TN202210951@prod</v>
      </c>
      <c r="O2358" t="str">
        <f>HYPERLINK("https://ictv.global/id/ICTV202010951","ICTV202010951@prod")</f>
        <v>ICTV202010951@prod</v>
      </c>
    </row>
    <row r="2359" spans="1:15" x14ac:dyDescent="0.2">
      <c r="A2359">
        <v>38</v>
      </c>
      <c r="B2359">
        <v>202210952</v>
      </c>
      <c r="C2359">
        <v>202010952</v>
      </c>
      <c r="D2359" t="s">
        <v>29</v>
      </c>
      <c r="E2359" t="s">
        <v>2574</v>
      </c>
      <c r="F2359" t="s">
        <v>2575</v>
      </c>
      <c r="G2359" t="s">
        <v>1165</v>
      </c>
      <c r="L2359" t="str">
        <f>HYPERLINK("https://test.ictv.global/id/TN202210952","TN202210952@TEST")</f>
        <v>TN202210952@TEST</v>
      </c>
      <c r="M2359" t="str">
        <f>HYPERLINK("https://test.ictv.global/id/ICTV202010952","ICTV202010952@TEST")</f>
        <v>ICTV202010952@TEST</v>
      </c>
      <c r="N2359" t="str">
        <f>HYPERLINK("https://ictv.global/id/TN202210952","TN202210952@prod")</f>
        <v>TN202210952@prod</v>
      </c>
      <c r="O2359" t="str">
        <f>HYPERLINK("https://ictv.global/id/ICTV202010952","ICTV202010952@prod")</f>
        <v>ICTV202010952@prod</v>
      </c>
    </row>
    <row r="2360" spans="1:15" x14ac:dyDescent="0.2">
      <c r="A2360">
        <v>38</v>
      </c>
      <c r="B2360">
        <v>202210955</v>
      </c>
      <c r="C2360">
        <v>202010955</v>
      </c>
      <c r="D2360" t="s">
        <v>19</v>
      </c>
      <c r="E2360" t="s">
        <v>2576</v>
      </c>
      <c r="G2360" t="s">
        <v>1165</v>
      </c>
      <c r="L2360" t="str">
        <f>HYPERLINK("https://test.ictv.global/id/TN202210955","TN202210955@TEST")</f>
        <v>TN202210955@TEST</v>
      </c>
      <c r="M2360" t="str">
        <f>HYPERLINK("https://test.ictv.global/id/ICTV202010955","ICTV202010955@TEST")</f>
        <v>ICTV202010955@TEST</v>
      </c>
      <c r="N2360" t="str">
        <f>HYPERLINK("https://ictv.global/id/TN202210955","TN202210955@prod")</f>
        <v>TN202210955@prod</v>
      </c>
      <c r="O2360" t="str">
        <f>HYPERLINK("https://ictv.global/id/ICTV202010955","ICTV202010955@prod")</f>
        <v>ICTV202010955@prod</v>
      </c>
    </row>
    <row r="2361" spans="1:15" x14ac:dyDescent="0.2">
      <c r="A2361">
        <v>38</v>
      </c>
      <c r="B2361">
        <v>202210956</v>
      </c>
      <c r="C2361">
        <v>202010956</v>
      </c>
      <c r="D2361" t="s">
        <v>29</v>
      </c>
      <c r="E2361" t="s">
        <v>2577</v>
      </c>
      <c r="F2361" t="s">
        <v>2578</v>
      </c>
      <c r="G2361" t="s">
        <v>1165</v>
      </c>
      <c r="L2361" t="str">
        <f>HYPERLINK("https://test.ictv.global/id/TN202210956","TN202210956@TEST")</f>
        <v>TN202210956@TEST</v>
      </c>
      <c r="M2361" t="str">
        <f>HYPERLINK("https://test.ictv.global/id/ICTV202010956","ICTV202010956@TEST")</f>
        <v>ICTV202010956@TEST</v>
      </c>
      <c r="N2361" t="str">
        <f>HYPERLINK("https://ictv.global/id/TN202210956","TN202210956@prod")</f>
        <v>TN202210956@prod</v>
      </c>
      <c r="O2361" t="str">
        <f>HYPERLINK("https://ictv.global/id/ICTV202010956","ICTV202010956@prod")</f>
        <v>ICTV202010956@prod</v>
      </c>
    </row>
    <row r="2362" spans="1:15" x14ac:dyDescent="0.2">
      <c r="A2362">
        <v>38</v>
      </c>
      <c r="B2362">
        <v>202210963</v>
      </c>
      <c r="C2362">
        <v>202010963</v>
      </c>
      <c r="D2362" t="s">
        <v>19</v>
      </c>
      <c r="E2362" t="s">
        <v>2579</v>
      </c>
      <c r="G2362" t="s">
        <v>1165</v>
      </c>
      <c r="L2362" t="str">
        <f>HYPERLINK("https://test.ictv.global/id/TN202210963","TN202210963@TEST")</f>
        <v>TN202210963@TEST</v>
      </c>
      <c r="M2362" t="str">
        <f>HYPERLINK("https://test.ictv.global/id/ICTV202010963","ICTV202010963@TEST")</f>
        <v>ICTV202010963@TEST</v>
      </c>
      <c r="N2362" t="str">
        <f>HYPERLINK("https://ictv.global/id/TN202210963","TN202210963@prod")</f>
        <v>TN202210963@prod</v>
      </c>
      <c r="O2362" t="str">
        <f>HYPERLINK("https://ictv.global/id/ICTV202010963","ICTV202010963@prod")</f>
        <v>ICTV202010963@prod</v>
      </c>
    </row>
    <row r="2363" spans="1:15" x14ac:dyDescent="0.2">
      <c r="A2363">
        <v>38</v>
      </c>
      <c r="B2363">
        <v>202210964</v>
      </c>
      <c r="C2363">
        <v>202010964</v>
      </c>
      <c r="D2363" t="s">
        <v>29</v>
      </c>
      <c r="E2363" t="s">
        <v>2580</v>
      </c>
      <c r="F2363" t="s">
        <v>2581</v>
      </c>
      <c r="G2363" t="s">
        <v>1165</v>
      </c>
      <c r="L2363" t="str">
        <f>HYPERLINK("https://test.ictv.global/id/TN202210964","TN202210964@TEST")</f>
        <v>TN202210964@TEST</v>
      </c>
      <c r="M2363" t="str">
        <f>HYPERLINK("https://test.ictv.global/id/ICTV202010964","ICTV202010964@TEST")</f>
        <v>ICTV202010964@TEST</v>
      </c>
      <c r="N2363" t="str">
        <f>HYPERLINK("https://ictv.global/id/TN202210964","TN202210964@prod")</f>
        <v>TN202210964@prod</v>
      </c>
      <c r="O2363" t="str">
        <f>HYPERLINK("https://ictv.global/id/ICTV202010964","ICTV202010964@prod")</f>
        <v>ICTV202010964@prod</v>
      </c>
    </row>
    <row r="2364" spans="1:15" x14ac:dyDescent="0.2">
      <c r="A2364">
        <v>38</v>
      </c>
      <c r="B2364">
        <v>202210967</v>
      </c>
      <c r="C2364">
        <v>202010967</v>
      </c>
      <c r="D2364" t="s">
        <v>19</v>
      </c>
      <c r="E2364" t="s">
        <v>2582</v>
      </c>
      <c r="G2364" t="s">
        <v>1165</v>
      </c>
      <c r="L2364" t="str">
        <f>HYPERLINK("https://test.ictv.global/id/TN202210967","TN202210967@TEST")</f>
        <v>TN202210967@TEST</v>
      </c>
      <c r="M2364" t="str">
        <f>HYPERLINK("https://test.ictv.global/id/ICTV202010967","ICTV202010967@TEST")</f>
        <v>ICTV202010967@TEST</v>
      </c>
      <c r="N2364" t="str">
        <f>HYPERLINK("https://ictv.global/id/TN202210967","TN202210967@prod")</f>
        <v>TN202210967@prod</v>
      </c>
      <c r="O2364" t="str">
        <f>HYPERLINK("https://ictv.global/id/ICTV202010967","ICTV202010967@prod")</f>
        <v>ICTV202010967@prod</v>
      </c>
    </row>
    <row r="2365" spans="1:15" x14ac:dyDescent="0.2">
      <c r="A2365">
        <v>38</v>
      </c>
      <c r="B2365">
        <v>202210968</v>
      </c>
      <c r="C2365">
        <v>202010968</v>
      </c>
      <c r="D2365" t="s">
        <v>29</v>
      </c>
      <c r="E2365" t="s">
        <v>2583</v>
      </c>
      <c r="F2365" t="s">
        <v>2584</v>
      </c>
      <c r="G2365" t="s">
        <v>1165</v>
      </c>
      <c r="L2365" t="str">
        <f>HYPERLINK("https://test.ictv.global/id/TN202210968","TN202210968@TEST")</f>
        <v>TN202210968@TEST</v>
      </c>
      <c r="M2365" t="str">
        <f>HYPERLINK("https://test.ictv.global/id/ICTV202010968","ICTV202010968@TEST")</f>
        <v>ICTV202010968@TEST</v>
      </c>
      <c r="N2365" t="str">
        <f>HYPERLINK("https://ictv.global/id/TN202210968","TN202210968@prod")</f>
        <v>TN202210968@prod</v>
      </c>
      <c r="O2365" t="str">
        <f>HYPERLINK("https://ictv.global/id/ICTV202010968","ICTV202010968@prod")</f>
        <v>ICTV202010968@prod</v>
      </c>
    </row>
    <row r="2366" spans="1:15" x14ac:dyDescent="0.2">
      <c r="A2366">
        <v>38</v>
      </c>
      <c r="B2366">
        <v>202210971</v>
      </c>
      <c r="C2366">
        <v>202010971</v>
      </c>
      <c r="D2366" t="s">
        <v>19</v>
      </c>
      <c r="E2366" t="s">
        <v>2585</v>
      </c>
      <c r="G2366" t="s">
        <v>1165</v>
      </c>
      <c r="L2366" t="str">
        <f>HYPERLINK("https://test.ictv.global/id/TN202210971","TN202210971@TEST")</f>
        <v>TN202210971@TEST</v>
      </c>
      <c r="M2366" t="str">
        <f>HYPERLINK("https://test.ictv.global/id/ICTV202010971","ICTV202010971@TEST")</f>
        <v>ICTV202010971@TEST</v>
      </c>
      <c r="N2366" t="str">
        <f>HYPERLINK("https://ictv.global/id/TN202210971","TN202210971@prod")</f>
        <v>TN202210971@prod</v>
      </c>
      <c r="O2366" t="str">
        <f>HYPERLINK("https://ictv.global/id/ICTV202010971","ICTV202010971@prod")</f>
        <v>ICTV202010971@prod</v>
      </c>
    </row>
    <row r="2367" spans="1:15" x14ac:dyDescent="0.2">
      <c r="A2367">
        <v>38</v>
      </c>
      <c r="B2367">
        <v>202210972</v>
      </c>
      <c r="C2367">
        <v>202010972</v>
      </c>
      <c r="D2367" t="s">
        <v>29</v>
      </c>
      <c r="E2367" t="s">
        <v>2586</v>
      </c>
      <c r="F2367" t="s">
        <v>2587</v>
      </c>
      <c r="G2367" t="s">
        <v>1165</v>
      </c>
      <c r="L2367" t="str">
        <f>HYPERLINK("https://test.ictv.global/id/TN202210972","TN202210972@TEST")</f>
        <v>TN202210972@TEST</v>
      </c>
      <c r="M2367" t="str">
        <f>HYPERLINK("https://test.ictv.global/id/ICTV202010972","ICTV202010972@TEST")</f>
        <v>ICTV202010972@TEST</v>
      </c>
      <c r="N2367" t="str">
        <f>HYPERLINK("https://ictv.global/id/TN202210972","TN202210972@prod")</f>
        <v>TN202210972@prod</v>
      </c>
      <c r="O2367" t="str">
        <f>HYPERLINK("https://ictv.global/id/ICTV202010972","ICTV202010972@prod")</f>
        <v>ICTV202010972@prod</v>
      </c>
    </row>
    <row r="2368" spans="1:15" x14ac:dyDescent="0.2">
      <c r="A2368">
        <v>38</v>
      </c>
      <c r="B2368">
        <v>202210973</v>
      </c>
      <c r="C2368">
        <v>202010973</v>
      </c>
      <c r="D2368" t="s">
        <v>19</v>
      </c>
      <c r="E2368" t="s">
        <v>2588</v>
      </c>
      <c r="G2368" t="s">
        <v>1165</v>
      </c>
      <c r="L2368" t="str">
        <f>HYPERLINK("https://test.ictv.global/id/TN202210973","TN202210973@TEST")</f>
        <v>TN202210973@TEST</v>
      </c>
      <c r="M2368" t="str">
        <f>HYPERLINK("https://test.ictv.global/id/ICTV202010973","ICTV202010973@TEST")</f>
        <v>ICTV202010973@TEST</v>
      </c>
      <c r="N2368" t="str">
        <f>HYPERLINK("https://ictv.global/id/TN202210973","TN202210973@prod")</f>
        <v>TN202210973@prod</v>
      </c>
      <c r="O2368" t="str">
        <f>HYPERLINK("https://ictv.global/id/ICTV202010973","ICTV202010973@prod")</f>
        <v>ICTV202010973@prod</v>
      </c>
    </row>
    <row r="2369" spans="1:15" x14ac:dyDescent="0.2">
      <c r="A2369">
        <v>38</v>
      </c>
      <c r="B2369">
        <v>202210980</v>
      </c>
      <c r="C2369">
        <v>202010980</v>
      </c>
      <c r="D2369" t="s">
        <v>19</v>
      </c>
      <c r="E2369" t="s">
        <v>2589</v>
      </c>
      <c r="G2369" t="s">
        <v>1165</v>
      </c>
      <c r="L2369" t="str">
        <f>HYPERLINK("https://test.ictv.global/id/TN202210980","TN202210980@TEST")</f>
        <v>TN202210980@TEST</v>
      </c>
      <c r="M2369" t="str">
        <f>HYPERLINK("https://test.ictv.global/id/ICTV202010980","ICTV202010980@TEST")</f>
        <v>ICTV202010980@TEST</v>
      </c>
      <c r="N2369" t="str">
        <f>HYPERLINK("https://ictv.global/id/TN202210980","TN202210980@prod")</f>
        <v>TN202210980@prod</v>
      </c>
      <c r="O2369" t="str">
        <f>HYPERLINK("https://ictv.global/id/ICTV202010980","ICTV202010980@prod")</f>
        <v>ICTV202010980@prod</v>
      </c>
    </row>
    <row r="2370" spans="1:15" x14ac:dyDescent="0.2">
      <c r="A2370">
        <v>38</v>
      </c>
      <c r="B2370">
        <v>202210985</v>
      </c>
      <c r="C2370">
        <v>202010985</v>
      </c>
      <c r="D2370" t="s">
        <v>19</v>
      </c>
      <c r="E2370" t="s">
        <v>2590</v>
      </c>
      <c r="G2370" t="s">
        <v>1165</v>
      </c>
      <c r="L2370" t="str">
        <f>HYPERLINK("https://test.ictv.global/id/TN202210985","TN202210985@TEST")</f>
        <v>TN202210985@TEST</v>
      </c>
      <c r="M2370" t="str">
        <f>HYPERLINK("https://test.ictv.global/id/ICTV202010985","ICTV202010985@TEST")</f>
        <v>ICTV202010985@TEST</v>
      </c>
      <c r="N2370" t="str">
        <f>HYPERLINK("https://ictv.global/id/TN202210985","TN202210985@prod")</f>
        <v>TN202210985@prod</v>
      </c>
      <c r="O2370" t="str">
        <f>HYPERLINK("https://ictv.global/id/ICTV202010985","ICTV202010985@prod")</f>
        <v>ICTV202010985@prod</v>
      </c>
    </row>
    <row r="2371" spans="1:15" x14ac:dyDescent="0.2">
      <c r="A2371">
        <v>38</v>
      </c>
      <c r="B2371">
        <v>202210986</v>
      </c>
      <c r="C2371">
        <v>202010986</v>
      </c>
      <c r="D2371" t="s">
        <v>29</v>
      </c>
      <c r="E2371" t="s">
        <v>2591</v>
      </c>
      <c r="F2371" t="s">
        <v>2592</v>
      </c>
      <c r="G2371" t="s">
        <v>1165</v>
      </c>
      <c r="L2371" t="str">
        <f>HYPERLINK("https://test.ictv.global/id/TN202210986","TN202210986@TEST")</f>
        <v>TN202210986@TEST</v>
      </c>
      <c r="M2371" t="str">
        <f>HYPERLINK("https://test.ictv.global/id/ICTV202010986","ICTV202010986@TEST")</f>
        <v>ICTV202010986@TEST</v>
      </c>
      <c r="N2371" t="str">
        <f>HYPERLINK("https://ictv.global/id/TN202210986","TN202210986@prod")</f>
        <v>TN202210986@prod</v>
      </c>
      <c r="O2371" t="str">
        <f>HYPERLINK("https://ictv.global/id/ICTV202010986","ICTV202010986@prod")</f>
        <v>ICTV202010986@prod</v>
      </c>
    </row>
    <row r="2372" spans="1:15" x14ac:dyDescent="0.2">
      <c r="A2372">
        <v>38</v>
      </c>
      <c r="B2372">
        <v>202211000</v>
      </c>
      <c r="C2372">
        <v>202011000</v>
      </c>
      <c r="D2372" t="s">
        <v>19</v>
      </c>
      <c r="E2372" t="s">
        <v>2593</v>
      </c>
      <c r="G2372" t="s">
        <v>1165</v>
      </c>
      <c r="L2372" t="str">
        <f>HYPERLINK("https://test.ictv.global/id/TN202211000","TN202211000@TEST")</f>
        <v>TN202211000@TEST</v>
      </c>
      <c r="M2372" t="str">
        <f>HYPERLINK("https://test.ictv.global/id/ICTV202011000","ICTV202011000@TEST")</f>
        <v>ICTV202011000@TEST</v>
      </c>
      <c r="N2372" t="str">
        <f>HYPERLINK("https://ictv.global/id/TN202211000","TN202211000@prod")</f>
        <v>TN202211000@prod</v>
      </c>
      <c r="O2372" t="str">
        <f>HYPERLINK("https://ictv.global/id/ICTV202011000","ICTV202011000@prod")</f>
        <v>ICTV202011000@prod</v>
      </c>
    </row>
    <row r="2373" spans="1:15" x14ac:dyDescent="0.2">
      <c r="A2373">
        <v>38</v>
      </c>
      <c r="B2373">
        <v>202211004</v>
      </c>
      <c r="C2373">
        <v>202011004</v>
      </c>
      <c r="D2373" t="s">
        <v>19</v>
      </c>
      <c r="E2373" t="s">
        <v>2594</v>
      </c>
      <c r="G2373" t="s">
        <v>1165</v>
      </c>
      <c r="L2373" t="str">
        <f>HYPERLINK("https://test.ictv.global/id/TN202211004","TN202211004@TEST")</f>
        <v>TN202211004@TEST</v>
      </c>
      <c r="M2373" t="str">
        <f>HYPERLINK("https://test.ictv.global/id/ICTV202011004","ICTV202011004@TEST")</f>
        <v>ICTV202011004@TEST</v>
      </c>
      <c r="N2373" t="str">
        <f>HYPERLINK("https://ictv.global/id/TN202211004","TN202211004@prod")</f>
        <v>TN202211004@prod</v>
      </c>
      <c r="O2373" t="str">
        <f>HYPERLINK("https://ictv.global/id/ICTV202011004","ICTV202011004@prod")</f>
        <v>ICTV202011004@prod</v>
      </c>
    </row>
    <row r="2374" spans="1:15" x14ac:dyDescent="0.2">
      <c r="A2374">
        <v>38</v>
      </c>
      <c r="B2374">
        <v>202211005</v>
      </c>
      <c r="C2374">
        <v>202011005</v>
      </c>
      <c r="D2374" t="s">
        <v>29</v>
      </c>
      <c r="E2374" t="s">
        <v>2595</v>
      </c>
      <c r="F2374" t="s">
        <v>2596</v>
      </c>
      <c r="G2374" t="s">
        <v>1165</v>
      </c>
      <c r="L2374" t="str">
        <f>HYPERLINK("https://test.ictv.global/id/TN202211005","TN202211005@TEST")</f>
        <v>TN202211005@TEST</v>
      </c>
      <c r="M2374" t="str">
        <f>HYPERLINK("https://test.ictv.global/id/ICTV202011005","ICTV202011005@TEST")</f>
        <v>ICTV202011005@TEST</v>
      </c>
      <c r="N2374" t="str">
        <f>HYPERLINK("https://ictv.global/id/TN202211005","TN202211005@prod")</f>
        <v>TN202211005@prod</v>
      </c>
      <c r="O2374" t="str">
        <f>HYPERLINK("https://ictv.global/id/ICTV202011005","ICTV202011005@prod")</f>
        <v>ICTV202011005@prod</v>
      </c>
    </row>
    <row r="2375" spans="1:15" x14ac:dyDescent="0.2">
      <c r="A2375">
        <v>38</v>
      </c>
      <c r="B2375">
        <v>202211006</v>
      </c>
      <c r="C2375">
        <v>202011006</v>
      </c>
      <c r="D2375" t="s">
        <v>19</v>
      </c>
      <c r="E2375" t="s">
        <v>2597</v>
      </c>
      <c r="G2375" t="s">
        <v>1165</v>
      </c>
      <c r="L2375" t="str">
        <f>HYPERLINK("https://test.ictv.global/id/TN202211006","TN202211006@TEST")</f>
        <v>TN202211006@TEST</v>
      </c>
      <c r="M2375" t="str">
        <f>HYPERLINK("https://test.ictv.global/id/ICTV202011006","ICTV202011006@TEST")</f>
        <v>ICTV202011006@TEST</v>
      </c>
      <c r="N2375" t="str">
        <f>HYPERLINK("https://ictv.global/id/TN202211006","TN202211006@prod")</f>
        <v>TN202211006@prod</v>
      </c>
      <c r="O2375" t="str">
        <f>HYPERLINK("https://ictv.global/id/ICTV202011006","ICTV202011006@prod")</f>
        <v>ICTV202011006@prod</v>
      </c>
    </row>
    <row r="2376" spans="1:15" x14ac:dyDescent="0.2">
      <c r="A2376">
        <v>38</v>
      </c>
      <c r="B2376">
        <v>202211017</v>
      </c>
      <c r="C2376">
        <v>202011017</v>
      </c>
      <c r="D2376" t="s">
        <v>19</v>
      </c>
      <c r="E2376" t="s">
        <v>2598</v>
      </c>
      <c r="G2376" t="s">
        <v>1165</v>
      </c>
      <c r="L2376" t="str">
        <f>HYPERLINK("https://test.ictv.global/id/TN202211017","TN202211017@TEST")</f>
        <v>TN202211017@TEST</v>
      </c>
      <c r="M2376" t="str">
        <f>HYPERLINK("https://test.ictv.global/id/ICTV202011017","ICTV202011017@TEST")</f>
        <v>ICTV202011017@TEST</v>
      </c>
      <c r="N2376" t="str">
        <f>HYPERLINK("https://ictv.global/id/TN202211017","TN202211017@prod")</f>
        <v>TN202211017@prod</v>
      </c>
      <c r="O2376" t="str">
        <f>HYPERLINK("https://ictv.global/id/ICTV202011017","ICTV202011017@prod")</f>
        <v>ICTV202011017@prod</v>
      </c>
    </row>
    <row r="2377" spans="1:15" x14ac:dyDescent="0.2">
      <c r="A2377">
        <v>38</v>
      </c>
      <c r="B2377">
        <v>202211022</v>
      </c>
      <c r="C2377">
        <v>202011022</v>
      </c>
      <c r="D2377" t="s">
        <v>19</v>
      </c>
      <c r="E2377" t="s">
        <v>2599</v>
      </c>
      <c r="G2377" t="s">
        <v>1165</v>
      </c>
      <c r="L2377" t="str">
        <f>HYPERLINK("https://test.ictv.global/id/TN202211022","TN202211022@TEST")</f>
        <v>TN202211022@TEST</v>
      </c>
      <c r="M2377" t="str">
        <f>HYPERLINK("https://test.ictv.global/id/ICTV202011022","ICTV202011022@TEST")</f>
        <v>ICTV202011022@TEST</v>
      </c>
      <c r="N2377" t="str">
        <f>HYPERLINK("https://ictv.global/id/TN202211022","TN202211022@prod")</f>
        <v>TN202211022@prod</v>
      </c>
      <c r="O2377" t="str">
        <f>HYPERLINK("https://ictv.global/id/ICTV202011022","ICTV202011022@prod")</f>
        <v>ICTV202011022@prod</v>
      </c>
    </row>
    <row r="2378" spans="1:15" x14ac:dyDescent="0.2">
      <c r="A2378">
        <v>38</v>
      </c>
      <c r="B2378">
        <v>202211055</v>
      </c>
      <c r="C2378">
        <v>202011055</v>
      </c>
      <c r="D2378" t="s">
        <v>19</v>
      </c>
      <c r="E2378" t="s">
        <v>2600</v>
      </c>
      <c r="G2378" t="s">
        <v>1165</v>
      </c>
      <c r="L2378" t="str">
        <f>HYPERLINK("https://test.ictv.global/id/TN202211055","TN202211055@TEST")</f>
        <v>TN202211055@TEST</v>
      </c>
      <c r="M2378" t="str">
        <f>HYPERLINK("https://test.ictv.global/id/ICTV202011055","ICTV202011055@TEST")</f>
        <v>ICTV202011055@TEST</v>
      </c>
      <c r="N2378" t="str">
        <f>HYPERLINK("https://ictv.global/id/TN202211055","TN202211055@prod")</f>
        <v>TN202211055@prod</v>
      </c>
      <c r="O2378" t="str">
        <f>HYPERLINK("https://ictv.global/id/ICTV202011055","ICTV202011055@prod")</f>
        <v>ICTV202011055@prod</v>
      </c>
    </row>
    <row r="2379" spans="1:15" x14ac:dyDescent="0.2">
      <c r="A2379">
        <v>38</v>
      </c>
      <c r="B2379">
        <v>202211063</v>
      </c>
      <c r="C2379">
        <v>202011063</v>
      </c>
      <c r="D2379" t="s">
        <v>19</v>
      </c>
      <c r="E2379" t="s">
        <v>2601</v>
      </c>
      <c r="G2379" t="s">
        <v>1165</v>
      </c>
      <c r="L2379" t="str">
        <f>HYPERLINK("https://test.ictv.global/id/TN202211063","TN202211063@TEST")</f>
        <v>TN202211063@TEST</v>
      </c>
      <c r="M2379" t="str">
        <f>HYPERLINK("https://test.ictv.global/id/ICTV202011063","ICTV202011063@TEST")</f>
        <v>ICTV202011063@TEST</v>
      </c>
      <c r="N2379" t="str">
        <f>HYPERLINK("https://ictv.global/id/TN202211063","TN202211063@prod")</f>
        <v>TN202211063@prod</v>
      </c>
      <c r="O2379" t="str">
        <f>HYPERLINK("https://ictv.global/id/ICTV202011063","ICTV202011063@prod")</f>
        <v>ICTV202011063@prod</v>
      </c>
    </row>
    <row r="2380" spans="1:15" x14ac:dyDescent="0.2">
      <c r="A2380">
        <v>38</v>
      </c>
      <c r="B2380">
        <v>202211064</v>
      </c>
      <c r="C2380">
        <v>202011064</v>
      </c>
      <c r="D2380" t="s">
        <v>29</v>
      </c>
      <c r="E2380" t="s">
        <v>2602</v>
      </c>
      <c r="F2380" t="s">
        <v>2603</v>
      </c>
      <c r="G2380" t="s">
        <v>1165</v>
      </c>
      <c r="L2380" t="str">
        <f>HYPERLINK("https://test.ictv.global/id/TN202211064","TN202211064@TEST")</f>
        <v>TN202211064@TEST</v>
      </c>
      <c r="M2380" t="str">
        <f>HYPERLINK("https://test.ictv.global/id/ICTV202011064","ICTV202011064@TEST")</f>
        <v>ICTV202011064@TEST</v>
      </c>
      <c r="N2380" t="str">
        <f>HYPERLINK("https://ictv.global/id/TN202211064","TN202211064@prod")</f>
        <v>TN202211064@prod</v>
      </c>
      <c r="O2380" t="str">
        <f>HYPERLINK("https://ictv.global/id/ICTV202011064","ICTV202011064@prod")</f>
        <v>ICTV202011064@prod</v>
      </c>
    </row>
    <row r="2381" spans="1:15" x14ac:dyDescent="0.2">
      <c r="A2381">
        <v>38</v>
      </c>
      <c r="B2381">
        <v>202211069</v>
      </c>
      <c r="C2381">
        <v>202011069</v>
      </c>
      <c r="D2381" t="s">
        <v>19</v>
      </c>
      <c r="E2381" t="s">
        <v>2604</v>
      </c>
      <c r="G2381" t="s">
        <v>1165</v>
      </c>
      <c r="L2381" t="str">
        <f>HYPERLINK("https://test.ictv.global/id/TN202211069","TN202211069@TEST")</f>
        <v>TN202211069@TEST</v>
      </c>
      <c r="M2381" t="str">
        <f>HYPERLINK("https://test.ictv.global/id/ICTV202011069","ICTV202011069@TEST")</f>
        <v>ICTV202011069@TEST</v>
      </c>
      <c r="N2381" t="str">
        <f>HYPERLINK("https://ictv.global/id/TN202211069","TN202211069@prod")</f>
        <v>TN202211069@prod</v>
      </c>
      <c r="O2381" t="str">
        <f>HYPERLINK("https://ictv.global/id/ICTV202011069","ICTV202011069@prod")</f>
        <v>ICTV202011069@prod</v>
      </c>
    </row>
    <row r="2382" spans="1:15" x14ac:dyDescent="0.2">
      <c r="A2382">
        <v>38</v>
      </c>
      <c r="B2382">
        <v>202211071</v>
      </c>
      <c r="C2382">
        <v>202011071</v>
      </c>
      <c r="D2382" t="s">
        <v>19</v>
      </c>
      <c r="E2382" t="s">
        <v>2605</v>
      </c>
      <c r="G2382" t="s">
        <v>1165</v>
      </c>
      <c r="L2382" t="str">
        <f>HYPERLINK("https://test.ictv.global/id/TN202211071","TN202211071@TEST")</f>
        <v>TN202211071@TEST</v>
      </c>
      <c r="M2382" t="str">
        <f>HYPERLINK("https://test.ictv.global/id/ICTV202011071","ICTV202011071@TEST")</f>
        <v>ICTV202011071@TEST</v>
      </c>
      <c r="N2382" t="str">
        <f>HYPERLINK("https://ictv.global/id/TN202211071","TN202211071@prod")</f>
        <v>TN202211071@prod</v>
      </c>
      <c r="O2382" t="str">
        <f>HYPERLINK("https://ictv.global/id/ICTV202011071","ICTV202011071@prod")</f>
        <v>ICTV202011071@prod</v>
      </c>
    </row>
    <row r="2383" spans="1:15" x14ac:dyDescent="0.2">
      <c r="A2383">
        <v>38</v>
      </c>
      <c r="B2383">
        <v>202211076</v>
      </c>
      <c r="C2383">
        <v>202011076</v>
      </c>
      <c r="D2383" t="s">
        <v>19</v>
      </c>
      <c r="E2383" t="s">
        <v>2606</v>
      </c>
      <c r="G2383" t="s">
        <v>1165</v>
      </c>
      <c r="L2383" t="str">
        <f>HYPERLINK("https://test.ictv.global/id/TN202211076","TN202211076@TEST")</f>
        <v>TN202211076@TEST</v>
      </c>
      <c r="M2383" t="str">
        <f>HYPERLINK("https://test.ictv.global/id/ICTV202011076","ICTV202011076@TEST")</f>
        <v>ICTV202011076@TEST</v>
      </c>
      <c r="N2383" t="str">
        <f>HYPERLINK("https://ictv.global/id/TN202211076","TN202211076@prod")</f>
        <v>TN202211076@prod</v>
      </c>
      <c r="O2383" t="str">
        <f>HYPERLINK("https://ictv.global/id/ICTV202011076","ICTV202011076@prod")</f>
        <v>ICTV202011076@prod</v>
      </c>
    </row>
    <row r="2384" spans="1:15" x14ac:dyDescent="0.2">
      <c r="A2384">
        <v>38</v>
      </c>
      <c r="B2384">
        <v>202211078</v>
      </c>
      <c r="C2384">
        <v>202011078</v>
      </c>
      <c r="D2384" t="s">
        <v>19</v>
      </c>
      <c r="E2384" t="s">
        <v>2607</v>
      </c>
      <c r="G2384" t="s">
        <v>1165</v>
      </c>
      <c r="L2384" t="str">
        <f>HYPERLINK("https://test.ictv.global/id/TN202211078","TN202211078@TEST")</f>
        <v>TN202211078@TEST</v>
      </c>
      <c r="M2384" t="str">
        <f>HYPERLINK("https://test.ictv.global/id/ICTV202011078","ICTV202011078@TEST")</f>
        <v>ICTV202011078@TEST</v>
      </c>
      <c r="N2384" t="str">
        <f>HYPERLINK("https://ictv.global/id/TN202211078","TN202211078@prod")</f>
        <v>TN202211078@prod</v>
      </c>
      <c r="O2384" t="str">
        <f>HYPERLINK("https://ictv.global/id/ICTV202011078","ICTV202011078@prod")</f>
        <v>ICTV202011078@prod</v>
      </c>
    </row>
    <row r="2385" spans="1:15" x14ac:dyDescent="0.2">
      <c r="A2385">
        <v>38</v>
      </c>
      <c r="B2385">
        <v>202211080</v>
      </c>
      <c r="C2385">
        <v>202011080</v>
      </c>
      <c r="D2385" t="s">
        <v>19</v>
      </c>
      <c r="E2385" t="s">
        <v>2608</v>
      </c>
      <c r="G2385" t="s">
        <v>1165</v>
      </c>
      <c r="L2385" t="str">
        <f>HYPERLINK("https://test.ictv.global/id/TN202211080","TN202211080@TEST")</f>
        <v>TN202211080@TEST</v>
      </c>
      <c r="M2385" t="str">
        <f>HYPERLINK("https://test.ictv.global/id/ICTV202011080","ICTV202011080@TEST")</f>
        <v>ICTV202011080@TEST</v>
      </c>
      <c r="N2385" t="str">
        <f>HYPERLINK("https://ictv.global/id/TN202211080","TN202211080@prod")</f>
        <v>TN202211080@prod</v>
      </c>
      <c r="O2385" t="str">
        <f>HYPERLINK("https://ictv.global/id/ICTV202011080","ICTV202011080@prod")</f>
        <v>ICTV202011080@prod</v>
      </c>
    </row>
    <row r="2386" spans="1:15" x14ac:dyDescent="0.2">
      <c r="A2386">
        <v>38</v>
      </c>
      <c r="B2386">
        <v>202211082</v>
      </c>
      <c r="C2386">
        <v>202011082</v>
      </c>
      <c r="D2386" t="s">
        <v>19</v>
      </c>
      <c r="E2386" t="s">
        <v>2609</v>
      </c>
      <c r="G2386" t="s">
        <v>1165</v>
      </c>
      <c r="L2386" t="str">
        <f>HYPERLINK("https://test.ictv.global/id/TN202211082","TN202211082@TEST")</f>
        <v>TN202211082@TEST</v>
      </c>
      <c r="M2386" t="str">
        <f>HYPERLINK("https://test.ictv.global/id/ICTV202011082","ICTV202011082@TEST")</f>
        <v>ICTV202011082@TEST</v>
      </c>
      <c r="N2386" t="str">
        <f>HYPERLINK("https://ictv.global/id/TN202211082","TN202211082@prod")</f>
        <v>TN202211082@prod</v>
      </c>
      <c r="O2386" t="str">
        <f>HYPERLINK("https://ictv.global/id/ICTV202011082","ICTV202011082@prod")</f>
        <v>ICTV202011082@prod</v>
      </c>
    </row>
    <row r="2387" spans="1:15" x14ac:dyDescent="0.2">
      <c r="A2387">
        <v>38</v>
      </c>
      <c r="B2387">
        <v>202211086</v>
      </c>
      <c r="C2387">
        <v>202011086</v>
      </c>
      <c r="D2387" t="s">
        <v>19</v>
      </c>
      <c r="E2387" t="s">
        <v>2610</v>
      </c>
      <c r="G2387" t="s">
        <v>1165</v>
      </c>
      <c r="L2387" t="str">
        <f>HYPERLINK("https://test.ictv.global/id/TN202211086","TN202211086@TEST")</f>
        <v>TN202211086@TEST</v>
      </c>
      <c r="M2387" t="str">
        <f>HYPERLINK("https://test.ictv.global/id/ICTV202011086","ICTV202011086@TEST")</f>
        <v>ICTV202011086@TEST</v>
      </c>
      <c r="N2387" t="str">
        <f>HYPERLINK("https://ictv.global/id/TN202211086","TN202211086@prod")</f>
        <v>TN202211086@prod</v>
      </c>
      <c r="O2387" t="str">
        <f>HYPERLINK("https://ictv.global/id/ICTV202011086","ICTV202011086@prod")</f>
        <v>ICTV202011086@prod</v>
      </c>
    </row>
    <row r="2388" spans="1:15" x14ac:dyDescent="0.2">
      <c r="A2388">
        <v>38</v>
      </c>
      <c r="B2388">
        <v>202211087</v>
      </c>
      <c r="C2388">
        <v>202011087</v>
      </c>
      <c r="D2388" t="s">
        <v>29</v>
      </c>
      <c r="E2388" t="s">
        <v>2611</v>
      </c>
      <c r="F2388" t="s">
        <v>2612</v>
      </c>
      <c r="G2388" t="s">
        <v>1165</v>
      </c>
      <c r="L2388" t="str">
        <f>HYPERLINK("https://test.ictv.global/id/TN202211087","TN202211087@TEST")</f>
        <v>TN202211087@TEST</v>
      </c>
      <c r="M2388" t="str">
        <f>HYPERLINK("https://test.ictv.global/id/ICTV202011087","ICTV202011087@TEST")</f>
        <v>ICTV202011087@TEST</v>
      </c>
      <c r="N2388" t="str">
        <f>HYPERLINK("https://ictv.global/id/TN202211087","TN202211087@prod")</f>
        <v>TN202211087@prod</v>
      </c>
      <c r="O2388" t="str">
        <f>HYPERLINK("https://ictv.global/id/ICTV202011087","ICTV202011087@prod")</f>
        <v>ICTV202011087@prod</v>
      </c>
    </row>
    <row r="2389" spans="1:15" x14ac:dyDescent="0.2">
      <c r="A2389">
        <v>38</v>
      </c>
      <c r="B2389">
        <v>202211088</v>
      </c>
      <c r="C2389">
        <v>202011088</v>
      </c>
      <c r="D2389" t="s">
        <v>19</v>
      </c>
      <c r="E2389" t="s">
        <v>2613</v>
      </c>
      <c r="G2389" t="s">
        <v>1165</v>
      </c>
      <c r="L2389" t="str">
        <f>HYPERLINK("https://test.ictv.global/id/TN202211088","TN202211088@TEST")</f>
        <v>TN202211088@TEST</v>
      </c>
      <c r="M2389" t="str">
        <f>HYPERLINK("https://test.ictv.global/id/ICTV202011088","ICTV202011088@TEST")</f>
        <v>ICTV202011088@TEST</v>
      </c>
      <c r="N2389" t="str">
        <f>HYPERLINK("https://ictv.global/id/TN202211088","TN202211088@prod")</f>
        <v>TN202211088@prod</v>
      </c>
      <c r="O2389" t="str">
        <f>HYPERLINK("https://ictv.global/id/ICTV202011088","ICTV202011088@prod")</f>
        <v>ICTV202011088@prod</v>
      </c>
    </row>
    <row r="2390" spans="1:15" x14ac:dyDescent="0.2">
      <c r="A2390">
        <v>38</v>
      </c>
      <c r="B2390">
        <v>202211097</v>
      </c>
      <c r="C2390">
        <v>202011097</v>
      </c>
      <c r="D2390" t="s">
        <v>19</v>
      </c>
      <c r="E2390" t="s">
        <v>2614</v>
      </c>
      <c r="G2390" t="s">
        <v>1165</v>
      </c>
      <c r="L2390" t="str">
        <f>HYPERLINK("https://test.ictv.global/id/TN202211097","TN202211097@TEST")</f>
        <v>TN202211097@TEST</v>
      </c>
      <c r="M2390" t="str">
        <f>HYPERLINK("https://test.ictv.global/id/ICTV202011097","ICTV202011097@TEST")</f>
        <v>ICTV202011097@TEST</v>
      </c>
      <c r="N2390" t="str">
        <f>HYPERLINK("https://ictv.global/id/TN202211097","TN202211097@prod")</f>
        <v>TN202211097@prod</v>
      </c>
      <c r="O2390" t="str">
        <f>HYPERLINK("https://ictv.global/id/ICTV202011097","ICTV202011097@prod")</f>
        <v>ICTV202011097@prod</v>
      </c>
    </row>
    <row r="2391" spans="1:15" x14ac:dyDescent="0.2">
      <c r="A2391">
        <v>38</v>
      </c>
      <c r="B2391">
        <v>202211102</v>
      </c>
      <c r="C2391">
        <v>202011102</v>
      </c>
      <c r="D2391" t="s">
        <v>19</v>
      </c>
      <c r="E2391" t="s">
        <v>2615</v>
      </c>
      <c r="G2391" t="s">
        <v>1165</v>
      </c>
      <c r="L2391" t="str">
        <f>HYPERLINK("https://test.ictv.global/id/TN202211102","TN202211102@TEST")</f>
        <v>TN202211102@TEST</v>
      </c>
      <c r="M2391" t="str">
        <f>HYPERLINK("https://test.ictv.global/id/ICTV202011102","ICTV202011102@TEST")</f>
        <v>ICTV202011102@TEST</v>
      </c>
      <c r="N2391" t="str">
        <f>HYPERLINK("https://ictv.global/id/TN202211102","TN202211102@prod")</f>
        <v>TN202211102@prod</v>
      </c>
      <c r="O2391" t="str">
        <f>HYPERLINK("https://ictv.global/id/ICTV202011102","ICTV202011102@prod")</f>
        <v>ICTV202011102@prod</v>
      </c>
    </row>
    <row r="2392" spans="1:15" x14ac:dyDescent="0.2">
      <c r="A2392">
        <v>38</v>
      </c>
      <c r="B2392">
        <v>202211104</v>
      </c>
      <c r="C2392">
        <v>202011104</v>
      </c>
      <c r="D2392" t="s">
        <v>19</v>
      </c>
      <c r="E2392" t="s">
        <v>2616</v>
      </c>
      <c r="G2392" t="s">
        <v>1165</v>
      </c>
      <c r="L2392" t="str">
        <f>HYPERLINK("https://test.ictv.global/id/TN202211104","TN202211104@TEST")</f>
        <v>TN202211104@TEST</v>
      </c>
      <c r="M2392" t="str">
        <f>HYPERLINK("https://test.ictv.global/id/ICTV202011104","ICTV202011104@TEST")</f>
        <v>ICTV202011104@TEST</v>
      </c>
      <c r="N2392" t="str">
        <f>HYPERLINK("https://ictv.global/id/TN202211104","TN202211104@prod")</f>
        <v>TN202211104@prod</v>
      </c>
      <c r="O2392" t="str">
        <f>HYPERLINK("https://ictv.global/id/ICTV202011104","ICTV202011104@prod")</f>
        <v>ICTV202011104@prod</v>
      </c>
    </row>
    <row r="2393" spans="1:15" x14ac:dyDescent="0.2">
      <c r="A2393">
        <v>38</v>
      </c>
      <c r="B2393">
        <v>202211127</v>
      </c>
      <c r="C2393">
        <v>202011127</v>
      </c>
      <c r="D2393" t="s">
        <v>19</v>
      </c>
      <c r="E2393" t="s">
        <v>2617</v>
      </c>
      <c r="G2393" t="s">
        <v>1165</v>
      </c>
      <c r="L2393" t="str">
        <f>HYPERLINK("https://test.ictv.global/id/TN202211127","TN202211127@TEST")</f>
        <v>TN202211127@TEST</v>
      </c>
      <c r="M2393" t="str">
        <f>HYPERLINK("https://test.ictv.global/id/ICTV202011127","ICTV202011127@TEST")</f>
        <v>ICTV202011127@TEST</v>
      </c>
      <c r="N2393" t="str">
        <f>HYPERLINK("https://ictv.global/id/TN202211127","TN202211127@prod")</f>
        <v>TN202211127@prod</v>
      </c>
      <c r="O2393" t="str">
        <f>HYPERLINK("https://ictv.global/id/ICTV202011127","ICTV202011127@prod")</f>
        <v>ICTV202011127@prod</v>
      </c>
    </row>
    <row r="2394" spans="1:15" x14ac:dyDescent="0.2">
      <c r="A2394">
        <v>38</v>
      </c>
      <c r="B2394">
        <v>202211132</v>
      </c>
      <c r="C2394">
        <v>202011132</v>
      </c>
      <c r="D2394" t="s">
        <v>19</v>
      </c>
      <c r="E2394" t="s">
        <v>2618</v>
      </c>
      <c r="G2394" t="s">
        <v>1165</v>
      </c>
      <c r="L2394" t="str">
        <f>HYPERLINK("https://test.ictv.global/id/TN202211132","TN202211132@TEST")</f>
        <v>TN202211132@TEST</v>
      </c>
      <c r="M2394" t="str">
        <f>HYPERLINK("https://test.ictv.global/id/ICTV202011132","ICTV202011132@TEST")</f>
        <v>ICTV202011132@TEST</v>
      </c>
      <c r="N2394" t="str">
        <f>HYPERLINK("https://ictv.global/id/TN202211132","TN202211132@prod")</f>
        <v>TN202211132@prod</v>
      </c>
      <c r="O2394" t="str">
        <f>HYPERLINK("https://ictv.global/id/ICTV202011132","ICTV202011132@prod")</f>
        <v>ICTV202011132@prod</v>
      </c>
    </row>
    <row r="2395" spans="1:15" x14ac:dyDescent="0.2">
      <c r="A2395">
        <v>38</v>
      </c>
      <c r="B2395">
        <v>202211192</v>
      </c>
      <c r="C2395">
        <v>202011192</v>
      </c>
      <c r="D2395" t="s">
        <v>29</v>
      </c>
      <c r="E2395" t="s">
        <v>2619</v>
      </c>
      <c r="F2395" t="s">
        <v>2620</v>
      </c>
      <c r="G2395" t="s">
        <v>1165</v>
      </c>
      <c r="L2395" t="str">
        <f>HYPERLINK("https://test.ictv.global/id/TN202211192","TN202211192@TEST")</f>
        <v>TN202211192@TEST</v>
      </c>
      <c r="M2395" t="str">
        <f>HYPERLINK("https://test.ictv.global/id/ICTV202011192","ICTV202011192@TEST")</f>
        <v>ICTV202011192@TEST</v>
      </c>
      <c r="N2395" t="str">
        <f>HYPERLINK("https://ictv.global/id/TN202211192","TN202211192@prod")</f>
        <v>TN202211192@prod</v>
      </c>
      <c r="O2395" t="str">
        <f>HYPERLINK("https://ictv.global/id/ICTV202011192","ICTV202011192@prod")</f>
        <v>ICTV202011192@prod</v>
      </c>
    </row>
    <row r="2396" spans="1:15" x14ac:dyDescent="0.2">
      <c r="A2396">
        <v>38</v>
      </c>
      <c r="B2396">
        <v>202211200</v>
      </c>
      <c r="C2396">
        <v>202011200</v>
      </c>
      <c r="D2396" t="s">
        <v>29</v>
      </c>
      <c r="E2396" t="s">
        <v>2621</v>
      </c>
      <c r="F2396" t="s">
        <v>2622</v>
      </c>
      <c r="G2396" t="s">
        <v>1165</v>
      </c>
      <c r="L2396" t="str">
        <f>HYPERLINK("https://test.ictv.global/id/TN202211200","TN202211200@TEST")</f>
        <v>TN202211200@TEST</v>
      </c>
      <c r="M2396" t="str">
        <f>HYPERLINK("https://test.ictv.global/id/ICTV202011200","ICTV202011200@TEST")</f>
        <v>ICTV202011200@TEST</v>
      </c>
      <c r="N2396" t="str">
        <f>HYPERLINK("https://ictv.global/id/TN202211200","TN202211200@prod")</f>
        <v>TN202211200@prod</v>
      </c>
      <c r="O2396" t="str">
        <f>HYPERLINK("https://ictv.global/id/ICTV202011200","ICTV202011200@prod")</f>
        <v>ICTV202011200@prod</v>
      </c>
    </row>
    <row r="2397" spans="1:15" x14ac:dyDescent="0.2">
      <c r="A2397">
        <v>38</v>
      </c>
      <c r="B2397">
        <v>202211240</v>
      </c>
      <c r="C2397">
        <v>202011240</v>
      </c>
      <c r="D2397" t="s">
        <v>19</v>
      </c>
      <c r="E2397" t="s">
        <v>2623</v>
      </c>
      <c r="G2397" t="s">
        <v>1165</v>
      </c>
      <c r="L2397" t="str">
        <f>HYPERLINK("https://test.ictv.global/id/TN202211240","TN202211240@TEST")</f>
        <v>TN202211240@TEST</v>
      </c>
      <c r="M2397" t="str">
        <f>HYPERLINK("https://test.ictv.global/id/ICTV202011240","ICTV202011240@TEST")</f>
        <v>ICTV202011240@TEST</v>
      </c>
      <c r="N2397" t="str">
        <f>HYPERLINK("https://ictv.global/id/TN202211240","TN202211240@prod")</f>
        <v>TN202211240@prod</v>
      </c>
      <c r="O2397" t="str">
        <f>HYPERLINK("https://ictv.global/id/ICTV202011240","ICTV202011240@prod")</f>
        <v>ICTV202011240@prod</v>
      </c>
    </row>
    <row r="2398" spans="1:15" x14ac:dyDescent="0.2">
      <c r="A2398">
        <v>38</v>
      </c>
      <c r="B2398">
        <v>202211241</v>
      </c>
      <c r="C2398">
        <v>202011241</v>
      </c>
      <c r="D2398" t="s">
        <v>29</v>
      </c>
      <c r="E2398" t="s">
        <v>2624</v>
      </c>
      <c r="F2398" t="s">
        <v>2625</v>
      </c>
      <c r="G2398" t="s">
        <v>1165</v>
      </c>
      <c r="L2398" t="str">
        <f>HYPERLINK("https://test.ictv.global/id/TN202211241","TN202211241@TEST")</f>
        <v>TN202211241@TEST</v>
      </c>
      <c r="M2398" t="str">
        <f>HYPERLINK("https://test.ictv.global/id/ICTV202011241","ICTV202011241@TEST")</f>
        <v>ICTV202011241@TEST</v>
      </c>
      <c r="N2398" t="str">
        <f>HYPERLINK("https://ictv.global/id/TN202211241","TN202211241@prod")</f>
        <v>TN202211241@prod</v>
      </c>
      <c r="O2398" t="str">
        <f>HYPERLINK("https://ictv.global/id/ICTV202011241","ICTV202011241@prod")</f>
        <v>ICTV202011241@prod</v>
      </c>
    </row>
    <row r="2399" spans="1:15" x14ac:dyDescent="0.2">
      <c r="A2399">
        <v>38</v>
      </c>
      <c r="B2399">
        <v>202211242</v>
      </c>
      <c r="C2399">
        <v>202011242</v>
      </c>
      <c r="D2399" t="s">
        <v>29</v>
      </c>
      <c r="E2399" t="s">
        <v>2626</v>
      </c>
      <c r="F2399" t="s">
        <v>2627</v>
      </c>
      <c r="G2399" t="s">
        <v>1165</v>
      </c>
      <c r="L2399" t="str">
        <f>HYPERLINK("https://test.ictv.global/id/TN202211242","TN202211242@TEST")</f>
        <v>TN202211242@TEST</v>
      </c>
      <c r="M2399" t="str">
        <f>HYPERLINK("https://test.ictv.global/id/ICTV202011242","ICTV202011242@TEST")</f>
        <v>ICTV202011242@TEST</v>
      </c>
      <c r="N2399" t="str">
        <f>HYPERLINK("https://ictv.global/id/TN202211242","TN202211242@prod")</f>
        <v>TN202211242@prod</v>
      </c>
      <c r="O2399" t="str">
        <f>HYPERLINK("https://ictv.global/id/ICTV202011242","ICTV202011242@prod")</f>
        <v>ICTV202011242@prod</v>
      </c>
    </row>
    <row r="2400" spans="1:15" x14ac:dyDescent="0.2">
      <c r="A2400">
        <v>38</v>
      </c>
      <c r="B2400">
        <v>202211243</v>
      </c>
      <c r="C2400">
        <v>202011243</v>
      </c>
      <c r="D2400" t="s">
        <v>19</v>
      </c>
      <c r="E2400" t="s">
        <v>2628</v>
      </c>
      <c r="G2400" t="s">
        <v>1165</v>
      </c>
      <c r="L2400" t="str">
        <f>HYPERLINK("https://test.ictv.global/id/TN202211243","TN202211243@TEST")</f>
        <v>TN202211243@TEST</v>
      </c>
      <c r="M2400" t="str">
        <f>HYPERLINK("https://test.ictv.global/id/ICTV202011243","ICTV202011243@TEST")</f>
        <v>ICTV202011243@TEST</v>
      </c>
      <c r="N2400" t="str">
        <f>HYPERLINK("https://ictv.global/id/TN202211243","TN202211243@prod")</f>
        <v>TN202211243@prod</v>
      </c>
      <c r="O2400" t="str">
        <f>HYPERLINK("https://ictv.global/id/ICTV202011243","ICTV202011243@prod")</f>
        <v>ICTV202011243@prod</v>
      </c>
    </row>
    <row r="2401" spans="1:15" x14ac:dyDescent="0.2">
      <c r="A2401">
        <v>38</v>
      </c>
      <c r="B2401">
        <v>202211278</v>
      </c>
      <c r="C2401">
        <v>202011278</v>
      </c>
      <c r="D2401" t="s">
        <v>19</v>
      </c>
      <c r="E2401" t="s">
        <v>2629</v>
      </c>
      <c r="G2401" t="s">
        <v>1165</v>
      </c>
      <c r="L2401" t="str">
        <f>HYPERLINK("https://test.ictv.global/id/TN202211278","TN202211278@TEST")</f>
        <v>TN202211278@TEST</v>
      </c>
      <c r="M2401" t="str">
        <f>HYPERLINK("https://test.ictv.global/id/ICTV202011278","ICTV202011278@TEST")</f>
        <v>ICTV202011278@TEST</v>
      </c>
      <c r="N2401" t="str">
        <f>HYPERLINK("https://ictv.global/id/TN202211278","TN202211278@prod")</f>
        <v>TN202211278@prod</v>
      </c>
      <c r="O2401" t="str">
        <f>HYPERLINK("https://ictv.global/id/ICTV202011278","ICTV202011278@prod")</f>
        <v>ICTV202011278@prod</v>
      </c>
    </row>
    <row r="2402" spans="1:15" x14ac:dyDescent="0.2">
      <c r="A2402">
        <v>38</v>
      </c>
      <c r="B2402">
        <v>202211282</v>
      </c>
      <c r="C2402">
        <v>202011282</v>
      </c>
      <c r="D2402" t="s">
        <v>19</v>
      </c>
      <c r="E2402" t="s">
        <v>2630</v>
      </c>
      <c r="G2402" t="s">
        <v>1165</v>
      </c>
      <c r="L2402" t="str">
        <f>HYPERLINK("https://test.ictv.global/id/TN202211282","TN202211282@TEST")</f>
        <v>TN202211282@TEST</v>
      </c>
      <c r="M2402" t="str">
        <f>HYPERLINK("https://test.ictv.global/id/ICTV202011282","ICTV202011282@TEST")</f>
        <v>ICTV202011282@TEST</v>
      </c>
      <c r="N2402" t="str">
        <f>HYPERLINK("https://ictv.global/id/TN202211282","TN202211282@prod")</f>
        <v>TN202211282@prod</v>
      </c>
      <c r="O2402" t="str">
        <f>HYPERLINK("https://ictv.global/id/ICTV202011282","ICTV202011282@prod")</f>
        <v>ICTV202011282@prod</v>
      </c>
    </row>
    <row r="2403" spans="1:15" x14ac:dyDescent="0.2">
      <c r="A2403">
        <v>38</v>
      </c>
      <c r="B2403">
        <v>202211284</v>
      </c>
      <c r="C2403">
        <v>202011284</v>
      </c>
      <c r="D2403" t="s">
        <v>19</v>
      </c>
      <c r="E2403" t="s">
        <v>2631</v>
      </c>
      <c r="G2403" t="s">
        <v>1165</v>
      </c>
      <c r="L2403" t="str">
        <f>HYPERLINK("https://test.ictv.global/id/TN202211284","TN202211284@TEST")</f>
        <v>TN202211284@TEST</v>
      </c>
      <c r="M2403" t="str">
        <f>HYPERLINK("https://test.ictv.global/id/ICTV202011284","ICTV202011284@TEST")</f>
        <v>ICTV202011284@TEST</v>
      </c>
      <c r="N2403" t="str">
        <f>HYPERLINK("https://ictv.global/id/TN202211284","TN202211284@prod")</f>
        <v>TN202211284@prod</v>
      </c>
      <c r="O2403" t="str">
        <f>HYPERLINK("https://ictv.global/id/ICTV202011284","ICTV202011284@prod")</f>
        <v>ICTV202011284@prod</v>
      </c>
    </row>
    <row r="2404" spans="1:15" x14ac:dyDescent="0.2">
      <c r="A2404">
        <v>38</v>
      </c>
      <c r="B2404">
        <v>202211290</v>
      </c>
      <c r="C2404">
        <v>202011290</v>
      </c>
      <c r="D2404" t="s">
        <v>19</v>
      </c>
      <c r="E2404" t="s">
        <v>2632</v>
      </c>
      <c r="G2404" t="s">
        <v>1165</v>
      </c>
      <c r="L2404" t="str">
        <f>HYPERLINK("https://test.ictv.global/id/TN202211290","TN202211290@TEST")</f>
        <v>TN202211290@TEST</v>
      </c>
      <c r="M2404" t="str">
        <f>HYPERLINK("https://test.ictv.global/id/ICTV202011290","ICTV202011290@TEST")</f>
        <v>ICTV202011290@TEST</v>
      </c>
      <c r="N2404" t="str">
        <f>HYPERLINK("https://ictv.global/id/TN202211290","TN202211290@prod")</f>
        <v>TN202211290@prod</v>
      </c>
      <c r="O2404" t="str">
        <f>HYPERLINK("https://ictv.global/id/ICTV202011290","ICTV202011290@prod")</f>
        <v>ICTV202011290@prod</v>
      </c>
    </row>
    <row r="2405" spans="1:15" x14ac:dyDescent="0.2">
      <c r="A2405">
        <v>38</v>
      </c>
      <c r="B2405">
        <v>202211304</v>
      </c>
      <c r="C2405">
        <v>202011304</v>
      </c>
      <c r="D2405" t="s">
        <v>19</v>
      </c>
      <c r="E2405" t="s">
        <v>2633</v>
      </c>
      <c r="G2405" t="s">
        <v>1165</v>
      </c>
      <c r="L2405" t="str">
        <f>HYPERLINK("https://test.ictv.global/id/TN202211304","TN202211304@TEST")</f>
        <v>TN202211304@TEST</v>
      </c>
      <c r="M2405" t="str">
        <f>HYPERLINK("https://test.ictv.global/id/ICTV202011304","ICTV202011304@TEST")</f>
        <v>ICTV202011304@TEST</v>
      </c>
      <c r="N2405" t="str">
        <f>HYPERLINK("https://ictv.global/id/TN202211304","TN202211304@prod")</f>
        <v>TN202211304@prod</v>
      </c>
      <c r="O2405" t="str">
        <f>HYPERLINK("https://ictv.global/id/ICTV202011304","ICTV202011304@prod")</f>
        <v>ICTV202011304@prod</v>
      </c>
    </row>
    <row r="2406" spans="1:15" x14ac:dyDescent="0.2">
      <c r="A2406">
        <v>38</v>
      </c>
      <c r="B2406">
        <v>202211311</v>
      </c>
      <c r="C2406">
        <v>202011311</v>
      </c>
      <c r="D2406" t="s">
        <v>19</v>
      </c>
      <c r="E2406" t="s">
        <v>2634</v>
      </c>
      <c r="G2406" t="s">
        <v>1165</v>
      </c>
      <c r="L2406" t="str">
        <f>HYPERLINK("https://test.ictv.global/id/TN202211311","TN202211311@TEST")</f>
        <v>TN202211311@TEST</v>
      </c>
      <c r="M2406" t="str">
        <f>HYPERLINK("https://test.ictv.global/id/ICTV202011311","ICTV202011311@TEST")</f>
        <v>ICTV202011311@TEST</v>
      </c>
      <c r="N2406" t="str">
        <f>HYPERLINK("https://ictv.global/id/TN202211311","TN202211311@prod")</f>
        <v>TN202211311@prod</v>
      </c>
      <c r="O2406" t="str">
        <f>HYPERLINK("https://ictv.global/id/ICTV202011311","ICTV202011311@prod")</f>
        <v>ICTV202011311@prod</v>
      </c>
    </row>
    <row r="2407" spans="1:15" x14ac:dyDescent="0.2">
      <c r="A2407">
        <v>38</v>
      </c>
      <c r="B2407">
        <v>202211329</v>
      </c>
      <c r="C2407">
        <v>202011329</v>
      </c>
      <c r="D2407" t="s">
        <v>19</v>
      </c>
      <c r="E2407" t="s">
        <v>2635</v>
      </c>
      <c r="G2407" t="s">
        <v>1165</v>
      </c>
      <c r="L2407" t="str">
        <f>HYPERLINK("https://test.ictv.global/id/TN202211329","TN202211329@TEST")</f>
        <v>TN202211329@TEST</v>
      </c>
      <c r="M2407" t="str">
        <f>HYPERLINK("https://test.ictv.global/id/ICTV202011329","ICTV202011329@TEST")</f>
        <v>ICTV202011329@TEST</v>
      </c>
      <c r="N2407" t="str">
        <f>HYPERLINK("https://ictv.global/id/TN202211329","TN202211329@prod")</f>
        <v>TN202211329@prod</v>
      </c>
      <c r="O2407" t="str">
        <f>HYPERLINK("https://ictv.global/id/ICTV202011329","ICTV202011329@prod")</f>
        <v>ICTV202011329@prod</v>
      </c>
    </row>
    <row r="2408" spans="1:15" x14ac:dyDescent="0.2">
      <c r="A2408">
        <v>38</v>
      </c>
      <c r="B2408">
        <v>202211334</v>
      </c>
      <c r="C2408">
        <v>202011334</v>
      </c>
      <c r="D2408" t="s">
        <v>19</v>
      </c>
      <c r="E2408" t="s">
        <v>2636</v>
      </c>
      <c r="G2408" t="s">
        <v>1165</v>
      </c>
      <c r="L2408" t="str">
        <f>HYPERLINK("https://test.ictv.global/id/TN202211334","TN202211334@TEST")</f>
        <v>TN202211334@TEST</v>
      </c>
      <c r="M2408" t="str">
        <f>HYPERLINK("https://test.ictv.global/id/ICTV202011334","ICTV202011334@TEST")</f>
        <v>ICTV202011334@TEST</v>
      </c>
      <c r="N2408" t="str">
        <f>HYPERLINK("https://ictv.global/id/TN202211334","TN202211334@prod")</f>
        <v>TN202211334@prod</v>
      </c>
      <c r="O2408" t="str">
        <f>HYPERLINK("https://ictv.global/id/ICTV202011334","ICTV202011334@prod")</f>
        <v>ICTV202011334@prod</v>
      </c>
    </row>
    <row r="2409" spans="1:15" x14ac:dyDescent="0.2">
      <c r="A2409">
        <v>38</v>
      </c>
      <c r="B2409">
        <v>202211335</v>
      </c>
      <c r="C2409">
        <v>202011335</v>
      </c>
      <c r="D2409" t="s">
        <v>29</v>
      </c>
      <c r="E2409" t="s">
        <v>2637</v>
      </c>
      <c r="F2409" t="s">
        <v>2638</v>
      </c>
      <c r="G2409" t="s">
        <v>1165</v>
      </c>
      <c r="L2409" t="str">
        <f>HYPERLINK("https://test.ictv.global/id/TN202211335","TN202211335@TEST")</f>
        <v>TN202211335@TEST</v>
      </c>
      <c r="M2409" t="str">
        <f>HYPERLINK("https://test.ictv.global/id/ICTV202011335","ICTV202011335@TEST")</f>
        <v>ICTV202011335@TEST</v>
      </c>
      <c r="N2409" t="str">
        <f>HYPERLINK("https://ictv.global/id/TN202211335","TN202211335@prod")</f>
        <v>TN202211335@prod</v>
      </c>
      <c r="O2409" t="str">
        <f>HYPERLINK("https://ictv.global/id/ICTV202011335","ICTV202011335@prod")</f>
        <v>ICTV202011335@prod</v>
      </c>
    </row>
    <row r="2410" spans="1:15" x14ac:dyDescent="0.2">
      <c r="A2410">
        <v>38</v>
      </c>
      <c r="B2410">
        <v>202211336</v>
      </c>
      <c r="C2410">
        <v>202011336</v>
      </c>
      <c r="D2410" t="s">
        <v>19</v>
      </c>
      <c r="E2410" t="s">
        <v>2639</v>
      </c>
      <c r="G2410" t="s">
        <v>1165</v>
      </c>
      <c r="L2410" t="str">
        <f>HYPERLINK("https://test.ictv.global/id/TN202211336","TN202211336@TEST")</f>
        <v>TN202211336@TEST</v>
      </c>
      <c r="M2410" t="str">
        <f>HYPERLINK("https://test.ictv.global/id/ICTV202011336","ICTV202011336@TEST")</f>
        <v>ICTV202011336@TEST</v>
      </c>
      <c r="N2410" t="str">
        <f>HYPERLINK("https://ictv.global/id/TN202211336","TN202211336@prod")</f>
        <v>TN202211336@prod</v>
      </c>
      <c r="O2410" t="str">
        <f>HYPERLINK("https://ictv.global/id/ICTV202011336","ICTV202011336@prod")</f>
        <v>ICTV202011336@prod</v>
      </c>
    </row>
    <row r="2411" spans="1:15" x14ac:dyDescent="0.2">
      <c r="A2411">
        <v>38</v>
      </c>
      <c r="B2411">
        <v>202211340</v>
      </c>
      <c r="C2411">
        <v>202011340</v>
      </c>
      <c r="D2411" t="s">
        <v>19</v>
      </c>
      <c r="E2411" t="s">
        <v>2640</v>
      </c>
      <c r="G2411" t="s">
        <v>1165</v>
      </c>
      <c r="L2411" t="str">
        <f>HYPERLINK("https://test.ictv.global/id/TN202211340","TN202211340@TEST")</f>
        <v>TN202211340@TEST</v>
      </c>
      <c r="M2411" t="str">
        <f>HYPERLINK("https://test.ictv.global/id/ICTV202011340","ICTV202011340@TEST")</f>
        <v>ICTV202011340@TEST</v>
      </c>
      <c r="N2411" t="str">
        <f>HYPERLINK("https://ictv.global/id/TN202211340","TN202211340@prod")</f>
        <v>TN202211340@prod</v>
      </c>
      <c r="O2411" t="str">
        <f>HYPERLINK("https://ictv.global/id/ICTV202011340","ICTV202011340@prod")</f>
        <v>ICTV202011340@prod</v>
      </c>
    </row>
    <row r="2412" spans="1:15" x14ac:dyDescent="0.2">
      <c r="A2412">
        <v>38</v>
      </c>
      <c r="B2412">
        <v>202211344</v>
      </c>
      <c r="C2412">
        <v>202011344</v>
      </c>
      <c r="D2412" t="s">
        <v>19</v>
      </c>
      <c r="E2412" t="s">
        <v>2641</v>
      </c>
      <c r="G2412" t="s">
        <v>1165</v>
      </c>
      <c r="L2412" t="str">
        <f>HYPERLINK("https://test.ictv.global/id/TN202211344","TN202211344@TEST")</f>
        <v>TN202211344@TEST</v>
      </c>
      <c r="M2412" t="str">
        <f>HYPERLINK("https://test.ictv.global/id/ICTV202011344","ICTV202011344@TEST")</f>
        <v>ICTV202011344@TEST</v>
      </c>
      <c r="N2412" t="str">
        <f>HYPERLINK("https://ictv.global/id/TN202211344","TN202211344@prod")</f>
        <v>TN202211344@prod</v>
      </c>
      <c r="O2412" t="str">
        <f>HYPERLINK("https://ictv.global/id/ICTV202011344","ICTV202011344@prod")</f>
        <v>ICTV202011344@prod</v>
      </c>
    </row>
    <row r="2413" spans="1:15" x14ac:dyDescent="0.2">
      <c r="A2413">
        <v>38</v>
      </c>
      <c r="B2413">
        <v>202211359</v>
      </c>
      <c r="C2413">
        <v>202011359</v>
      </c>
      <c r="D2413" t="s">
        <v>19</v>
      </c>
      <c r="E2413" t="s">
        <v>2642</v>
      </c>
      <c r="G2413" t="s">
        <v>1165</v>
      </c>
      <c r="L2413" t="str">
        <f>HYPERLINK("https://test.ictv.global/id/TN202211359","TN202211359@TEST")</f>
        <v>TN202211359@TEST</v>
      </c>
      <c r="M2413" t="str">
        <f>HYPERLINK("https://test.ictv.global/id/ICTV202011359","ICTV202011359@TEST")</f>
        <v>ICTV202011359@TEST</v>
      </c>
      <c r="N2413" t="str">
        <f>HYPERLINK("https://ictv.global/id/TN202211359","TN202211359@prod")</f>
        <v>TN202211359@prod</v>
      </c>
      <c r="O2413" t="str">
        <f>HYPERLINK("https://ictv.global/id/ICTV202011359","ICTV202011359@prod")</f>
        <v>ICTV202011359@prod</v>
      </c>
    </row>
    <row r="2414" spans="1:15" x14ac:dyDescent="0.2">
      <c r="A2414">
        <v>38</v>
      </c>
      <c r="B2414">
        <v>202211362</v>
      </c>
      <c r="C2414">
        <v>202011362</v>
      </c>
      <c r="D2414" t="s">
        <v>19</v>
      </c>
      <c r="E2414" t="s">
        <v>2643</v>
      </c>
      <c r="G2414" t="s">
        <v>1165</v>
      </c>
      <c r="L2414" t="str">
        <f>HYPERLINK("https://test.ictv.global/id/TN202211362","TN202211362@TEST")</f>
        <v>TN202211362@TEST</v>
      </c>
      <c r="M2414" t="str">
        <f>HYPERLINK("https://test.ictv.global/id/ICTV202011362","ICTV202011362@TEST")</f>
        <v>ICTV202011362@TEST</v>
      </c>
      <c r="N2414" t="str">
        <f>HYPERLINK("https://ictv.global/id/TN202211362","TN202211362@prod")</f>
        <v>TN202211362@prod</v>
      </c>
      <c r="O2414" t="str">
        <f>HYPERLINK("https://ictv.global/id/ICTV202011362","ICTV202011362@prod")</f>
        <v>ICTV202011362@prod</v>
      </c>
    </row>
    <row r="2415" spans="1:15" x14ac:dyDescent="0.2">
      <c r="A2415">
        <v>38</v>
      </c>
      <c r="B2415">
        <v>202211363</v>
      </c>
      <c r="C2415">
        <v>202011363</v>
      </c>
      <c r="D2415" t="s">
        <v>29</v>
      </c>
      <c r="E2415" t="s">
        <v>2644</v>
      </c>
      <c r="F2415" t="s">
        <v>2645</v>
      </c>
      <c r="G2415" t="s">
        <v>1165</v>
      </c>
      <c r="L2415" t="str">
        <f>HYPERLINK("https://test.ictv.global/id/TN202211363","TN202211363@TEST")</f>
        <v>TN202211363@TEST</v>
      </c>
      <c r="M2415" t="str">
        <f>HYPERLINK("https://test.ictv.global/id/ICTV202011363","ICTV202011363@TEST")</f>
        <v>ICTV202011363@TEST</v>
      </c>
      <c r="N2415" t="str">
        <f>HYPERLINK("https://ictv.global/id/TN202211363","TN202211363@prod")</f>
        <v>TN202211363@prod</v>
      </c>
      <c r="O2415" t="str">
        <f>HYPERLINK("https://ictv.global/id/ICTV202011363","ICTV202011363@prod")</f>
        <v>ICTV202011363@prod</v>
      </c>
    </row>
    <row r="2416" spans="1:15" x14ac:dyDescent="0.2">
      <c r="A2416">
        <v>38</v>
      </c>
      <c r="B2416">
        <v>202211366</v>
      </c>
      <c r="C2416">
        <v>202011366</v>
      </c>
      <c r="D2416" t="s">
        <v>19</v>
      </c>
      <c r="E2416" t="s">
        <v>2646</v>
      </c>
      <c r="G2416" t="s">
        <v>1165</v>
      </c>
      <c r="L2416" t="str">
        <f>HYPERLINK("https://test.ictv.global/id/TN202211366","TN202211366@TEST")</f>
        <v>TN202211366@TEST</v>
      </c>
      <c r="M2416" t="str">
        <f>HYPERLINK("https://test.ictv.global/id/ICTV202011366","ICTV202011366@TEST")</f>
        <v>ICTV202011366@TEST</v>
      </c>
      <c r="N2416" t="str">
        <f>HYPERLINK("https://ictv.global/id/TN202211366","TN202211366@prod")</f>
        <v>TN202211366@prod</v>
      </c>
      <c r="O2416" t="str">
        <f>HYPERLINK("https://ictv.global/id/ICTV202011366","ICTV202011366@prod")</f>
        <v>ICTV202011366@prod</v>
      </c>
    </row>
    <row r="2417" spans="1:15" x14ac:dyDescent="0.2">
      <c r="A2417">
        <v>38</v>
      </c>
      <c r="B2417">
        <v>202211367</v>
      </c>
      <c r="C2417">
        <v>202011367</v>
      </c>
      <c r="D2417" t="s">
        <v>29</v>
      </c>
      <c r="E2417" t="s">
        <v>2647</v>
      </c>
      <c r="F2417" t="s">
        <v>2648</v>
      </c>
      <c r="G2417" t="s">
        <v>1165</v>
      </c>
      <c r="L2417" t="str">
        <f>HYPERLINK("https://test.ictv.global/id/TN202211367","TN202211367@TEST")</f>
        <v>TN202211367@TEST</v>
      </c>
      <c r="M2417" t="str">
        <f>HYPERLINK("https://test.ictv.global/id/ICTV202011367","ICTV202011367@TEST")</f>
        <v>ICTV202011367@TEST</v>
      </c>
      <c r="N2417" t="str">
        <f>HYPERLINK("https://ictv.global/id/TN202211367","TN202211367@prod")</f>
        <v>TN202211367@prod</v>
      </c>
      <c r="O2417" t="str">
        <f>HYPERLINK("https://ictv.global/id/ICTV202011367","ICTV202011367@prod")</f>
        <v>ICTV202011367@prod</v>
      </c>
    </row>
    <row r="2418" spans="1:15" x14ac:dyDescent="0.2">
      <c r="A2418">
        <v>38</v>
      </c>
      <c r="B2418">
        <v>202211368</v>
      </c>
      <c r="C2418">
        <v>202011368</v>
      </c>
      <c r="D2418" t="s">
        <v>19</v>
      </c>
      <c r="E2418" t="s">
        <v>2649</v>
      </c>
      <c r="G2418" t="s">
        <v>1165</v>
      </c>
      <c r="L2418" t="str">
        <f>HYPERLINK("https://test.ictv.global/id/TN202211368","TN202211368@TEST")</f>
        <v>TN202211368@TEST</v>
      </c>
      <c r="M2418" t="str">
        <f>HYPERLINK("https://test.ictv.global/id/ICTV202011368","ICTV202011368@TEST")</f>
        <v>ICTV202011368@TEST</v>
      </c>
      <c r="N2418" t="str">
        <f>HYPERLINK("https://ictv.global/id/TN202211368","TN202211368@prod")</f>
        <v>TN202211368@prod</v>
      </c>
      <c r="O2418" t="str">
        <f>HYPERLINK("https://ictv.global/id/ICTV202011368","ICTV202011368@prod")</f>
        <v>ICTV202011368@prod</v>
      </c>
    </row>
    <row r="2419" spans="1:15" x14ac:dyDescent="0.2">
      <c r="A2419">
        <v>38</v>
      </c>
      <c r="B2419">
        <v>202211370</v>
      </c>
      <c r="C2419">
        <v>202011370</v>
      </c>
      <c r="D2419" t="s">
        <v>19</v>
      </c>
      <c r="E2419" t="s">
        <v>2650</v>
      </c>
      <c r="G2419" t="s">
        <v>1165</v>
      </c>
      <c r="L2419" t="str">
        <f>HYPERLINK("https://test.ictv.global/id/TN202211370","TN202211370@TEST")</f>
        <v>TN202211370@TEST</v>
      </c>
      <c r="M2419" t="str">
        <f>HYPERLINK("https://test.ictv.global/id/ICTV202011370","ICTV202011370@TEST")</f>
        <v>ICTV202011370@TEST</v>
      </c>
      <c r="N2419" t="str">
        <f>HYPERLINK("https://ictv.global/id/TN202211370","TN202211370@prod")</f>
        <v>TN202211370@prod</v>
      </c>
      <c r="O2419" t="str">
        <f>HYPERLINK("https://ictv.global/id/ICTV202011370","ICTV202011370@prod")</f>
        <v>ICTV202011370@prod</v>
      </c>
    </row>
    <row r="2420" spans="1:15" x14ac:dyDescent="0.2">
      <c r="A2420">
        <v>38</v>
      </c>
      <c r="B2420">
        <v>202211371</v>
      </c>
      <c r="C2420">
        <v>202011371</v>
      </c>
      <c r="D2420" t="s">
        <v>29</v>
      </c>
      <c r="E2420" t="s">
        <v>2651</v>
      </c>
      <c r="F2420" t="s">
        <v>2652</v>
      </c>
      <c r="G2420" t="s">
        <v>1165</v>
      </c>
      <c r="L2420" t="str">
        <f>HYPERLINK("https://test.ictv.global/id/TN202211371","TN202211371@TEST")</f>
        <v>TN202211371@TEST</v>
      </c>
      <c r="M2420" t="str">
        <f>HYPERLINK("https://test.ictv.global/id/ICTV202011371","ICTV202011371@TEST")</f>
        <v>ICTV202011371@TEST</v>
      </c>
      <c r="N2420" t="str">
        <f>HYPERLINK("https://ictv.global/id/TN202211371","TN202211371@prod")</f>
        <v>TN202211371@prod</v>
      </c>
      <c r="O2420" t="str">
        <f>HYPERLINK("https://ictv.global/id/ICTV202011371","ICTV202011371@prod")</f>
        <v>ICTV202011371@prod</v>
      </c>
    </row>
    <row r="2421" spans="1:15" x14ac:dyDescent="0.2">
      <c r="A2421">
        <v>38</v>
      </c>
      <c r="B2421">
        <v>202211373</v>
      </c>
      <c r="C2421">
        <v>202011373</v>
      </c>
      <c r="D2421" t="s">
        <v>29</v>
      </c>
      <c r="E2421" t="s">
        <v>2653</v>
      </c>
      <c r="F2421" t="s">
        <v>2654</v>
      </c>
      <c r="G2421" t="s">
        <v>1165</v>
      </c>
      <c r="L2421" t="str">
        <f>HYPERLINK("https://test.ictv.global/id/TN202211373","TN202211373@TEST")</f>
        <v>TN202211373@TEST</v>
      </c>
      <c r="M2421" t="str">
        <f>HYPERLINK("https://test.ictv.global/id/ICTV202011373","ICTV202011373@TEST")</f>
        <v>ICTV202011373@TEST</v>
      </c>
      <c r="N2421" t="str">
        <f>HYPERLINK("https://ictv.global/id/TN202211373","TN202211373@prod")</f>
        <v>TN202211373@prod</v>
      </c>
      <c r="O2421" t="str">
        <f>HYPERLINK("https://ictv.global/id/ICTV202011373","ICTV202011373@prod")</f>
        <v>ICTV202011373@prod</v>
      </c>
    </row>
    <row r="2422" spans="1:15" x14ac:dyDescent="0.2">
      <c r="A2422">
        <v>38</v>
      </c>
      <c r="B2422">
        <v>202211374</v>
      </c>
      <c r="C2422">
        <v>202011374</v>
      </c>
      <c r="D2422" t="s">
        <v>29</v>
      </c>
      <c r="E2422" t="s">
        <v>2655</v>
      </c>
      <c r="F2422" t="s">
        <v>2656</v>
      </c>
      <c r="G2422" t="s">
        <v>1165</v>
      </c>
      <c r="L2422" t="str">
        <f>HYPERLINK("https://test.ictv.global/id/TN202211374","TN202211374@TEST")</f>
        <v>TN202211374@TEST</v>
      </c>
      <c r="M2422" t="str">
        <f>HYPERLINK("https://test.ictv.global/id/ICTV202011374","ICTV202011374@TEST")</f>
        <v>ICTV202011374@TEST</v>
      </c>
      <c r="N2422" t="str">
        <f>HYPERLINK("https://ictv.global/id/TN202211374","TN202211374@prod")</f>
        <v>TN202211374@prod</v>
      </c>
      <c r="O2422" t="str">
        <f>HYPERLINK("https://ictv.global/id/ICTV202011374","ICTV202011374@prod")</f>
        <v>ICTV202011374@prod</v>
      </c>
    </row>
    <row r="2423" spans="1:15" x14ac:dyDescent="0.2">
      <c r="A2423">
        <v>38</v>
      </c>
      <c r="B2423">
        <v>202211382</v>
      </c>
      <c r="C2423">
        <v>202011382</v>
      </c>
      <c r="D2423" t="s">
        <v>19</v>
      </c>
      <c r="E2423" t="s">
        <v>2657</v>
      </c>
      <c r="G2423" t="s">
        <v>1165</v>
      </c>
      <c r="L2423" t="str">
        <f>HYPERLINK("https://test.ictv.global/id/TN202211382","TN202211382@TEST")</f>
        <v>TN202211382@TEST</v>
      </c>
      <c r="M2423" t="str">
        <f>HYPERLINK("https://test.ictv.global/id/ICTV202011382","ICTV202011382@TEST")</f>
        <v>ICTV202011382@TEST</v>
      </c>
      <c r="N2423" t="str">
        <f>HYPERLINK("https://ictv.global/id/TN202211382","TN202211382@prod")</f>
        <v>TN202211382@prod</v>
      </c>
      <c r="O2423" t="str">
        <f>HYPERLINK("https://ictv.global/id/ICTV202011382","ICTV202011382@prod")</f>
        <v>ICTV202011382@prod</v>
      </c>
    </row>
    <row r="2424" spans="1:15" x14ac:dyDescent="0.2">
      <c r="A2424">
        <v>38</v>
      </c>
      <c r="B2424">
        <v>202211392</v>
      </c>
      <c r="C2424">
        <v>202011392</v>
      </c>
      <c r="D2424" t="s">
        <v>19</v>
      </c>
      <c r="E2424" t="s">
        <v>2658</v>
      </c>
      <c r="G2424" t="s">
        <v>1165</v>
      </c>
      <c r="L2424" t="str">
        <f>HYPERLINK("https://test.ictv.global/id/TN202211392","TN202211392@TEST")</f>
        <v>TN202211392@TEST</v>
      </c>
      <c r="M2424" t="str">
        <f>HYPERLINK("https://test.ictv.global/id/ICTV202011392","ICTV202011392@TEST")</f>
        <v>ICTV202011392@TEST</v>
      </c>
      <c r="N2424" t="str">
        <f>HYPERLINK("https://ictv.global/id/TN202211392","TN202211392@prod")</f>
        <v>TN202211392@prod</v>
      </c>
      <c r="O2424" t="str">
        <f>HYPERLINK("https://ictv.global/id/ICTV202011392","ICTV202011392@prod")</f>
        <v>ICTV202011392@prod</v>
      </c>
    </row>
    <row r="2425" spans="1:15" x14ac:dyDescent="0.2">
      <c r="A2425">
        <v>38</v>
      </c>
      <c r="B2425">
        <v>202211414</v>
      </c>
      <c r="C2425">
        <v>202011414</v>
      </c>
      <c r="D2425" t="s">
        <v>19</v>
      </c>
      <c r="E2425" t="s">
        <v>2659</v>
      </c>
      <c r="G2425" t="s">
        <v>1165</v>
      </c>
      <c r="L2425" t="str">
        <f>HYPERLINK("https://test.ictv.global/id/TN202211414","TN202211414@TEST")</f>
        <v>TN202211414@TEST</v>
      </c>
      <c r="M2425" t="str">
        <f>HYPERLINK("https://test.ictv.global/id/ICTV202011414","ICTV202011414@TEST")</f>
        <v>ICTV202011414@TEST</v>
      </c>
      <c r="N2425" t="str">
        <f>HYPERLINK("https://ictv.global/id/TN202211414","TN202211414@prod")</f>
        <v>TN202211414@prod</v>
      </c>
      <c r="O2425" t="str">
        <f>HYPERLINK("https://ictv.global/id/ICTV202011414","ICTV202011414@prod")</f>
        <v>ICTV202011414@prod</v>
      </c>
    </row>
    <row r="2426" spans="1:15" x14ac:dyDescent="0.2">
      <c r="A2426">
        <v>38</v>
      </c>
      <c r="B2426">
        <v>202211417</v>
      </c>
      <c r="C2426">
        <v>202011417</v>
      </c>
      <c r="D2426" t="s">
        <v>19</v>
      </c>
      <c r="E2426" t="s">
        <v>2660</v>
      </c>
      <c r="G2426" t="s">
        <v>1165</v>
      </c>
      <c r="L2426" t="str">
        <f>HYPERLINK("https://test.ictv.global/id/TN202211417","TN202211417@TEST")</f>
        <v>TN202211417@TEST</v>
      </c>
      <c r="M2426" t="str">
        <f>HYPERLINK("https://test.ictv.global/id/ICTV202011417","ICTV202011417@TEST")</f>
        <v>ICTV202011417@TEST</v>
      </c>
      <c r="N2426" t="str">
        <f>HYPERLINK("https://ictv.global/id/TN202211417","TN202211417@prod")</f>
        <v>TN202211417@prod</v>
      </c>
      <c r="O2426" t="str">
        <f>HYPERLINK("https://ictv.global/id/ICTV202011417","ICTV202011417@prod")</f>
        <v>ICTV202011417@prod</v>
      </c>
    </row>
    <row r="2427" spans="1:15" x14ac:dyDescent="0.2">
      <c r="A2427">
        <v>38</v>
      </c>
      <c r="B2427">
        <v>202211418</v>
      </c>
      <c r="C2427">
        <v>202011418</v>
      </c>
      <c r="D2427" t="s">
        <v>29</v>
      </c>
      <c r="E2427" t="s">
        <v>2661</v>
      </c>
      <c r="F2427" t="s">
        <v>2662</v>
      </c>
      <c r="G2427" t="s">
        <v>1165</v>
      </c>
      <c r="L2427" t="str">
        <f>HYPERLINK("https://test.ictv.global/id/TN202211418","TN202211418@TEST")</f>
        <v>TN202211418@TEST</v>
      </c>
      <c r="M2427" t="str">
        <f>HYPERLINK("https://test.ictv.global/id/ICTV202011418","ICTV202011418@TEST")</f>
        <v>ICTV202011418@TEST</v>
      </c>
      <c r="N2427" t="str">
        <f>HYPERLINK("https://ictv.global/id/TN202211418","TN202211418@prod")</f>
        <v>TN202211418@prod</v>
      </c>
      <c r="O2427" t="str">
        <f>HYPERLINK("https://ictv.global/id/ICTV202011418","ICTV202011418@prod")</f>
        <v>ICTV202011418@prod</v>
      </c>
    </row>
    <row r="2428" spans="1:15" x14ac:dyDescent="0.2">
      <c r="A2428">
        <v>38</v>
      </c>
      <c r="B2428">
        <v>202211419</v>
      </c>
      <c r="C2428">
        <v>202011419</v>
      </c>
      <c r="D2428" t="s">
        <v>19</v>
      </c>
      <c r="E2428" t="s">
        <v>2663</v>
      </c>
      <c r="G2428" t="s">
        <v>1165</v>
      </c>
      <c r="L2428" t="str">
        <f>HYPERLINK("https://test.ictv.global/id/TN202211419","TN202211419@TEST")</f>
        <v>TN202211419@TEST</v>
      </c>
      <c r="M2428" t="str">
        <f>HYPERLINK("https://test.ictv.global/id/ICTV202011419","ICTV202011419@TEST")</f>
        <v>ICTV202011419@TEST</v>
      </c>
      <c r="N2428" t="str">
        <f>HYPERLINK("https://ictv.global/id/TN202211419","TN202211419@prod")</f>
        <v>TN202211419@prod</v>
      </c>
      <c r="O2428" t="str">
        <f>HYPERLINK("https://ictv.global/id/ICTV202011419","ICTV202011419@prod")</f>
        <v>ICTV202011419@prod</v>
      </c>
    </row>
    <row r="2429" spans="1:15" x14ac:dyDescent="0.2">
      <c r="A2429">
        <v>38</v>
      </c>
      <c r="B2429">
        <v>202211424</v>
      </c>
      <c r="C2429">
        <v>202011424</v>
      </c>
      <c r="D2429" t="s">
        <v>19</v>
      </c>
      <c r="E2429" t="s">
        <v>2664</v>
      </c>
      <c r="G2429" t="s">
        <v>1165</v>
      </c>
      <c r="L2429" t="str">
        <f>HYPERLINK("https://test.ictv.global/id/TN202211424","TN202211424@TEST")</f>
        <v>TN202211424@TEST</v>
      </c>
      <c r="M2429" t="str">
        <f>HYPERLINK("https://test.ictv.global/id/ICTV202011424","ICTV202011424@TEST")</f>
        <v>ICTV202011424@TEST</v>
      </c>
      <c r="N2429" t="str">
        <f>HYPERLINK("https://ictv.global/id/TN202211424","TN202211424@prod")</f>
        <v>TN202211424@prod</v>
      </c>
      <c r="O2429" t="str">
        <f>HYPERLINK("https://ictv.global/id/ICTV202011424","ICTV202011424@prod")</f>
        <v>ICTV202011424@prod</v>
      </c>
    </row>
    <row r="2430" spans="1:15" x14ac:dyDescent="0.2">
      <c r="A2430">
        <v>38</v>
      </c>
      <c r="B2430">
        <v>202211429</v>
      </c>
      <c r="C2430">
        <v>202011429</v>
      </c>
      <c r="D2430" t="s">
        <v>29</v>
      </c>
      <c r="E2430" t="s">
        <v>2665</v>
      </c>
      <c r="F2430" t="s">
        <v>2666</v>
      </c>
      <c r="G2430" t="s">
        <v>1165</v>
      </c>
      <c r="L2430" t="str">
        <f>HYPERLINK("https://test.ictv.global/id/TN202211429","TN202211429@TEST")</f>
        <v>TN202211429@TEST</v>
      </c>
      <c r="M2430" t="str">
        <f>HYPERLINK("https://test.ictv.global/id/ICTV202011429","ICTV202011429@TEST")</f>
        <v>ICTV202011429@TEST</v>
      </c>
      <c r="N2430" t="str">
        <f>HYPERLINK("https://ictv.global/id/TN202211429","TN202211429@prod")</f>
        <v>TN202211429@prod</v>
      </c>
      <c r="O2430" t="str">
        <f>HYPERLINK("https://ictv.global/id/ICTV202011429","ICTV202011429@prod")</f>
        <v>ICTV202011429@prod</v>
      </c>
    </row>
    <row r="2431" spans="1:15" x14ac:dyDescent="0.2">
      <c r="A2431">
        <v>38</v>
      </c>
      <c r="B2431">
        <v>202211430</v>
      </c>
      <c r="C2431">
        <v>202011430</v>
      </c>
      <c r="D2431" t="s">
        <v>29</v>
      </c>
      <c r="E2431" t="s">
        <v>2667</v>
      </c>
      <c r="F2431" t="s">
        <v>2668</v>
      </c>
      <c r="G2431" t="s">
        <v>1165</v>
      </c>
      <c r="L2431" t="str">
        <f>HYPERLINK("https://test.ictv.global/id/TN202211430","TN202211430@TEST")</f>
        <v>TN202211430@TEST</v>
      </c>
      <c r="M2431" t="str">
        <f>HYPERLINK("https://test.ictv.global/id/ICTV202011430","ICTV202011430@TEST")</f>
        <v>ICTV202011430@TEST</v>
      </c>
      <c r="N2431" t="str">
        <f>HYPERLINK("https://ictv.global/id/TN202211430","TN202211430@prod")</f>
        <v>TN202211430@prod</v>
      </c>
      <c r="O2431" t="str">
        <f>HYPERLINK("https://ictv.global/id/ICTV202011430","ICTV202011430@prod")</f>
        <v>ICTV202011430@prod</v>
      </c>
    </row>
    <row r="2432" spans="1:15" x14ac:dyDescent="0.2">
      <c r="A2432">
        <v>38</v>
      </c>
      <c r="B2432">
        <v>202211432</v>
      </c>
      <c r="C2432">
        <v>202011432</v>
      </c>
      <c r="D2432" t="s">
        <v>29</v>
      </c>
      <c r="E2432" t="s">
        <v>2669</v>
      </c>
      <c r="F2432" t="s">
        <v>2670</v>
      </c>
      <c r="G2432" t="s">
        <v>1165</v>
      </c>
      <c r="L2432" t="str">
        <f>HYPERLINK("https://test.ictv.global/id/TN202211432","TN202211432@TEST")</f>
        <v>TN202211432@TEST</v>
      </c>
      <c r="M2432" t="str">
        <f>HYPERLINK("https://test.ictv.global/id/ICTV202011432","ICTV202011432@TEST")</f>
        <v>ICTV202011432@TEST</v>
      </c>
      <c r="N2432" t="str">
        <f>HYPERLINK("https://ictv.global/id/TN202211432","TN202211432@prod")</f>
        <v>TN202211432@prod</v>
      </c>
      <c r="O2432" t="str">
        <f>HYPERLINK("https://ictv.global/id/ICTV202011432","ICTV202011432@prod")</f>
        <v>ICTV202011432@prod</v>
      </c>
    </row>
    <row r="2433" spans="1:15" x14ac:dyDescent="0.2">
      <c r="A2433">
        <v>38</v>
      </c>
      <c r="B2433">
        <v>202211444</v>
      </c>
      <c r="C2433">
        <v>202011444</v>
      </c>
      <c r="D2433" t="s">
        <v>29</v>
      </c>
      <c r="E2433" t="s">
        <v>2671</v>
      </c>
      <c r="F2433" t="s">
        <v>2672</v>
      </c>
      <c r="G2433" t="s">
        <v>1165</v>
      </c>
      <c r="L2433" t="str">
        <f>HYPERLINK("https://test.ictv.global/id/TN202211444","TN202211444@TEST")</f>
        <v>TN202211444@TEST</v>
      </c>
      <c r="M2433" t="str">
        <f>HYPERLINK("https://test.ictv.global/id/ICTV202011444","ICTV202011444@TEST")</f>
        <v>ICTV202011444@TEST</v>
      </c>
      <c r="N2433" t="str">
        <f>HYPERLINK("https://ictv.global/id/TN202211444","TN202211444@prod")</f>
        <v>TN202211444@prod</v>
      </c>
      <c r="O2433" t="str">
        <f>HYPERLINK("https://ictv.global/id/ICTV202011444","ICTV202011444@prod")</f>
        <v>ICTV202011444@prod</v>
      </c>
    </row>
    <row r="2434" spans="1:15" x14ac:dyDescent="0.2">
      <c r="A2434">
        <v>38</v>
      </c>
      <c r="B2434">
        <v>202211445</v>
      </c>
      <c r="C2434">
        <v>202011445</v>
      </c>
      <c r="D2434" t="s">
        <v>29</v>
      </c>
      <c r="E2434" t="s">
        <v>2673</v>
      </c>
      <c r="F2434" t="s">
        <v>2674</v>
      </c>
      <c r="G2434" t="s">
        <v>1165</v>
      </c>
      <c r="L2434" t="str">
        <f>HYPERLINK("https://test.ictv.global/id/TN202211445","TN202211445@TEST")</f>
        <v>TN202211445@TEST</v>
      </c>
      <c r="M2434" t="str">
        <f>HYPERLINK("https://test.ictv.global/id/ICTV202011445","ICTV202011445@TEST")</f>
        <v>ICTV202011445@TEST</v>
      </c>
      <c r="N2434" t="str">
        <f>HYPERLINK("https://ictv.global/id/TN202211445","TN202211445@prod")</f>
        <v>TN202211445@prod</v>
      </c>
      <c r="O2434" t="str">
        <f>HYPERLINK("https://ictv.global/id/ICTV202011445","ICTV202011445@prod")</f>
        <v>ICTV202011445@prod</v>
      </c>
    </row>
    <row r="2435" spans="1:15" x14ac:dyDescent="0.2">
      <c r="A2435">
        <v>38</v>
      </c>
      <c r="B2435">
        <v>202211447</v>
      </c>
      <c r="C2435">
        <v>202011447</v>
      </c>
      <c r="D2435" t="s">
        <v>29</v>
      </c>
      <c r="E2435" t="s">
        <v>2675</v>
      </c>
      <c r="F2435" t="s">
        <v>2676</v>
      </c>
      <c r="G2435" t="s">
        <v>1165</v>
      </c>
      <c r="L2435" t="str">
        <f>HYPERLINK("https://test.ictv.global/id/TN202211447","TN202211447@TEST")</f>
        <v>TN202211447@TEST</v>
      </c>
      <c r="M2435" t="str">
        <f>HYPERLINK("https://test.ictv.global/id/ICTV202011447","ICTV202011447@TEST")</f>
        <v>ICTV202011447@TEST</v>
      </c>
      <c r="N2435" t="str">
        <f>HYPERLINK("https://ictv.global/id/TN202211447","TN202211447@prod")</f>
        <v>TN202211447@prod</v>
      </c>
      <c r="O2435" t="str">
        <f>HYPERLINK("https://ictv.global/id/ICTV202011447","ICTV202011447@prod")</f>
        <v>ICTV202011447@prod</v>
      </c>
    </row>
    <row r="2436" spans="1:15" x14ac:dyDescent="0.2">
      <c r="A2436">
        <v>38</v>
      </c>
      <c r="B2436">
        <v>202211450</v>
      </c>
      <c r="C2436">
        <v>202011450</v>
      </c>
      <c r="D2436" t="s">
        <v>19</v>
      </c>
      <c r="E2436" t="s">
        <v>2677</v>
      </c>
      <c r="G2436" t="s">
        <v>1165</v>
      </c>
      <c r="L2436" t="str">
        <f>HYPERLINK("https://test.ictv.global/id/TN202211450","TN202211450@TEST")</f>
        <v>TN202211450@TEST</v>
      </c>
      <c r="M2436" t="str">
        <f>HYPERLINK("https://test.ictv.global/id/ICTV202011450","ICTV202011450@TEST")</f>
        <v>ICTV202011450@TEST</v>
      </c>
      <c r="N2436" t="str">
        <f>HYPERLINK("https://ictv.global/id/TN202211450","TN202211450@prod")</f>
        <v>TN202211450@prod</v>
      </c>
      <c r="O2436" t="str">
        <f>HYPERLINK("https://ictv.global/id/ICTV202011450","ICTV202011450@prod")</f>
        <v>ICTV202011450@prod</v>
      </c>
    </row>
    <row r="2437" spans="1:15" x14ac:dyDescent="0.2">
      <c r="A2437">
        <v>38</v>
      </c>
      <c r="B2437">
        <v>202211451</v>
      </c>
      <c r="C2437">
        <v>202011451</v>
      </c>
      <c r="D2437" t="s">
        <v>29</v>
      </c>
      <c r="E2437" t="s">
        <v>2678</v>
      </c>
      <c r="F2437" t="s">
        <v>2679</v>
      </c>
      <c r="G2437" t="s">
        <v>1165</v>
      </c>
      <c r="L2437" t="str">
        <f>HYPERLINK("https://test.ictv.global/id/TN202211451","TN202211451@TEST")</f>
        <v>TN202211451@TEST</v>
      </c>
      <c r="M2437" t="str">
        <f>HYPERLINK("https://test.ictv.global/id/ICTV202011451","ICTV202011451@TEST")</f>
        <v>ICTV202011451@TEST</v>
      </c>
      <c r="N2437" t="str">
        <f>HYPERLINK("https://ictv.global/id/TN202211451","TN202211451@prod")</f>
        <v>TN202211451@prod</v>
      </c>
      <c r="O2437" t="str">
        <f>HYPERLINK("https://ictv.global/id/ICTV202011451","ICTV202011451@prod")</f>
        <v>ICTV202011451@prod</v>
      </c>
    </row>
    <row r="2438" spans="1:15" x14ac:dyDescent="0.2">
      <c r="A2438">
        <v>38</v>
      </c>
      <c r="B2438">
        <v>202211462</v>
      </c>
      <c r="C2438">
        <v>202011462</v>
      </c>
      <c r="D2438" t="s">
        <v>19</v>
      </c>
      <c r="E2438" t="s">
        <v>2680</v>
      </c>
      <c r="G2438" t="s">
        <v>1165</v>
      </c>
      <c r="L2438" t="str">
        <f>HYPERLINK("https://test.ictv.global/id/TN202211462","TN202211462@TEST")</f>
        <v>TN202211462@TEST</v>
      </c>
      <c r="M2438" t="str">
        <f>HYPERLINK("https://test.ictv.global/id/ICTV202011462","ICTV202011462@TEST")</f>
        <v>ICTV202011462@TEST</v>
      </c>
      <c r="N2438" t="str">
        <f>HYPERLINK("https://ictv.global/id/TN202211462","TN202211462@prod")</f>
        <v>TN202211462@prod</v>
      </c>
      <c r="O2438" t="str">
        <f>HYPERLINK("https://ictv.global/id/ICTV202011462","ICTV202011462@prod")</f>
        <v>ICTV202011462@prod</v>
      </c>
    </row>
    <row r="2439" spans="1:15" x14ac:dyDescent="0.2">
      <c r="A2439">
        <v>38</v>
      </c>
      <c r="B2439">
        <v>202211463</v>
      </c>
      <c r="C2439">
        <v>202011463</v>
      </c>
      <c r="D2439" t="s">
        <v>29</v>
      </c>
      <c r="E2439" t="s">
        <v>2681</v>
      </c>
      <c r="F2439" t="s">
        <v>2682</v>
      </c>
      <c r="G2439" t="s">
        <v>1165</v>
      </c>
      <c r="L2439" t="str">
        <f>HYPERLINK("https://test.ictv.global/id/TN202211463","TN202211463@TEST")</f>
        <v>TN202211463@TEST</v>
      </c>
      <c r="M2439" t="str">
        <f>HYPERLINK("https://test.ictv.global/id/ICTV202011463","ICTV202011463@TEST")</f>
        <v>ICTV202011463@TEST</v>
      </c>
      <c r="N2439" t="str">
        <f>HYPERLINK("https://ictv.global/id/TN202211463","TN202211463@prod")</f>
        <v>TN202211463@prod</v>
      </c>
      <c r="O2439" t="str">
        <f>HYPERLINK("https://ictv.global/id/ICTV202011463","ICTV202011463@prod")</f>
        <v>ICTV202011463@prod</v>
      </c>
    </row>
    <row r="2440" spans="1:15" x14ac:dyDescent="0.2">
      <c r="A2440">
        <v>38</v>
      </c>
      <c r="B2440">
        <v>202211464</v>
      </c>
      <c r="C2440">
        <v>202011464</v>
      </c>
      <c r="D2440" t="s">
        <v>19</v>
      </c>
      <c r="E2440" t="s">
        <v>2683</v>
      </c>
      <c r="G2440" t="s">
        <v>1165</v>
      </c>
      <c r="L2440" t="str">
        <f>HYPERLINK("https://test.ictv.global/id/TN202211464","TN202211464@TEST")</f>
        <v>TN202211464@TEST</v>
      </c>
      <c r="M2440" t="str">
        <f>HYPERLINK("https://test.ictv.global/id/ICTV202011464","ICTV202011464@TEST")</f>
        <v>ICTV202011464@TEST</v>
      </c>
      <c r="N2440" t="str">
        <f>HYPERLINK("https://ictv.global/id/TN202211464","TN202211464@prod")</f>
        <v>TN202211464@prod</v>
      </c>
      <c r="O2440" t="str">
        <f>HYPERLINK("https://ictv.global/id/ICTV202011464","ICTV202011464@prod")</f>
        <v>ICTV202011464@prod</v>
      </c>
    </row>
    <row r="2441" spans="1:15" x14ac:dyDescent="0.2">
      <c r="A2441">
        <v>38</v>
      </c>
      <c r="B2441">
        <v>202211468</v>
      </c>
      <c r="C2441">
        <v>202011468</v>
      </c>
      <c r="D2441" t="s">
        <v>19</v>
      </c>
      <c r="E2441" t="s">
        <v>2684</v>
      </c>
      <c r="G2441" t="s">
        <v>1165</v>
      </c>
      <c r="L2441" t="str">
        <f>HYPERLINK("https://test.ictv.global/id/TN202211468","TN202211468@TEST")</f>
        <v>TN202211468@TEST</v>
      </c>
      <c r="M2441" t="str">
        <f>HYPERLINK("https://test.ictv.global/id/ICTV202011468","ICTV202011468@TEST")</f>
        <v>ICTV202011468@TEST</v>
      </c>
      <c r="N2441" t="str">
        <f>HYPERLINK("https://ictv.global/id/TN202211468","TN202211468@prod")</f>
        <v>TN202211468@prod</v>
      </c>
      <c r="O2441" t="str">
        <f>HYPERLINK("https://ictv.global/id/ICTV202011468","ICTV202011468@prod")</f>
        <v>ICTV202011468@prod</v>
      </c>
    </row>
    <row r="2442" spans="1:15" x14ac:dyDescent="0.2">
      <c r="A2442">
        <v>38</v>
      </c>
      <c r="B2442">
        <v>202211505</v>
      </c>
      <c r="C2442">
        <v>202011505</v>
      </c>
      <c r="D2442" t="s">
        <v>19</v>
      </c>
      <c r="E2442" t="s">
        <v>2685</v>
      </c>
      <c r="G2442" t="s">
        <v>1165</v>
      </c>
      <c r="L2442" t="str">
        <f>HYPERLINK("https://test.ictv.global/id/TN202211505","TN202211505@TEST")</f>
        <v>TN202211505@TEST</v>
      </c>
      <c r="M2442" t="str">
        <f>HYPERLINK("https://test.ictv.global/id/ICTV202011505","ICTV202011505@TEST")</f>
        <v>ICTV202011505@TEST</v>
      </c>
      <c r="N2442" t="str">
        <f>HYPERLINK("https://ictv.global/id/TN202211505","TN202211505@prod")</f>
        <v>TN202211505@prod</v>
      </c>
      <c r="O2442" t="str">
        <f>HYPERLINK("https://ictv.global/id/ICTV202011505","ICTV202011505@prod")</f>
        <v>ICTV202011505@prod</v>
      </c>
    </row>
    <row r="2443" spans="1:15" x14ac:dyDescent="0.2">
      <c r="A2443">
        <v>38</v>
      </c>
      <c r="B2443">
        <v>202211511</v>
      </c>
      <c r="C2443">
        <v>202011511</v>
      </c>
      <c r="D2443" t="s">
        <v>19</v>
      </c>
      <c r="E2443" t="s">
        <v>2686</v>
      </c>
      <c r="G2443" t="s">
        <v>1165</v>
      </c>
      <c r="L2443" t="str">
        <f>HYPERLINK("https://test.ictv.global/id/TN202211511","TN202211511@TEST")</f>
        <v>TN202211511@TEST</v>
      </c>
      <c r="M2443" t="str">
        <f>HYPERLINK("https://test.ictv.global/id/ICTV202011511","ICTV202011511@TEST")</f>
        <v>ICTV202011511@TEST</v>
      </c>
      <c r="N2443" t="str">
        <f>HYPERLINK("https://ictv.global/id/TN202211511","TN202211511@prod")</f>
        <v>TN202211511@prod</v>
      </c>
      <c r="O2443" t="str">
        <f>HYPERLINK("https://ictv.global/id/ICTV202011511","ICTV202011511@prod")</f>
        <v>ICTV202011511@prod</v>
      </c>
    </row>
    <row r="2444" spans="1:15" x14ac:dyDescent="0.2">
      <c r="A2444">
        <v>38</v>
      </c>
      <c r="B2444">
        <v>202211512</v>
      </c>
      <c r="C2444">
        <v>202011512</v>
      </c>
      <c r="D2444" t="s">
        <v>29</v>
      </c>
      <c r="E2444" t="s">
        <v>2687</v>
      </c>
      <c r="F2444" t="s">
        <v>2688</v>
      </c>
      <c r="G2444" t="s">
        <v>1165</v>
      </c>
      <c r="L2444" t="str">
        <f>HYPERLINK("https://test.ictv.global/id/TN202211512","TN202211512@TEST")</f>
        <v>TN202211512@TEST</v>
      </c>
      <c r="M2444" t="str">
        <f>HYPERLINK("https://test.ictv.global/id/ICTV202011512","ICTV202011512@TEST")</f>
        <v>ICTV202011512@TEST</v>
      </c>
      <c r="N2444" t="str">
        <f>HYPERLINK("https://ictv.global/id/TN202211512","TN202211512@prod")</f>
        <v>TN202211512@prod</v>
      </c>
      <c r="O2444" t="str">
        <f>HYPERLINK("https://ictv.global/id/ICTV202011512","ICTV202011512@prod")</f>
        <v>ICTV202011512@prod</v>
      </c>
    </row>
    <row r="2445" spans="1:15" x14ac:dyDescent="0.2">
      <c r="A2445">
        <v>38</v>
      </c>
      <c r="B2445">
        <v>202211515</v>
      </c>
      <c r="C2445">
        <v>202011515</v>
      </c>
      <c r="D2445" t="s">
        <v>19</v>
      </c>
      <c r="E2445" t="s">
        <v>2689</v>
      </c>
      <c r="G2445" t="s">
        <v>1165</v>
      </c>
      <c r="L2445" t="str">
        <f>HYPERLINK("https://test.ictv.global/id/TN202211515","TN202211515@TEST")</f>
        <v>TN202211515@TEST</v>
      </c>
      <c r="M2445" t="str">
        <f>HYPERLINK("https://test.ictv.global/id/ICTV202011515","ICTV202011515@TEST")</f>
        <v>ICTV202011515@TEST</v>
      </c>
      <c r="N2445" t="str">
        <f>HYPERLINK("https://ictv.global/id/TN202211515","TN202211515@prod")</f>
        <v>TN202211515@prod</v>
      </c>
      <c r="O2445" t="str">
        <f>HYPERLINK("https://ictv.global/id/ICTV202011515","ICTV202011515@prod")</f>
        <v>ICTV202011515@prod</v>
      </c>
    </row>
    <row r="2446" spans="1:15" x14ac:dyDescent="0.2">
      <c r="A2446">
        <v>38</v>
      </c>
      <c r="B2446">
        <v>202211516</v>
      </c>
      <c r="C2446">
        <v>202011516</v>
      </c>
      <c r="D2446" t="s">
        <v>29</v>
      </c>
      <c r="E2446" t="s">
        <v>2690</v>
      </c>
      <c r="F2446" t="s">
        <v>2691</v>
      </c>
      <c r="G2446" t="s">
        <v>1165</v>
      </c>
      <c r="L2446" t="str">
        <f>HYPERLINK("https://test.ictv.global/id/TN202211516","TN202211516@TEST")</f>
        <v>TN202211516@TEST</v>
      </c>
      <c r="M2446" t="str">
        <f>HYPERLINK("https://test.ictv.global/id/ICTV202011516","ICTV202011516@TEST")</f>
        <v>ICTV202011516@TEST</v>
      </c>
      <c r="N2446" t="str">
        <f>HYPERLINK("https://ictv.global/id/TN202211516","TN202211516@prod")</f>
        <v>TN202211516@prod</v>
      </c>
      <c r="O2446" t="str">
        <f>HYPERLINK("https://ictv.global/id/ICTV202011516","ICTV202011516@prod")</f>
        <v>ICTV202011516@prod</v>
      </c>
    </row>
    <row r="2447" spans="1:15" x14ac:dyDescent="0.2">
      <c r="A2447">
        <v>38</v>
      </c>
      <c r="B2447">
        <v>202211519</v>
      </c>
      <c r="C2447">
        <v>202011519</v>
      </c>
      <c r="D2447" t="s">
        <v>19</v>
      </c>
      <c r="E2447" t="s">
        <v>2692</v>
      </c>
      <c r="G2447" t="s">
        <v>1165</v>
      </c>
      <c r="L2447" t="str">
        <f>HYPERLINK("https://test.ictv.global/id/TN202211519","TN202211519@TEST")</f>
        <v>TN202211519@TEST</v>
      </c>
      <c r="M2447" t="str">
        <f>HYPERLINK("https://test.ictv.global/id/ICTV202011519","ICTV202011519@TEST")</f>
        <v>ICTV202011519@TEST</v>
      </c>
      <c r="N2447" t="str">
        <f>HYPERLINK("https://ictv.global/id/TN202211519","TN202211519@prod")</f>
        <v>TN202211519@prod</v>
      </c>
      <c r="O2447" t="str">
        <f>HYPERLINK("https://ictv.global/id/ICTV202011519","ICTV202011519@prod")</f>
        <v>ICTV202011519@prod</v>
      </c>
    </row>
    <row r="2448" spans="1:15" x14ac:dyDescent="0.2">
      <c r="A2448">
        <v>38</v>
      </c>
      <c r="B2448">
        <v>202211520</v>
      </c>
      <c r="C2448">
        <v>202011520</v>
      </c>
      <c r="D2448" t="s">
        <v>29</v>
      </c>
      <c r="E2448" t="s">
        <v>2693</v>
      </c>
      <c r="F2448" t="s">
        <v>2694</v>
      </c>
      <c r="G2448" t="s">
        <v>1165</v>
      </c>
      <c r="L2448" t="str">
        <f>HYPERLINK("https://test.ictv.global/id/TN202211520","TN202211520@TEST")</f>
        <v>TN202211520@TEST</v>
      </c>
      <c r="M2448" t="str">
        <f>HYPERLINK("https://test.ictv.global/id/ICTV202011520","ICTV202011520@TEST")</f>
        <v>ICTV202011520@TEST</v>
      </c>
      <c r="N2448" t="str">
        <f>HYPERLINK("https://ictv.global/id/TN202211520","TN202211520@prod")</f>
        <v>TN202211520@prod</v>
      </c>
      <c r="O2448" t="str">
        <f>HYPERLINK("https://ictv.global/id/ICTV202011520","ICTV202011520@prod")</f>
        <v>ICTV202011520@prod</v>
      </c>
    </row>
    <row r="2449" spans="1:15" x14ac:dyDescent="0.2">
      <c r="A2449">
        <v>38</v>
      </c>
      <c r="B2449">
        <v>202211523</v>
      </c>
      <c r="C2449">
        <v>202011523</v>
      </c>
      <c r="D2449" t="s">
        <v>19</v>
      </c>
      <c r="E2449" t="s">
        <v>2695</v>
      </c>
      <c r="G2449" t="s">
        <v>1165</v>
      </c>
      <c r="L2449" t="str">
        <f>HYPERLINK("https://test.ictv.global/id/TN202211523","TN202211523@TEST")</f>
        <v>TN202211523@TEST</v>
      </c>
      <c r="M2449" t="str">
        <f>HYPERLINK("https://test.ictv.global/id/ICTV202011523","ICTV202011523@TEST")</f>
        <v>ICTV202011523@TEST</v>
      </c>
      <c r="N2449" t="str">
        <f>HYPERLINK("https://ictv.global/id/TN202211523","TN202211523@prod")</f>
        <v>TN202211523@prod</v>
      </c>
      <c r="O2449" t="str">
        <f>HYPERLINK("https://ictv.global/id/ICTV202011523","ICTV202011523@prod")</f>
        <v>ICTV202011523@prod</v>
      </c>
    </row>
    <row r="2450" spans="1:15" x14ac:dyDescent="0.2">
      <c r="A2450">
        <v>38</v>
      </c>
      <c r="B2450">
        <v>202211524</v>
      </c>
      <c r="C2450">
        <v>202011524</v>
      </c>
      <c r="D2450" t="s">
        <v>29</v>
      </c>
      <c r="E2450" t="s">
        <v>2696</v>
      </c>
      <c r="F2450" t="s">
        <v>2697</v>
      </c>
      <c r="G2450" t="s">
        <v>1165</v>
      </c>
      <c r="L2450" t="str">
        <f>HYPERLINK("https://test.ictv.global/id/TN202211524","TN202211524@TEST")</f>
        <v>TN202211524@TEST</v>
      </c>
      <c r="M2450" t="str">
        <f>HYPERLINK("https://test.ictv.global/id/ICTV202011524","ICTV202011524@TEST")</f>
        <v>ICTV202011524@TEST</v>
      </c>
      <c r="N2450" t="str">
        <f>HYPERLINK("https://ictv.global/id/TN202211524","TN202211524@prod")</f>
        <v>TN202211524@prod</v>
      </c>
      <c r="O2450" t="str">
        <f>HYPERLINK("https://ictv.global/id/ICTV202011524","ICTV202011524@prod")</f>
        <v>ICTV202011524@prod</v>
      </c>
    </row>
    <row r="2451" spans="1:15" x14ac:dyDescent="0.2">
      <c r="A2451">
        <v>38</v>
      </c>
      <c r="B2451">
        <v>202211525</v>
      </c>
      <c r="C2451">
        <v>202011525</v>
      </c>
      <c r="D2451" t="s">
        <v>19</v>
      </c>
      <c r="E2451" t="s">
        <v>2698</v>
      </c>
      <c r="G2451" t="s">
        <v>1165</v>
      </c>
      <c r="L2451" t="str">
        <f>HYPERLINK("https://test.ictv.global/id/TN202211525","TN202211525@TEST")</f>
        <v>TN202211525@TEST</v>
      </c>
      <c r="M2451" t="str">
        <f>HYPERLINK("https://test.ictv.global/id/ICTV202011525","ICTV202011525@TEST")</f>
        <v>ICTV202011525@TEST</v>
      </c>
      <c r="N2451" t="str">
        <f>HYPERLINK("https://ictv.global/id/TN202211525","TN202211525@prod")</f>
        <v>TN202211525@prod</v>
      </c>
      <c r="O2451" t="str">
        <f>HYPERLINK("https://ictv.global/id/ICTV202011525","ICTV202011525@prod")</f>
        <v>ICTV202011525@prod</v>
      </c>
    </row>
    <row r="2452" spans="1:15" x14ac:dyDescent="0.2">
      <c r="A2452">
        <v>38</v>
      </c>
      <c r="B2452">
        <v>202211526</v>
      </c>
      <c r="C2452">
        <v>202011526</v>
      </c>
      <c r="D2452" t="s">
        <v>29</v>
      </c>
      <c r="E2452" t="s">
        <v>2699</v>
      </c>
      <c r="F2452" t="s">
        <v>2700</v>
      </c>
      <c r="G2452" t="s">
        <v>1165</v>
      </c>
      <c r="L2452" t="str">
        <f>HYPERLINK("https://test.ictv.global/id/TN202211526","TN202211526@TEST")</f>
        <v>TN202211526@TEST</v>
      </c>
      <c r="M2452" t="str">
        <f>HYPERLINK("https://test.ictv.global/id/ICTV202011526","ICTV202011526@TEST")</f>
        <v>ICTV202011526@TEST</v>
      </c>
      <c r="N2452" t="str">
        <f>HYPERLINK("https://ictv.global/id/TN202211526","TN202211526@prod")</f>
        <v>TN202211526@prod</v>
      </c>
      <c r="O2452" t="str">
        <f>HYPERLINK("https://ictv.global/id/ICTV202011526","ICTV202011526@prod")</f>
        <v>ICTV202011526@prod</v>
      </c>
    </row>
    <row r="2453" spans="1:15" x14ac:dyDescent="0.2">
      <c r="A2453">
        <v>38</v>
      </c>
      <c r="B2453">
        <v>202211601</v>
      </c>
      <c r="C2453">
        <v>202011601</v>
      </c>
      <c r="D2453" t="s">
        <v>29</v>
      </c>
      <c r="E2453" t="s">
        <v>2701</v>
      </c>
      <c r="F2453" t="s">
        <v>2702</v>
      </c>
      <c r="G2453" t="s">
        <v>1165</v>
      </c>
      <c r="L2453" t="str">
        <f>HYPERLINK("https://test.ictv.global/id/TN202211601","TN202211601@TEST")</f>
        <v>TN202211601@TEST</v>
      </c>
      <c r="M2453" t="str">
        <f>HYPERLINK("https://test.ictv.global/id/ICTV202011601","ICTV202011601@TEST")</f>
        <v>ICTV202011601@TEST</v>
      </c>
      <c r="N2453" t="str">
        <f>HYPERLINK("https://ictv.global/id/TN202211601","TN202211601@prod")</f>
        <v>TN202211601@prod</v>
      </c>
      <c r="O2453" t="str">
        <f>HYPERLINK("https://ictv.global/id/ICTV202011601","ICTV202011601@prod")</f>
        <v>ICTV202011601@prod</v>
      </c>
    </row>
    <row r="2454" spans="1:15" x14ac:dyDescent="0.2">
      <c r="A2454">
        <v>38</v>
      </c>
      <c r="B2454">
        <v>202213349</v>
      </c>
      <c r="C2454">
        <v>202113349</v>
      </c>
      <c r="D2454" t="s">
        <v>29</v>
      </c>
      <c r="E2454" t="s">
        <v>2703</v>
      </c>
      <c r="F2454" t="s">
        <v>2704</v>
      </c>
      <c r="G2454" t="s">
        <v>1165</v>
      </c>
      <c r="L2454" t="str">
        <f>HYPERLINK("https://test.ictv.global/id/TN202213349","TN202213349@TEST")</f>
        <v>TN202213349@TEST</v>
      </c>
      <c r="M2454" t="str">
        <f>HYPERLINK("https://test.ictv.global/id/ICTV202113349","ICTV202113349@TEST")</f>
        <v>ICTV202113349@TEST</v>
      </c>
      <c r="N2454" t="str">
        <f>HYPERLINK("https://ictv.global/id/TN202213349","TN202213349@prod")</f>
        <v>TN202213349@prod</v>
      </c>
      <c r="O2454" t="str">
        <f>HYPERLINK("https://ictv.global/id/ICTV202113349","ICTV202113349@prod")</f>
        <v>ICTV202113349@prod</v>
      </c>
    </row>
    <row r="2455" spans="1:15" x14ac:dyDescent="0.2">
      <c r="A2455">
        <v>38</v>
      </c>
      <c r="B2455">
        <v>202213350</v>
      </c>
      <c r="C2455">
        <v>202113350</v>
      </c>
      <c r="D2455" t="s">
        <v>29</v>
      </c>
      <c r="E2455" t="s">
        <v>2705</v>
      </c>
      <c r="F2455" t="s">
        <v>2706</v>
      </c>
      <c r="G2455" t="s">
        <v>1165</v>
      </c>
      <c r="L2455" t="str">
        <f>HYPERLINK("https://test.ictv.global/id/TN202213350","TN202213350@TEST")</f>
        <v>TN202213350@TEST</v>
      </c>
      <c r="M2455" t="str">
        <f>HYPERLINK("https://test.ictv.global/id/ICTV202113350","ICTV202113350@TEST")</f>
        <v>ICTV202113350@TEST</v>
      </c>
      <c r="N2455" t="str">
        <f>HYPERLINK("https://ictv.global/id/TN202213350","TN202213350@prod")</f>
        <v>TN202213350@prod</v>
      </c>
      <c r="O2455" t="str">
        <f>HYPERLINK("https://ictv.global/id/ICTV202113350","ICTV202113350@prod")</f>
        <v>ICTV202113350@prod</v>
      </c>
    </row>
    <row r="2456" spans="1:15" x14ac:dyDescent="0.2">
      <c r="A2456">
        <v>38</v>
      </c>
      <c r="B2456">
        <v>202213351</v>
      </c>
      <c r="C2456">
        <v>202113351</v>
      </c>
      <c r="D2456" t="s">
        <v>29</v>
      </c>
      <c r="E2456" t="s">
        <v>2707</v>
      </c>
      <c r="F2456" t="s">
        <v>2708</v>
      </c>
      <c r="G2456" t="s">
        <v>1165</v>
      </c>
      <c r="L2456" t="str">
        <f>HYPERLINK("https://test.ictv.global/id/TN202213351","TN202213351@TEST")</f>
        <v>TN202213351@TEST</v>
      </c>
      <c r="M2456" t="str">
        <f>HYPERLINK("https://test.ictv.global/id/ICTV202113351","ICTV202113351@TEST")</f>
        <v>ICTV202113351@TEST</v>
      </c>
      <c r="N2456" t="str">
        <f>HYPERLINK("https://ictv.global/id/TN202213351","TN202213351@prod")</f>
        <v>TN202213351@prod</v>
      </c>
      <c r="O2456" t="str">
        <f>HYPERLINK("https://ictv.global/id/ICTV202113351","ICTV202113351@prod")</f>
        <v>ICTV202113351@prod</v>
      </c>
    </row>
    <row r="2457" spans="1:15" x14ac:dyDescent="0.2">
      <c r="A2457">
        <v>39</v>
      </c>
      <c r="B2457">
        <v>202300192</v>
      </c>
      <c r="C2457">
        <v>20140114</v>
      </c>
      <c r="D2457" t="s">
        <v>26</v>
      </c>
      <c r="E2457" t="s">
        <v>2709</v>
      </c>
      <c r="G2457" t="s">
        <v>1165</v>
      </c>
      <c r="L2457" t="str">
        <f>HYPERLINK("https://test.ictv.global/id/TN202300192","TN202300192@TEST")</f>
        <v>TN202300192@TEST</v>
      </c>
      <c r="M2457" t="str">
        <f>HYPERLINK("https://test.ictv.global/id/ICTV20140114","ICTV20140114@TEST")</f>
        <v>ICTV20140114@TEST</v>
      </c>
      <c r="N2457" t="str">
        <f>HYPERLINK("https://ictv.global/id/TN202300192","TN202300192@prod")</f>
        <v>TN202300192@prod</v>
      </c>
      <c r="O2457" t="str">
        <f>HYPERLINK("https://ictv.global/id/ICTV20140114","ICTV20140114@prod")</f>
        <v>ICTV20140114@prod</v>
      </c>
    </row>
    <row r="2458" spans="1:15" x14ac:dyDescent="0.2">
      <c r="A2458">
        <v>39</v>
      </c>
      <c r="B2458">
        <v>202300197</v>
      </c>
      <c r="C2458">
        <v>20140118</v>
      </c>
      <c r="D2458" t="s">
        <v>29</v>
      </c>
      <c r="E2458" t="s">
        <v>2710</v>
      </c>
      <c r="F2458" t="s">
        <v>2711</v>
      </c>
      <c r="G2458" t="s">
        <v>1165</v>
      </c>
      <c r="L2458" t="str">
        <f>HYPERLINK("https://test.ictv.global/id/TN202300197","TN202300197@TEST")</f>
        <v>TN202300197@TEST</v>
      </c>
      <c r="M2458" t="str">
        <f>HYPERLINK("https://test.ictv.global/id/ICTV20140118","ICTV20140118@TEST")</f>
        <v>ICTV20140118@TEST</v>
      </c>
      <c r="N2458" t="str">
        <f>HYPERLINK("https://ictv.global/id/TN202300197","TN202300197@prod")</f>
        <v>TN202300197@prod</v>
      </c>
      <c r="O2458" t="str">
        <f>HYPERLINK("https://ictv.global/id/ICTV20140118","ICTV20140118@prod")</f>
        <v>ICTV20140118@prod</v>
      </c>
    </row>
    <row r="2459" spans="1:15" x14ac:dyDescent="0.2">
      <c r="A2459">
        <v>39</v>
      </c>
      <c r="B2459">
        <v>202300222</v>
      </c>
      <c r="C2459">
        <v>20164642</v>
      </c>
      <c r="D2459" t="s">
        <v>19</v>
      </c>
      <c r="E2459" t="s">
        <v>2712</v>
      </c>
      <c r="G2459" t="s">
        <v>1165</v>
      </c>
      <c r="L2459" t="str">
        <f>HYPERLINK("https://test.ictv.global/id/TN202300222","TN202300222@TEST")</f>
        <v>TN202300222@TEST</v>
      </c>
      <c r="M2459" t="str">
        <f>HYPERLINK("https://test.ictv.global/id/ICTV20164642","ICTV20164642@TEST")</f>
        <v>ICTV20164642@TEST</v>
      </c>
      <c r="N2459" t="str">
        <f>HYPERLINK("https://ictv.global/id/TN202300222","TN202300222@prod")</f>
        <v>TN202300222@prod</v>
      </c>
      <c r="O2459" t="str">
        <f>HYPERLINK("https://ictv.global/id/ICTV20164642","ICTV20164642@prod")</f>
        <v>ICTV20164642@prod</v>
      </c>
    </row>
    <row r="2460" spans="1:15" x14ac:dyDescent="0.2">
      <c r="A2460">
        <v>39</v>
      </c>
      <c r="B2460">
        <v>202300543</v>
      </c>
      <c r="C2460">
        <v>20164888</v>
      </c>
      <c r="D2460" t="s">
        <v>29</v>
      </c>
      <c r="E2460" t="s">
        <v>2713</v>
      </c>
      <c r="F2460" t="s">
        <v>2714</v>
      </c>
      <c r="G2460" t="s">
        <v>1165</v>
      </c>
      <c r="L2460" t="str">
        <f>HYPERLINK("https://test.ictv.global/id/TN202300543","TN202300543@TEST")</f>
        <v>TN202300543@TEST</v>
      </c>
      <c r="M2460" t="str">
        <f>HYPERLINK("https://test.ictv.global/id/ICTV20164888","ICTV20164888@TEST")</f>
        <v>ICTV20164888@TEST</v>
      </c>
      <c r="N2460" t="str">
        <f>HYPERLINK("https://ictv.global/id/TN202300543","TN202300543@prod")</f>
        <v>TN202300543@prod</v>
      </c>
      <c r="O2460" t="str">
        <f>HYPERLINK("https://ictv.global/id/ICTV20164888","ICTV20164888@prod")</f>
        <v>ICTV20164888@prod</v>
      </c>
    </row>
    <row r="2461" spans="1:15" x14ac:dyDescent="0.2">
      <c r="A2461">
        <v>39</v>
      </c>
      <c r="B2461">
        <v>202301666</v>
      </c>
      <c r="C2461">
        <v>19820133</v>
      </c>
      <c r="D2461" t="s">
        <v>19</v>
      </c>
      <c r="E2461" t="s">
        <v>1101</v>
      </c>
      <c r="G2461" t="s">
        <v>53</v>
      </c>
      <c r="H2461" t="s">
        <v>1102</v>
      </c>
      <c r="I2461" t="s">
        <v>19</v>
      </c>
      <c r="J2461">
        <v>202419770</v>
      </c>
      <c r="K2461">
        <v>202419770</v>
      </c>
      <c r="L2461" t="str">
        <f>HYPERLINK("https://test.ictv.global/id/TN202301666","TN202301666@TEST")</f>
        <v>TN202301666@TEST</v>
      </c>
      <c r="M2461" t="str">
        <f>HYPERLINK("https://test.ictv.global/id/ICTV19820133","ICTV19820133@TEST")</f>
        <v>ICTV19820133@TEST</v>
      </c>
      <c r="N2461" t="str">
        <f>HYPERLINK("https://ictv.global/id/TN202301666","TN202301666@prod")</f>
        <v>TN202301666@prod</v>
      </c>
      <c r="O2461" t="str">
        <f>HYPERLINK("https://ictv.global/id/ICTV19820133","ICTV19820133@prod")</f>
        <v>ICTV19820133@prod</v>
      </c>
    </row>
    <row r="2462" spans="1:15" x14ac:dyDescent="0.2">
      <c r="A2462">
        <v>39</v>
      </c>
      <c r="B2462">
        <v>202301666</v>
      </c>
      <c r="C2462">
        <v>19820133</v>
      </c>
      <c r="D2462" t="s">
        <v>19</v>
      </c>
      <c r="E2462" t="s">
        <v>1101</v>
      </c>
      <c r="G2462" t="s">
        <v>53</v>
      </c>
      <c r="H2462" t="s">
        <v>1103</v>
      </c>
      <c r="I2462" t="s">
        <v>19</v>
      </c>
      <c r="J2462">
        <v>202419771</v>
      </c>
      <c r="K2462">
        <v>202419771</v>
      </c>
      <c r="L2462" t="str">
        <f>HYPERLINK("https://test.ictv.global/id/TN202301666","TN202301666@TEST")</f>
        <v>TN202301666@TEST</v>
      </c>
      <c r="M2462" t="str">
        <f>HYPERLINK("https://test.ictv.global/id/ICTV19820133","ICTV19820133@TEST")</f>
        <v>ICTV19820133@TEST</v>
      </c>
      <c r="N2462" t="str">
        <f>HYPERLINK("https://ictv.global/id/TN202301666","TN202301666@prod")</f>
        <v>TN202301666@prod</v>
      </c>
      <c r="O2462" t="str">
        <f>HYPERLINK("https://ictv.global/id/ICTV19820133","ICTV19820133@prod")</f>
        <v>ICTV19820133@prod</v>
      </c>
    </row>
    <row r="2463" spans="1:15" x14ac:dyDescent="0.2">
      <c r="A2463">
        <v>39</v>
      </c>
      <c r="B2463">
        <v>202301666</v>
      </c>
      <c r="C2463">
        <v>19820133</v>
      </c>
      <c r="D2463" t="s">
        <v>19</v>
      </c>
      <c r="E2463" t="s">
        <v>1101</v>
      </c>
      <c r="G2463" t="s">
        <v>53</v>
      </c>
      <c r="H2463" t="s">
        <v>1104</v>
      </c>
      <c r="I2463" t="s">
        <v>19</v>
      </c>
      <c r="J2463">
        <v>202419772</v>
      </c>
      <c r="K2463">
        <v>202419772</v>
      </c>
      <c r="L2463" t="str">
        <f>HYPERLINK("https://test.ictv.global/id/TN202301666","TN202301666@TEST")</f>
        <v>TN202301666@TEST</v>
      </c>
      <c r="M2463" t="str">
        <f>HYPERLINK("https://test.ictv.global/id/ICTV19820133","ICTV19820133@TEST")</f>
        <v>ICTV19820133@TEST</v>
      </c>
      <c r="N2463" t="str">
        <f>HYPERLINK("https://ictv.global/id/TN202301666","TN202301666@prod")</f>
        <v>TN202301666@prod</v>
      </c>
      <c r="O2463" t="str">
        <f>HYPERLINK("https://ictv.global/id/ICTV19820133","ICTV19820133@prod")</f>
        <v>ICTV19820133@prod</v>
      </c>
    </row>
    <row r="2464" spans="1:15" x14ac:dyDescent="0.2">
      <c r="A2464">
        <v>39</v>
      </c>
      <c r="B2464">
        <v>202301669</v>
      </c>
      <c r="C2464">
        <v>19790839</v>
      </c>
      <c r="D2464" t="s">
        <v>29</v>
      </c>
      <c r="E2464" t="s">
        <v>2715</v>
      </c>
      <c r="G2464" t="s">
        <v>1165</v>
      </c>
      <c r="L2464" t="str">
        <f>HYPERLINK("https://test.ictv.global/id/TN202301669","TN202301669@TEST")</f>
        <v>TN202301669@TEST</v>
      </c>
      <c r="M2464" t="str">
        <f>HYPERLINK("https://test.ictv.global/id/ICTV19790839","ICTV19790839@TEST")</f>
        <v>ICTV19790839@TEST</v>
      </c>
      <c r="N2464" t="str">
        <f>HYPERLINK("https://ictv.global/id/TN202301669","TN202301669@prod")</f>
        <v>TN202301669@prod</v>
      </c>
      <c r="O2464" t="str">
        <f>HYPERLINK("https://ictv.global/id/ICTV19790839","ICTV19790839@prod")</f>
        <v>ICTV19790839@prod</v>
      </c>
    </row>
    <row r="2465" spans="1:15" x14ac:dyDescent="0.2">
      <c r="A2465">
        <v>39</v>
      </c>
      <c r="B2465">
        <v>202301671</v>
      </c>
      <c r="C2465">
        <v>19910274</v>
      </c>
      <c r="D2465" t="s">
        <v>29</v>
      </c>
      <c r="E2465" t="s">
        <v>2716</v>
      </c>
      <c r="G2465" t="s">
        <v>1165</v>
      </c>
      <c r="L2465" t="str">
        <f>HYPERLINK("https://test.ictv.global/id/TN202301671","TN202301671@TEST")</f>
        <v>TN202301671@TEST</v>
      </c>
      <c r="M2465" t="str">
        <f>HYPERLINK("https://test.ictv.global/id/ICTV19910274","ICTV19910274@TEST")</f>
        <v>ICTV19910274@TEST</v>
      </c>
      <c r="N2465" t="str">
        <f>HYPERLINK("https://ictv.global/id/TN202301671","TN202301671@prod")</f>
        <v>TN202301671@prod</v>
      </c>
      <c r="O2465" t="str">
        <f>HYPERLINK("https://ictv.global/id/ICTV19910274","ICTV19910274@prod")</f>
        <v>ICTV19910274@prod</v>
      </c>
    </row>
    <row r="2466" spans="1:15" x14ac:dyDescent="0.2">
      <c r="A2466">
        <v>39</v>
      </c>
      <c r="B2466">
        <v>202301675</v>
      </c>
      <c r="C2466">
        <v>19910278</v>
      </c>
      <c r="D2466" t="s">
        <v>29</v>
      </c>
      <c r="E2466" t="s">
        <v>2717</v>
      </c>
      <c r="G2466" t="s">
        <v>1165</v>
      </c>
      <c r="L2466" t="str">
        <f>HYPERLINK("https://test.ictv.global/id/TN202301675","TN202301675@TEST")</f>
        <v>TN202301675@TEST</v>
      </c>
      <c r="M2466" t="str">
        <f>HYPERLINK("https://test.ictv.global/id/ICTV19910278","ICTV19910278@TEST")</f>
        <v>ICTV19910278@TEST</v>
      </c>
      <c r="N2466" t="str">
        <f>HYPERLINK("https://ictv.global/id/TN202301675","TN202301675@prod")</f>
        <v>TN202301675@prod</v>
      </c>
      <c r="O2466" t="str">
        <f>HYPERLINK("https://ictv.global/id/ICTV19910278","ICTV19910278@prod")</f>
        <v>ICTV19910278@prod</v>
      </c>
    </row>
    <row r="2467" spans="1:15" x14ac:dyDescent="0.2">
      <c r="A2467">
        <v>39</v>
      </c>
      <c r="B2467">
        <v>202301677</v>
      </c>
      <c r="C2467">
        <v>19790846</v>
      </c>
      <c r="D2467" t="s">
        <v>29</v>
      </c>
      <c r="E2467" t="s">
        <v>2718</v>
      </c>
      <c r="G2467" t="s">
        <v>1165</v>
      </c>
      <c r="L2467" t="str">
        <f>HYPERLINK("https://test.ictv.global/id/TN202301677","TN202301677@TEST")</f>
        <v>TN202301677@TEST</v>
      </c>
      <c r="M2467" t="str">
        <f>HYPERLINK("https://test.ictv.global/id/ICTV19790846","ICTV19790846@TEST")</f>
        <v>ICTV19790846@TEST</v>
      </c>
      <c r="N2467" t="str">
        <f>HYPERLINK("https://ictv.global/id/TN202301677","TN202301677@prod")</f>
        <v>TN202301677@prod</v>
      </c>
      <c r="O2467" t="str">
        <f>HYPERLINK("https://ictv.global/id/ICTV19790846","ICTV19790846@prod")</f>
        <v>ICTV19790846@prod</v>
      </c>
    </row>
    <row r="2468" spans="1:15" x14ac:dyDescent="0.2">
      <c r="A2468">
        <v>39</v>
      </c>
      <c r="B2468">
        <v>202302297</v>
      </c>
      <c r="C2468">
        <v>20125780</v>
      </c>
      <c r="D2468" t="s">
        <v>29</v>
      </c>
      <c r="E2468" t="s">
        <v>2719</v>
      </c>
      <c r="G2468" t="s">
        <v>1165</v>
      </c>
      <c r="L2468" t="str">
        <f>HYPERLINK("https://test.ictv.global/id/TN202302297","TN202302297@TEST")</f>
        <v>TN202302297@TEST</v>
      </c>
      <c r="M2468" t="str">
        <f>HYPERLINK("https://test.ictv.global/id/ICTV20125780","ICTV20125780@TEST")</f>
        <v>ICTV20125780@TEST</v>
      </c>
      <c r="N2468" t="str">
        <f>HYPERLINK("https://ictv.global/id/TN202302297","TN202302297@prod")</f>
        <v>TN202302297@prod</v>
      </c>
      <c r="O2468" t="str">
        <f>HYPERLINK("https://ictv.global/id/ICTV20125780","ICTV20125780@prod")</f>
        <v>ICTV20125780@prod</v>
      </c>
    </row>
    <row r="2469" spans="1:15" x14ac:dyDescent="0.2">
      <c r="A2469">
        <v>39</v>
      </c>
      <c r="B2469">
        <v>202302384</v>
      </c>
      <c r="C2469">
        <v>20115407</v>
      </c>
      <c r="D2469" t="s">
        <v>29</v>
      </c>
      <c r="E2469" t="s">
        <v>2720</v>
      </c>
      <c r="F2469" t="s">
        <v>2721</v>
      </c>
      <c r="G2469" t="s">
        <v>1165</v>
      </c>
      <c r="L2469" t="str">
        <f>HYPERLINK("https://test.ictv.global/id/TN202302384","TN202302384@TEST")</f>
        <v>TN202302384@TEST</v>
      </c>
      <c r="M2469" t="str">
        <f>HYPERLINK("https://test.ictv.global/id/ICTV20115407","ICTV20115407@TEST")</f>
        <v>ICTV20115407@TEST</v>
      </c>
      <c r="N2469" t="str">
        <f>HYPERLINK("https://ictv.global/id/TN202302384","TN202302384@prod")</f>
        <v>TN202302384@prod</v>
      </c>
      <c r="O2469" t="str">
        <f>HYPERLINK("https://ictv.global/id/ICTV20115407","ICTV20115407@prod")</f>
        <v>ICTV20115407@prod</v>
      </c>
    </row>
    <row r="2470" spans="1:15" x14ac:dyDescent="0.2">
      <c r="A2470">
        <v>39</v>
      </c>
      <c r="B2470">
        <v>202302385</v>
      </c>
      <c r="C2470">
        <v>20115413</v>
      </c>
      <c r="D2470" t="s">
        <v>29</v>
      </c>
      <c r="E2470" t="s">
        <v>2087</v>
      </c>
      <c r="G2470" t="s">
        <v>1165</v>
      </c>
      <c r="L2470" t="str">
        <f>HYPERLINK("https://test.ictv.global/id/TN202302385","TN202302385@TEST")</f>
        <v>TN202302385@TEST</v>
      </c>
      <c r="M2470" t="str">
        <f>HYPERLINK("https://test.ictv.global/id/ICTV20115413","ICTV20115413@TEST")</f>
        <v>ICTV20115413@TEST</v>
      </c>
      <c r="N2470" t="str">
        <f>HYPERLINK("https://ictv.global/id/TN202302385","TN202302385@prod")</f>
        <v>TN202302385@prod</v>
      </c>
      <c r="O2470" t="str">
        <f>HYPERLINK("https://ictv.global/id/ICTV20115413","ICTV20115413@prod")</f>
        <v>ICTV20115413@prod</v>
      </c>
    </row>
    <row r="2471" spans="1:15" x14ac:dyDescent="0.2">
      <c r="A2471">
        <v>39</v>
      </c>
      <c r="B2471">
        <v>202302685</v>
      </c>
      <c r="C2471">
        <v>20073240</v>
      </c>
      <c r="D2471" t="s">
        <v>29</v>
      </c>
      <c r="E2471" t="s">
        <v>2722</v>
      </c>
      <c r="G2471" t="s">
        <v>1165</v>
      </c>
      <c r="L2471" t="str">
        <f>HYPERLINK("https://test.ictv.global/id/TN202302685","TN202302685@TEST")</f>
        <v>TN202302685@TEST</v>
      </c>
      <c r="M2471" t="str">
        <f>HYPERLINK("https://test.ictv.global/id/ICTV20073240","ICTV20073240@TEST")</f>
        <v>ICTV20073240@TEST</v>
      </c>
      <c r="N2471" t="str">
        <f>HYPERLINK("https://ictv.global/id/TN202302685","TN202302685@prod")</f>
        <v>TN202302685@prod</v>
      </c>
      <c r="O2471" t="str">
        <f>HYPERLINK("https://ictv.global/id/ICTV20073240","ICTV20073240@prod")</f>
        <v>ICTV20073240@prod</v>
      </c>
    </row>
    <row r="2472" spans="1:15" x14ac:dyDescent="0.2">
      <c r="A2472">
        <v>39</v>
      </c>
      <c r="B2472">
        <v>202303040</v>
      </c>
      <c r="C2472">
        <v>19760099</v>
      </c>
      <c r="D2472" t="s">
        <v>19</v>
      </c>
      <c r="E2472" t="s">
        <v>1105</v>
      </c>
      <c r="G2472" t="s">
        <v>53</v>
      </c>
      <c r="H2472" t="s">
        <v>1106</v>
      </c>
      <c r="I2472" t="s">
        <v>19</v>
      </c>
      <c r="J2472">
        <v>202419822</v>
      </c>
      <c r="K2472">
        <v>202419822</v>
      </c>
      <c r="L2472" t="str">
        <f>HYPERLINK("https://test.ictv.global/id/TN202303040","TN202303040@TEST")</f>
        <v>TN202303040@TEST</v>
      </c>
      <c r="M2472" t="str">
        <f>HYPERLINK("https://test.ictv.global/id/ICTV19760099","ICTV19760099@TEST")</f>
        <v>ICTV19760099@TEST</v>
      </c>
      <c r="N2472" t="str">
        <f>HYPERLINK("https://ictv.global/id/TN202303040","TN202303040@prod")</f>
        <v>TN202303040@prod</v>
      </c>
      <c r="O2472" t="str">
        <f>HYPERLINK("https://ictv.global/id/ICTV19760099","ICTV19760099@prod")</f>
        <v>ICTV19760099@prod</v>
      </c>
    </row>
    <row r="2473" spans="1:15" x14ac:dyDescent="0.2">
      <c r="A2473">
        <v>39</v>
      </c>
      <c r="B2473">
        <v>202303040</v>
      </c>
      <c r="C2473">
        <v>19760099</v>
      </c>
      <c r="D2473" t="s">
        <v>19</v>
      </c>
      <c r="E2473" t="s">
        <v>1105</v>
      </c>
      <c r="G2473" t="s">
        <v>53</v>
      </c>
      <c r="H2473" t="s">
        <v>1107</v>
      </c>
      <c r="I2473" t="s">
        <v>19</v>
      </c>
      <c r="J2473">
        <v>202419823</v>
      </c>
      <c r="K2473">
        <v>202419823</v>
      </c>
      <c r="L2473" t="str">
        <f>HYPERLINK("https://test.ictv.global/id/TN202303040","TN202303040@TEST")</f>
        <v>TN202303040@TEST</v>
      </c>
      <c r="M2473" t="str">
        <f>HYPERLINK("https://test.ictv.global/id/ICTV19760099","ICTV19760099@TEST")</f>
        <v>ICTV19760099@TEST</v>
      </c>
      <c r="N2473" t="str">
        <f>HYPERLINK("https://ictv.global/id/TN202303040","TN202303040@prod")</f>
        <v>TN202303040@prod</v>
      </c>
      <c r="O2473" t="str">
        <f>HYPERLINK("https://ictv.global/id/ICTV19760099","ICTV19760099@prod")</f>
        <v>ICTV19760099@prod</v>
      </c>
    </row>
    <row r="2474" spans="1:15" x14ac:dyDescent="0.2">
      <c r="A2474">
        <v>39</v>
      </c>
      <c r="B2474">
        <v>202303040</v>
      </c>
      <c r="C2474">
        <v>19760099</v>
      </c>
      <c r="D2474" t="s">
        <v>19</v>
      </c>
      <c r="E2474" t="s">
        <v>1105</v>
      </c>
      <c r="G2474" t="s">
        <v>53</v>
      </c>
      <c r="H2474" t="s">
        <v>1108</v>
      </c>
      <c r="I2474" t="s">
        <v>19</v>
      </c>
      <c r="J2474">
        <v>202419824</v>
      </c>
      <c r="K2474">
        <v>202419824</v>
      </c>
      <c r="L2474" t="str">
        <f>HYPERLINK("https://test.ictv.global/id/TN202303040","TN202303040@TEST")</f>
        <v>TN202303040@TEST</v>
      </c>
      <c r="M2474" t="str">
        <f>HYPERLINK("https://test.ictv.global/id/ICTV19760099","ICTV19760099@TEST")</f>
        <v>ICTV19760099@TEST</v>
      </c>
      <c r="N2474" t="str">
        <f>HYPERLINK("https://ictv.global/id/TN202303040","TN202303040@prod")</f>
        <v>TN202303040@prod</v>
      </c>
      <c r="O2474" t="str">
        <f>HYPERLINK("https://ictv.global/id/ICTV19760099","ICTV19760099@prod")</f>
        <v>ICTV19760099@prod</v>
      </c>
    </row>
    <row r="2475" spans="1:15" x14ac:dyDescent="0.2">
      <c r="A2475">
        <v>39</v>
      </c>
      <c r="B2475">
        <v>202303040</v>
      </c>
      <c r="C2475">
        <v>19760099</v>
      </c>
      <c r="D2475" t="s">
        <v>19</v>
      </c>
      <c r="E2475" t="s">
        <v>1105</v>
      </c>
      <c r="G2475" t="s">
        <v>53</v>
      </c>
      <c r="H2475" t="s">
        <v>1109</v>
      </c>
      <c r="I2475" t="s">
        <v>19</v>
      </c>
      <c r="J2475">
        <v>202419825</v>
      </c>
      <c r="K2475">
        <v>202419825</v>
      </c>
      <c r="L2475" t="str">
        <f>HYPERLINK("https://test.ictv.global/id/TN202303040","TN202303040@TEST")</f>
        <v>TN202303040@TEST</v>
      </c>
      <c r="M2475" t="str">
        <f>HYPERLINK("https://test.ictv.global/id/ICTV19760099","ICTV19760099@TEST")</f>
        <v>ICTV19760099@TEST</v>
      </c>
      <c r="N2475" t="str">
        <f>HYPERLINK("https://ictv.global/id/TN202303040","TN202303040@prod")</f>
        <v>TN202303040@prod</v>
      </c>
      <c r="O2475" t="str">
        <f>HYPERLINK("https://ictv.global/id/ICTV19760099","ICTV19760099@prod")</f>
        <v>ICTV19760099@prod</v>
      </c>
    </row>
    <row r="2476" spans="1:15" x14ac:dyDescent="0.2">
      <c r="A2476">
        <v>39</v>
      </c>
      <c r="B2476">
        <v>202303040</v>
      </c>
      <c r="C2476">
        <v>19760099</v>
      </c>
      <c r="D2476" t="s">
        <v>19</v>
      </c>
      <c r="E2476" t="s">
        <v>1105</v>
      </c>
      <c r="G2476" t="s">
        <v>53</v>
      </c>
      <c r="H2476" t="s">
        <v>1110</v>
      </c>
      <c r="I2476" t="s">
        <v>19</v>
      </c>
      <c r="J2476">
        <v>202419826</v>
      </c>
      <c r="K2476">
        <v>202419826</v>
      </c>
      <c r="L2476" t="str">
        <f>HYPERLINK("https://test.ictv.global/id/TN202303040","TN202303040@TEST")</f>
        <v>TN202303040@TEST</v>
      </c>
      <c r="M2476" t="str">
        <f>HYPERLINK("https://test.ictv.global/id/ICTV19760099","ICTV19760099@TEST")</f>
        <v>ICTV19760099@TEST</v>
      </c>
      <c r="N2476" t="str">
        <f>HYPERLINK("https://ictv.global/id/TN202303040","TN202303040@prod")</f>
        <v>TN202303040@prod</v>
      </c>
      <c r="O2476" t="str">
        <f>HYPERLINK("https://ictv.global/id/ICTV19760099","ICTV19760099@prod")</f>
        <v>ICTV19760099@prod</v>
      </c>
    </row>
    <row r="2477" spans="1:15" x14ac:dyDescent="0.2">
      <c r="A2477">
        <v>39</v>
      </c>
      <c r="B2477">
        <v>202305277</v>
      </c>
      <c r="C2477">
        <v>19952263</v>
      </c>
      <c r="D2477" t="s">
        <v>29</v>
      </c>
      <c r="E2477" t="s">
        <v>2723</v>
      </c>
      <c r="G2477" t="s">
        <v>1165</v>
      </c>
      <c r="L2477" t="str">
        <f>HYPERLINK("https://test.ictv.global/id/TN202305277","TN202305277@TEST")</f>
        <v>TN202305277@TEST</v>
      </c>
      <c r="M2477" t="str">
        <f>HYPERLINK("https://test.ictv.global/id/ICTV19952263","ICTV19952263@TEST")</f>
        <v>ICTV19952263@TEST</v>
      </c>
      <c r="N2477" t="str">
        <f>HYPERLINK("https://ictv.global/id/TN202305277","TN202305277@prod")</f>
        <v>TN202305277@prod</v>
      </c>
      <c r="O2477" t="str">
        <f>HYPERLINK("https://ictv.global/id/ICTV19952263","ICTV19952263@prod")</f>
        <v>ICTV19952263@prod</v>
      </c>
    </row>
    <row r="2478" spans="1:15" x14ac:dyDescent="0.2">
      <c r="A2478">
        <v>39</v>
      </c>
      <c r="B2478">
        <v>202305278</v>
      </c>
      <c r="C2478">
        <v>19952264</v>
      </c>
      <c r="D2478" t="s">
        <v>29</v>
      </c>
      <c r="E2478" t="s">
        <v>2724</v>
      </c>
      <c r="G2478" t="s">
        <v>1165</v>
      </c>
      <c r="L2478" t="str">
        <f>HYPERLINK("https://test.ictv.global/id/TN202305278","TN202305278@TEST")</f>
        <v>TN202305278@TEST</v>
      </c>
      <c r="M2478" t="str">
        <f>HYPERLINK("https://test.ictv.global/id/ICTV19952264","ICTV19952264@TEST")</f>
        <v>ICTV19952264@TEST</v>
      </c>
      <c r="N2478" t="str">
        <f>HYPERLINK("https://ictv.global/id/TN202305278","TN202305278@prod")</f>
        <v>TN202305278@prod</v>
      </c>
      <c r="O2478" t="str">
        <f>HYPERLINK("https://ictv.global/id/ICTV19952264","ICTV19952264@prod")</f>
        <v>ICTV19952264@prod</v>
      </c>
    </row>
    <row r="2479" spans="1:15" x14ac:dyDescent="0.2">
      <c r="A2479">
        <v>39</v>
      </c>
      <c r="B2479">
        <v>202305279</v>
      </c>
      <c r="C2479">
        <v>19911702</v>
      </c>
      <c r="D2479" t="s">
        <v>29</v>
      </c>
      <c r="E2479" t="s">
        <v>2725</v>
      </c>
      <c r="G2479" t="s">
        <v>1165</v>
      </c>
      <c r="L2479" t="str">
        <f>HYPERLINK("https://test.ictv.global/id/TN202305279","TN202305279@TEST")</f>
        <v>TN202305279@TEST</v>
      </c>
      <c r="M2479" t="str">
        <f>HYPERLINK("https://test.ictv.global/id/ICTV19911702","ICTV19911702@TEST")</f>
        <v>ICTV19911702@TEST</v>
      </c>
      <c r="N2479" t="str">
        <f>HYPERLINK("https://ictv.global/id/TN202305279","TN202305279@prod")</f>
        <v>TN202305279@prod</v>
      </c>
      <c r="O2479" t="str">
        <f>HYPERLINK("https://ictv.global/id/ICTV19911702","ICTV19911702@prod")</f>
        <v>ICTV19911702@prod</v>
      </c>
    </row>
    <row r="2480" spans="1:15" x14ac:dyDescent="0.2">
      <c r="A2480">
        <v>39</v>
      </c>
      <c r="B2480">
        <v>202305280</v>
      </c>
      <c r="C2480">
        <v>19911550</v>
      </c>
      <c r="D2480" t="s">
        <v>29</v>
      </c>
      <c r="E2480" t="s">
        <v>2726</v>
      </c>
      <c r="G2480" t="s">
        <v>1165</v>
      </c>
      <c r="L2480" t="str">
        <f>HYPERLINK("https://test.ictv.global/id/TN202305280","TN202305280@TEST")</f>
        <v>TN202305280@TEST</v>
      </c>
      <c r="M2480" t="str">
        <f>HYPERLINK("https://test.ictv.global/id/ICTV19911550","ICTV19911550@TEST")</f>
        <v>ICTV19911550@TEST</v>
      </c>
      <c r="N2480" t="str">
        <f>HYPERLINK("https://ictv.global/id/TN202305280","TN202305280@prod")</f>
        <v>TN202305280@prod</v>
      </c>
      <c r="O2480" t="str">
        <f>HYPERLINK("https://ictv.global/id/ICTV19911550","ICTV19911550@prod")</f>
        <v>ICTV19911550@prod</v>
      </c>
    </row>
    <row r="2481" spans="1:15" x14ac:dyDescent="0.2">
      <c r="A2481">
        <v>39</v>
      </c>
      <c r="B2481">
        <v>202305282</v>
      </c>
      <c r="C2481">
        <v>19952274</v>
      </c>
      <c r="D2481" t="s">
        <v>29</v>
      </c>
      <c r="E2481" t="s">
        <v>2727</v>
      </c>
      <c r="G2481" t="s">
        <v>1165</v>
      </c>
      <c r="L2481" t="str">
        <f>HYPERLINK("https://test.ictv.global/id/TN202305282","TN202305282@TEST")</f>
        <v>TN202305282@TEST</v>
      </c>
      <c r="M2481" t="str">
        <f>HYPERLINK("https://test.ictv.global/id/ICTV19952274","ICTV19952274@TEST")</f>
        <v>ICTV19952274@TEST</v>
      </c>
      <c r="N2481" t="str">
        <f>HYPERLINK("https://ictv.global/id/TN202305282","TN202305282@prod")</f>
        <v>TN202305282@prod</v>
      </c>
      <c r="O2481" t="str">
        <f>HYPERLINK("https://ictv.global/id/ICTV19952274","ICTV19952274@prod")</f>
        <v>ICTV19952274@prod</v>
      </c>
    </row>
    <row r="2482" spans="1:15" x14ac:dyDescent="0.2">
      <c r="A2482">
        <v>39</v>
      </c>
      <c r="B2482">
        <v>202307713</v>
      </c>
      <c r="C2482">
        <v>201907713</v>
      </c>
      <c r="D2482" t="s">
        <v>26</v>
      </c>
      <c r="E2482" t="s">
        <v>2728</v>
      </c>
      <c r="G2482" t="s">
        <v>1165</v>
      </c>
      <c r="L2482" t="str">
        <f>HYPERLINK("https://test.ictv.global/id/TN202307713","TN202307713@TEST")</f>
        <v>TN202307713@TEST</v>
      </c>
      <c r="M2482" t="str">
        <f>HYPERLINK("https://test.ictv.global/id/ICTV201907713","ICTV201907713@TEST")</f>
        <v>ICTV201907713@TEST</v>
      </c>
      <c r="N2482" t="str">
        <f>HYPERLINK("https://ictv.global/id/TN202307713","TN202307713@prod")</f>
        <v>TN202307713@prod</v>
      </c>
      <c r="O2482" t="str">
        <f>HYPERLINK("https://ictv.global/id/ICTV201907713","ICTV201907713@prod")</f>
        <v>ICTV201907713@prod</v>
      </c>
    </row>
    <row r="2483" spans="1:15" x14ac:dyDescent="0.2">
      <c r="A2483">
        <v>39</v>
      </c>
      <c r="B2483">
        <v>202308192</v>
      </c>
      <c r="C2483">
        <v>20090674</v>
      </c>
      <c r="D2483" t="s">
        <v>23</v>
      </c>
      <c r="E2483" t="s">
        <v>1038</v>
      </c>
      <c r="G2483" t="s">
        <v>21</v>
      </c>
      <c r="H2483" t="s">
        <v>1111</v>
      </c>
      <c r="I2483" t="s">
        <v>1094</v>
      </c>
      <c r="J2483">
        <v>20090674</v>
      </c>
      <c r="K2483">
        <v>202408192</v>
      </c>
      <c r="L2483" t="str">
        <f>HYPERLINK("https://test.ictv.global/id/TN202308192","TN202308192@TEST")</f>
        <v>TN202308192@TEST</v>
      </c>
      <c r="M2483" t="str">
        <f>HYPERLINK("https://test.ictv.global/id/ICTV20090674","ICTV20090674@TEST")</f>
        <v>ICTV20090674@TEST</v>
      </c>
      <c r="N2483" t="str">
        <f>HYPERLINK("https://ictv.global/id/TN202308192","TN202308192@prod")</f>
        <v>TN202308192@prod</v>
      </c>
      <c r="O2483" t="str">
        <f>HYPERLINK("https://ictv.global/id/ICTV20090674","ICTV20090674@prod")</f>
        <v>ICTV20090674@prod</v>
      </c>
    </row>
    <row r="2484" spans="1:15" x14ac:dyDescent="0.2">
      <c r="A2484">
        <v>39</v>
      </c>
      <c r="B2484">
        <v>202308200</v>
      </c>
      <c r="C2484">
        <v>201908200</v>
      </c>
      <c r="D2484" t="s">
        <v>29</v>
      </c>
      <c r="E2484" t="s">
        <v>2729</v>
      </c>
      <c r="F2484" t="s">
        <v>2730</v>
      </c>
      <c r="G2484" t="s">
        <v>1165</v>
      </c>
      <c r="L2484" t="str">
        <f>HYPERLINK("https://test.ictv.global/id/TN202308200","TN202308200@TEST")</f>
        <v>TN202308200@TEST</v>
      </c>
      <c r="M2484" t="str">
        <f>HYPERLINK("https://test.ictv.global/id/ICTV201908200","ICTV201908200@TEST")</f>
        <v>ICTV201908200@TEST</v>
      </c>
      <c r="N2484" t="str">
        <f>HYPERLINK("https://ictv.global/id/TN202308200","TN202308200@prod")</f>
        <v>TN202308200@prod</v>
      </c>
      <c r="O2484" t="str">
        <f>HYPERLINK("https://ictv.global/id/ICTV201908200","ICTV201908200@prod")</f>
        <v>ICTV201908200@prod</v>
      </c>
    </row>
    <row r="2485" spans="1:15" x14ac:dyDescent="0.2">
      <c r="A2485">
        <v>39</v>
      </c>
      <c r="B2485">
        <v>202308214</v>
      </c>
      <c r="C2485">
        <v>201908214</v>
      </c>
      <c r="D2485" t="s">
        <v>29</v>
      </c>
      <c r="E2485" t="s">
        <v>2731</v>
      </c>
      <c r="F2485" t="s">
        <v>2732</v>
      </c>
      <c r="G2485" t="s">
        <v>1165</v>
      </c>
      <c r="L2485" t="str">
        <f>HYPERLINK("https://test.ictv.global/id/TN202308214","TN202308214@TEST")</f>
        <v>TN202308214@TEST</v>
      </c>
      <c r="M2485" t="str">
        <f>HYPERLINK("https://test.ictv.global/id/ICTV201908214","ICTV201908214@TEST")</f>
        <v>ICTV201908214@TEST</v>
      </c>
      <c r="N2485" t="str">
        <f>HYPERLINK("https://ictv.global/id/TN202308214","TN202308214@prod")</f>
        <v>TN202308214@prod</v>
      </c>
      <c r="O2485" t="str">
        <f>HYPERLINK("https://ictv.global/id/ICTV201908214","ICTV201908214@prod")</f>
        <v>ICTV201908214@prod</v>
      </c>
    </row>
    <row r="2486" spans="1:15" x14ac:dyDescent="0.2">
      <c r="A2486">
        <v>39</v>
      </c>
      <c r="B2486">
        <v>202308227</v>
      </c>
      <c r="C2486">
        <v>201908227</v>
      </c>
      <c r="D2486" t="s">
        <v>29</v>
      </c>
      <c r="E2486" t="s">
        <v>2733</v>
      </c>
      <c r="F2486" t="s">
        <v>2734</v>
      </c>
      <c r="G2486" t="s">
        <v>1165</v>
      </c>
      <c r="L2486" t="str">
        <f>HYPERLINK("https://test.ictv.global/id/TN202308227","TN202308227@TEST")</f>
        <v>TN202308227@TEST</v>
      </c>
      <c r="M2486" t="str">
        <f>HYPERLINK("https://test.ictv.global/id/ICTV201908227","ICTV201908227@TEST")</f>
        <v>ICTV201908227@TEST</v>
      </c>
      <c r="N2486" t="str">
        <f>HYPERLINK("https://ictv.global/id/TN202308227","TN202308227@prod")</f>
        <v>TN202308227@prod</v>
      </c>
      <c r="O2486" t="str">
        <f>HYPERLINK("https://ictv.global/id/ICTV201908227","ICTV201908227@prod")</f>
        <v>ICTV201908227@prod</v>
      </c>
    </row>
    <row r="2487" spans="1:15" x14ac:dyDescent="0.2">
      <c r="A2487">
        <v>39</v>
      </c>
      <c r="B2487">
        <v>202308346</v>
      </c>
      <c r="C2487">
        <v>201908346</v>
      </c>
      <c r="D2487" t="s">
        <v>29</v>
      </c>
      <c r="E2487" t="s">
        <v>2735</v>
      </c>
      <c r="F2487" t="s">
        <v>2736</v>
      </c>
      <c r="G2487" t="s">
        <v>1165</v>
      </c>
      <c r="L2487" t="str">
        <f>HYPERLINK("https://test.ictv.global/id/TN202308346","TN202308346@TEST")</f>
        <v>TN202308346@TEST</v>
      </c>
      <c r="M2487" t="str">
        <f>HYPERLINK("https://test.ictv.global/id/ICTV201908346","ICTV201908346@TEST")</f>
        <v>ICTV201908346@TEST</v>
      </c>
      <c r="N2487" t="str">
        <f>HYPERLINK("https://ictv.global/id/TN202308346","TN202308346@prod")</f>
        <v>TN202308346@prod</v>
      </c>
      <c r="O2487" t="str">
        <f>HYPERLINK("https://ictv.global/id/ICTV201908346","ICTV201908346@prod")</f>
        <v>ICTV201908346@prod</v>
      </c>
    </row>
    <row r="2488" spans="1:15" x14ac:dyDescent="0.2">
      <c r="A2488">
        <v>39</v>
      </c>
      <c r="B2488">
        <v>202308373</v>
      </c>
      <c r="C2488">
        <v>201908373</v>
      </c>
      <c r="D2488" t="s">
        <v>29</v>
      </c>
      <c r="E2488" t="s">
        <v>2737</v>
      </c>
      <c r="F2488" t="s">
        <v>2738</v>
      </c>
      <c r="G2488" t="s">
        <v>1165</v>
      </c>
      <c r="L2488" t="str">
        <f>HYPERLINK("https://test.ictv.global/id/TN202308373","TN202308373@TEST")</f>
        <v>TN202308373@TEST</v>
      </c>
      <c r="M2488" t="str">
        <f>HYPERLINK("https://test.ictv.global/id/ICTV201908373","ICTV201908373@TEST")</f>
        <v>ICTV201908373@TEST</v>
      </c>
      <c r="N2488" t="str">
        <f>HYPERLINK("https://ictv.global/id/TN202308373","TN202308373@prod")</f>
        <v>TN202308373@prod</v>
      </c>
      <c r="O2488" t="str">
        <f>HYPERLINK("https://ictv.global/id/ICTV201908373","ICTV201908373@prod")</f>
        <v>ICTV201908373@prod</v>
      </c>
    </row>
    <row r="2489" spans="1:15" x14ac:dyDescent="0.2">
      <c r="A2489">
        <v>39</v>
      </c>
      <c r="B2489">
        <v>202308376</v>
      </c>
      <c r="C2489">
        <v>201908376</v>
      </c>
      <c r="D2489" t="s">
        <v>29</v>
      </c>
      <c r="E2489" t="s">
        <v>2739</v>
      </c>
      <c r="F2489" t="s">
        <v>2740</v>
      </c>
      <c r="G2489" t="s">
        <v>1165</v>
      </c>
      <c r="L2489" t="str">
        <f>HYPERLINK("https://test.ictv.global/id/TN202308376","TN202308376@TEST")</f>
        <v>TN202308376@TEST</v>
      </c>
      <c r="M2489" t="str">
        <f>HYPERLINK("https://test.ictv.global/id/ICTV201908376","ICTV201908376@TEST")</f>
        <v>ICTV201908376@TEST</v>
      </c>
      <c r="N2489" t="str">
        <f>HYPERLINK("https://ictv.global/id/TN202308376","TN202308376@prod")</f>
        <v>TN202308376@prod</v>
      </c>
      <c r="O2489" t="str">
        <f>HYPERLINK("https://ictv.global/id/ICTV201908376","ICTV201908376@prod")</f>
        <v>ICTV201908376@prod</v>
      </c>
    </row>
    <row r="2490" spans="1:15" x14ac:dyDescent="0.2">
      <c r="A2490">
        <v>39</v>
      </c>
      <c r="B2490">
        <v>202308389</v>
      </c>
      <c r="C2490">
        <v>201908389</v>
      </c>
      <c r="D2490" t="s">
        <v>29</v>
      </c>
      <c r="E2490" t="s">
        <v>2741</v>
      </c>
      <c r="F2490" t="s">
        <v>2742</v>
      </c>
      <c r="G2490" t="s">
        <v>1165</v>
      </c>
      <c r="L2490" t="str">
        <f>HYPERLINK("https://test.ictv.global/id/TN202308389","TN202308389@TEST")</f>
        <v>TN202308389@TEST</v>
      </c>
      <c r="M2490" t="str">
        <f>HYPERLINK("https://test.ictv.global/id/ICTV201908389","ICTV201908389@TEST")</f>
        <v>ICTV201908389@TEST</v>
      </c>
      <c r="N2490" t="str">
        <f>HYPERLINK("https://ictv.global/id/TN202308389","TN202308389@prod")</f>
        <v>TN202308389@prod</v>
      </c>
      <c r="O2490" t="str">
        <f>HYPERLINK("https://ictv.global/id/ICTV201908389","ICTV201908389@prod")</f>
        <v>ICTV201908389@prod</v>
      </c>
    </row>
    <row r="2491" spans="1:15" x14ac:dyDescent="0.2">
      <c r="A2491">
        <v>39</v>
      </c>
      <c r="B2491">
        <v>202308392</v>
      </c>
      <c r="C2491">
        <v>201908392</v>
      </c>
      <c r="D2491" t="s">
        <v>29</v>
      </c>
      <c r="E2491" t="s">
        <v>2743</v>
      </c>
      <c r="F2491" t="s">
        <v>2744</v>
      </c>
      <c r="G2491" t="s">
        <v>1165</v>
      </c>
      <c r="L2491" t="str">
        <f>HYPERLINK("https://test.ictv.global/id/TN202308392","TN202308392@TEST")</f>
        <v>TN202308392@TEST</v>
      </c>
      <c r="M2491" t="str">
        <f>HYPERLINK("https://test.ictv.global/id/ICTV201908392","ICTV201908392@TEST")</f>
        <v>ICTV201908392@TEST</v>
      </c>
      <c r="N2491" t="str">
        <f>HYPERLINK("https://ictv.global/id/TN202308392","TN202308392@prod")</f>
        <v>TN202308392@prod</v>
      </c>
      <c r="O2491" t="str">
        <f>HYPERLINK("https://ictv.global/id/ICTV201908392","ICTV201908392@prod")</f>
        <v>ICTV201908392@prod</v>
      </c>
    </row>
    <row r="2492" spans="1:15" x14ac:dyDescent="0.2">
      <c r="A2492">
        <v>39</v>
      </c>
      <c r="B2492">
        <v>202308420</v>
      </c>
      <c r="C2492">
        <v>201908420</v>
      </c>
      <c r="D2492" t="s">
        <v>29</v>
      </c>
      <c r="E2492" t="s">
        <v>2745</v>
      </c>
      <c r="F2492" t="s">
        <v>2746</v>
      </c>
      <c r="G2492" t="s">
        <v>1165</v>
      </c>
      <c r="L2492" t="str">
        <f>HYPERLINK("https://test.ictv.global/id/TN202308420","TN202308420@TEST")</f>
        <v>TN202308420@TEST</v>
      </c>
      <c r="M2492" t="str">
        <f>HYPERLINK("https://test.ictv.global/id/ICTV201908420","ICTV201908420@TEST")</f>
        <v>ICTV201908420@TEST</v>
      </c>
      <c r="N2492" t="str">
        <f>HYPERLINK("https://ictv.global/id/TN202308420","TN202308420@prod")</f>
        <v>TN202308420@prod</v>
      </c>
      <c r="O2492" t="str">
        <f>HYPERLINK("https://ictv.global/id/ICTV201908420","ICTV201908420@prod")</f>
        <v>ICTV201908420@prod</v>
      </c>
    </row>
    <row r="2493" spans="1:15" x14ac:dyDescent="0.2">
      <c r="A2493">
        <v>39</v>
      </c>
      <c r="B2493">
        <v>202308433</v>
      </c>
      <c r="C2493">
        <v>201908433</v>
      </c>
      <c r="D2493" t="s">
        <v>29</v>
      </c>
      <c r="E2493" t="s">
        <v>2747</v>
      </c>
      <c r="F2493" t="s">
        <v>2748</v>
      </c>
      <c r="G2493" t="s">
        <v>1165</v>
      </c>
      <c r="L2493" t="str">
        <f>HYPERLINK("https://test.ictv.global/id/TN202308433","TN202308433@TEST")</f>
        <v>TN202308433@TEST</v>
      </c>
      <c r="M2493" t="str">
        <f>HYPERLINK("https://test.ictv.global/id/ICTV201908433","ICTV201908433@TEST")</f>
        <v>ICTV201908433@TEST</v>
      </c>
      <c r="N2493" t="str">
        <f>HYPERLINK("https://ictv.global/id/TN202308433","TN202308433@prod")</f>
        <v>TN202308433@prod</v>
      </c>
      <c r="O2493" t="str">
        <f>HYPERLINK("https://ictv.global/id/ICTV201908433","ICTV201908433@prod")</f>
        <v>ICTV201908433@prod</v>
      </c>
    </row>
    <row r="2494" spans="1:15" x14ac:dyDescent="0.2">
      <c r="A2494">
        <v>39</v>
      </c>
      <c r="B2494">
        <v>202308464</v>
      </c>
      <c r="C2494">
        <v>201908464</v>
      </c>
      <c r="D2494" t="s">
        <v>29</v>
      </c>
      <c r="E2494" t="s">
        <v>2749</v>
      </c>
      <c r="F2494" t="s">
        <v>2750</v>
      </c>
      <c r="G2494" t="s">
        <v>1165</v>
      </c>
      <c r="L2494" t="str">
        <f>HYPERLINK("https://test.ictv.global/id/TN202308464","TN202308464@TEST")</f>
        <v>TN202308464@TEST</v>
      </c>
      <c r="M2494" t="str">
        <f>HYPERLINK("https://test.ictv.global/id/ICTV201908464","ICTV201908464@TEST")</f>
        <v>ICTV201908464@TEST</v>
      </c>
      <c r="N2494" t="str">
        <f>HYPERLINK("https://ictv.global/id/TN202308464","TN202308464@prod")</f>
        <v>TN202308464@prod</v>
      </c>
      <c r="O2494" t="str">
        <f>HYPERLINK("https://ictv.global/id/ICTV201908464","ICTV201908464@prod")</f>
        <v>ICTV201908464@prod</v>
      </c>
    </row>
    <row r="2495" spans="1:15" x14ac:dyDescent="0.2">
      <c r="A2495">
        <v>39</v>
      </c>
      <c r="B2495">
        <v>202308480</v>
      </c>
      <c r="C2495">
        <v>201908480</v>
      </c>
      <c r="D2495" t="s">
        <v>29</v>
      </c>
      <c r="E2495" t="s">
        <v>2751</v>
      </c>
      <c r="F2495" t="s">
        <v>2752</v>
      </c>
      <c r="G2495" t="s">
        <v>1165</v>
      </c>
      <c r="L2495" t="str">
        <f>HYPERLINK("https://test.ictv.global/id/TN202308480","TN202308480@TEST")</f>
        <v>TN202308480@TEST</v>
      </c>
      <c r="M2495" t="str">
        <f>HYPERLINK("https://test.ictv.global/id/ICTV201908480","ICTV201908480@TEST")</f>
        <v>ICTV201908480@TEST</v>
      </c>
      <c r="N2495" t="str">
        <f>HYPERLINK("https://ictv.global/id/TN202308480","TN202308480@prod")</f>
        <v>TN202308480@prod</v>
      </c>
      <c r="O2495" t="str">
        <f>HYPERLINK("https://ictv.global/id/ICTV201908480","ICTV201908480@prod")</f>
        <v>ICTV201908480@prod</v>
      </c>
    </row>
    <row r="2496" spans="1:15" x14ac:dyDescent="0.2">
      <c r="A2496">
        <v>39</v>
      </c>
      <c r="B2496">
        <v>202308481</v>
      </c>
      <c r="C2496">
        <v>201908481</v>
      </c>
      <c r="D2496" t="s">
        <v>29</v>
      </c>
      <c r="E2496" t="s">
        <v>2753</v>
      </c>
      <c r="F2496" t="s">
        <v>2754</v>
      </c>
      <c r="G2496" t="s">
        <v>1165</v>
      </c>
      <c r="L2496" t="str">
        <f>HYPERLINK("https://test.ictv.global/id/TN202308481","TN202308481@TEST")</f>
        <v>TN202308481@TEST</v>
      </c>
      <c r="M2496" t="str">
        <f>HYPERLINK("https://test.ictv.global/id/ICTV201908481","ICTV201908481@TEST")</f>
        <v>ICTV201908481@TEST</v>
      </c>
      <c r="N2496" t="str">
        <f>HYPERLINK("https://ictv.global/id/TN202308481","TN202308481@prod")</f>
        <v>TN202308481@prod</v>
      </c>
      <c r="O2496" t="str">
        <f>HYPERLINK("https://ictv.global/id/ICTV201908481","ICTV201908481@prod")</f>
        <v>ICTV201908481@prod</v>
      </c>
    </row>
    <row r="2497" spans="1:15" x14ac:dyDescent="0.2">
      <c r="A2497">
        <v>39</v>
      </c>
      <c r="B2497">
        <v>202308508</v>
      </c>
      <c r="C2497">
        <v>201908508</v>
      </c>
      <c r="D2497" t="s">
        <v>29</v>
      </c>
      <c r="E2497" t="s">
        <v>2755</v>
      </c>
      <c r="F2497" t="s">
        <v>2756</v>
      </c>
      <c r="G2497" t="s">
        <v>1165</v>
      </c>
      <c r="L2497" t="str">
        <f>HYPERLINK("https://test.ictv.global/id/TN202308508","TN202308508@TEST")</f>
        <v>TN202308508@TEST</v>
      </c>
      <c r="M2497" t="str">
        <f>HYPERLINK("https://test.ictv.global/id/ICTV201908508","ICTV201908508@TEST")</f>
        <v>ICTV201908508@TEST</v>
      </c>
      <c r="N2497" t="str">
        <f>HYPERLINK("https://ictv.global/id/TN202308508","TN202308508@prod")</f>
        <v>TN202308508@prod</v>
      </c>
      <c r="O2497" t="str">
        <f>HYPERLINK("https://ictv.global/id/ICTV201908508","ICTV201908508@prod")</f>
        <v>ICTV201908508@prod</v>
      </c>
    </row>
    <row r="2498" spans="1:15" x14ac:dyDescent="0.2">
      <c r="A2498">
        <v>39</v>
      </c>
      <c r="B2498">
        <v>202308509</v>
      </c>
      <c r="C2498">
        <v>201908509</v>
      </c>
      <c r="D2498" t="s">
        <v>29</v>
      </c>
      <c r="E2498" t="s">
        <v>2757</v>
      </c>
      <c r="F2498" t="s">
        <v>2758</v>
      </c>
      <c r="G2498" t="s">
        <v>1165</v>
      </c>
      <c r="L2498" t="str">
        <f>HYPERLINK("https://test.ictv.global/id/TN202308509","TN202308509@TEST")</f>
        <v>TN202308509@TEST</v>
      </c>
      <c r="M2498" t="str">
        <f>HYPERLINK("https://test.ictv.global/id/ICTV201908509","ICTV201908509@TEST")</f>
        <v>ICTV201908509@TEST</v>
      </c>
      <c r="N2498" t="str">
        <f>HYPERLINK("https://ictv.global/id/TN202308509","TN202308509@prod")</f>
        <v>TN202308509@prod</v>
      </c>
      <c r="O2498" t="str">
        <f>HYPERLINK("https://ictv.global/id/ICTV201908509","ICTV201908509@prod")</f>
        <v>ICTV201908509@prod</v>
      </c>
    </row>
    <row r="2499" spans="1:15" x14ac:dyDescent="0.2">
      <c r="A2499">
        <v>39</v>
      </c>
      <c r="B2499">
        <v>202308518</v>
      </c>
      <c r="C2499">
        <v>201908518</v>
      </c>
      <c r="D2499" t="s">
        <v>29</v>
      </c>
      <c r="E2499" t="s">
        <v>2759</v>
      </c>
      <c r="F2499" t="s">
        <v>2760</v>
      </c>
      <c r="G2499" t="s">
        <v>1165</v>
      </c>
      <c r="L2499" t="str">
        <f>HYPERLINK("https://test.ictv.global/id/TN202308518","TN202308518@TEST")</f>
        <v>TN202308518@TEST</v>
      </c>
      <c r="M2499" t="str">
        <f>HYPERLINK("https://test.ictv.global/id/ICTV201908518","ICTV201908518@TEST")</f>
        <v>ICTV201908518@TEST</v>
      </c>
      <c r="N2499" t="str">
        <f>HYPERLINK("https://ictv.global/id/TN202308518","TN202308518@prod")</f>
        <v>TN202308518@prod</v>
      </c>
      <c r="O2499" t="str">
        <f>HYPERLINK("https://ictv.global/id/ICTV201908518","ICTV201908518@prod")</f>
        <v>ICTV201908518@prod</v>
      </c>
    </row>
    <row r="2500" spans="1:15" x14ac:dyDescent="0.2">
      <c r="A2500">
        <v>39</v>
      </c>
      <c r="B2500">
        <v>202308524</v>
      </c>
      <c r="C2500">
        <v>201908524</v>
      </c>
      <c r="D2500" t="s">
        <v>29</v>
      </c>
      <c r="E2500" t="s">
        <v>2761</v>
      </c>
      <c r="F2500" t="s">
        <v>2762</v>
      </c>
      <c r="G2500" t="s">
        <v>1165</v>
      </c>
      <c r="L2500" t="str">
        <f>HYPERLINK("https://test.ictv.global/id/TN202308524","TN202308524@TEST")</f>
        <v>TN202308524@TEST</v>
      </c>
      <c r="M2500" t="str">
        <f>HYPERLINK("https://test.ictv.global/id/ICTV201908524","ICTV201908524@TEST")</f>
        <v>ICTV201908524@TEST</v>
      </c>
      <c r="N2500" t="str">
        <f>HYPERLINK("https://ictv.global/id/TN202308524","TN202308524@prod")</f>
        <v>TN202308524@prod</v>
      </c>
      <c r="O2500" t="str">
        <f>HYPERLINK("https://ictv.global/id/ICTV201908524","ICTV201908524@prod")</f>
        <v>ICTV201908524@prod</v>
      </c>
    </row>
    <row r="2501" spans="1:15" x14ac:dyDescent="0.2">
      <c r="A2501">
        <v>39</v>
      </c>
      <c r="B2501">
        <v>202308587</v>
      </c>
      <c r="C2501">
        <v>201908587</v>
      </c>
      <c r="D2501" t="s">
        <v>29</v>
      </c>
      <c r="E2501" t="s">
        <v>2763</v>
      </c>
      <c r="F2501" t="s">
        <v>2764</v>
      </c>
      <c r="G2501" t="s">
        <v>1165</v>
      </c>
      <c r="L2501" t="str">
        <f>HYPERLINK("https://test.ictv.global/id/TN202308587","TN202308587@TEST")</f>
        <v>TN202308587@TEST</v>
      </c>
      <c r="M2501" t="str">
        <f>HYPERLINK("https://test.ictv.global/id/ICTV201908587","ICTV201908587@TEST")</f>
        <v>ICTV201908587@TEST</v>
      </c>
      <c r="N2501" t="str">
        <f>HYPERLINK("https://ictv.global/id/TN202308587","TN202308587@prod")</f>
        <v>TN202308587@prod</v>
      </c>
      <c r="O2501" t="str">
        <f>HYPERLINK("https://ictv.global/id/ICTV201908587","ICTV201908587@prod")</f>
        <v>ICTV201908587@prod</v>
      </c>
    </row>
    <row r="2502" spans="1:15" x14ac:dyDescent="0.2">
      <c r="A2502">
        <v>39</v>
      </c>
      <c r="B2502">
        <v>202308620</v>
      </c>
      <c r="C2502">
        <v>201908620</v>
      </c>
      <c r="D2502" t="s">
        <v>29</v>
      </c>
      <c r="E2502" t="s">
        <v>2765</v>
      </c>
      <c r="F2502" t="s">
        <v>2766</v>
      </c>
      <c r="G2502" t="s">
        <v>1165</v>
      </c>
      <c r="L2502" t="str">
        <f>HYPERLINK("https://test.ictv.global/id/TN202308620","TN202308620@TEST")</f>
        <v>TN202308620@TEST</v>
      </c>
      <c r="M2502" t="str">
        <f>HYPERLINK("https://test.ictv.global/id/ICTV201908620","ICTV201908620@TEST")</f>
        <v>ICTV201908620@TEST</v>
      </c>
      <c r="N2502" t="str">
        <f>HYPERLINK("https://ictv.global/id/TN202308620","TN202308620@prod")</f>
        <v>TN202308620@prod</v>
      </c>
      <c r="O2502" t="str">
        <f>HYPERLINK("https://ictv.global/id/ICTV201908620","ICTV201908620@prod")</f>
        <v>ICTV201908620@prod</v>
      </c>
    </row>
    <row r="2503" spans="1:15" x14ac:dyDescent="0.2">
      <c r="A2503">
        <v>39</v>
      </c>
      <c r="B2503">
        <v>202308624</v>
      </c>
      <c r="C2503">
        <v>201908624</v>
      </c>
      <c r="D2503" t="s">
        <v>29</v>
      </c>
      <c r="E2503" t="s">
        <v>2767</v>
      </c>
      <c r="F2503" t="s">
        <v>2768</v>
      </c>
      <c r="G2503" t="s">
        <v>1165</v>
      </c>
      <c r="L2503" t="str">
        <f>HYPERLINK("https://test.ictv.global/id/TN202308624","TN202308624@TEST")</f>
        <v>TN202308624@TEST</v>
      </c>
      <c r="M2503" t="str">
        <f>HYPERLINK("https://test.ictv.global/id/ICTV201908624","ICTV201908624@TEST")</f>
        <v>ICTV201908624@TEST</v>
      </c>
      <c r="N2503" t="str">
        <f>HYPERLINK("https://ictv.global/id/TN202308624","TN202308624@prod")</f>
        <v>TN202308624@prod</v>
      </c>
      <c r="O2503" t="str">
        <f>HYPERLINK("https://ictv.global/id/ICTV201908624","ICTV201908624@prod")</f>
        <v>ICTV201908624@prod</v>
      </c>
    </row>
    <row r="2504" spans="1:15" x14ac:dyDescent="0.2">
      <c r="A2504">
        <v>39</v>
      </c>
      <c r="B2504">
        <v>202309428</v>
      </c>
      <c r="C2504">
        <v>202009428</v>
      </c>
      <c r="D2504" t="s">
        <v>19</v>
      </c>
      <c r="E2504" t="s">
        <v>2769</v>
      </c>
      <c r="G2504" t="s">
        <v>1165</v>
      </c>
      <c r="L2504" t="str">
        <f>HYPERLINK("https://test.ictv.global/id/TN202309428","TN202309428@TEST")</f>
        <v>TN202309428@TEST</v>
      </c>
      <c r="M2504" t="str">
        <f>HYPERLINK("https://test.ictv.global/id/ICTV202009428","ICTV202009428@TEST")</f>
        <v>ICTV202009428@TEST</v>
      </c>
      <c r="N2504" t="str">
        <f>HYPERLINK("https://ictv.global/id/TN202309428","TN202309428@prod")</f>
        <v>TN202309428@prod</v>
      </c>
      <c r="O2504" t="str">
        <f>HYPERLINK("https://ictv.global/id/ICTV202009428","ICTV202009428@prod")</f>
        <v>ICTV202009428@prod</v>
      </c>
    </row>
    <row r="2505" spans="1:15" x14ac:dyDescent="0.2">
      <c r="A2505">
        <v>39</v>
      </c>
      <c r="B2505">
        <v>202309605</v>
      </c>
      <c r="C2505">
        <v>202009605</v>
      </c>
      <c r="D2505" t="s">
        <v>29</v>
      </c>
      <c r="E2505" t="s">
        <v>2770</v>
      </c>
      <c r="F2505" t="s">
        <v>2771</v>
      </c>
      <c r="G2505" t="s">
        <v>1165</v>
      </c>
      <c r="L2505" t="str">
        <f>HYPERLINK("https://test.ictv.global/id/TN202309605","TN202309605@TEST")</f>
        <v>TN202309605@TEST</v>
      </c>
      <c r="M2505" t="str">
        <f>HYPERLINK("https://test.ictv.global/id/ICTV202009605","ICTV202009605@TEST")</f>
        <v>ICTV202009605@TEST</v>
      </c>
      <c r="N2505" t="str">
        <f>HYPERLINK("https://ictv.global/id/TN202309605","TN202309605@prod")</f>
        <v>TN202309605@prod</v>
      </c>
      <c r="O2505" t="str">
        <f>HYPERLINK("https://ictv.global/id/ICTV202009605","ICTV202009605@prod")</f>
        <v>ICTV202009605@prod</v>
      </c>
    </row>
    <row r="2506" spans="1:15" x14ac:dyDescent="0.2">
      <c r="A2506">
        <v>39</v>
      </c>
      <c r="B2506">
        <v>202309613</v>
      </c>
      <c r="C2506">
        <v>202009613</v>
      </c>
      <c r="D2506" t="s">
        <v>29</v>
      </c>
      <c r="E2506" t="s">
        <v>2772</v>
      </c>
      <c r="F2506" t="s">
        <v>2773</v>
      </c>
      <c r="G2506" t="s">
        <v>1165</v>
      </c>
      <c r="L2506" t="str">
        <f>HYPERLINK("https://test.ictv.global/id/TN202309613","TN202309613@TEST")</f>
        <v>TN202309613@TEST</v>
      </c>
      <c r="M2506" t="str">
        <f>HYPERLINK("https://test.ictv.global/id/ICTV202009613","ICTV202009613@TEST")</f>
        <v>ICTV202009613@TEST</v>
      </c>
      <c r="N2506" t="str">
        <f>HYPERLINK("https://ictv.global/id/TN202309613","TN202309613@prod")</f>
        <v>TN202309613@prod</v>
      </c>
      <c r="O2506" t="str">
        <f>HYPERLINK("https://ictv.global/id/ICTV202009613","ICTV202009613@prod")</f>
        <v>ICTV202009613@prod</v>
      </c>
    </row>
    <row r="2507" spans="1:15" x14ac:dyDescent="0.2">
      <c r="A2507">
        <v>39</v>
      </c>
      <c r="B2507">
        <v>202312241</v>
      </c>
      <c r="C2507">
        <v>202112241</v>
      </c>
      <c r="D2507" t="s">
        <v>29</v>
      </c>
      <c r="E2507" t="s">
        <v>2774</v>
      </c>
      <c r="F2507" t="s">
        <v>2775</v>
      </c>
      <c r="G2507" t="s">
        <v>1165</v>
      </c>
      <c r="L2507" t="str">
        <f>HYPERLINK("https://test.ictv.global/id/TN202312241","TN202312241@TEST")</f>
        <v>TN202312241@TEST</v>
      </c>
      <c r="M2507" t="str">
        <f>HYPERLINK("https://test.ictv.global/id/ICTV202112241","ICTV202112241@TEST")</f>
        <v>ICTV202112241@TEST</v>
      </c>
      <c r="N2507" t="str">
        <f>HYPERLINK("https://ictv.global/id/TN202312241","TN202312241@prod")</f>
        <v>TN202312241@prod</v>
      </c>
      <c r="O2507" t="str">
        <f>HYPERLINK("https://ictv.global/id/ICTV202112241","ICTV202112241@prod")</f>
        <v>ICTV202112241@prod</v>
      </c>
    </row>
    <row r="2508" spans="1:15" x14ac:dyDescent="0.2">
      <c r="A2508">
        <v>39</v>
      </c>
      <c r="B2508">
        <v>202314496</v>
      </c>
      <c r="C2508">
        <v>202214496</v>
      </c>
      <c r="D2508" t="s">
        <v>26</v>
      </c>
      <c r="E2508" t="s">
        <v>1112</v>
      </c>
      <c r="G2508" t="s">
        <v>21</v>
      </c>
      <c r="H2508" t="s">
        <v>1113</v>
      </c>
      <c r="I2508" t="s">
        <v>23</v>
      </c>
      <c r="J2508">
        <v>202214496</v>
      </c>
      <c r="K2508">
        <v>202414496</v>
      </c>
      <c r="L2508" t="str">
        <f>HYPERLINK("https://test.ictv.global/id/TN202314496","TN202314496@TEST")</f>
        <v>TN202314496@TEST</v>
      </c>
      <c r="M2508" t="str">
        <f>HYPERLINK("https://test.ictv.global/id/ICTV202214496","ICTV202214496@TEST")</f>
        <v>ICTV202214496@TEST</v>
      </c>
      <c r="N2508" t="str">
        <f>HYPERLINK("https://ictv.global/id/TN202314496","TN202314496@prod")</f>
        <v>TN202314496@prod</v>
      </c>
      <c r="O2508" t="str">
        <f>HYPERLINK("https://ictv.global/id/ICTV202214496","ICTV202214496@prod")</f>
        <v>ICTV202214496@prod</v>
      </c>
    </row>
    <row r="2509" spans="1:15" x14ac:dyDescent="0.2">
      <c r="A2509">
        <v>39</v>
      </c>
      <c r="B2509">
        <v>202315156</v>
      </c>
      <c r="C2509">
        <v>202315156</v>
      </c>
      <c r="D2509" t="s">
        <v>23</v>
      </c>
      <c r="E2509" t="s">
        <v>1114</v>
      </c>
      <c r="G2509" t="s">
        <v>1115</v>
      </c>
      <c r="H2509" t="s">
        <v>1116</v>
      </c>
      <c r="I2509" t="s">
        <v>26</v>
      </c>
      <c r="J2509">
        <v>202315156</v>
      </c>
      <c r="K2509">
        <v>202415156</v>
      </c>
      <c r="L2509" t="str">
        <f>HYPERLINK("https://test.ictv.global/id/TN202315156","TN202315156@TEST")</f>
        <v>TN202315156@TEST</v>
      </c>
      <c r="M2509" t="str">
        <f>HYPERLINK("https://test.ictv.global/id/ICTV202315156","ICTV202315156@TEST")</f>
        <v>ICTV202315156@TEST</v>
      </c>
      <c r="N2509" t="str">
        <f>HYPERLINK("https://ictv.global/id/TN202315156","TN202315156@prod")</f>
        <v>TN202315156@prod</v>
      </c>
      <c r="O2509" t="str">
        <f>HYPERLINK("https://ictv.global/id/ICTV202315156","ICTV202315156@prod")</f>
        <v>ICTV202315156@prod</v>
      </c>
    </row>
    <row r="2510" spans="1:15" x14ac:dyDescent="0.2">
      <c r="A2510">
        <v>40</v>
      </c>
      <c r="B2510">
        <v>202402106</v>
      </c>
      <c r="C2510">
        <v>19911709</v>
      </c>
      <c r="D2510" t="s">
        <v>29</v>
      </c>
      <c r="E2510" t="s">
        <v>2776</v>
      </c>
      <c r="G2510" t="s">
        <v>1165</v>
      </c>
      <c r="L2510" t="str">
        <f>HYPERLINK("https://test.ictv.global/id/TN202402106","TN202402106@TEST")</f>
        <v>TN202402106@TEST</v>
      </c>
      <c r="M2510" t="str">
        <f>HYPERLINK("https://test.ictv.global/id/ICTV19911709","ICTV19911709@TEST")</f>
        <v>ICTV19911709@TEST</v>
      </c>
      <c r="N2510" t="str">
        <f>HYPERLINK("https://ictv.global/id/TN202402106","TN202402106@prod")</f>
        <v>TN202402106@prod</v>
      </c>
      <c r="O2510" t="str">
        <f>HYPERLINK("https://ictv.global/id/ICTV19911709","ICTV19911709@prod")</f>
        <v>ICTV19911709@prod</v>
      </c>
    </row>
    <row r="2511" spans="1:15" x14ac:dyDescent="0.2">
      <c r="A2511">
        <v>40</v>
      </c>
      <c r="B2511">
        <v>202402120</v>
      </c>
      <c r="C2511">
        <v>19821258</v>
      </c>
      <c r="D2511" t="s">
        <v>29</v>
      </c>
      <c r="E2511" t="s">
        <v>2777</v>
      </c>
      <c r="G2511" t="s">
        <v>1165</v>
      </c>
      <c r="L2511" t="str">
        <f>HYPERLINK("https://test.ictv.global/id/TN202402120","TN202402120@TEST")</f>
        <v>TN202402120@TEST</v>
      </c>
      <c r="M2511" t="str">
        <f>HYPERLINK("https://test.ictv.global/id/ICTV19821258","ICTV19821258@TEST")</f>
        <v>ICTV19821258@TEST</v>
      </c>
      <c r="N2511" t="str">
        <f>HYPERLINK("https://ictv.global/id/TN202402120","TN202402120@prod")</f>
        <v>TN202402120@prod</v>
      </c>
      <c r="O2511" t="str">
        <f>HYPERLINK("https://ictv.global/id/ICTV19821258","ICTV19821258@prod")</f>
        <v>ICTV19821258@prod</v>
      </c>
    </row>
    <row r="2512" spans="1:15" x14ac:dyDescent="0.2">
      <c r="A2512">
        <v>40</v>
      </c>
      <c r="B2512">
        <v>202402159</v>
      </c>
      <c r="C2512">
        <v>19952119</v>
      </c>
      <c r="D2512" t="s">
        <v>29</v>
      </c>
      <c r="E2512" t="s">
        <v>2778</v>
      </c>
      <c r="G2512" t="s">
        <v>1165</v>
      </c>
      <c r="L2512" t="str">
        <f>HYPERLINK("https://test.ictv.global/id/TN202402159","TN202402159@TEST")</f>
        <v>TN202402159@TEST</v>
      </c>
      <c r="M2512" t="str">
        <f>HYPERLINK("https://test.ictv.global/id/ICTV19952119","ICTV19952119@TEST")</f>
        <v>ICTV19952119@TEST</v>
      </c>
      <c r="N2512" t="str">
        <f>HYPERLINK("https://ictv.global/id/TN202402159","TN202402159@prod")</f>
        <v>TN202402159@prod</v>
      </c>
      <c r="O2512" t="str">
        <f>HYPERLINK("https://ictv.global/id/ICTV19952119","ICTV19952119@prod")</f>
        <v>ICTV19952119@prod</v>
      </c>
    </row>
    <row r="2513" spans="1:15" x14ac:dyDescent="0.2">
      <c r="A2513">
        <v>40</v>
      </c>
      <c r="B2513">
        <v>202402239</v>
      </c>
      <c r="C2513">
        <v>19710145</v>
      </c>
      <c r="D2513" t="s">
        <v>29</v>
      </c>
      <c r="E2513" t="s">
        <v>2779</v>
      </c>
      <c r="G2513" t="s">
        <v>1165</v>
      </c>
      <c r="L2513" t="str">
        <f>HYPERLINK("https://test.ictv.global/id/TN202402239","TN202402239@TEST")</f>
        <v>TN202402239@TEST</v>
      </c>
      <c r="M2513" t="str">
        <f>HYPERLINK("https://test.ictv.global/id/ICTV19710145","ICTV19710145@TEST")</f>
        <v>ICTV19710145@TEST</v>
      </c>
      <c r="N2513" t="str">
        <f>HYPERLINK("https://ictv.global/id/TN202402239","TN202402239@prod")</f>
        <v>TN202402239@prod</v>
      </c>
      <c r="O2513" t="str">
        <f>HYPERLINK("https://ictv.global/id/ICTV19710145","ICTV19710145@prod")</f>
        <v>ICTV19710145@prod</v>
      </c>
    </row>
    <row r="2514" spans="1:15" x14ac:dyDescent="0.2">
      <c r="A2514">
        <v>40</v>
      </c>
      <c r="B2514">
        <v>202402277</v>
      </c>
      <c r="C2514">
        <v>19952352</v>
      </c>
      <c r="D2514" t="s">
        <v>29</v>
      </c>
      <c r="E2514" t="s">
        <v>2780</v>
      </c>
      <c r="G2514" t="s">
        <v>1165</v>
      </c>
      <c r="L2514" t="str">
        <f>HYPERLINK("https://test.ictv.global/id/TN202402277","TN202402277@TEST")</f>
        <v>TN202402277@TEST</v>
      </c>
      <c r="M2514" t="str">
        <f>HYPERLINK("https://test.ictv.global/id/ICTV19952352","ICTV19952352@TEST")</f>
        <v>ICTV19952352@TEST</v>
      </c>
      <c r="N2514" t="str">
        <f>HYPERLINK("https://ictv.global/id/TN202402277","TN202402277@prod")</f>
        <v>TN202402277@prod</v>
      </c>
      <c r="O2514" t="str">
        <f>HYPERLINK("https://ictv.global/id/ICTV19952352","ICTV19952352@prod")</f>
        <v>ICTV19952352@prod</v>
      </c>
    </row>
    <row r="2515" spans="1:15" x14ac:dyDescent="0.2">
      <c r="A2515">
        <v>40</v>
      </c>
      <c r="B2515">
        <v>202402719</v>
      </c>
      <c r="C2515">
        <v>19790174</v>
      </c>
      <c r="D2515" t="s">
        <v>29</v>
      </c>
      <c r="E2515" t="s">
        <v>2781</v>
      </c>
      <c r="G2515" t="s">
        <v>1165</v>
      </c>
      <c r="L2515" t="str">
        <f>HYPERLINK("https://test.ictv.global/id/TN202402719","TN202402719@TEST")</f>
        <v>TN202402719@TEST</v>
      </c>
      <c r="M2515" t="str">
        <f>HYPERLINK("https://test.ictv.global/id/ICTV19790174","ICTV19790174@TEST")</f>
        <v>ICTV19790174@TEST</v>
      </c>
      <c r="N2515" t="str">
        <f>HYPERLINK("https://ictv.global/id/TN202402719","TN202402719@prod")</f>
        <v>TN202402719@prod</v>
      </c>
      <c r="O2515" t="str">
        <f>HYPERLINK("https://ictv.global/id/ICTV19790174","ICTV19790174@prod")</f>
        <v>ICTV19790174@prod</v>
      </c>
    </row>
    <row r="2516" spans="1:15" x14ac:dyDescent="0.2">
      <c r="A2516">
        <v>40</v>
      </c>
      <c r="B2516">
        <v>202402993</v>
      </c>
      <c r="C2516">
        <v>19821176</v>
      </c>
      <c r="D2516" t="s">
        <v>29</v>
      </c>
      <c r="E2516" t="s">
        <v>2782</v>
      </c>
      <c r="G2516" t="s">
        <v>1165</v>
      </c>
      <c r="L2516" t="str">
        <f>HYPERLINK("https://test.ictv.global/id/TN202402993","TN202402993@TEST")</f>
        <v>TN202402993@TEST</v>
      </c>
      <c r="M2516" t="str">
        <f>HYPERLINK("https://test.ictv.global/id/ICTV19821176","ICTV19821176@TEST")</f>
        <v>ICTV19821176@TEST</v>
      </c>
      <c r="N2516" t="str">
        <f>HYPERLINK("https://ictv.global/id/TN202402993","TN202402993@prod")</f>
        <v>TN202402993@prod</v>
      </c>
      <c r="O2516" t="str">
        <f>HYPERLINK("https://ictv.global/id/ICTV19821176","ICTV19821176@prod")</f>
        <v>ICTV19821176@prod</v>
      </c>
    </row>
    <row r="2517" spans="1:15" x14ac:dyDescent="0.2">
      <c r="A2517">
        <v>40</v>
      </c>
      <c r="B2517">
        <v>202403114</v>
      </c>
      <c r="C2517">
        <v>19790934</v>
      </c>
      <c r="D2517" t="s">
        <v>29</v>
      </c>
      <c r="E2517" t="s">
        <v>1117</v>
      </c>
      <c r="G2517" t="s">
        <v>100</v>
      </c>
      <c r="H2517" t="s">
        <v>1118</v>
      </c>
      <c r="I2517" t="s">
        <v>29</v>
      </c>
      <c r="J2517">
        <v>202523328</v>
      </c>
      <c r="K2517">
        <v>202523328</v>
      </c>
      <c r="L2517" t="str">
        <f>HYPERLINK("https://test.ictv.global/id/TN202403114","TN202403114@TEST")</f>
        <v>TN202403114@TEST</v>
      </c>
      <c r="M2517" t="str">
        <f>HYPERLINK("https://test.ictv.global/id/ICTV19790934","ICTV19790934@TEST")</f>
        <v>ICTV19790934@TEST</v>
      </c>
      <c r="N2517" t="str">
        <f>HYPERLINK("https://ictv.global/id/TN202403114","TN202403114@prod")</f>
        <v>TN202403114@prod</v>
      </c>
      <c r="O2517" t="str">
        <f>HYPERLINK("https://ictv.global/id/ICTV19790934","ICTV19790934@prod")</f>
        <v>ICTV19790934@prod</v>
      </c>
    </row>
    <row r="2518" spans="1:15" x14ac:dyDescent="0.2">
      <c r="A2518">
        <v>40</v>
      </c>
      <c r="B2518">
        <v>202403114</v>
      </c>
      <c r="C2518">
        <v>19790934</v>
      </c>
      <c r="D2518" t="s">
        <v>29</v>
      </c>
      <c r="E2518" t="s">
        <v>1117</v>
      </c>
      <c r="G2518" t="s">
        <v>100</v>
      </c>
      <c r="H2518" t="s">
        <v>1119</v>
      </c>
      <c r="I2518" t="s">
        <v>29</v>
      </c>
      <c r="J2518">
        <v>202523329</v>
      </c>
      <c r="K2518">
        <v>202523329</v>
      </c>
      <c r="L2518" t="str">
        <f>HYPERLINK("https://test.ictv.global/id/TN202403114","TN202403114@TEST")</f>
        <v>TN202403114@TEST</v>
      </c>
      <c r="M2518" t="str">
        <f>HYPERLINK("https://test.ictv.global/id/ICTV19790934","ICTV19790934@TEST")</f>
        <v>ICTV19790934@TEST</v>
      </c>
      <c r="N2518" t="str">
        <f>HYPERLINK("https://ictv.global/id/TN202403114","TN202403114@prod")</f>
        <v>TN202403114@prod</v>
      </c>
      <c r="O2518" t="str">
        <f>HYPERLINK("https://ictv.global/id/ICTV19790934","ICTV19790934@prod")</f>
        <v>ICTV19790934@prod</v>
      </c>
    </row>
    <row r="2519" spans="1:15" x14ac:dyDescent="0.2">
      <c r="A2519">
        <v>40</v>
      </c>
      <c r="B2519">
        <v>202403114</v>
      </c>
      <c r="C2519">
        <v>19790934</v>
      </c>
      <c r="D2519" t="s">
        <v>29</v>
      </c>
      <c r="E2519" t="s">
        <v>1117</v>
      </c>
      <c r="G2519" t="s">
        <v>100</v>
      </c>
      <c r="H2519" t="s">
        <v>1120</v>
      </c>
      <c r="I2519" t="s">
        <v>29</v>
      </c>
      <c r="J2519">
        <v>202523330</v>
      </c>
      <c r="K2519">
        <v>202523330</v>
      </c>
      <c r="L2519" t="str">
        <f>HYPERLINK("https://test.ictv.global/id/TN202403114","TN202403114@TEST")</f>
        <v>TN202403114@TEST</v>
      </c>
      <c r="M2519" t="str">
        <f>HYPERLINK("https://test.ictv.global/id/ICTV19790934","ICTV19790934@TEST")</f>
        <v>ICTV19790934@TEST</v>
      </c>
      <c r="N2519" t="str">
        <f>HYPERLINK("https://ictv.global/id/TN202403114","TN202403114@prod")</f>
        <v>TN202403114@prod</v>
      </c>
      <c r="O2519" t="str">
        <f>HYPERLINK("https://ictv.global/id/ICTV19790934","ICTV19790934@prod")</f>
        <v>ICTV19790934@prod</v>
      </c>
    </row>
    <row r="2520" spans="1:15" x14ac:dyDescent="0.2">
      <c r="A2520">
        <v>40</v>
      </c>
      <c r="B2520">
        <v>202403855</v>
      </c>
      <c r="C2520">
        <v>19780013</v>
      </c>
      <c r="D2520" t="s">
        <v>23</v>
      </c>
      <c r="E2520" t="s">
        <v>1121</v>
      </c>
      <c r="G2520" t="s">
        <v>21</v>
      </c>
      <c r="H2520" t="s">
        <v>1122</v>
      </c>
      <c r="I2520" t="s">
        <v>1123</v>
      </c>
      <c r="J2520">
        <v>19780013</v>
      </c>
      <c r="K2520">
        <v>202503855</v>
      </c>
      <c r="L2520" t="str">
        <f>HYPERLINK("https://test.ictv.global/id/TN202403855","TN202403855@TEST")</f>
        <v>TN202403855@TEST</v>
      </c>
      <c r="M2520" t="str">
        <f>HYPERLINK("https://test.ictv.global/id/ICTV19780013","ICTV19780013@TEST")</f>
        <v>ICTV19780013@TEST</v>
      </c>
      <c r="N2520" t="str">
        <f>HYPERLINK("https://ictv.global/id/TN202403855","TN202403855@prod")</f>
        <v>TN202403855@prod</v>
      </c>
      <c r="O2520" t="str">
        <f>HYPERLINK("https://ictv.global/id/ICTV19780013","ICTV19780013@prod")</f>
        <v>ICTV19780013@prod</v>
      </c>
    </row>
    <row r="2521" spans="1:15" x14ac:dyDescent="0.2">
      <c r="A2521">
        <v>40</v>
      </c>
      <c r="B2521">
        <v>202403856</v>
      </c>
      <c r="C2521">
        <v>20153143</v>
      </c>
      <c r="D2521" t="s">
        <v>26</v>
      </c>
      <c r="E2521" t="s">
        <v>1124</v>
      </c>
      <c r="G2521" t="s">
        <v>21</v>
      </c>
      <c r="H2521" t="s">
        <v>1125</v>
      </c>
      <c r="I2521" t="s">
        <v>1094</v>
      </c>
      <c r="J2521">
        <v>20153143</v>
      </c>
      <c r="K2521">
        <v>202503856</v>
      </c>
      <c r="L2521" t="str">
        <f>HYPERLINK("https://test.ictv.global/id/TN202403856","TN202403856@TEST")</f>
        <v>TN202403856@TEST</v>
      </c>
      <c r="M2521" t="str">
        <f>HYPERLINK("https://test.ictv.global/id/ICTV20153143","ICTV20153143@TEST")</f>
        <v>ICTV20153143@TEST</v>
      </c>
      <c r="N2521" t="str">
        <f>HYPERLINK("https://ictv.global/id/TN202403856","TN202403856@prod")</f>
        <v>TN202403856@prod</v>
      </c>
      <c r="O2521" t="str">
        <f>HYPERLINK("https://ictv.global/id/ICTV20153143","ICTV20153143@prod")</f>
        <v>ICTV20153143@prod</v>
      </c>
    </row>
    <row r="2522" spans="1:15" x14ac:dyDescent="0.2">
      <c r="A2522">
        <v>40</v>
      </c>
      <c r="B2522">
        <v>202403874</v>
      </c>
      <c r="C2522">
        <v>20090654</v>
      </c>
      <c r="D2522" t="s">
        <v>26</v>
      </c>
      <c r="E2522" t="s">
        <v>1126</v>
      </c>
      <c r="G2522" t="s">
        <v>21</v>
      </c>
      <c r="H2522" t="s">
        <v>1127</v>
      </c>
      <c r="I2522" t="s">
        <v>1094</v>
      </c>
      <c r="J2522">
        <v>20090654</v>
      </c>
      <c r="K2522">
        <v>202503874</v>
      </c>
      <c r="L2522" t="str">
        <f>HYPERLINK("https://test.ictv.global/id/TN202403874","TN202403874@TEST")</f>
        <v>TN202403874@TEST</v>
      </c>
      <c r="M2522" t="str">
        <f>HYPERLINK("https://test.ictv.global/id/ICTV20090654","ICTV20090654@TEST")</f>
        <v>ICTV20090654@TEST</v>
      </c>
      <c r="N2522" t="str">
        <f>HYPERLINK("https://ictv.global/id/TN202403874","TN202403874@prod")</f>
        <v>TN202403874@prod</v>
      </c>
      <c r="O2522" t="str">
        <f>HYPERLINK("https://ictv.global/id/ICTV20090654","ICTV20090654@prod")</f>
        <v>ICTV20090654@prod</v>
      </c>
    </row>
    <row r="2523" spans="1:15" x14ac:dyDescent="0.2">
      <c r="A2523">
        <v>40</v>
      </c>
      <c r="B2523">
        <v>202403876</v>
      </c>
      <c r="C2523">
        <v>19931085</v>
      </c>
      <c r="D2523" t="s">
        <v>29</v>
      </c>
      <c r="E2523" t="s">
        <v>2783</v>
      </c>
      <c r="G2523" t="s">
        <v>1165</v>
      </c>
      <c r="L2523" t="str">
        <f>HYPERLINK("https://test.ictv.global/id/TN202403876","TN202403876@TEST")</f>
        <v>TN202403876@TEST</v>
      </c>
      <c r="M2523" t="str">
        <f>HYPERLINK("https://test.ictv.global/id/ICTV19931085","ICTV19931085@TEST")</f>
        <v>ICTV19931085@TEST</v>
      </c>
      <c r="N2523" t="str">
        <f>HYPERLINK("https://ictv.global/id/TN202403876","TN202403876@prod")</f>
        <v>TN202403876@prod</v>
      </c>
      <c r="O2523" t="str">
        <f>HYPERLINK("https://ictv.global/id/ICTV19931085","ICTV19931085@prod")</f>
        <v>ICTV19931085@prod</v>
      </c>
    </row>
    <row r="2524" spans="1:15" x14ac:dyDescent="0.2">
      <c r="A2524">
        <v>40</v>
      </c>
      <c r="B2524">
        <v>202404295</v>
      </c>
      <c r="C2524">
        <v>19900812</v>
      </c>
      <c r="D2524" t="s">
        <v>29</v>
      </c>
      <c r="E2524" t="s">
        <v>1128</v>
      </c>
      <c r="G2524" t="s">
        <v>186</v>
      </c>
      <c r="H2524" t="s">
        <v>1128</v>
      </c>
      <c r="I2524" t="s">
        <v>29</v>
      </c>
      <c r="J2524">
        <v>19900812</v>
      </c>
      <c r="K2524">
        <v>202504295</v>
      </c>
      <c r="L2524" t="str">
        <f>HYPERLINK("https://test.ictv.global/id/TN202404295","TN202404295@TEST")</f>
        <v>TN202404295@TEST</v>
      </c>
      <c r="M2524" t="str">
        <f>HYPERLINK("https://test.ictv.global/id/ICTV19900812","ICTV19900812@TEST")</f>
        <v>ICTV19900812@TEST</v>
      </c>
      <c r="N2524" t="str">
        <f>HYPERLINK("https://ictv.global/id/TN202404295","TN202404295@prod")</f>
        <v>TN202404295@prod</v>
      </c>
      <c r="O2524" t="str">
        <f>HYPERLINK("https://ictv.global/id/ICTV19900812","ICTV19900812@prod")</f>
        <v>ICTV19900812@prod</v>
      </c>
    </row>
    <row r="2525" spans="1:15" x14ac:dyDescent="0.2">
      <c r="A2525">
        <v>40</v>
      </c>
      <c r="B2525">
        <v>202404302</v>
      </c>
      <c r="C2525">
        <v>19911063</v>
      </c>
      <c r="D2525" t="s">
        <v>29</v>
      </c>
      <c r="E2525" t="s">
        <v>1129</v>
      </c>
      <c r="G2525" t="s">
        <v>186</v>
      </c>
      <c r="H2525" t="s">
        <v>1128</v>
      </c>
      <c r="I2525" t="s">
        <v>29</v>
      </c>
      <c r="J2525">
        <v>19900812</v>
      </c>
      <c r="K2525">
        <v>202504295</v>
      </c>
      <c r="L2525" t="str">
        <f>HYPERLINK("https://test.ictv.global/id/TN202404302","TN202404302@TEST")</f>
        <v>TN202404302@TEST</v>
      </c>
      <c r="M2525" t="str">
        <f>HYPERLINK("https://test.ictv.global/id/ICTV19911063","ICTV19911063@TEST")</f>
        <v>ICTV19911063@TEST</v>
      </c>
      <c r="N2525" t="str">
        <f>HYPERLINK("https://ictv.global/id/TN202404302","TN202404302@prod")</f>
        <v>TN202404302@prod</v>
      </c>
      <c r="O2525" t="str">
        <f>HYPERLINK("https://ictv.global/id/ICTV19911063","ICTV19911063@prod")</f>
        <v>ICTV19911063@prod</v>
      </c>
    </row>
    <row r="2526" spans="1:15" x14ac:dyDescent="0.2">
      <c r="A2526">
        <v>40</v>
      </c>
      <c r="B2526">
        <v>202404305</v>
      </c>
      <c r="C2526">
        <v>19911075</v>
      </c>
      <c r="D2526" t="s">
        <v>29</v>
      </c>
      <c r="E2526" t="s">
        <v>1130</v>
      </c>
      <c r="G2526" t="s">
        <v>186</v>
      </c>
      <c r="H2526" t="s">
        <v>1130</v>
      </c>
      <c r="I2526" t="s">
        <v>29</v>
      </c>
      <c r="J2526">
        <v>19911075</v>
      </c>
      <c r="K2526">
        <v>202504305</v>
      </c>
      <c r="L2526" t="str">
        <f>HYPERLINK("https://test.ictv.global/id/TN202404305","TN202404305@TEST")</f>
        <v>TN202404305@TEST</v>
      </c>
      <c r="M2526" t="str">
        <f>HYPERLINK("https://test.ictv.global/id/ICTV19911075","ICTV19911075@TEST")</f>
        <v>ICTV19911075@TEST</v>
      </c>
      <c r="N2526" t="str">
        <f>HYPERLINK("https://ictv.global/id/TN202404305","TN202404305@prod")</f>
        <v>TN202404305@prod</v>
      </c>
      <c r="O2526" t="str">
        <f>HYPERLINK("https://ictv.global/id/ICTV19911075","ICTV19911075@prod")</f>
        <v>ICTV19911075@prod</v>
      </c>
    </row>
    <row r="2527" spans="1:15" x14ac:dyDescent="0.2">
      <c r="A2527">
        <v>40</v>
      </c>
      <c r="B2527">
        <v>202404306</v>
      </c>
      <c r="C2527">
        <v>19911080</v>
      </c>
      <c r="D2527" t="s">
        <v>29</v>
      </c>
      <c r="E2527" t="s">
        <v>1131</v>
      </c>
      <c r="G2527" t="s">
        <v>186</v>
      </c>
      <c r="H2527" t="s">
        <v>1130</v>
      </c>
      <c r="I2527" t="s">
        <v>29</v>
      </c>
      <c r="J2527">
        <v>19911075</v>
      </c>
      <c r="K2527">
        <v>202504305</v>
      </c>
      <c r="L2527" t="str">
        <f>HYPERLINK("https://test.ictv.global/id/TN202404306","TN202404306@TEST")</f>
        <v>TN202404306@TEST</v>
      </c>
      <c r="M2527" t="str">
        <f>HYPERLINK("https://test.ictv.global/id/ICTV19911080","ICTV19911080@TEST")</f>
        <v>ICTV19911080@TEST</v>
      </c>
      <c r="N2527" t="str">
        <f>HYPERLINK("https://ictv.global/id/TN202404306","TN202404306@prod")</f>
        <v>TN202404306@prod</v>
      </c>
      <c r="O2527" t="str">
        <f>HYPERLINK("https://ictv.global/id/ICTV19911080","ICTV19911080@prod")</f>
        <v>ICTV19911080@prod</v>
      </c>
    </row>
    <row r="2528" spans="1:15" x14ac:dyDescent="0.2">
      <c r="A2528">
        <v>40</v>
      </c>
      <c r="B2528">
        <v>202405363</v>
      </c>
      <c r="C2528">
        <v>19870197</v>
      </c>
      <c r="D2528" t="s">
        <v>19</v>
      </c>
      <c r="E2528" t="s">
        <v>2784</v>
      </c>
      <c r="G2528" t="s">
        <v>1165</v>
      </c>
      <c r="L2528" t="str">
        <f>HYPERLINK("https://test.ictv.global/id/TN202405363","TN202405363@TEST")</f>
        <v>TN202405363@TEST</v>
      </c>
      <c r="M2528" t="str">
        <f>HYPERLINK("https://test.ictv.global/id/ICTV19870197","ICTV19870197@TEST")</f>
        <v>ICTV19870197@TEST</v>
      </c>
      <c r="N2528" t="str">
        <f>HYPERLINK("https://ictv.global/id/TN202405363","TN202405363@prod")</f>
        <v>TN202405363@prod</v>
      </c>
      <c r="O2528" t="str">
        <f>HYPERLINK("https://ictv.global/id/ICTV19870197","ICTV19870197@prod")</f>
        <v>ICTV19870197@prod</v>
      </c>
    </row>
    <row r="2529" spans="1:15" x14ac:dyDescent="0.2">
      <c r="A2529">
        <v>40</v>
      </c>
      <c r="B2529">
        <v>202405364</v>
      </c>
      <c r="C2529">
        <v>19871436</v>
      </c>
      <c r="D2529" t="s">
        <v>29</v>
      </c>
      <c r="E2529" t="s">
        <v>2785</v>
      </c>
      <c r="G2529" t="s">
        <v>1165</v>
      </c>
      <c r="L2529" t="str">
        <f>HYPERLINK("https://test.ictv.global/id/TN202405364","TN202405364@TEST")</f>
        <v>TN202405364@TEST</v>
      </c>
      <c r="M2529" t="str">
        <f>HYPERLINK("https://test.ictv.global/id/ICTV19871436","ICTV19871436@TEST")</f>
        <v>ICTV19871436@TEST</v>
      </c>
      <c r="N2529" t="str">
        <f>HYPERLINK("https://ictv.global/id/TN202405364","TN202405364@prod")</f>
        <v>TN202405364@prod</v>
      </c>
      <c r="O2529" t="str">
        <f>HYPERLINK("https://ictv.global/id/ICTV19871436","ICTV19871436@prod")</f>
        <v>ICTV19871436@prod</v>
      </c>
    </row>
    <row r="2530" spans="1:15" x14ac:dyDescent="0.2">
      <c r="A2530">
        <v>40</v>
      </c>
      <c r="B2530">
        <v>202407168</v>
      </c>
      <c r="C2530">
        <v>201907168</v>
      </c>
      <c r="D2530" t="s">
        <v>1123</v>
      </c>
      <c r="E2530" t="s">
        <v>2786</v>
      </c>
      <c r="G2530" t="s">
        <v>1165</v>
      </c>
      <c r="L2530" t="str">
        <f>HYPERLINK("https://test.ictv.global/id/TN202407168","TN202407168@TEST")</f>
        <v>TN202407168@TEST</v>
      </c>
      <c r="M2530" t="str">
        <f>HYPERLINK("https://test.ictv.global/id/ICTV201907168","ICTV201907168@TEST")</f>
        <v>ICTV201907168@TEST</v>
      </c>
      <c r="N2530" t="str">
        <f>HYPERLINK("https://ictv.global/id/TN202407168","TN202407168@prod")</f>
        <v>TN202407168@prod</v>
      </c>
      <c r="O2530" t="str">
        <f>HYPERLINK("https://ictv.global/id/ICTV201907168","ICTV201907168@prod")</f>
        <v>ICTV201907168@prod</v>
      </c>
    </row>
    <row r="2531" spans="1:15" x14ac:dyDescent="0.2">
      <c r="A2531">
        <v>40</v>
      </c>
      <c r="B2531">
        <v>202407169</v>
      </c>
      <c r="C2531">
        <v>201907169</v>
      </c>
      <c r="D2531" t="s">
        <v>1094</v>
      </c>
      <c r="E2531" t="s">
        <v>2787</v>
      </c>
      <c r="G2531" t="s">
        <v>1165</v>
      </c>
      <c r="L2531" t="str">
        <f>HYPERLINK("https://test.ictv.global/id/TN202407169","TN202407169@TEST")</f>
        <v>TN202407169@TEST</v>
      </c>
      <c r="M2531" t="str">
        <f>HYPERLINK("https://test.ictv.global/id/ICTV201907169","ICTV201907169@TEST")</f>
        <v>ICTV201907169@TEST</v>
      </c>
      <c r="N2531" t="str">
        <f>HYPERLINK("https://ictv.global/id/TN202407169","TN202407169@prod")</f>
        <v>TN202407169@prod</v>
      </c>
      <c r="O2531" t="str">
        <f>HYPERLINK("https://ictv.global/id/ICTV201907169","ICTV201907169@prod")</f>
        <v>ICTV201907169@prod</v>
      </c>
    </row>
    <row r="2532" spans="1:15" x14ac:dyDescent="0.2">
      <c r="A2532">
        <v>40</v>
      </c>
      <c r="B2532">
        <v>202407324</v>
      </c>
      <c r="C2532">
        <v>201907324</v>
      </c>
      <c r="D2532" t="s">
        <v>26</v>
      </c>
      <c r="E2532" t="s">
        <v>1045</v>
      </c>
      <c r="G2532" t="s">
        <v>53</v>
      </c>
      <c r="H2532" t="s">
        <v>1132</v>
      </c>
      <c r="I2532" t="s">
        <v>26</v>
      </c>
      <c r="J2532">
        <v>202521568</v>
      </c>
      <c r="K2532">
        <v>202521568</v>
      </c>
      <c r="L2532" t="str">
        <f>HYPERLINK("https://test.ictv.global/id/TN202407324","TN202407324@TEST")</f>
        <v>TN202407324@TEST</v>
      </c>
      <c r="M2532" t="str">
        <f>HYPERLINK("https://test.ictv.global/id/ICTV201907324","ICTV201907324@TEST")</f>
        <v>ICTV201907324@TEST</v>
      </c>
      <c r="N2532" t="str">
        <f>HYPERLINK("https://ictv.global/id/TN202407324","TN202407324@prod")</f>
        <v>TN202407324@prod</v>
      </c>
      <c r="O2532" t="str">
        <f>HYPERLINK("https://ictv.global/id/ICTV201907324","ICTV201907324@prod")</f>
        <v>ICTV201907324@prod</v>
      </c>
    </row>
    <row r="2533" spans="1:15" x14ac:dyDescent="0.2">
      <c r="A2533">
        <v>40</v>
      </c>
      <c r="B2533">
        <v>202407324</v>
      </c>
      <c r="C2533">
        <v>201907324</v>
      </c>
      <c r="D2533" t="s">
        <v>26</v>
      </c>
      <c r="E2533" t="s">
        <v>1045</v>
      </c>
      <c r="G2533" t="s">
        <v>53</v>
      </c>
      <c r="H2533" t="s">
        <v>1133</v>
      </c>
      <c r="I2533" t="s">
        <v>26</v>
      </c>
      <c r="J2533">
        <v>202521569</v>
      </c>
      <c r="K2533">
        <v>202521569</v>
      </c>
      <c r="L2533" t="str">
        <f>HYPERLINK("https://test.ictv.global/id/TN202407324","TN202407324@TEST")</f>
        <v>TN202407324@TEST</v>
      </c>
      <c r="M2533" t="str">
        <f>HYPERLINK("https://test.ictv.global/id/ICTV201907324","ICTV201907324@TEST")</f>
        <v>ICTV201907324@TEST</v>
      </c>
      <c r="N2533" t="str">
        <f>HYPERLINK("https://ictv.global/id/TN202407324","TN202407324@prod")</f>
        <v>TN202407324@prod</v>
      </c>
      <c r="O2533" t="str">
        <f>HYPERLINK("https://ictv.global/id/ICTV201907324","ICTV201907324@prod")</f>
        <v>ICTV201907324@prod</v>
      </c>
    </row>
    <row r="2534" spans="1:15" x14ac:dyDescent="0.2">
      <c r="A2534">
        <v>40</v>
      </c>
      <c r="B2534">
        <v>202407324</v>
      </c>
      <c r="C2534">
        <v>201907324</v>
      </c>
      <c r="D2534" t="s">
        <v>26</v>
      </c>
      <c r="E2534" t="s">
        <v>1045</v>
      </c>
      <c r="G2534" t="s">
        <v>53</v>
      </c>
      <c r="H2534" t="s">
        <v>1134</v>
      </c>
      <c r="I2534" t="s">
        <v>26</v>
      </c>
      <c r="J2534">
        <v>202521570</v>
      </c>
      <c r="K2534">
        <v>202521570</v>
      </c>
      <c r="L2534" t="str">
        <f>HYPERLINK("https://test.ictv.global/id/TN202407324","TN202407324@TEST")</f>
        <v>TN202407324@TEST</v>
      </c>
      <c r="M2534" t="str">
        <f>HYPERLINK("https://test.ictv.global/id/ICTV201907324","ICTV201907324@TEST")</f>
        <v>ICTV201907324@TEST</v>
      </c>
      <c r="N2534" t="str">
        <f>HYPERLINK("https://ictv.global/id/TN202407324","TN202407324@prod")</f>
        <v>TN202407324@prod</v>
      </c>
      <c r="O2534" t="str">
        <f>HYPERLINK("https://ictv.global/id/ICTV201907324","ICTV201907324@prod")</f>
        <v>ICTV201907324@prod</v>
      </c>
    </row>
    <row r="2535" spans="1:15" x14ac:dyDescent="0.2">
      <c r="A2535">
        <v>40</v>
      </c>
      <c r="B2535">
        <v>202408684</v>
      </c>
      <c r="C2535">
        <v>201908684</v>
      </c>
      <c r="D2535" t="s">
        <v>19</v>
      </c>
      <c r="E2535" t="s">
        <v>1135</v>
      </c>
      <c r="G2535" t="s">
        <v>53</v>
      </c>
      <c r="H2535" t="s">
        <v>1135</v>
      </c>
      <c r="I2535" t="s">
        <v>19</v>
      </c>
      <c r="J2535">
        <v>201908684</v>
      </c>
      <c r="K2535">
        <v>202508684</v>
      </c>
      <c r="L2535" t="str">
        <f>HYPERLINK("https://test.ictv.global/id/TN202408684","TN202408684@TEST")</f>
        <v>TN202408684@TEST</v>
      </c>
      <c r="M2535" t="str">
        <f>HYPERLINK("https://test.ictv.global/id/ICTV201908684","ICTV201908684@TEST")</f>
        <v>ICTV201908684@TEST</v>
      </c>
      <c r="N2535" t="str">
        <f>HYPERLINK("https://ictv.global/id/TN202408684","TN202408684@prod")</f>
        <v>TN202408684@prod</v>
      </c>
      <c r="O2535" t="str">
        <f>HYPERLINK("https://ictv.global/id/ICTV201908684","ICTV201908684@prod")</f>
        <v>ICTV201908684@prod</v>
      </c>
    </row>
    <row r="2536" spans="1:15" x14ac:dyDescent="0.2">
      <c r="A2536">
        <v>40</v>
      </c>
      <c r="B2536">
        <v>202408684</v>
      </c>
      <c r="C2536">
        <v>201908684</v>
      </c>
      <c r="D2536" t="s">
        <v>19</v>
      </c>
      <c r="E2536" t="s">
        <v>1135</v>
      </c>
      <c r="G2536" t="s">
        <v>53</v>
      </c>
      <c r="H2536" t="s">
        <v>1136</v>
      </c>
      <c r="I2536" t="s">
        <v>19</v>
      </c>
      <c r="J2536">
        <v>202521670</v>
      </c>
      <c r="K2536">
        <v>202521670</v>
      </c>
      <c r="L2536" t="str">
        <f>HYPERLINK("https://test.ictv.global/id/TN202408684","TN202408684@TEST")</f>
        <v>TN202408684@TEST</v>
      </c>
      <c r="M2536" t="str">
        <f>HYPERLINK("https://test.ictv.global/id/ICTV201908684","ICTV201908684@TEST")</f>
        <v>ICTV201908684@TEST</v>
      </c>
      <c r="N2536" t="str">
        <f>HYPERLINK("https://ictv.global/id/TN202408684","TN202408684@prod")</f>
        <v>TN202408684@prod</v>
      </c>
      <c r="O2536" t="str">
        <f>HYPERLINK("https://ictv.global/id/ICTV201908684","ICTV201908684@prod")</f>
        <v>ICTV201908684@prod</v>
      </c>
    </row>
    <row r="2537" spans="1:15" x14ac:dyDescent="0.2">
      <c r="A2537">
        <v>40</v>
      </c>
      <c r="B2537">
        <v>202408684</v>
      </c>
      <c r="C2537">
        <v>201908684</v>
      </c>
      <c r="D2537" t="s">
        <v>19</v>
      </c>
      <c r="E2537" t="s">
        <v>1135</v>
      </c>
      <c r="G2537" t="s">
        <v>53</v>
      </c>
      <c r="H2537" t="s">
        <v>1137</v>
      </c>
      <c r="I2537" t="s">
        <v>19</v>
      </c>
      <c r="J2537">
        <v>202521671</v>
      </c>
      <c r="K2537">
        <v>202521671</v>
      </c>
      <c r="L2537" t="str">
        <f>HYPERLINK("https://test.ictv.global/id/TN202408684","TN202408684@TEST")</f>
        <v>TN202408684@TEST</v>
      </c>
      <c r="M2537" t="str">
        <f>HYPERLINK("https://test.ictv.global/id/ICTV201908684","ICTV201908684@TEST")</f>
        <v>ICTV201908684@TEST</v>
      </c>
      <c r="N2537" t="str">
        <f>HYPERLINK("https://ictv.global/id/TN202408684","TN202408684@prod")</f>
        <v>TN202408684@prod</v>
      </c>
      <c r="O2537" t="str">
        <f>HYPERLINK("https://ictv.global/id/ICTV201908684","ICTV201908684@prod")</f>
        <v>ICTV201908684@prod</v>
      </c>
    </row>
    <row r="2538" spans="1:15" x14ac:dyDescent="0.2">
      <c r="A2538">
        <v>40</v>
      </c>
      <c r="B2538">
        <v>202411579</v>
      </c>
      <c r="C2538">
        <v>202011579</v>
      </c>
      <c r="D2538" t="s">
        <v>29</v>
      </c>
      <c r="E2538" t="s">
        <v>2788</v>
      </c>
      <c r="F2538" t="s">
        <v>2789</v>
      </c>
      <c r="G2538" t="s">
        <v>1165</v>
      </c>
      <c r="L2538" t="str">
        <f>HYPERLINK("https://test.ictv.global/id/TN202411579","TN202411579@TEST")</f>
        <v>TN202411579@TEST</v>
      </c>
      <c r="M2538" t="str">
        <f>HYPERLINK("https://test.ictv.global/id/ICTV202011579","ICTV202011579@TEST")</f>
        <v>ICTV202011579@TEST</v>
      </c>
      <c r="N2538" t="str">
        <f>HYPERLINK("https://ictv.global/id/TN202411579","TN202411579@prod")</f>
        <v>TN202411579@prod</v>
      </c>
      <c r="O2538" t="str">
        <f>HYPERLINK("https://ictv.global/id/ICTV202011579","ICTV202011579@prod")</f>
        <v>ICTV202011579@prod</v>
      </c>
    </row>
    <row r="2539" spans="1:15" x14ac:dyDescent="0.2">
      <c r="A2539">
        <v>40</v>
      </c>
      <c r="B2539">
        <v>202414264</v>
      </c>
      <c r="C2539">
        <v>202214264</v>
      </c>
      <c r="D2539" t="s">
        <v>29</v>
      </c>
      <c r="E2539" t="s">
        <v>2790</v>
      </c>
      <c r="F2539" t="s">
        <v>2791</v>
      </c>
      <c r="G2539" t="s">
        <v>1165</v>
      </c>
      <c r="L2539" t="str">
        <f>HYPERLINK("https://test.ictv.global/id/TN202414264","TN202414264@TEST")</f>
        <v>TN202414264@TEST</v>
      </c>
      <c r="M2539" t="str">
        <f>HYPERLINK("https://test.ictv.global/id/ICTV202214264","ICTV202214264@TEST")</f>
        <v>ICTV202214264@TEST</v>
      </c>
      <c r="N2539" t="str">
        <f>HYPERLINK("https://ictv.global/id/TN202414264","TN202414264@prod")</f>
        <v>TN202414264@prod</v>
      </c>
      <c r="O2539" t="str">
        <f>HYPERLINK("https://ictv.global/id/ICTV202214264","ICTV202214264@prod")</f>
        <v>ICTV202214264@prod</v>
      </c>
    </row>
  </sheetData>
  <autoFilter ref="A1:O2539" xr:uid="{2ABE58ED-C9DC-9048-86EE-7B8E598DAC86}"/>
  <conditionalFormatting sqref="G1:G1048576">
    <cfRule type="containsText" dxfId="4" priority="4" operator="containsText" text="abolish">
      <formula>NOT(ISERROR(SEARCH("abolish",G1)))</formula>
    </cfRule>
    <cfRule type="containsText" dxfId="5" priority="3" operator="containsText" text="merge">
      <formula>NOT(ISERROR(SEARCH("merge",G1)))</formula>
    </cfRule>
    <cfRule type="containsText" dxfId="6" priority="2" operator="containsText" text="split">
      <formula>NOT(ISERROR(SEARCH("split",G1)))</formula>
    </cfRule>
    <cfRule type="containsText" dxfId="3" priority="1" operator="containsText" text="mote">
      <formula>NOT(ISERROR(SEARCH("mote",G1)))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2CF3-09C3-EA43-9A9D-DFFC84FA2167}">
  <dimension ref="A1:A32"/>
  <sheetViews>
    <sheetView workbookViewId="0">
      <selection sqref="A1:A32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1" t="s">
        <v>0</v>
      </c>
    </row>
    <row r="4" spans="1:1" x14ac:dyDescent="0.2">
      <c r="A4" s="3" t="s">
        <v>2</v>
      </c>
    </row>
    <row r="5" spans="1:1" x14ac:dyDescent="0.2">
      <c r="A5" s="2" t="s">
        <v>3</v>
      </c>
    </row>
    <row r="6" spans="1:1" x14ac:dyDescent="0.2">
      <c r="A6" s="4" t="s">
        <v>4</v>
      </c>
    </row>
    <row r="7" spans="1:1" x14ac:dyDescent="0.2">
      <c r="A7" s="4" t="s">
        <v>5</v>
      </c>
    </row>
    <row r="8" spans="1:1" x14ac:dyDescent="0.2">
      <c r="A8" s="4" t="s">
        <v>6</v>
      </c>
    </row>
    <row r="9" spans="1:1" x14ac:dyDescent="0.2">
      <c r="A9" s="4" t="s">
        <v>7</v>
      </c>
    </row>
    <row r="10" spans="1:1" x14ac:dyDescent="0.2">
      <c r="A10" s="4" t="s">
        <v>1156</v>
      </c>
    </row>
    <row r="11" spans="1:1" x14ac:dyDescent="0.2">
      <c r="A11" s="2" t="s">
        <v>8</v>
      </c>
    </row>
    <row r="12" spans="1:1" x14ac:dyDescent="0.2">
      <c r="A12" s="5" t="s">
        <v>9</v>
      </c>
    </row>
    <row r="13" spans="1:1" x14ac:dyDescent="0.2">
      <c r="A13" s="2" t="s">
        <v>10</v>
      </c>
    </row>
    <row r="14" spans="1:1" x14ac:dyDescent="0.2">
      <c r="A14" s="4" t="s">
        <v>11</v>
      </c>
    </row>
    <row r="15" spans="1:1" x14ac:dyDescent="0.2">
      <c r="A15" s="4" t="s">
        <v>12</v>
      </c>
    </row>
    <row r="16" spans="1:1" x14ac:dyDescent="0.2">
      <c r="A16" s="4" t="s">
        <v>13</v>
      </c>
    </row>
    <row r="17" spans="1:1" x14ac:dyDescent="0.2">
      <c r="A17" s="4" t="s">
        <v>14</v>
      </c>
    </row>
    <row r="18" spans="1:1" x14ac:dyDescent="0.2">
      <c r="A18" s="2" t="s">
        <v>15</v>
      </c>
    </row>
    <row r="19" spans="1:1" x14ac:dyDescent="0.2">
      <c r="A19" s="6" t="s">
        <v>1152</v>
      </c>
    </row>
    <row r="20" spans="1:1" x14ac:dyDescent="0.2">
      <c r="A20" s="6" t="s">
        <v>1153</v>
      </c>
    </row>
    <row r="21" spans="1:1" x14ac:dyDescent="0.2">
      <c r="A21" s="6" t="s">
        <v>1154</v>
      </c>
    </row>
    <row r="22" spans="1:1" x14ac:dyDescent="0.2">
      <c r="A22" s="6" t="s">
        <v>1155</v>
      </c>
    </row>
    <row r="23" spans="1:1" x14ac:dyDescent="0.2">
      <c r="A23" s="3" t="s">
        <v>16</v>
      </c>
    </row>
    <row r="24" spans="1:1" x14ac:dyDescent="0.2">
      <c r="A24" s="3" t="s">
        <v>17</v>
      </c>
    </row>
    <row r="25" spans="1:1" x14ac:dyDescent="0.2">
      <c r="A25" s="3" t="s">
        <v>1157</v>
      </c>
    </row>
    <row r="26" spans="1:1" x14ac:dyDescent="0.2">
      <c r="A26" s="3" t="s">
        <v>1158</v>
      </c>
    </row>
    <row r="27" spans="1:1" x14ac:dyDescent="0.2">
      <c r="A27" s="4" t="s">
        <v>1159</v>
      </c>
    </row>
    <row r="28" spans="1:1" x14ac:dyDescent="0.2">
      <c r="A28" s="3" t="s">
        <v>1160</v>
      </c>
    </row>
    <row r="29" spans="1:1" x14ac:dyDescent="0.2">
      <c r="A29" s="3" t="s">
        <v>1161</v>
      </c>
    </row>
    <row r="30" spans="1:1" x14ac:dyDescent="0.2">
      <c r="A30" s="3" t="s">
        <v>1162</v>
      </c>
    </row>
    <row r="31" spans="1:1" x14ac:dyDescent="0.2">
      <c r="A31" s="1" t="s">
        <v>1163</v>
      </c>
    </row>
    <row r="32" spans="1:1" x14ac:dyDescent="0.2">
      <c r="A32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taxa_of_interest</vt:lpstr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Hendrickson, Curtis (Campus)</dc:creator>
  <cp:lastModifiedBy>Hendrickson, Curtis (Campus)</cp:lastModifiedBy>
  <dcterms:created xsi:type="dcterms:W3CDTF">2026-09-30T16:24:31Z</dcterms:created>
  <dcterms:modified xsi:type="dcterms:W3CDTF">2026-09-30T17:41:12Z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2026-09-30T17:23:53Z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ff1acca9-2078-4c31-83fa-cd55685ca756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