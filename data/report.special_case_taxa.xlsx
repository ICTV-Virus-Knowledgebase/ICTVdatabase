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taxa_of_interest" sheetId="1" state="visible" r:id="rId1"/>
    <sheet name="SQL" sheetId="2" state="visible" r:id="rId2"/>
  </sheets>
  <definedNames>
    <definedName name="_xlnm._FilterDatabase" localSheetId="0" hidden="1">'taxa_of_interest'!$A$1:$O$2539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2"/>
      <scheme val="minor"/>
    </font>
    <font>
      <name val="Aptos Narrow"/>
      <family val="2"/>
      <b val="1"/>
      <color rgb="FF3F3F3F"/>
      <sz val="12"/>
      <scheme val="minor"/>
    </font>
    <font>
      <name val="Menlo"/>
      <family val="2"/>
      <color rgb="FF000000"/>
      <sz val="12"/>
    </font>
    <font>
      <name val="Menlo"/>
      <family val="2"/>
      <color rgb="FF808080"/>
      <sz val="12"/>
    </font>
    <font>
      <name val="Menlo"/>
      <family val="2"/>
      <b val="1"/>
      <color rgb="FF800000"/>
      <sz val="12"/>
    </font>
    <font>
      <name val="Menlo"/>
      <family val="2"/>
      <color rgb="FF006464"/>
      <sz val="12"/>
    </font>
    <font>
      <name val="Menlo"/>
      <family val="2"/>
      <i val="1"/>
      <color rgb="FF8E00C6"/>
      <sz val="12"/>
    </font>
    <font>
      <name val="Menlo"/>
      <family val="2"/>
      <i val="1"/>
      <color rgb="FF006464"/>
      <sz val="12"/>
    </font>
    <font>
      <name val="Menlo"/>
      <family val="2"/>
      <b val="1"/>
      <color rgb="FF000080"/>
      <sz val="12"/>
    </font>
    <font>
      <name val="Menlo"/>
      <family val="2"/>
      <color rgb="FF008000"/>
      <sz val="12"/>
    </font>
    <font>
      <name val="Menlo"/>
      <family val="2"/>
      <color rgb="FF8E00C6"/>
      <sz val="12"/>
    </font>
    <font>
      <name val="Aptos Narrow"/>
      <family val="2"/>
      <color theme="10"/>
      <sz val="12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/>
    <xf numFmtId="0" fontId="11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11" fillId="0" borderId="0" pivotButton="0" quotePrefix="0" xfId="2"/>
    <xf numFmtId="0" fontId="1" fillId="2" borderId="1" pivotButton="0" quotePrefix="0" xfId="1"/>
  </cellXfs>
  <cellStyles count="3">
    <cellStyle name="Normal" xfId="0" builtinId="0"/>
    <cellStyle name="Output" xfId="1" builtinId="21"/>
    <cellStyle name="Hyperlink" xfId="2" builtinId="8"/>
  </cellStyles>
  <dxfs count="11">
    <dxf>
      <font>
        <color rgb="FFC00000"/>
      </font>
      <fill>
        <patternFill>
          <bgColor theme="5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9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10" defaultRowHeight="16"/>
  <cols>
    <col width="15.1640625" bestFit="1" customWidth="1" style="7" min="1" max="1"/>
    <col width="10.1640625" bestFit="1" customWidth="1" style="7" min="2" max="2"/>
    <col width="9" bestFit="1" customWidth="1" style="7" min="4" max="4"/>
    <col width="45" bestFit="1" customWidth="1" style="7" min="5" max="5"/>
    <col width="11" customWidth="1" style="7" min="6" max="6"/>
    <col width="34.33203125" customWidth="1" style="7" min="7" max="7"/>
    <col width="45" bestFit="1" customWidth="1" style="7" min="8" max="8"/>
    <col width="9" bestFit="1" customWidth="1" style="7" min="9" max="9"/>
    <col width="10.1640625" bestFit="1" customWidth="1" style="7" min="11" max="11"/>
    <col width="16.83203125" bestFit="1" customWidth="1" style="7" min="12" max="12"/>
    <col width="18.33203125" bestFit="1" customWidth="1" style="7" min="13" max="13"/>
    <col width="16.83203125" bestFit="1" customWidth="1" style="7" min="14" max="14"/>
    <col width="18.33203125" bestFit="1" customWidth="1" style="7" min="15" max="15"/>
  </cols>
  <sheetData>
    <row r="1">
      <c r="A1" s="9" t="inlineStr">
        <is>
          <t>msl_release_num</t>
        </is>
      </c>
      <c r="B1" s="9" t="inlineStr">
        <is>
          <t>prev_id</t>
        </is>
      </c>
      <c r="C1" s="9" t="inlineStr">
        <is>
          <t>prev_ictv_id</t>
        </is>
      </c>
      <c r="D1" s="9" t="inlineStr">
        <is>
          <t>prev_rank</t>
        </is>
      </c>
      <c r="E1" s="9" t="inlineStr">
        <is>
          <t>prev_name</t>
        </is>
      </c>
      <c r="F1" s="9" t="inlineStr">
        <is>
          <t>accessions</t>
        </is>
      </c>
      <c r="G1" s="9" t="inlineStr">
        <is>
          <t>next_tags</t>
        </is>
      </c>
      <c r="H1" s="9" t="inlineStr">
        <is>
          <t>next_name</t>
        </is>
      </c>
      <c r="I1" s="9" t="inlineStr">
        <is>
          <t>next_rank</t>
        </is>
      </c>
      <c r="J1" s="9" t="inlineStr">
        <is>
          <t>next_ictv_id</t>
        </is>
      </c>
      <c r="K1" s="9" t="inlineStr">
        <is>
          <t>next_id</t>
        </is>
      </c>
      <c r="L1" s="9" t="inlineStr">
        <is>
          <t>test_taxnode_url</t>
        </is>
      </c>
      <c r="M1" s="9" t="inlineStr">
        <is>
          <t>test_ictv_url</t>
        </is>
      </c>
      <c r="N1" s="9" t="inlineStr">
        <is>
          <t>prod_taxnode_url</t>
        </is>
      </c>
      <c r="O1" s="9" t="inlineStr">
        <is>
          <t>prod_ictv_url</t>
        </is>
      </c>
    </row>
    <row r="2">
      <c r="A2" t="n">
        <v>1</v>
      </c>
      <c r="B2" t="n">
        <v>19710040</v>
      </c>
      <c r="C2" t="n">
        <v>19740004</v>
      </c>
      <c r="D2" t="inlineStr">
        <is>
          <t>genus</t>
        </is>
      </c>
      <c r="E2" t="inlineStr">
        <is>
          <t>Poxvirus</t>
        </is>
      </c>
      <c r="G2" t="inlineStr">
        <is>
          <t>Renamed,Promoted,</t>
        </is>
      </c>
      <c r="H2" t="inlineStr">
        <is>
          <t>Poxviridae</t>
        </is>
      </c>
      <c r="I2" t="inlineStr">
        <is>
          <t>family</t>
        </is>
      </c>
      <c r="J2" t="n">
        <v>19740004</v>
      </c>
      <c r="K2" t="n">
        <v>19740004</v>
      </c>
      <c r="L2" s="8">
        <f>HYPERLINK("https://test.ictv.global/id/TN19710040","TN19710040@TEST")</f>
        <v/>
      </c>
      <c r="M2" s="8">
        <f>HYPERLINK("https://test.ictv.global/id/ICTV19740004","ICTV19740004@TEST")</f>
        <v/>
      </c>
      <c r="N2" s="8">
        <f>HYPERLINK("https://ictv.global/id/TN19710040","TN19710040@prod")</f>
        <v/>
      </c>
      <c r="O2" s="8">
        <f>HYPERLINK("https://ictv.global/id/ICTV19740004","ICTV19740004@prod")</f>
        <v/>
      </c>
    </row>
    <row r="3">
      <c r="A3" t="n">
        <v>2</v>
      </c>
      <c r="B3" t="n">
        <v>19740045</v>
      </c>
      <c r="C3" t="n">
        <v>19750034</v>
      </c>
      <c r="D3" t="inlineStr">
        <is>
          <t>genus</t>
        </is>
      </c>
      <c r="E3" t="inlineStr">
        <is>
          <t>Leukovirus</t>
        </is>
      </c>
      <c r="G3" t="inlineStr">
        <is>
          <t>Renamed,Promoted,</t>
        </is>
      </c>
      <c r="H3" t="inlineStr">
        <is>
          <t>Oncovirinae</t>
        </is>
      </c>
      <c r="I3" t="inlineStr">
        <is>
          <t>subfamily</t>
        </is>
      </c>
      <c r="J3" t="n">
        <v>19750034</v>
      </c>
      <c r="K3" t="n">
        <v>19750034</v>
      </c>
      <c r="L3" s="8">
        <f>HYPERLINK("https://test.ictv.global/id/TN19740045","TN19740045@TEST")</f>
        <v/>
      </c>
      <c r="M3" s="8">
        <f>HYPERLINK("https://test.ictv.global/id/ICTV19750034","ICTV19750034@TEST")</f>
        <v/>
      </c>
      <c r="N3" s="8">
        <f>HYPERLINK("https://ictv.global/id/TN19740045","TN19740045@prod")</f>
        <v/>
      </c>
      <c r="O3" s="8">
        <f>HYPERLINK("https://ictv.global/id/ICTV19750034","ICTV19750034@prod")</f>
        <v/>
      </c>
    </row>
    <row r="4">
      <c r="A4" t="n">
        <v>2</v>
      </c>
      <c r="B4" t="n">
        <v>19740055</v>
      </c>
      <c r="C4" t="n">
        <v>19750017</v>
      </c>
      <c r="D4" t="inlineStr">
        <is>
          <t>genus</t>
        </is>
      </c>
      <c r="E4" t="inlineStr">
        <is>
          <t>Rhabdovirus</t>
        </is>
      </c>
      <c r="G4" t="inlineStr">
        <is>
          <t>Renamed,Promoted,</t>
        </is>
      </c>
      <c r="H4" t="inlineStr">
        <is>
          <t>Rhabdoviridae</t>
        </is>
      </c>
      <c r="I4" t="inlineStr">
        <is>
          <t>family</t>
        </is>
      </c>
      <c r="J4" t="n">
        <v>19750017</v>
      </c>
      <c r="K4" t="n">
        <v>19750017</v>
      </c>
      <c r="L4" s="8">
        <f>HYPERLINK("https://test.ictv.global/id/TN19740055","TN19740055@TEST")</f>
        <v/>
      </c>
      <c r="M4" s="8">
        <f>HYPERLINK("https://test.ictv.global/id/ICTV19750017","ICTV19750017@TEST")</f>
        <v/>
      </c>
      <c r="N4" s="8">
        <f>HYPERLINK("https://ictv.global/id/TN19740055","TN19740055@prod")</f>
        <v/>
      </c>
      <c r="O4" s="8">
        <f>HYPERLINK("https://ictv.global/id/ICTV19750017","ICTV19750017@prod")</f>
        <v/>
      </c>
    </row>
    <row r="5">
      <c r="A5" t="n">
        <v>3</v>
      </c>
      <c r="B5" t="n">
        <v>19750108</v>
      </c>
      <c r="C5" t="n">
        <v>19710129</v>
      </c>
      <c r="D5" t="inlineStr">
        <is>
          <t>species</t>
        </is>
      </c>
      <c r="E5" t="inlineStr">
        <is>
          <t>Lassa virus</t>
        </is>
      </c>
      <c r="G5" t="inlineStr">
        <is>
          <t>Abolished,</t>
        </is>
      </c>
      <c r="L5" s="8">
        <f>HYPERLINK("https://test.ictv.global/id/TN19750108","TN19750108@TEST")</f>
        <v/>
      </c>
      <c r="M5" s="8">
        <f>HYPERLINK("https://test.ictv.global/id/ICTV19710129","ICTV19710129@TEST")</f>
        <v/>
      </c>
      <c r="N5" s="8">
        <f>HYPERLINK("https://ictv.global/id/TN19750108","TN19750108@prod")</f>
        <v/>
      </c>
      <c r="O5" s="8">
        <f>HYPERLINK("https://ictv.global/id/ICTV19710129","ICTV19710129@prod")</f>
        <v/>
      </c>
    </row>
    <row r="6">
      <c r="A6" t="n">
        <v>3</v>
      </c>
      <c r="B6" t="n">
        <v>19750114</v>
      </c>
      <c r="C6" t="n">
        <v>19710135</v>
      </c>
      <c r="D6" t="inlineStr">
        <is>
          <t>species</t>
        </is>
      </c>
      <c r="E6" t="inlineStr">
        <is>
          <t>Pistillo virus</t>
        </is>
      </c>
      <c r="G6" t="inlineStr">
        <is>
          <t>Abolished,</t>
        </is>
      </c>
      <c r="L6" s="8">
        <f>HYPERLINK("https://test.ictv.global/id/TN19750114","TN19750114@TEST")</f>
        <v/>
      </c>
      <c r="M6" s="8">
        <f>HYPERLINK("https://test.ictv.global/id/ICTV19710135","ICTV19710135@TEST")</f>
        <v/>
      </c>
      <c r="N6" s="8">
        <f>HYPERLINK("https://ictv.global/id/TN19750114","TN19750114@prod")</f>
        <v/>
      </c>
      <c r="O6" s="8">
        <f>HYPERLINK("https://ictv.global/id/ICTV19710135","ICTV19710135@prod")</f>
        <v/>
      </c>
    </row>
    <row r="7">
      <c r="A7" t="n">
        <v>3</v>
      </c>
      <c r="B7" t="n">
        <v>19750119</v>
      </c>
      <c r="C7" t="n">
        <v>19710140</v>
      </c>
      <c r="D7" t="inlineStr">
        <is>
          <t>species</t>
        </is>
      </c>
      <c r="E7" t="inlineStr">
        <is>
          <t>Plodia interpunctella granulosis virus</t>
        </is>
      </c>
      <c r="G7" t="inlineStr">
        <is>
          <t>Abolished,</t>
        </is>
      </c>
      <c r="L7" s="8">
        <f>HYPERLINK("https://test.ictv.global/id/TN19750119","TN19750119@TEST")</f>
        <v/>
      </c>
      <c r="M7" s="8">
        <f>HYPERLINK("https://test.ictv.global/id/ICTV19710140","ICTV19710140@TEST")</f>
        <v/>
      </c>
      <c r="N7" s="8">
        <f>HYPERLINK("https://ictv.global/id/TN19750119","TN19750119@prod")</f>
        <v/>
      </c>
      <c r="O7" s="8">
        <f>HYPERLINK("https://ictv.global/id/ICTV19710140","ICTV19710140@prod")</f>
        <v/>
      </c>
    </row>
    <row r="8">
      <c r="A8" t="n">
        <v>3</v>
      </c>
      <c r="B8" t="n">
        <v>19750120</v>
      </c>
      <c r="C8" t="n">
        <v>19710141</v>
      </c>
      <c r="D8" t="inlineStr">
        <is>
          <t>species</t>
        </is>
      </c>
      <c r="E8" t="inlineStr">
        <is>
          <t>Portheria dispar nuclear polyhedrosis virus</t>
        </is>
      </c>
      <c r="G8" t="inlineStr">
        <is>
          <t>Abolished,</t>
        </is>
      </c>
      <c r="L8" s="8">
        <f>HYPERLINK("https://test.ictv.global/id/TN19750120","TN19750120@TEST")</f>
        <v/>
      </c>
      <c r="M8" s="8">
        <f>HYPERLINK("https://test.ictv.global/id/ICTV19710141","ICTV19710141@TEST")</f>
        <v/>
      </c>
      <c r="N8" s="8">
        <f>HYPERLINK("https://ictv.global/id/TN19750120","TN19750120@prod")</f>
        <v/>
      </c>
      <c r="O8" s="8">
        <f>HYPERLINK("https://ictv.global/id/ICTV19710141","ICTV19710141@prod")</f>
        <v/>
      </c>
    </row>
    <row r="9">
      <c r="A9" t="n">
        <v>3</v>
      </c>
      <c r="B9" t="n">
        <v>19750126</v>
      </c>
      <c r="C9" t="n">
        <v>19710171</v>
      </c>
      <c r="D9" t="inlineStr">
        <is>
          <t>species</t>
        </is>
      </c>
      <c r="E9" t="inlineStr">
        <is>
          <t>Bovine ulcerative mammillitis (Allerton) virus</t>
        </is>
      </c>
      <c r="G9" t="inlineStr">
        <is>
          <t>Abolished,</t>
        </is>
      </c>
      <c r="L9" s="8">
        <f>HYPERLINK("https://test.ictv.global/id/TN19750126","TN19750126@TEST")</f>
        <v/>
      </c>
      <c r="M9" s="8">
        <f>HYPERLINK("https://test.ictv.global/id/ICTV19710171","ICTV19710171@TEST")</f>
        <v/>
      </c>
      <c r="N9" s="8">
        <f>HYPERLINK("https://ictv.global/id/TN19750126","TN19750126@prod")</f>
        <v/>
      </c>
      <c r="O9" s="8">
        <f>HYPERLINK("https://ictv.global/id/ICTV19710171","ICTV19710171@prod")</f>
        <v/>
      </c>
    </row>
    <row r="10">
      <c r="A10" t="n">
        <v>3</v>
      </c>
      <c r="B10" t="n">
        <v>19750127</v>
      </c>
      <c r="C10" t="n">
        <v>19710172</v>
      </c>
      <c r="D10" t="inlineStr">
        <is>
          <t>species</t>
        </is>
      </c>
      <c r="E10" t="inlineStr">
        <is>
          <t>Canine herpesvirus</t>
        </is>
      </c>
      <c r="G10" t="inlineStr">
        <is>
          <t>Abolished,</t>
        </is>
      </c>
      <c r="L10" s="8">
        <f>HYPERLINK("https://test.ictv.global/id/TN19750127","TN19750127@TEST")</f>
        <v/>
      </c>
      <c r="M10" s="8">
        <f>HYPERLINK("https://test.ictv.global/id/ICTV19710172","ICTV19710172@TEST")</f>
        <v/>
      </c>
      <c r="N10" s="8">
        <f>HYPERLINK("https://ictv.global/id/TN19750127","TN19750127@prod")</f>
        <v/>
      </c>
      <c r="O10" s="8">
        <f>HYPERLINK("https://ictv.global/id/ICTV19710172","ICTV19710172@prod")</f>
        <v/>
      </c>
    </row>
    <row r="11">
      <c r="A11" t="n">
        <v>3</v>
      </c>
      <c r="B11" t="n">
        <v>19750129</v>
      </c>
      <c r="C11" t="n">
        <v>19710174</v>
      </c>
      <c r="D11" t="inlineStr">
        <is>
          <t>species</t>
        </is>
      </c>
      <c r="E11" t="inlineStr">
        <is>
          <t>Equine rhinopneumonitis (equine abortion) virus</t>
        </is>
      </c>
      <c r="G11" t="inlineStr">
        <is>
          <t>Abolished,</t>
        </is>
      </c>
      <c r="L11" s="8">
        <f>HYPERLINK("https://test.ictv.global/id/TN19750129","TN19750129@TEST")</f>
        <v/>
      </c>
      <c r="M11" s="8">
        <f>HYPERLINK("https://test.ictv.global/id/ICTV19710174","ICTV19710174@TEST")</f>
        <v/>
      </c>
      <c r="N11" s="8">
        <f>HYPERLINK("https://ictv.global/id/TN19750129","TN19750129@prod")</f>
        <v/>
      </c>
      <c r="O11" s="8">
        <f>HYPERLINK("https://ictv.global/id/ICTV19710174","ICTV19710174@prod")</f>
        <v/>
      </c>
    </row>
    <row r="12">
      <c r="A12" t="n">
        <v>3</v>
      </c>
      <c r="B12" t="n">
        <v>19750130</v>
      </c>
      <c r="C12" t="n">
        <v>19710175</v>
      </c>
      <c r="D12" t="inlineStr">
        <is>
          <t>species</t>
        </is>
      </c>
      <c r="E12" t="inlineStr">
        <is>
          <t>Feline rhinotracheitis virus</t>
        </is>
      </c>
      <c r="G12" t="inlineStr">
        <is>
          <t>Abolished,</t>
        </is>
      </c>
      <c r="L12" s="8">
        <f>HYPERLINK("https://test.ictv.global/id/TN19750130","TN19750130@TEST")</f>
        <v/>
      </c>
      <c r="M12" s="8">
        <f>HYPERLINK("https://test.ictv.global/id/ICTV19710175","ICTV19710175@TEST")</f>
        <v/>
      </c>
      <c r="N12" s="8">
        <f>HYPERLINK("https://ictv.global/id/TN19750130","TN19750130@prod")</f>
        <v/>
      </c>
      <c r="O12" s="8">
        <f>HYPERLINK("https://ictv.global/id/ICTV19710175","ICTV19710175@prod")</f>
        <v/>
      </c>
    </row>
    <row r="13">
      <c r="A13" t="n">
        <v>3</v>
      </c>
      <c r="B13" t="n">
        <v>19750132</v>
      </c>
      <c r="C13" t="n">
        <v>19710177</v>
      </c>
      <c r="D13" t="inlineStr">
        <is>
          <t>species</t>
        </is>
      </c>
      <c r="E13" t="inlineStr">
        <is>
          <t>Herpesvirus cuniculi (virus III of rabbits)</t>
        </is>
      </c>
      <c r="G13" t="inlineStr">
        <is>
          <t>Abolished,</t>
        </is>
      </c>
      <c r="L13" s="8">
        <f>HYPERLINK("https://test.ictv.global/id/TN19750132","TN19750132@TEST")</f>
        <v/>
      </c>
      <c r="M13" s="8">
        <f>HYPERLINK("https://test.ictv.global/id/ICTV19710177","ICTV19710177@TEST")</f>
        <v/>
      </c>
      <c r="N13" s="8">
        <f>HYPERLINK("https://ictv.global/id/TN19750132","TN19750132@prod")</f>
        <v/>
      </c>
      <c r="O13" s="8">
        <f>HYPERLINK("https://ictv.global/id/ICTV19710177","ICTV19710177@prod")</f>
        <v/>
      </c>
    </row>
    <row r="14">
      <c r="A14" t="n">
        <v>3</v>
      </c>
      <c r="B14" t="n">
        <v>19750133</v>
      </c>
      <c r="C14" t="n">
        <v>19710178</v>
      </c>
      <c r="D14" t="inlineStr">
        <is>
          <t>species</t>
        </is>
      </c>
      <c r="E14" t="inlineStr">
        <is>
          <t>Herpesvirus of Cercopithecus</t>
        </is>
      </c>
      <c r="G14" t="inlineStr">
        <is>
          <t>Abolished,</t>
        </is>
      </c>
      <c r="L14" s="8">
        <f>HYPERLINK("https://test.ictv.global/id/TN19750133","TN19750133@TEST")</f>
        <v/>
      </c>
      <c r="M14" s="8">
        <f>HYPERLINK("https://test.ictv.global/id/ICTV19710178","ICTV19710178@TEST")</f>
        <v/>
      </c>
      <c r="N14" s="8">
        <f>HYPERLINK("https://ictv.global/id/TN19750133","TN19750133@prod")</f>
        <v/>
      </c>
      <c r="O14" s="8">
        <f>HYPERLINK("https://ictv.global/id/ICTV19710178","ICTV19710178@prod")</f>
        <v/>
      </c>
    </row>
    <row r="15">
      <c r="A15" t="n">
        <v>3</v>
      </c>
      <c r="B15" t="n">
        <v>19750134</v>
      </c>
      <c r="C15" t="n">
        <v>19710179</v>
      </c>
      <c r="D15" t="inlineStr">
        <is>
          <t>species</t>
        </is>
      </c>
      <c r="E15" t="inlineStr">
        <is>
          <t>Herpesvirus of patas monkeys</t>
        </is>
      </c>
      <c r="G15" t="inlineStr">
        <is>
          <t>Abolished,</t>
        </is>
      </c>
      <c r="L15" s="8">
        <f>HYPERLINK("https://test.ictv.global/id/TN19750134","TN19750134@TEST")</f>
        <v/>
      </c>
      <c r="M15" s="8">
        <f>HYPERLINK("https://test.ictv.global/id/ICTV19710179","ICTV19710179@TEST")</f>
        <v/>
      </c>
      <c r="N15" s="8">
        <f>HYPERLINK("https://ictv.global/id/TN19750134","TN19750134@prod")</f>
        <v/>
      </c>
      <c r="O15" s="8">
        <f>HYPERLINK("https://ictv.global/id/ICTV19710179","ICTV19710179@prod")</f>
        <v/>
      </c>
    </row>
    <row r="16">
      <c r="A16" t="n">
        <v>3</v>
      </c>
      <c r="B16" t="n">
        <v>19750135</v>
      </c>
      <c r="C16" t="n">
        <v>19710180</v>
      </c>
      <c r="D16" t="inlineStr">
        <is>
          <t>species</t>
        </is>
      </c>
      <c r="E16" t="inlineStr">
        <is>
          <t>Herpesvirus of saimiri</t>
        </is>
      </c>
      <c r="G16" t="inlineStr">
        <is>
          <t>Abolished,</t>
        </is>
      </c>
      <c r="L16" s="8">
        <f>HYPERLINK("https://test.ictv.global/id/TN19750135","TN19750135@TEST")</f>
        <v/>
      </c>
      <c r="M16" s="8">
        <f>HYPERLINK("https://test.ictv.global/id/ICTV19710180","ICTV19710180@TEST")</f>
        <v/>
      </c>
      <c r="N16" s="8">
        <f>HYPERLINK("https://ictv.global/id/TN19750135","TN19750135@prod")</f>
        <v/>
      </c>
      <c r="O16" s="8">
        <f>HYPERLINK("https://ictv.global/id/ICTV19710180","ICTV19710180@prod")</f>
        <v/>
      </c>
    </row>
    <row r="17">
      <c r="A17" t="n">
        <v>3</v>
      </c>
      <c r="B17" t="n">
        <v>19750137</v>
      </c>
      <c r="C17" t="n">
        <v>19710182</v>
      </c>
      <c r="D17" t="inlineStr">
        <is>
          <t>species</t>
        </is>
      </c>
      <c r="E17" t="inlineStr">
        <is>
          <t>Herpesvirus T</t>
        </is>
      </c>
      <c r="G17" t="inlineStr">
        <is>
          <t>Abolished,</t>
        </is>
      </c>
      <c r="L17" s="8">
        <f>HYPERLINK("https://test.ictv.global/id/TN19750137","TN19750137@TEST")</f>
        <v/>
      </c>
      <c r="M17" s="8">
        <f>HYPERLINK("https://test.ictv.global/id/ICTV19710182","ICTV19710182@TEST")</f>
        <v/>
      </c>
      <c r="N17" s="8">
        <f>HYPERLINK("https://ictv.global/id/TN19750137","TN19750137@prod")</f>
        <v/>
      </c>
      <c r="O17" s="8">
        <f>HYPERLINK("https://ictv.global/id/ICTV19710182","ICTV19710182@prod")</f>
        <v/>
      </c>
    </row>
    <row r="18">
      <c r="A18" t="n">
        <v>3</v>
      </c>
      <c r="B18" t="n">
        <v>19750139</v>
      </c>
      <c r="C18" t="n">
        <v>19710184</v>
      </c>
      <c r="D18" t="inlineStr">
        <is>
          <t>species</t>
        </is>
      </c>
      <c r="E18" t="inlineStr">
        <is>
          <t>Infectious laryngotracheitis (avian)</t>
        </is>
      </c>
      <c r="G18" t="inlineStr">
        <is>
          <t>Abolished,</t>
        </is>
      </c>
      <c r="L18" s="8">
        <f>HYPERLINK("https://test.ictv.global/id/TN19750139","TN19750139@TEST")</f>
        <v/>
      </c>
      <c r="M18" s="8">
        <f>HYPERLINK("https://test.ictv.global/id/ICTV19710184","ICTV19710184@TEST")</f>
        <v/>
      </c>
      <c r="N18" s="8">
        <f>HYPERLINK("https://ictv.global/id/TN19750139","TN19750139@prod")</f>
        <v/>
      </c>
      <c r="O18" s="8">
        <f>HYPERLINK("https://ictv.global/id/ICTV19710184","ICTV19710184@prod")</f>
        <v/>
      </c>
    </row>
    <row r="19">
      <c r="A19" t="n">
        <v>3</v>
      </c>
      <c r="B19" t="n">
        <v>19750140</v>
      </c>
      <c r="C19" t="n">
        <v>19710185</v>
      </c>
      <c r="D19" t="inlineStr">
        <is>
          <t>species</t>
        </is>
      </c>
      <c r="E19" t="inlineStr">
        <is>
          <t>Malignant catarrh virus of cattle</t>
        </is>
      </c>
      <c r="G19" t="inlineStr">
        <is>
          <t>Abolished,</t>
        </is>
      </c>
      <c r="L19" s="8">
        <f>HYPERLINK("https://test.ictv.global/id/TN19750140","TN19750140@TEST")</f>
        <v/>
      </c>
      <c r="M19" s="8">
        <f>HYPERLINK("https://test.ictv.global/id/ICTV19710185","ICTV19710185@TEST")</f>
        <v/>
      </c>
      <c r="N19" s="8">
        <f>HYPERLINK("https://ictv.global/id/TN19750140","TN19750140@prod")</f>
        <v/>
      </c>
      <c r="O19" s="8">
        <f>HYPERLINK("https://ictv.global/id/ICTV19710185","ICTV19710185@prod")</f>
        <v/>
      </c>
    </row>
    <row r="20">
      <c r="A20" t="n">
        <v>3</v>
      </c>
      <c r="B20" t="n">
        <v>19750142</v>
      </c>
      <c r="C20" t="n">
        <v>19710187</v>
      </c>
      <c r="D20" t="inlineStr">
        <is>
          <t>species</t>
        </is>
      </c>
      <c r="E20" t="inlineStr">
        <is>
          <t>Porcine inclusion body rhinitis virus</t>
        </is>
      </c>
      <c r="G20" t="inlineStr">
        <is>
          <t>Abolished,</t>
        </is>
      </c>
      <c r="L20" s="8">
        <f>HYPERLINK("https://test.ictv.global/id/TN19750142","TN19750142@TEST")</f>
        <v/>
      </c>
      <c r="M20" s="8">
        <f>HYPERLINK("https://test.ictv.global/id/ICTV19710187","ICTV19710187@TEST")</f>
        <v/>
      </c>
      <c r="N20" s="8">
        <f>HYPERLINK("https://ictv.global/id/TN19750142","TN19750142@prod")</f>
        <v/>
      </c>
      <c r="O20" s="8">
        <f>HYPERLINK("https://ictv.global/id/ICTV19710187","ICTV19710187@prod")</f>
        <v/>
      </c>
    </row>
    <row r="21">
      <c r="A21" t="n">
        <v>3</v>
      </c>
      <c r="B21" t="n">
        <v>19750143</v>
      </c>
      <c r="C21" t="n">
        <v>19710188</v>
      </c>
      <c r="D21" t="inlineStr">
        <is>
          <t>species</t>
        </is>
      </c>
      <c r="E21" t="inlineStr">
        <is>
          <t>Pseudorabies (Aujeszky's disease) virus</t>
        </is>
      </c>
      <c r="G21" t="inlineStr">
        <is>
          <t>Abolished,</t>
        </is>
      </c>
      <c r="L21" s="8">
        <f>HYPERLINK("https://test.ictv.global/id/TN19750143","TN19750143@TEST")</f>
        <v/>
      </c>
      <c r="M21" s="8">
        <f>HYPERLINK("https://test.ictv.global/id/ICTV19710188","ICTV19710188@TEST")</f>
        <v/>
      </c>
      <c r="N21" s="8">
        <f>HYPERLINK("https://ictv.global/id/TN19750143","TN19750143@prod")</f>
        <v/>
      </c>
      <c r="O21" s="8">
        <f>HYPERLINK("https://ictv.global/id/ICTV19710188","ICTV19710188@prod")</f>
        <v/>
      </c>
    </row>
    <row r="22">
      <c r="A22" t="n">
        <v>3</v>
      </c>
      <c r="B22" t="n">
        <v>19750144</v>
      </c>
      <c r="C22" t="n">
        <v>19710189</v>
      </c>
      <c r="D22" t="inlineStr">
        <is>
          <t>species</t>
        </is>
      </c>
      <c r="E22" t="inlineStr">
        <is>
          <t>Sheep pulmonary adenomatosis (Jaagsiekte) virus</t>
        </is>
      </c>
      <c r="G22" t="inlineStr">
        <is>
          <t>Abolished,</t>
        </is>
      </c>
      <c r="L22" s="8">
        <f>HYPERLINK("https://test.ictv.global/id/TN19750144","TN19750144@TEST")</f>
        <v/>
      </c>
      <c r="M22" s="8">
        <f>HYPERLINK("https://test.ictv.global/id/ICTV19710189","ICTV19710189@TEST")</f>
        <v/>
      </c>
      <c r="N22" s="8">
        <f>HYPERLINK("https://ictv.global/id/TN19750144","TN19750144@prod")</f>
        <v/>
      </c>
      <c r="O22" s="8">
        <f>HYPERLINK("https://ictv.global/id/ICTV19710189","ICTV19710189@prod")</f>
        <v/>
      </c>
    </row>
    <row r="23">
      <c r="A23" t="n">
        <v>3</v>
      </c>
      <c r="B23" t="n">
        <v>19750145</v>
      </c>
      <c r="C23" t="n">
        <v>19710190</v>
      </c>
      <c r="D23" t="inlineStr">
        <is>
          <t>species</t>
        </is>
      </c>
      <c r="E23" t="inlineStr">
        <is>
          <t>Snake herpesvirus</t>
        </is>
      </c>
      <c r="G23" t="inlineStr">
        <is>
          <t>Abolished,</t>
        </is>
      </c>
      <c r="L23" s="8">
        <f>HYPERLINK("https://test.ictv.global/id/TN19750145","TN19750145@TEST")</f>
        <v/>
      </c>
      <c r="M23" s="8">
        <f>HYPERLINK("https://test.ictv.global/id/ICTV19710190","ICTV19710190@TEST")</f>
        <v/>
      </c>
      <c r="N23" s="8">
        <f>HYPERLINK("https://ictv.global/id/TN19750145","TN19750145@prod")</f>
        <v/>
      </c>
      <c r="O23" s="8">
        <f>HYPERLINK("https://ictv.global/id/ICTV19710190","ICTV19710190@prod")</f>
        <v/>
      </c>
    </row>
    <row r="24">
      <c r="A24" t="n">
        <v>3</v>
      </c>
      <c r="B24" t="n">
        <v>19750154</v>
      </c>
      <c r="C24" t="n">
        <v>19710052</v>
      </c>
      <c r="D24" t="inlineStr">
        <is>
          <t>species</t>
        </is>
      </c>
      <c r="E24" t="inlineStr">
        <is>
          <t>Canine oral papilloma virus</t>
        </is>
      </c>
      <c r="G24" t="inlineStr">
        <is>
          <t>Abolished,</t>
        </is>
      </c>
      <c r="L24" s="8">
        <f>HYPERLINK("https://test.ictv.global/id/TN19750154","TN19750154@TEST")</f>
        <v/>
      </c>
      <c r="M24" s="8">
        <f>HYPERLINK("https://test.ictv.global/id/ICTV19710052","ICTV19710052@TEST")</f>
        <v/>
      </c>
      <c r="N24" s="8">
        <f>HYPERLINK("https://ictv.global/id/TN19750154","TN19750154@prod")</f>
        <v/>
      </c>
      <c r="O24" s="8">
        <f>HYPERLINK("https://ictv.global/id/ICTV19710052","ICTV19710052@prod")</f>
        <v/>
      </c>
    </row>
    <row r="25">
      <c r="A25" t="n">
        <v>3</v>
      </c>
      <c r="B25" t="n">
        <v>19750157</v>
      </c>
      <c r="C25" t="n">
        <v>19710055</v>
      </c>
      <c r="D25" t="inlineStr">
        <is>
          <t>species</t>
        </is>
      </c>
      <c r="E25" t="inlineStr">
        <is>
          <t>Rabbit oral papilloma virus</t>
        </is>
      </c>
      <c r="G25" t="inlineStr">
        <is>
          <t>Abolished,</t>
        </is>
      </c>
      <c r="L25" s="8">
        <f>HYPERLINK("https://test.ictv.global/id/TN19750157","TN19750157@TEST")</f>
        <v/>
      </c>
      <c r="M25" s="8">
        <f>HYPERLINK("https://test.ictv.global/id/ICTV19710055","ICTV19710055@TEST")</f>
        <v/>
      </c>
      <c r="N25" s="8">
        <f>HYPERLINK("https://ictv.global/id/TN19750157","TN19750157@prod")</f>
        <v/>
      </c>
      <c r="O25" s="8">
        <f>HYPERLINK("https://ictv.global/id/ICTV19710055","ICTV19710055@prod")</f>
        <v/>
      </c>
    </row>
    <row r="26">
      <c r="A26" t="n">
        <v>3</v>
      </c>
      <c r="B26" t="n">
        <v>19750176</v>
      </c>
      <c r="C26" t="n">
        <v>19710237</v>
      </c>
      <c r="D26" t="inlineStr">
        <is>
          <t>species</t>
        </is>
      </c>
      <c r="E26" t="inlineStr">
        <is>
          <t>H viruses</t>
        </is>
      </c>
      <c r="G26" t="inlineStr">
        <is>
          <t>Abolished,</t>
        </is>
      </c>
      <c r="L26" s="8">
        <f>HYPERLINK("https://test.ictv.global/id/TN19750176","TN19750176@TEST")</f>
        <v/>
      </c>
      <c r="M26" s="8">
        <f>HYPERLINK("https://test.ictv.global/id/ICTV19710237","ICTV19710237@TEST")</f>
        <v/>
      </c>
      <c r="N26" s="8">
        <f>HYPERLINK("https://ictv.global/id/TN19750176","TN19750176@prod")</f>
        <v/>
      </c>
      <c r="O26" s="8">
        <f>HYPERLINK("https://ictv.global/id/ICTV19710237","ICTV19710237@prod")</f>
        <v/>
      </c>
    </row>
    <row r="27">
      <c r="A27" t="n">
        <v>3</v>
      </c>
      <c r="B27" t="n">
        <v>19750188</v>
      </c>
      <c r="C27" t="n">
        <v>19710067</v>
      </c>
      <c r="D27" t="inlineStr">
        <is>
          <t>species</t>
        </is>
      </c>
      <c r="E27" t="inlineStr">
        <is>
          <t>Nodamura virus</t>
        </is>
      </c>
      <c r="F27" t="inlineStr"/>
      <c r="G27" t="inlineStr">
        <is>
          <t>Abolished,</t>
        </is>
      </c>
      <c r="L27" s="8">
        <f>HYPERLINK("https://test.ictv.global/id/TN19750188","TN19750188@TEST")</f>
        <v/>
      </c>
      <c r="M27" s="8">
        <f>HYPERLINK("https://test.ictv.global/id/ICTV19710067","ICTV19710067@TEST")</f>
        <v/>
      </c>
      <c r="N27" s="8">
        <f>HYPERLINK("https://ictv.global/id/TN19750188","TN19750188@prod")</f>
        <v/>
      </c>
      <c r="O27" s="8">
        <f>HYPERLINK("https://ictv.global/id/ICTV19710067","ICTV19710067@prod")</f>
        <v/>
      </c>
    </row>
    <row r="28">
      <c r="A28" t="n">
        <v>3</v>
      </c>
      <c r="B28" t="n">
        <v>19750202</v>
      </c>
      <c r="C28" t="n">
        <v>19710265</v>
      </c>
      <c r="D28" t="inlineStr">
        <is>
          <t>species</t>
        </is>
      </c>
      <c r="E28" t="inlineStr">
        <is>
          <t>California myxoma virus</t>
        </is>
      </c>
      <c r="G28" t="inlineStr">
        <is>
          <t>Abolished,</t>
        </is>
      </c>
      <c r="L28" s="8">
        <f>HYPERLINK("https://test.ictv.global/id/TN19750202","TN19750202@TEST")</f>
        <v/>
      </c>
      <c r="M28" s="8">
        <f>HYPERLINK("https://test.ictv.global/id/ICTV19710265","ICTV19710265@TEST")</f>
        <v/>
      </c>
      <c r="N28" s="8">
        <f>HYPERLINK("https://ictv.global/id/TN19750202","TN19750202@prod")</f>
        <v/>
      </c>
      <c r="O28" s="8">
        <f>HYPERLINK("https://ictv.global/id/ICTV19710265","ICTV19710265@prod")</f>
        <v/>
      </c>
    </row>
    <row r="29">
      <c r="A29" t="n">
        <v>3</v>
      </c>
      <c r="B29" t="n">
        <v>19750207</v>
      </c>
      <c r="C29" t="n">
        <v>19710262</v>
      </c>
      <c r="D29" t="inlineStr">
        <is>
          <t>species</t>
        </is>
      </c>
      <c r="E29" t="inlineStr">
        <is>
          <t>Alastrim virus</t>
        </is>
      </c>
      <c r="G29" t="inlineStr">
        <is>
          <t>Abolished,</t>
        </is>
      </c>
      <c r="L29" s="8">
        <f>HYPERLINK("https://test.ictv.global/id/TN19750207","TN19750207@TEST")</f>
        <v/>
      </c>
      <c r="M29" s="8">
        <f>HYPERLINK("https://test.ictv.global/id/ICTV19710262","ICTV19710262@TEST")</f>
        <v/>
      </c>
      <c r="N29" s="8">
        <f>HYPERLINK("https://ictv.global/id/TN19750207","TN19750207@prod")</f>
        <v/>
      </c>
      <c r="O29" s="8">
        <f>HYPERLINK("https://ictv.global/id/ICTV19710262","ICTV19710262@prod")</f>
        <v/>
      </c>
    </row>
    <row r="30">
      <c r="A30" t="n">
        <v>3</v>
      </c>
      <c r="B30" t="n">
        <v>19750220</v>
      </c>
      <c r="C30" t="n">
        <v>19710273</v>
      </c>
      <c r="D30" t="inlineStr">
        <is>
          <t>species</t>
        </is>
      </c>
      <c r="E30" t="inlineStr">
        <is>
          <t>Horse pox virus</t>
        </is>
      </c>
      <c r="G30" t="inlineStr">
        <is>
          <t>Abolished,</t>
        </is>
      </c>
      <c r="L30" s="8">
        <f>HYPERLINK("https://test.ictv.global/id/TN19750220","TN19750220@TEST")</f>
        <v/>
      </c>
      <c r="M30" s="8">
        <f>HYPERLINK("https://test.ictv.global/id/ICTV19710273","ICTV19710273@TEST")</f>
        <v/>
      </c>
      <c r="N30" s="8">
        <f>HYPERLINK("https://ictv.global/id/TN19750220","TN19750220@prod")</f>
        <v/>
      </c>
      <c r="O30" s="8">
        <f>HYPERLINK("https://ictv.global/id/ICTV19710273","ICTV19710273@prod")</f>
        <v/>
      </c>
    </row>
    <row r="31">
      <c r="A31" t="n">
        <v>3</v>
      </c>
      <c r="B31" t="n">
        <v>19750222</v>
      </c>
      <c r="C31" t="n">
        <v>19710285</v>
      </c>
      <c r="D31" t="inlineStr">
        <is>
          <t>species</t>
        </is>
      </c>
      <c r="E31" t="inlineStr">
        <is>
          <t>Rhinoceros pox virus</t>
        </is>
      </c>
      <c r="G31" t="inlineStr">
        <is>
          <t>Abolished,</t>
        </is>
      </c>
      <c r="L31" s="8">
        <f>HYPERLINK("https://test.ictv.global/id/TN19750222","TN19750222@TEST")</f>
        <v/>
      </c>
      <c r="M31" s="8">
        <f>HYPERLINK("https://test.ictv.global/id/ICTV19710285","ICTV19710285@TEST")</f>
        <v/>
      </c>
      <c r="N31" s="8">
        <f>HYPERLINK("https://ictv.global/id/TN19750222","TN19750222@prod")</f>
        <v/>
      </c>
      <c r="O31" s="8">
        <f>HYPERLINK("https://ictv.global/id/ICTV19710285","ICTV19710285@prod")</f>
        <v/>
      </c>
    </row>
    <row r="32">
      <c r="A32" t="n">
        <v>3</v>
      </c>
      <c r="B32" t="n">
        <v>19750240</v>
      </c>
      <c r="C32" t="n">
        <v>19710302</v>
      </c>
      <c r="D32" t="inlineStr">
        <is>
          <t>species</t>
        </is>
      </c>
      <c r="E32" t="inlineStr">
        <is>
          <t>Mammalian reovirus 1</t>
        </is>
      </c>
      <c r="G32" t="inlineStr">
        <is>
          <t>Merged,Assigned as Type Species,</t>
        </is>
      </c>
      <c r="H32" t="inlineStr">
        <is>
          <t>Reovirus type 1</t>
        </is>
      </c>
      <c r="I32" t="inlineStr">
        <is>
          <t>species</t>
        </is>
      </c>
      <c r="J32" t="n">
        <v>19760524</v>
      </c>
      <c r="K32" t="n">
        <v>19760524</v>
      </c>
      <c r="L32" s="8">
        <f>HYPERLINK("https://test.ictv.global/id/TN19750240","TN19750240@TEST")</f>
        <v/>
      </c>
      <c r="M32" s="8">
        <f>HYPERLINK("https://test.ictv.global/id/ICTV19710302","ICTV19710302@TEST")</f>
        <v/>
      </c>
      <c r="N32" s="8">
        <f>HYPERLINK("https://ictv.global/id/TN19750240","TN19750240@prod")</f>
        <v/>
      </c>
      <c r="O32" s="8">
        <f>HYPERLINK("https://ictv.global/id/ICTV19710302","ICTV19710302@prod")</f>
        <v/>
      </c>
    </row>
    <row r="33">
      <c r="A33" t="n">
        <v>3</v>
      </c>
      <c r="B33" t="n">
        <v>19750243</v>
      </c>
      <c r="C33" t="n">
        <v>19760524</v>
      </c>
      <c r="D33" t="inlineStr">
        <is>
          <t>species</t>
        </is>
      </c>
      <c r="E33" t="inlineStr">
        <is>
          <t>Reovirus type 1</t>
        </is>
      </c>
      <c r="G33" t="inlineStr">
        <is>
          <t>Merged,</t>
        </is>
      </c>
      <c r="H33" t="inlineStr">
        <is>
          <t>Reovirus type 1</t>
        </is>
      </c>
      <c r="I33" t="inlineStr">
        <is>
          <t>species</t>
        </is>
      </c>
      <c r="J33" t="n">
        <v>19760524</v>
      </c>
      <c r="K33" t="n">
        <v>19760524</v>
      </c>
      <c r="L33" s="8">
        <f>HYPERLINK("https://test.ictv.global/id/TN19750243","TN19750243@TEST")</f>
        <v/>
      </c>
      <c r="M33" s="8">
        <f>HYPERLINK("https://test.ictv.global/id/ICTV19760524","ICTV19760524@TEST")</f>
        <v/>
      </c>
      <c r="N33" s="8">
        <f>HYPERLINK("https://ictv.global/id/TN19750243","TN19750243@prod")</f>
        <v/>
      </c>
      <c r="O33" s="8">
        <f>HYPERLINK("https://ictv.global/id/ICTV19760524","ICTV19760524@prod")</f>
        <v/>
      </c>
    </row>
    <row r="34">
      <c r="A34" t="n">
        <v>3</v>
      </c>
      <c r="B34" t="n">
        <v>19750247</v>
      </c>
      <c r="C34" t="n">
        <v>19710197</v>
      </c>
      <c r="D34" t="inlineStr">
        <is>
          <t>species</t>
        </is>
      </c>
      <c r="E34" t="inlineStr">
        <is>
          <t>FAV 1</t>
        </is>
      </c>
      <c r="G34" t="inlineStr">
        <is>
          <t>Abolished,</t>
        </is>
      </c>
      <c r="L34" s="8">
        <f>HYPERLINK("https://test.ictv.global/id/TN19750247","TN19750247@TEST")</f>
        <v/>
      </c>
      <c r="M34" s="8">
        <f>HYPERLINK("https://test.ictv.global/id/ICTV19710197","ICTV19710197@TEST")</f>
        <v/>
      </c>
      <c r="N34" s="8">
        <f>HYPERLINK("https://ictv.global/id/TN19750247","TN19750247@prod")</f>
        <v/>
      </c>
      <c r="O34" s="8">
        <f>HYPERLINK("https://ictv.global/id/ICTV19710197","ICTV19710197@prod")</f>
        <v/>
      </c>
    </row>
    <row r="35">
      <c r="A35" t="n">
        <v>3</v>
      </c>
      <c r="B35" t="n">
        <v>19750248</v>
      </c>
      <c r="C35" t="n">
        <v>19710198</v>
      </c>
      <c r="D35" t="inlineStr">
        <is>
          <t>species</t>
        </is>
      </c>
      <c r="E35" t="inlineStr">
        <is>
          <t>Feline leukemia virus</t>
        </is>
      </c>
      <c r="F35" t="inlineStr"/>
      <c r="G35" t="inlineStr">
        <is>
          <t>Merged,</t>
        </is>
      </c>
      <c r="H35" t="inlineStr">
        <is>
          <t>Feline sarcoma and leukemia virus</t>
        </is>
      </c>
      <c r="I35" t="inlineStr">
        <is>
          <t>species</t>
        </is>
      </c>
      <c r="J35" t="n">
        <v>19760533</v>
      </c>
      <c r="K35" t="n">
        <v>19760533</v>
      </c>
      <c r="L35" s="8">
        <f>HYPERLINK("https://test.ictv.global/id/TN19750248","TN19750248@TEST")</f>
        <v/>
      </c>
      <c r="M35" s="8">
        <f>HYPERLINK("https://test.ictv.global/id/ICTV19710198","ICTV19710198@TEST")</f>
        <v/>
      </c>
      <c r="N35" s="8">
        <f>HYPERLINK("https://ictv.global/id/TN19750248","TN19750248@prod")</f>
        <v/>
      </c>
      <c r="O35" s="8">
        <f>HYPERLINK("https://ictv.global/id/ICTV19710198","ICTV19710198@prod")</f>
        <v/>
      </c>
    </row>
    <row r="36">
      <c r="A36" t="n">
        <v>3</v>
      </c>
      <c r="B36" t="n">
        <v>19750249</v>
      </c>
      <c r="C36" t="n">
        <v>19710199</v>
      </c>
      <c r="D36" t="inlineStr">
        <is>
          <t>species</t>
        </is>
      </c>
      <c r="E36" t="inlineStr">
        <is>
          <t>Feline sarcoma virus</t>
        </is>
      </c>
      <c r="G36" t="inlineStr">
        <is>
          <t>Merged,</t>
        </is>
      </c>
      <c r="H36" t="inlineStr">
        <is>
          <t>Feline sarcoma and leukemia virus</t>
        </is>
      </c>
      <c r="I36" t="inlineStr">
        <is>
          <t>species</t>
        </is>
      </c>
      <c r="J36" t="n">
        <v>19760533</v>
      </c>
      <c r="K36" t="n">
        <v>19760533</v>
      </c>
      <c r="L36" s="8">
        <f>HYPERLINK("https://test.ictv.global/id/TN19750249","TN19750249@TEST")</f>
        <v/>
      </c>
      <c r="M36" s="8">
        <f>HYPERLINK("https://test.ictv.global/id/ICTV19710199","ICTV19710199@TEST")</f>
        <v/>
      </c>
      <c r="N36" s="8">
        <f>HYPERLINK("https://ictv.global/id/TN19750249","TN19750249@prod")</f>
        <v/>
      </c>
      <c r="O36" s="8">
        <f>HYPERLINK("https://ictv.global/id/ICTV19710199","ICTV19710199@prod")</f>
        <v/>
      </c>
    </row>
    <row r="37">
      <c r="A37" t="n">
        <v>3</v>
      </c>
      <c r="B37" t="n">
        <v>19750250</v>
      </c>
      <c r="C37" t="n">
        <v>19710200</v>
      </c>
      <c r="D37" t="inlineStr">
        <is>
          <t>species</t>
        </is>
      </c>
      <c r="E37" t="inlineStr">
        <is>
          <t>Fowl sarcoma virus</t>
        </is>
      </c>
      <c r="G37" t="inlineStr">
        <is>
          <t>Merged,</t>
        </is>
      </c>
      <c r="H37" t="inlineStr">
        <is>
          <t>Chicken leukosis and sarcoma virus</t>
        </is>
      </c>
      <c r="I37" t="inlineStr">
        <is>
          <t>species</t>
        </is>
      </c>
      <c r="J37" t="n">
        <v>19760531</v>
      </c>
      <c r="K37" t="n">
        <v>19760531</v>
      </c>
      <c r="L37" s="8">
        <f>HYPERLINK("https://test.ictv.global/id/TN19750250","TN19750250@TEST")</f>
        <v/>
      </c>
      <c r="M37" s="8">
        <f>HYPERLINK("https://test.ictv.global/id/ICTV19710200","ICTV19710200@TEST")</f>
        <v/>
      </c>
      <c r="N37" s="8">
        <f>HYPERLINK("https://ictv.global/id/TN19750250","TN19750250@prod")</f>
        <v/>
      </c>
      <c r="O37" s="8">
        <f>HYPERLINK("https://ictv.global/id/ICTV19710200","ICTV19710200@prod")</f>
        <v/>
      </c>
    </row>
    <row r="38">
      <c r="A38" t="n">
        <v>3</v>
      </c>
      <c r="B38" t="n">
        <v>19750251</v>
      </c>
      <c r="C38" t="n">
        <v>19710201</v>
      </c>
      <c r="D38" t="inlineStr">
        <is>
          <t>species</t>
        </is>
      </c>
      <c r="E38" t="inlineStr">
        <is>
          <t>Friend virus</t>
        </is>
      </c>
      <c r="G38" t="inlineStr">
        <is>
          <t>Merged,</t>
        </is>
      </c>
      <c r="H38" t="inlineStr">
        <is>
          <t>Murine sarcoma and leukemia virus</t>
        </is>
      </c>
      <c r="I38" t="inlineStr">
        <is>
          <t>species</t>
        </is>
      </c>
      <c r="J38" t="n">
        <v>19991630</v>
      </c>
      <c r="K38" t="n">
        <v>19760536</v>
      </c>
      <c r="L38" s="8">
        <f>HYPERLINK("https://test.ictv.global/id/TN19750251","TN19750251@TEST")</f>
        <v/>
      </c>
      <c r="M38" s="8">
        <f>HYPERLINK("https://test.ictv.global/id/ICTV19710201","ICTV19710201@TEST")</f>
        <v/>
      </c>
      <c r="N38" s="8">
        <f>HYPERLINK("https://ictv.global/id/TN19750251","TN19750251@prod")</f>
        <v/>
      </c>
      <c r="O38" s="8">
        <f>HYPERLINK("https://ictv.global/id/ICTV19710201","ICTV19710201@prod")</f>
        <v/>
      </c>
    </row>
    <row r="39">
      <c r="A39" t="n">
        <v>3</v>
      </c>
      <c r="B39" t="n">
        <v>19750252</v>
      </c>
      <c r="C39" t="n">
        <v>19710202</v>
      </c>
      <c r="D39" t="inlineStr">
        <is>
          <t>species</t>
        </is>
      </c>
      <c r="E39" t="inlineStr">
        <is>
          <t>Fujinami sarcoma virus</t>
        </is>
      </c>
      <c r="F39" t="inlineStr"/>
      <c r="G39" t="inlineStr">
        <is>
          <t>Abolished,</t>
        </is>
      </c>
      <c r="L39" s="8">
        <f>HYPERLINK("https://test.ictv.global/id/TN19750252","TN19750252@TEST")</f>
        <v/>
      </c>
      <c r="M39" s="8">
        <f>HYPERLINK("https://test.ictv.global/id/ICTV19710202","ICTV19710202@TEST")</f>
        <v/>
      </c>
      <c r="N39" s="8">
        <f>HYPERLINK("https://ictv.global/id/TN19750252","TN19750252@prod")</f>
        <v/>
      </c>
      <c r="O39" s="8">
        <f>HYPERLINK("https://ictv.global/id/ICTV19710202","ICTV19710202@prod")</f>
        <v/>
      </c>
    </row>
    <row r="40">
      <c r="A40" t="n">
        <v>3</v>
      </c>
      <c r="B40" t="n">
        <v>19750253</v>
      </c>
      <c r="C40" t="n">
        <v>19710203</v>
      </c>
      <c r="D40" t="inlineStr">
        <is>
          <t>species</t>
        </is>
      </c>
      <c r="E40" t="inlineStr">
        <is>
          <t>Graffi virus</t>
        </is>
      </c>
      <c r="G40" t="inlineStr">
        <is>
          <t>Merged,</t>
        </is>
      </c>
      <c r="H40" t="inlineStr">
        <is>
          <t>Murine sarcoma and leukemia virus</t>
        </is>
      </c>
      <c r="I40" t="inlineStr">
        <is>
          <t>species</t>
        </is>
      </c>
      <c r="J40" t="n">
        <v>19991630</v>
      </c>
      <c r="K40" t="n">
        <v>19760536</v>
      </c>
      <c r="L40" s="8">
        <f>HYPERLINK("https://test.ictv.global/id/TN19750253","TN19750253@TEST")</f>
        <v/>
      </c>
      <c r="M40" s="8">
        <f>HYPERLINK("https://test.ictv.global/id/ICTV19710203","ICTV19710203@TEST")</f>
        <v/>
      </c>
      <c r="N40" s="8">
        <f>HYPERLINK("https://ictv.global/id/TN19750253","TN19750253@prod")</f>
        <v/>
      </c>
      <c r="O40" s="8">
        <f>HYPERLINK("https://ictv.global/id/ICTV19710203","ICTV19710203@prod")</f>
        <v/>
      </c>
    </row>
    <row r="41">
      <c r="A41" t="n">
        <v>3</v>
      </c>
      <c r="B41" t="n">
        <v>19750254</v>
      </c>
      <c r="C41" t="n">
        <v>19710204</v>
      </c>
      <c r="D41" t="inlineStr">
        <is>
          <t>species</t>
        </is>
      </c>
      <c r="E41" t="inlineStr">
        <is>
          <t>Gross virus</t>
        </is>
      </c>
      <c r="G41" t="inlineStr">
        <is>
          <t>Merged,</t>
        </is>
      </c>
      <c r="H41" t="inlineStr">
        <is>
          <t>Murine sarcoma and leukemia virus</t>
        </is>
      </c>
      <c r="I41" t="inlineStr">
        <is>
          <t>species</t>
        </is>
      </c>
      <c r="J41" t="n">
        <v>19991630</v>
      </c>
      <c r="K41" t="n">
        <v>19760536</v>
      </c>
      <c r="L41" s="8">
        <f>HYPERLINK("https://test.ictv.global/id/TN19750254","TN19750254@TEST")</f>
        <v/>
      </c>
      <c r="M41" s="8">
        <f>HYPERLINK("https://test.ictv.global/id/ICTV19710204","ICTV19710204@TEST")</f>
        <v/>
      </c>
      <c r="N41" s="8">
        <f>HYPERLINK("https://ictv.global/id/TN19750254","TN19750254@prod")</f>
        <v/>
      </c>
      <c r="O41" s="8">
        <f>HYPERLINK("https://ictv.global/id/ICTV19710204","ICTV19710204@prod")</f>
        <v/>
      </c>
    </row>
    <row r="42">
      <c r="A42" t="n">
        <v>3</v>
      </c>
      <c r="B42" t="n">
        <v>19750255</v>
      </c>
      <c r="C42" t="n">
        <v>19710205</v>
      </c>
      <c r="D42" t="inlineStr">
        <is>
          <t>species</t>
        </is>
      </c>
      <c r="E42" t="inlineStr">
        <is>
          <t>Moloney virus</t>
        </is>
      </c>
      <c r="G42" t="inlineStr">
        <is>
          <t>Merged,</t>
        </is>
      </c>
      <c r="H42" t="inlineStr">
        <is>
          <t>Murine sarcoma and leukemia virus</t>
        </is>
      </c>
      <c r="I42" t="inlineStr">
        <is>
          <t>species</t>
        </is>
      </c>
      <c r="J42" t="n">
        <v>19991630</v>
      </c>
      <c r="K42" t="n">
        <v>19760536</v>
      </c>
      <c r="L42" s="8">
        <f>HYPERLINK("https://test.ictv.global/id/TN19750255","TN19750255@TEST")</f>
        <v/>
      </c>
      <c r="M42" s="8">
        <f>HYPERLINK("https://test.ictv.global/id/ICTV19710205","ICTV19710205@TEST")</f>
        <v/>
      </c>
      <c r="N42" s="8">
        <f>HYPERLINK("https://ictv.global/id/TN19750255","TN19750255@prod")</f>
        <v/>
      </c>
      <c r="O42" s="8">
        <f>HYPERLINK("https://ictv.global/id/ICTV19710205","ICTV19710205@prod")</f>
        <v/>
      </c>
    </row>
    <row r="43">
      <c r="A43" t="n">
        <v>3</v>
      </c>
      <c r="B43" t="n">
        <v>19750256</v>
      </c>
      <c r="C43" t="n">
        <v>19710206</v>
      </c>
      <c r="D43" t="inlineStr">
        <is>
          <t>species</t>
        </is>
      </c>
      <c r="E43" t="inlineStr">
        <is>
          <t>Mouse leukemia virus</t>
        </is>
      </c>
      <c r="G43" t="inlineStr">
        <is>
          <t>Merged,</t>
        </is>
      </c>
      <c r="H43" t="inlineStr">
        <is>
          <t>Murine sarcoma and leukemia virus</t>
        </is>
      </c>
      <c r="I43" t="inlineStr">
        <is>
          <t>species</t>
        </is>
      </c>
      <c r="J43" t="n">
        <v>19991630</v>
      </c>
      <c r="K43" t="n">
        <v>19760536</v>
      </c>
      <c r="L43" s="8">
        <f>HYPERLINK("https://test.ictv.global/id/TN19750256","TN19750256@TEST")</f>
        <v/>
      </c>
      <c r="M43" s="8">
        <f>HYPERLINK("https://test.ictv.global/id/ICTV19710206","ICTV19710206@TEST")</f>
        <v/>
      </c>
      <c r="N43" s="8">
        <f>HYPERLINK("https://ictv.global/id/TN19750256","TN19750256@prod")</f>
        <v/>
      </c>
      <c r="O43" s="8">
        <f>HYPERLINK("https://ictv.global/id/ICTV19710206","ICTV19710206@prod")</f>
        <v/>
      </c>
    </row>
    <row r="44">
      <c r="A44" t="n">
        <v>3</v>
      </c>
      <c r="B44" t="n">
        <v>19750257</v>
      </c>
      <c r="C44" t="n">
        <v>19710208</v>
      </c>
      <c r="D44" t="inlineStr">
        <is>
          <t>species</t>
        </is>
      </c>
      <c r="E44" t="inlineStr">
        <is>
          <t>Nodule-inducing virus</t>
        </is>
      </c>
      <c r="G44" t="inlineStr">
        <is>
          <t>Abolished,</t>
        </is>
      </c>
      <c r="L44" s="8">
        <f>HYPERLINK("https://test.ictv.global/id/TN19750257","TN19750257@TEST")</f>
        <v/>
      </c>
      <c r="M44" s="8">
        <f>HYPERLINK("https://test.ictv.global/id/ICTV19710208","ICTV19710208@TEST")</f>
        <v/>
      </c>
      <c r="N44" s="8">
        <f>HYPERLINK("https://ictv.global/id/TN19750257","TN19750257@prod")</f>
        <v/>
      </c>
      <c r="O44" s="8">
        <f>HYPERLINK("https://ictv.global/id/ICTV19710208","ICTV19710208@prod")</f>
        <v/>
      </c>
    </row>
    <row r="45">
      <c r="A45" t="n">
        <v>3</v>
      </c>
      <c r="B45" t="n">
        <v>19750258</v>
      </c>
      <c r="C45" t="n">
        <v>19710209</v>
      </c>
      <c r="D45" t="inlineStr">
        <is>
          <t>species</t>
        </is>
      </c>
      <c r="E45" t="inlineStr">
        <is>
          <t>Osteopetrosis virus</t>
        </is>
      </c>
      <c r="G45" t="inlineStr">
        <is>
          <t>Abolished,</t>
        </is>
      </c>
      <c r="L45" s="8">
        <f>HYPERLINK("https://test.ictv.global/id/TN19750258","TN19750258@TEST")</f>
        <v/>
      </c>
      <c r="M45" s="8">
        <f>HYPERLINK("https://test.ictv.global/id/ICTV19710209","ICTV19710209@TEST")</f>
        <v/>
      </c>
      <c r="N45" s="8">
        <f>HYPERLINK("https://ictv.global/id/TN19750258","TN19750258@prod")</f>
        <v/>
      </c>
      <c r="O45" s="8">
        <f>HYPERLINK("https://ictv.global/id/ICTV19710209","ICTV19710209@prod")</f>
        <v/>
      </c>
    </row>
    <row r="46">
      <c r="A46" t="n">
        <v>3</v>
      </c>
      <c r="B46" t="n">
        <v>19750259</v>
      </c>
      <c r="C46" t="n">
        <v>19710210</v>
      </c>
      <c r="D46" t="inlineStr">
        <is>
          <t>species</t>
        </is>
      </c>
      <c r="E46" t="inlineStr">
        <is>
          <t>Rauscher virus</t>
        </is>
      </c>
      <c r="G46" t="inlineStr">
        <is>
          <t>Merged,</t>
        </is>
      </c>
      <c r="H46" t="inlineStr">
        <is>
          <t>Murine sarcoma and leukemia virus</t>
        </is>
      </c>
      <c r="I46" t="inlineStr">
        <is>
          <t>species</t>
        </is>
      </c>
      <c r="J46" t="n">
        <v>19991630</v>
      </c>
      <c r="K46" t="n">
        <v>19760536</v>
      </c>
      <c r="L46" s="8">
        <f>HYPERLINK("https://test.ictv.global/id/TN19750259","TN19750259@TEST")</f>
        <v/>
      </c>
      <c r="M46" s="8">
        <f>HYPERLINK("https://test.ictv.global/id/ICTV19710210","ICTV19710210@TEST")</f>
        <v/>
      </c>
      <c r="N46" s="8">
        <f>HYPERLINK("https://ictv.global/id/TN19750259","TN19750259@prod")</f>
        <v/>
      </c>
      <c r="O46" s="8">
        <f>HYPERLINK("https://ictv.global/id/ICTV19710210","ICTV19710210@prod")</f>
        <v/>
      </c>
    </row>
    <row r="47">
      <c r="A47" t="n">
        <v>3</v>
      </c>
      <c r="B47" t="n">
        <v>19750260</v>
      </c>
      <c r="C47" t="n">
        <v>19710211</v>
      </c>
      <c r="D47" t="inlineStr">
        <is>
          <t>species</t>
        </is>
      </c>
      <c r="E47" t="inlineStr">
        <is>
          <t>RAV 1-6</t>
        </is>
      </c>
      <c r="G47" t="inlineStr">
        <is>
          <t>Merged,</t>
        </is>
      </c>
      <c r="H47" t="inlineStr">
        <is>
          <t>Chicken leukosis and sarcoma virus</t>
        </is>
      </c>
      <c r="I47" t="inlineStr">
        <is>
          <t>species</t>
        </is>
      </c>
      <c r="J47" t="n">
        <v>19760531</v>
      </c>
      <c r="K47" t="n">
        <v>19760531</v>
      </c>
      <c r="L47" s="8">
        <f>HYPERLINK("https://test.ictv.global/id/TN19750260","TN19750260@TEST")</f>
        <v/>
      </c>
      <c r="M47" s="8">
        <f>HYPERLINK("https://test.ictv.global/id/ICTV19710211","ICTV19710211@TEST")</f>
        <v/>
      </c>
      <c r="N47" s="8">
        <f>HYPERLINK("https://ictv.global/id/TN19750260","TN19750260@prod")</f>
        <v/>
      </c>
      <c r="O47" s="8">
        <f>HYPERLINK("https://ictv.global/id/ICTV19710211","ICTV19710211@prod")</f>
        <v/>
      </c>
    </row>
    <row r="48">
      <c r="A48" t="n">
        <v>3</v>
      </c>
      <c r="B48" t="n">
        <v>19750261</v>
      </c>
      <c r="C48" t="n">
        <v>19710212</v>
      </c>
      <c r="D48" t="inlineStr">
        <is>
          <t>species</t>
        </is>
      </c>
      <c r="E48" t="inlineStr">
        <is>
          <t>RIF 1</t>
        </is>
      </c>
      <c r="G48" t="inlineStr">
        <is>
          <t>Abolished,</t>
        </is>
      </c>
      <c r="L48" s="8">
        <f>HYPERLINK("https://test.ictv.global/id/TN19750261","TN19750261@TEST")</f>
        <v/>
      </c>
      <c r="M48" s="8">
        <f>HYPERLINK("https://test.ictv.global/id/ICTV19710212","ICTV19710212@TEST")</f>
        <v/>
      </c>
      <c r="N48" s="8">
        <f>HYPERLINK("https://ictv.global/id/TN19750261","TN19750261@prod")</f>
        <v/>
      </c>
      <c r="O48" s="8">
        <f>HYPERLINK("https://ictv.global/id/ICTV19710212","ICTV19710212@prod")</f>
        <v/>
      </c>
    </row>
    <row r="49">
      <c r="A49" t="n">
        <v>3</v>
      </c>
      <c r="B49" t="n">
        <v>19750262</v>
      </c>
      <c r="C49" t="n">
        <v>19710213</v>
      </c>
      <c r="D49" t="inlineStr">
        <is>
          <t>species</t>
        </is>
      </c>
      <c r="E49" t="inlineStr">
        <is>
          <t>RIF 12</t>
        </is>
      </c>
      <c r="G49" t="inlineStr">
        <is>
          <t>Abolished,</t>
        </is>
      </c>
      <c r="L49" s="8">
        <f>HYPERLINK("https://test.ictv.global/id/TN19750262","TN19750262@TEST")</f>
        <v/>
      </c>
      <c r="M49" s="8">
        <f>HYPERLINK("https://test.ictv.global/id/ICTV19710213","ICTV19710213@TEST")</f>
        <v/>
      </c>
      <c r="N49" s="8">
        <f>HYPERLINK("https://ictv.global/id/TN19750262","TN19750262@prod")</f>
        <v/>
      </c>
      <c r="O49" s="8">
        <f>HYPERLINK("https://ictv.global/id/ICTV19710213","ICTV19710213@prod")</f>
        <v/>
      </c>
    </row>
    <row r="50">
      <c r="A50" t="n">
        <v>3</v>
      </c>
      <c r="B50" t="n">
        <v>19750263</v>
      </c>
      <c r="C50" t="n">
        <v>19710214</v>
      </c>
      <c r="D50" t="inlineStr">
        <is>
          <t>species</t>
        </is>
      </c>
      <c r="E50" t="inlineStr">
        <is>
          <t>RIF 2</t>
        </is>
      </c>
      <c r="G50" t="inlineStr">
        <is>
          <t>Abolished,</t>
        </is>
      </c>
      <c r="L50" s="8">
        <f>HYPERLINK("https://test.ictv.global/id/TN19750263","TN19750263@TEST")</f>
        <v/>
      </c>
      <c r="M50" s="8">
        <f>HYPERLINK("https://test.ictv.global/id/ICTV19710214","ICTV19710214@TEST")</f>
        <v/>
      </c>
      <c r="N50" s="8">
        <f>HYPERLINK("https://ictv.global/id/TN19750263","TN19750263@prod")</f>
        <v/>
      </c>
      <c r="O50" s="8">
        <f>HYPERLINK("https://ictv.global/id/ICTV19710214","ICTV19710214@prod")</f>
        <v/>
      </c>
    </row>
    <row r="51">
      <c r="A51" t="n">
        <v>3</v>
      </c>
      <c r="B51" t="n">
        <v>19750264</v>
      </c>
      <c r="C51" t="n">
        <v>19710215</v>
      </c>
      <c r="D51" t="inlineStr">
        <is>
          <t>species</t>
        </is>
      </c>
      <c r="E51" t="inlineStr">
        <is>
          <t>Rous sarcoma virus</t>
        </is>
      </c>
      <c r="F51" t="inlineStr"/>
      <c r="G51" t="inlineStr">
        <is>
          <t>Merged,Removed as Type Species,</t>
        </is>
      </c>
      <c r="H51" t="inlineStr">
        <is>
          <t>Chicken leukosis and sarcoma virus</t>
        </is>
      </c>
      <c r="I51" t="inlineStr">
        <is>
          <t>species</t>
        </is>
      </c>
      <c r="J51" t="n">
        <v>19760531</v>
      </c>
      <c r="K51" t="n">
        <v>19760531</v>
      </c>
      <c r="L51" s="8">
        <f>HYPERLINK("https://test.ictv.global/id/TN19750264","TN19750264@TEST")</f>
        <v/>
      </c>
      <c r="M51" s="8">
        <f>HYPERLINK("https://test.ictv.global/id/ICTV19710215","ICTV19710215@TEST")</f>
        <v/>
      </c>
      <c r="N51" s="8">
        <f>HYPERLINK("https://ictv.global/id/TN19750264","TN19750264@prod")</f>
        <v/>
      </c>
      <c r="O51" s="8">
        <f>HYPERLINK("https://ictv.global/id/ICTV19710215","ICTV19710215@prod")</f>
        <v/>
      </c>
    </row>
    <row r="52">
      <c r="A52" t="n">
        <v>3</v>
      </c>
      <c r="B52" t="n">
        <v>19750267</v>
      </c>
      <c r="C52" t="n">
        <v>19710308</v>
      </c>
      <c r="D52" t="inlineStr">
        <is>
          <t>species</t>
        </is>
      </c>
      <c r="E52" t="inlineStr">
        <is>
          <t>Flanders virus</t>
        </is>
      </c>
      <c r="F52" t="inlineStr"/>
      <c r="G52" t="inlineStr">
        <is>
          <t>Merged,</t>
        </is>
      </c>
      <c r="H52" t="inlineStr">
        <is>
          <t>Flanders-Hart Park virus</t>
        </is>
      </c>
      <c r="I52" t="inlineStr">
        <is>
          <t>species</t>
        </is>
      </c>
      <c r="J52" t="n">
        <v>19760556</v>
      </c>
      <c r="K52" t="n">
        <v>19760556</v>
      </c>
      <c r="L52" s="8">
        <f>HYPERLINK("https://test.ictv.global/id/TN19750267","TN19750267@TEST")</f>
        <v/>
      </c>
      <c r="M52" s="8">
        <f>HYPERLINK("https://test.ictv.global/id/ICTV19710308","ICTV19710308@TEST")</f>
        <v/>
      </c>
      <c r="N52" s="8">
        <f>HYPERLINK("https://ictv.global/id/TN19750267","TN19750267@prod")</f>
        <v/>
      </c>
      <c r="O52" s="8">
        <f>HYPERLINK("https://ictv.global/id/ICTV19710308","ICTV19710308@prod")</f>
        <v/>
      </c>
    </row>
    <row r="53">
      <c r="A53" t="n">
        <v>3</v>
      </c>
      <c r="B53" t="n">
        <v>19750268</v>
      </c>
      <c r="C53" t="n">
        <v>19710309</v>
      </c>
      <c r="D53" t="inlineStr">
        <is>
          <t>species</t>
        </is>
      </c>
      <c r="E53" t="inlineStr">
        <is>
          <t>Hart Park virus</t>
        </is>
      </c>
      <c r="G53" t="inlineStr">
        <is>
          <t>Merged,</t>
        </is>
      </c>
      <c r="H53" t="inlineStr">
        <is>
          <t>Flanders-Hart Park virus</t>
        </is>
      </c>
      <c r="I53" t="inlineStr">
        <is>
          <t>species</t>
        </is>
      </c>
      <c r="J53" t="n">
        <v>19760556</v>
      </c>
      <c r="K53" t="n">
        <v>19760556</v>
      </c>
      <c r="L53" s="8">
        <f>HYPERLINK("https://test.ictv.global/id/TN19750268","TN19750268@TEST")</f>
        <v/>
      </c>
      <c r="M53" s="8">
        <f>HYPERLINK("https://test.ictv.global/id/ICTV19710309","ICTV19710309@TEST")</f>
        <v/>
      </c>
      <c r="N53" s="8">
        <f>HYPERLINK("https://ictv.global/id/TN19750268","TN19750268@prod")</f>
        <v/>
      </c>
      <c r="O53" s="8">
        <f>HYPERLINK("https://ictv.global/id/ICTV19710309","ICTV19710309@prod")</f>
        <v/>
      </c>
    </row>
    <row r="54">
      <c r="A54" t="n">
        <v>3</v>
      </c>
      <c r="B54" t="n">
        <v>19750317</v>
      </c>
      <c r="C54" t="n">
        <v>19710119</v>
      </c>
      <c r="D54" t="inlineStr">
        <is>
          <t>species</t>
        </is>
      </c>
      <c r="E54" t="inlineStr">
        <is>
          <t>Tick-borne encephalitis virus</t>
        </is>
      </c>
      <c r="F54" t="inlineStr"/>
      <c r="G54" t="inlineStr">
        <is>
          <t>Abolished,</t>
        </is>
      </c>
      <c r="L54" s="8">
        <f>HYPERLINK("https://test.ictv.global/id/TN19750317","TN19750317@TEST")</f>
        <v/>
      </c>
      <c r="M54" s="8">
        <f>HYPERLINK("https://test.ictv.global/id/ICTV19710119","ICTV19710119@TEST")</f>
        <v/>
      </c>
      <c r="N54" s="8">
        <f>HYPERLINK("https://ictv.global/id/TN19750317","TN19750317@prod")</f>
        <v/>
      </c>
      <c r="O54" s="8">
        <f>HYPERLINK("https://ictv.global/id/ICTV19710119","ICTV19710119@prod")</f>
        <v/>
      </c>
    </row>
    <row r="55">
      <c r="A55" t="n">
        <v>3</v>
      </c>
      <c r="B55" t="n">
        <v>19750319</v>
      </c>
      <c r="C55" t="n">
        <v>19710121</v>
      </c>
      <c r="D55" t="inlineStr">
        <is>
          <t>species</t>
        </is>
      </c>
      <c r="E55" t="inlineStr">
        <is>
          <t>US bat salivary gland virus</t>
        </is>
      </c>
      <c r="G55" t="inlineStr">
        <is>
          <t>Abolished,</t>
        </is>
      </c>
      <c r="L55" s="8">
        <f>HYPERLINK("https://test.ictv.global/id/TN19750319","TN19750319@TEST")</f>
        <v/>
      </c>
      <c r="M55" s="8">
        <f>HYPERLINK("https://test.ictv.global/id/ICTV19710121","ICTV19710121@TEST")</f>
        <v/>
      </c>
      <c r="N55" s="8">
        <f>HYPERLINK("https://ictv.global/id/TN19750319","TN19750319@prod")</f>
        <v/>
      </c>
      <c r="O55" s="8">
        <f>HYPERLINK("https://ictv.global/id/ICTV19710121","ICTV19710121@prod")</f>
        <v/>
      </c>
    </row>
    <row r="56">
      <c r="A56" t="n">
        <v>3</v>
      </c>
      <c r="B56" t="n">
        <v>19750350</v>
      </c>
      <c r="C56" t="n">
        <v>19710167</v>
      </c>
      <c r="D56" t="inlineStr">
        <is>
          <t>species</t>
        </is>
      </c>
      <c r="E56" t="inlineStr">
        <is>
          <t>Cucumber yellow mosaic virus</t>
        </is>
      </c>
      <c r="G56" t="inlineStr">
        <is>
          <t>Abolished,</t>
        </is>
      </c>
      <c r="L56" s="8">
        <f>HYPERLINK("https://test.ictv.global/id/TN19750350","TN19750350@TEST")</f>
        <v/>
      </c>
      <c r="M56" s="8">
        <f>HYPERLINK("https://test.ictv.global/id/ICTV19710167","ICTV19710167@TEST")</f>
        <v/>
      </c>
      <c r="N56" s="8">
        <f>HYPERLINK("https://ictv.global/id/TN19750350","TN19750350@prod")</f>
        <v/>
      </c>
      <c r="O56" s="8">
        <f>HYPERLINK("https://ictv.global/id/ICTV19710167","ICTV19710167@prod")</f>
        <v/>
      </c>
    </row>
    <row r="57">
      <c r="A57" t="n">
        <v>3</v>
      </c>
      <c r="B57" t="n">
        <v>19750362</v>
      </c>
      <c r="C57" t="n">
        <v>19710220</v>
      </c>
      <c r="D57" t="inlineStr">
        <is>
          <t>species</t>
        </is>
      </c>
      <c r="E57" t="inlineStr">
        <is>
          <t>Strawberry latent ringspot virus</t>
        </is>
      </c>
      <c r="F57" t="inlineStr">
        <is>
          <t>RNA1: AY860978; RNA2: AY860979</t>
        </is>
      </c>
      <c r="G57" t="inlineStr">
        <is>
          <t>Abolished,</t>
        </is>
      </c>
      <c r="L57" s="8">
        <f>HYPERLINK("https://test.ictv.global/id/TN19750362","TN19750362@TEST")</f>
        <v/>
      </c>
      <c r="M57" s="8">
        <f>HYPERLINK("https://test.ictv.global/id/ICTV19710220","ICTV19710220@TEST")</f>
        <v/>
      </c>
      <c r="N57" s="8">
        <f>HYPERLINK("https://ictv.global/id/TN19750362","TN19750362@prod")</f>
        <v/>
      </c>
      <c r="O57" s="8">
        <f>HYPERLINK("https://ictv.global/id/ICTV19710220","ICTV19710220@prod")</f>
        <v/>
      </c>
    </row>
    <row r="58">
      <c r="A58" t="n">
        <v>3</v>
      </c>
      <c r="B58" t="n">
        <v>19750380</v>
      </c>
      <c r="C58" t="n">
        <v>19710257</v>
      </c>
      <c r="D58" t="inlineStr">
        <is>
          <t>species</t>
        </is>
      </c>
      <c r="E58" t="inlineStr">
        <is>
          <t>Pea mosaic virus</t>
        </is>
      </c>
      <c r="G58" t="inlineStr">
        <is>
          <t>Abolished,</t>
        </is>
      </c>
      <c r="L58" s="8">
        <f>HYPERLINK("https://test.ictv.global/id/TN19750380","TN19750380@TEST")</f>
        <v/>
      </c>
      <c r="M58" s="8">
        <f>HYPERLINK("https://test.ictv.global/id/ICTV19710257","ICTV19710257@TEST")</f>
        <v/>
      </c>
      <c r="N58" s="8">
        <f>HYPERLINK("https://ictv.global/id/TN19750380","TN19750380@prod")</f>
        <v/>
      </c>
      <c r="O58" s="8">
        <f>HYPERLINK("https://ictv.global/id/ICTV19710257","ICTV19710257@prod")</f>
        <v/>
      </c>
    </row>
    <row r="59">
      <c r="A59" t="n">
        <v>3</v>
      </c>
      <c r="B59" t="n">
        <v>19750413</v>
      </c>
      <c r="C59" t="n">
        <v>19710341</v>
      </c>
      <c r="D59" t="inlineStr">
        <is>
          <t>species</t>
        </is>
      </c>
      <c r="E59" t="inlineStr">
        <is>
          <t>infectious bovine rhinotracheitis virus</t>
        </is>
      </c>
      <c r="G59" t="inlineStr">
        <is>
          <t>Abolished,</t>
        </is>
      </c>
      <c r="L59" s="8">
        <f>HYPERLINK("https://test.ictv.global/id/TN19750413","TN19750413@TEST")</f>
        <v/>
      </c>
      <c r="M59" s="8">
        <f>HYPERLINK("https://test.ictv.global/id/ICTV19710341","ICTV19710341@TEST")</f>
        <v/>
      </c>
      <c r="N59" s="8">
        <f>HYPERLINK("https://ictv.global/id/TN19750413","TN19750413@prod")</f>
        <v/>
      </c>
      <c r="O59" s="8">
        <f>HYPERLINK("https://ictv.global/id/ICTV19710341","ICTV19710341@prod")</f>
        <v/>
      </c>
    </row>
    <row r="60">
      <c r="A60" t="n">
        <v>4</v>
      </c>
      <c r="B60" t="n">
        <v>19760046</v>
      </c>
      <c r="C60" t="n">
        <v>19710027</v>
      </c>
      <c r="D60" t="inlineStr">
        <is>
          <t>genus</t>
        </is>
      </c>
      <c r="E60" t="inlineStr">
        <is>
          <t>Herpesvirus</t>
        </is>
      </c>
      <c r="G60" t="inlineStr">
        <is>
          <t>Abolished,</t>
        </is>
      </c>
      <c r="L60" s="8">
        <f>HYPERLINK("https://test.ictv.global/id/TN19760046","TN19760046@TEST")</f>
        <v/>
      </c>
      <c r="M60" s="8">
        <f>HYPERLINK("https://test.ictv.global/id/ICTV19710027","ICTV19710027@TEST")</f>
        <v/>
      </c>
      <c r="N60" s="8">
        <f>HYPERLINK("https://ictv.global/id/TN19760046","TN19760046@prod")</f>
        <v/>
      </c>
      <c r="O60" s="8">
        <f>HYPERLINK("https://ictv.global/id/ICTV19710027","ICTV19710027@prod")</f>
        <v/>
      </c>
    </row>
    <row r="61">
      <c r="A61" t="n">
        <v>4</v>
      </c>
      <c r="B61" t="n">
        <v>19760070</v>
      </c>
      <c r="C61" t="n">
        <v>19760070</v>
      </c>
      <c r="D61" t="inlineStr">
        <is>
          <t>genus</t>
        </is>
      </c>
      <c r="E61" t="inlineStr">
        <is>
          <t>Plant reovirus group</t>
        </is>
      </c>
      <c r="G61" t="inlineStr">
        <is>
          <t>Split,</t>
        </is>
      </c>
      <c r="H61" t="inlineStr">
        <is>
          <t>Fijivirus</t>
        </is>
      </c>
      <c r="I61" t="inlineStr">
        <is>
          <t>genus</t>
        </is>
      </c>
      <c r="J61" t="n">
        <v>19780095</v>
      </c>
      <c r="K61" t="n">
        <v>19780095</v>
      </c>
      <c r="L61" s="8">
        <f>HYPERLINK("https://test.ictv.global/id/TN19760070","TN19760070@TEST")</f>
        <v/>
      </c>
      <c r="M61" s="8">
        <f>HYPERLINK("https://test.ictv.global/id/ICTV19760070","ICTV19760070@TEST")</f>
        <v/>
      </c>
      <c r="N61" s="8">
        <f>HYPERLINK("https://ictv.global/id/TN19760070","TN19760070@prod")</f>
        <v/>
      </c>
      <c r="O61" s="8">
        <f>HYPERLINK("https://ictv.global/id/ICTV19760070","ICTV19760070@prod")</f>
        <v/>
      </c>
    </row>
    <row r="62">
      <c r="A62" t="n">
        <v>4</v>
      </c>
      <c r="B62" t="n">
        <v>19760070</v>
      </c>
      <c r="C62" t="n">
        <v>19760070</v>
      </c>
      <c r="D62" t="inlineStr">
        <is>
          <t>genus</t>
        </is>
      </c>
      <c r="E62" t="inlineStr">
        <is>
          <t>Plant reovirus group</t>
        </is>
      </c>
      <c r="G62" t="inlineStr">
        <is>
          <t>Split,</t>
        </is>
      </c>
      <c r="H62" t="inlineStr">
        <is>
          <t>Phytoreovirus</t>
        </is>
      </c>
      <c r="I62" t="inlineStr">
        <is>
          <t>genus</t>
        </is>
      </c>
      <c r="J62" t="n">
        <v>19780097</v>
      </c>
      <c r="K62" t="n">
        <v>19780097</v>
      </c>
      <c r="L62" s="8">
        <f>HYPERLINK("https://test.ictv.global/id/TN19760070","TN19760070@TEST")</f>
        <v/>
      </c>
      <c r="M62" s="8">
        <f>HYPERLINK("https://test.ictv.global/id/ICTV19760070","ICTV19760070@TEST")</f>
        <v/>
      </c>
      <c r="N62" s="8">
        <f>HYPERLINK("https://ictv.global/id/TN19760070","TN19760070@prod")</f>
        <v/>
      </c>
      <c r="O62" s="8">
        <f>HYPERLINK("https://ictv.global/id/ICTV19760070","ICTV19760070@prod")</f>
        <v/>
      </c>
    </row>
    <row r="63">
      <c r="A63" t="n">
        <v>5</v>
      </c>
      <c r="B63" t="n">
        <v>19780141</v>
      </c>
      <c r="C63" t="n">
        <v>19760114</v>
      </c>
      <c r="D63" t="inlineStr">
        <is>
          <t>species</t>
        </is>
      </c>
      <c r="E63" t="inlineStr">
        <is>
          <t>GAL virus</t>
        </is>
      </c>
      <c r="G63" t="inlineStr">
        <is>
          <t>Abolished,</t>
        </is>
      </c>
      <c r="L63" s="8">
        <f>HYPERLINK("https://test.ictv.global/id/TN19780141","TN19780141@TEST")</f>
        <v/>
      </c>
      <c r="M63" s="8">
        <f>HYPERLINK("https://test.ictv.global/id/ICTV19760114","ICTV19760114@TEST")</f>
        <v/>
      </c>
      <c r="N63" s="8">
        <f>HYPERLINK("https://ictv.global/id/TN19780141","TN19780141@prod")</f>
        <v/>
      </c>
      <c r="O63" s="8">
        <f>HYPERLINK("https://ictv.global/id/ICTV19760114","ICTV19760114@prod")</f>
        <v/>
      </c>
    </row>
    <row r="64">
      <c r="A64" t="n">
        <v>5</v>
      </c>
      <c r="B64" t="n">
        <v>19780149</v>
      </c>
      <c r="C64" t="n">
        <v>19760122</v>
      </c>
      <c r="D64" t="inlineStr">
        <is>
          <t>species</t>
        </is>
      </c>
      <c r="E64" t="inlineStr">
        <is>
          <t>Opossum adenovirus</t>
        </is>
      </c>
      <c r="G64" t="inlineStr">
        <is>
          <t>Abolished,</t>
        </is>
      </c>
      <c r="L64" s="8">
        <f>HYPERLINK("https://test.ictv.global/id/TN19780149","TN19780149@TEST")</f>
        <v/>
      </c>
      <c r="M64" s="8">
        <f>HYPERLINK("https://test.ictv.global/id/ICTV19760122","ICTV19760122@TEST")</f>
        <v/>
      </c>
      <c r="N64" s="8">
        <f>HYPERLINK("https://ictv.global/id/TN19780149","TN19780149@prod")</f>
        <v/>
      </c>
      <c r="O64" s="8">
        <f>HYPERLINK("https://ictv.global/id/ICTV19760122","ICTV19760122@prod")</f>
        <v/>
      </c>
    </row>
    <row r="65">
      <c r="A65" t="n">
        <v>5</v>
      </c>
      <c r="B65" t="n">
        <v>19780175</v>
      </c>
      <c r="C65" t="n">
        <v>19760148</v>
      </c>
      <c r="D65" t="inlineStr">
        <is>
          <t>species</t>
        </is>
      </c>
      <c r="E65" t="inlineStr">
        <is>
          <t>Bocas virus</t>
        </is>
      </c>
      <c r="G65" t="inlineStr">
        <is>
          <t>Abolished,</t>
        </is>
      </c>
      <c r="L65" s="8">
        <f>HYPERLINK("https://test.ictv.global/id/TN19780175","TN19780175@TEST")</f>
        <v/>
      </c>
      <c r="M65" s="8">
        <f>HYPERLINK("https://test.ictv.global/id/ICTV19760148","ICTV19760148@TEST")</f>
        <v/>
      </c>
      <c r="N65" s="8">
        <f>HYPERLINK("https://ictv.global/id/TN19780175","TN19780175@prod")</f>
        <v/>
      </c>
      <c r="O65" s="8">
        <f>HYPERLINK("https://ictv.global/id/ICTV19760148","ICTV19760148@prod")</f>
        <v/>
      </c>
    </row>
    <row r="66">
      <c r="A66" t="n">
        <v>5</v>
      </c>
      <c r="B66" t="n">
        <v>19780233</v>
      </c>
      <c r="C66" t="n">
        <v>19760206</v>
      </c>
      <c r="D66" t="inlineStr">
        <is>
          <t>species</t>
        </is>
      </c>
      <c r="E66" t="inlineStr">
        <is>
          <t>Samford virus</t>
        </is>
      </c>
      <c r="G66" t="inlineStr">
        <is>
          <t>Abolished,</t>
        </is>
      </c>
      <c r="L66" s="8">
        <f>HYPERLINK("https://test.ictv.global/id/TN19780233","TN19780233@TEST")</f>
        <v/>
      </c>
      <c r="M66" s="8">
        <f>HYPERLINK("https://test.ictv.global/id/ICTV19760206","ICTV19760206@TEST")</f>
        <v/>
      </c>
      <c r="N66" s="8">
        <f>HYPERLINK("https://ictv.global/id/TN19780233","TN19780233@prod")</f>
        <v/>
      </c>
      <c r="O66" s="8">
        <f>HYPERLINK("https://ictv.global/id/ICTV19760206","ICTV19760206@prod")</f>
        <v/>
      </c>
    </row>
    <row r="67">
      <c r="A67" t="n">
        <v>5</v>
      </c>
      <c r="B67" t="n">
        <v>19780253</v>
      </c>
      <c r="C67" t="n">
        <v>19760226</v>
      </c>
      <c r="D67" t="inlineStr">
        <is>
          <t>species</t>
        </is>
      </c>
      <c r="E67" t="inlineStr">
        <is>
          <t>Calf neonatal diarrhea coronavirus</t>
        </is>
      </c>
      <c r="G67" t="inlineStr">
        <is>
          <t>Abolished,</t>
        </is>
      </c>
      <c r="L67" s="8">
        <f>HYPERLINK("https://test.ictv.global/id/TN19780253","TN19780253@TEST")</f>
        <v/>
      </c>
      <c r="M67" s="8">
        <f>HYPERLINK("https://test.ictv.global/id/ICTV19760226","ICTV19760226@TEST")</f>
        <v/>
      </c>
      <c r="N67" s="8">
        <f>HYPERLINK("https://ictv.global/id/TN19780253","TN19780253@prod")</f>
        <v/>
      </c>
      <c r="O67" s="8">
        <f>HYPERLINK("https://ictv.global/id/ICTV19760226","ICTV19760226@prod")</f>
        <v/>
      </c>
    </row>
    <row r="68">
      <c r="A68" t="n">
        <v>5</v>
      </c>
      <c r="B68" t="n">
        <v>19780258</v>
      </c>
      <c r="C68" t="n">
        <v>19760231</v>
      </c>
      <c r="D68" t="inlineStr">
        <is>
          <t>species</t>
        </is>
      </c>
      <c r="E68" t="inlineStr">
        <is>
          <t>Rat coronavirus</t>
        </is>
      </c>
      <c r="G68" t="inlineStr">
        <is>
          <t>Abolished,</t>
        </is>
      </c>
      <c r="L68" s="8">
        <f>HYPERLINK("https://test.ictv.global/id/TN19780258","TN19780258@TEST")</f>
        <v/>
      </c>
      <c r="M68" s="8">
        <f>HYPERLINK("https://test.ictv.global/id/ICTV19760231","ICTV19760231@TEST")</f>
        <v/>
      </c>
      <c r="N68" s="8">
        <f>HYPERLINK("https://ictv.global/id/TN19780258","TN19780258@prod")</f>
        <v/>
      </c>
      <c r="O68" s="8">
        <f>HYPERLINK("https://ictv.global/id/ICTV19760231","ICTV19760231@prod")</f>
        <v/>
      </c>
    </row>
    <row r="69">
      <c r="A69" t="n">
        <v>5</v>
      </c>
      <c r="B69" t="n">
        <v>19780259</v>
      </c>
      <c r="C69" t="n">
        <v>19760232</v>
      </c>
      <c r="D69" t="inlineStr">
        <is>
          <t>species</t>
        </is>
      </c>
      <c r="E69" t="inlineStr">
        <is>
          <t>Rat sialodacryoadentitis virus</t>
        </is>
      </c>
      <c r="G69" t="inlineStr">
        <is>
          <t>Abolished,</t>
        </is>
      </c>
      <c r="L69" s="8">
        <f>HYPERLINK("https://test.ictv.global/id/TN19780259","TN19780259@TEST")</f>
        <v/>
      </c>
      <c r="M69" s="8">
        <f>HYPERLINK("https://test.ictv.global/id/ICTV19760232","ICTV19760232@TEST")</f>
        <v/>
      </c>
      <c r="N69" s="8">
        <f>HYPERLINK("https://ictv.global/id/TN19780259","TN19780259@prod")</f>
        <v/>
      </c>
      <c r="O69" s="8">
        <f>HYPERLINK("https://ictv.global/id/ICTV19760232","ICTV19760232@prod")</f>
        <v/>
      </c>
    </row>
    <row r="70">
      <c r="A70" t="n">
        <v>5</v>
      </c>
      <c r="B70" t="n">
        <v>19780260</v>
      </c>
      <c r="C70" t="n">
        <v>19760233</v>
      </c>
      <c r="D70" t="inlineStr">
        <is>
          <t>species</t>
        </is>
      </c>
      <c r="E70" t="inlineStr">
        <is>
          <t>Turkey bluecomb disease virus</t>
        </is>
      </c>
      <c r="G70" t="inlineStr">
        <is>
          <t>Abolished,</t>
        </is>
      </c>
      <c r="L70" s="8">
        <f>HYPERLINK("https://test.ictv.global/id/TN19780260","TN19780260@TEST")</f>
        <v/>
      </c>
      <c r="M70" s="8">
        <f>HYPERLINK("https://test.ictv.global/id/ICTV19760233","ICTV19760233@TEST")</f>
        <v/>
      </c>
      <c r="N70" s="8">
        <f>HYPERLINK("https://ictv.global/id/TN19780260","TN19780260@prod")</f>
        <v/>
      </c>
      <c r="O70" s="8">
        <f>HYPERLINK("https://ictv.global/id/ICTV19760233","ICTV19760233@prod")</f>
        <v/>
      </c>
    </row>
    <row r="71">
      <c r="A71" t="n">
        <v>5</v>
      </c>
      <c r="B71" t="n">
        <v>19780263</v>
      </c>
      <c r="C71" t="n">
        <v>19710181</v>
      </c>
      <c r="D71" t="inlineStr">
        <is>
          <t>species</t>
        </is>
      </c>
      <c r="E71" t="inlineStr">
        <is>
          <t>Cercopithecid herpesvirus 1</t>
        </is>
      </c>
      <c r="G71" t="inlineStr">
        <is>
          <t>Abolished,</t>
        </is>
      </c>
      <c r="L71" s="8">
        <f>HYPERLINK("https://test.ictv.global/id/TN19780263","TN19780263@TEST")</f>
        <v/>
      </c>
      <c r="M71" s="8">
        <f>HYPERLINK("https://test.ictv.global/id/ICTV19710181","ICTV19710181@TEST")</f>
        <v/>
      </c>
      <c r="N71" s="8">
        <f>HYPERLINK("https://ictv.global/id/TN19780263","TN19780263@prod")</f>
        <v/>
      </c>
      <c r="O71" s="8">
        <f>HYPERLINK("https://ictv.global/id/ICTV19710181","ICTV19710181@prod")</f>
        <v/>
      </c>
    </row>
    <row r="72">
      <c r="A72" t="n">
        <v>5</v>
      </c>
      <c r="B72" t="n">
        <v>19780264</v>
      </c>
      <c r="C72" t="n">
        <v>19760235</v>
      </c>
      <c r="D72" t="inlineStr">
        <is>
          <t>species</t>
        </is>
      </c>
      <c r="E72" t="inlineStr">
        <is>
          <t>Cercopithecid herpesvirus 3</t>
        </is>
      </c>
      <c r="G72" t="inlineStr">
        <is>
          <t>Abolished,</t>
        </is>
      </c>
      <c r="L72" s="8">
        <f>HYPERLINK("https://test.ictv.global/id/TN19780264","TN19780264@TEST")</f>
        <v/>
      </c>
      <c r="M72" s="8">
        <f>HYPERLINK("https://test.ictv.global/id/ICTV19760235","ICTV19760235@TEST")</f>
        <v/>
      </c>
      <c r="N72" s="8">
        <f>HYPERLINK("https://ictv.global/id/TN19780264","TN19780264@prod")</f>
        <v/>
      </c>
      <c r="O72" s="8">
        <f>HYPERLINK("https://ictv.global/id/ICTV19760235","ICTV19760235@prod")</f>
        <v/>
      </c>
    </row>
    <row r="73">
      <c r="A73" t="n">
        <v>5</v>
      </c>
      <c r="B73" t="n">
        <v>19780267</v>
      </c>
      <c r="C73" t="n">
        <v>19710191</v>
      </c>
      <c r="D73" t="inlineStr">
        <is>
          <t>species</t>
        </is>
      </c>
      <c r="E73" t="inlineStr">
        <is>
          <t>Varicella virus</t>
        </is>
      </c>
      <c r="G73" t="inlineStr">
        <is>
          <t>Abolished,</t>
        </is>
      </c>
      <c r="L73" s="8">
        <f>HYPERLINK("https://test.ictv.global/id/TN19780267","TN19780267@TEST")</f>
        <v/>
      </c>
      <c r="M73" s="8">
        <f>HYPERLINK("https://test.ictv.global/id/ICTV19710191","ICTV19710191@TEST")</f>
        <v/>
      </c>
      <c r="N73" s="8">
        <f>HYPERLINK("https://ictv.global/id/TN19780267","TN19780267@prod")</f>
        <v/>
      </c>
      <c r="O73" s="8">
        <f>HYPERLINK("https://ictv.global/id/ICTV19710191","ICTV19710191@prod")</f>
        <v/>
      </c>
    </row>
    <row r="74">
      <c r="A74" t="n">
        <v>5</v>
      </c>
      <c r="B74" t="n">
        <v>19780269</v>
      </c>
      <c r="C74" t="n">
        <v>19710186</v>
      </c>
      <c r="D74" t="inlineStr">
        <is>
          <t>species</t>
        </is>
      </c>
      <c r="E74" t="inlineStr">
        <is>
          <t>Marek's disease virus</t>
        </is>
      </c>
      <c r="G74" t="inlineStr">
        <is>
          <t>Abolished,</t>
        </is>
      </c>
      <c r="L74" s="8">
        <f>HYPERLINK("https://test.ictv.global/id/TN19780269","TN19780269@TEST")</f>
        <v/>
      </c>
      <c r="M74" s="8">
        <f>HYPERLINK("https://test.ictv.global/id/ICTV19710186","ICTV19710186@TEST")</f>
        <v/>
      </c>
      <c r="N74" s="8">
        <f>HYPERLINK("https://ictv.global/id/TN19780269","TN19780269@prod")</f>
        <v/>
      </c>
      <c r="O74" s="8">
        <f>HYPERLINK("https://ictv.global/id/ICTV19710186","ICTV19710186@prod")</f>
        <v/>
      </c>
    </row>
    <row r="75">
      <c r="A75" t="n">
        <v>5</v>
      </c>
      <c r="B75" t="n">
        <v>19780280</v>
      </c>
      <c r="C75" t="n">
        <v>19760250</v>
      </c>
      <c r="D75" t="inlineStr">
        <is>
          <t>species</t>
        </is>
      </c>
      <c r="E75" t="inlineStr">
        <is>
          <t>Corethrella iridescent virus</t>
        </is>
      </c>
      <c r="G75" t="inlineStr">
        <is>
          <t>Abolished,</t>
        </is>
      </c>
      <c r="L75" s="8">
        <f>HYPERLINK("https://test.ictv.global/id/TN19780280","TN19780280@TEST")</f>
        <v/>
      </c>
      <c r="M75" s="8">
        <f>HYPERLINK("https://test.ictv.global/id/ICTV19760250","ICTV19760250@TEST")</f>
        <v/>
      </c>
      <c r="N75" s="8">
        <f>HYPERLINK("https://ictv.global/id/TN19780280","TN19780280@prod")</f>
        <v/>
      </c>
      <c r="O75" s="8">
        <f>HYPERLINK("https://ictv.global/id/ICTV19760250","ICTV19760250@prod")</f>
        <v/>
      </c>
    </row>
    <row r="76">
      <c r="A76" t="n">
        <v>5</v>
      </c>
      <c r="B76" t="n">
        <v>19780282</v>
      </c>
      <c r="C76" t="n">
        <v>19760252</v>
      </c>
      <c r="D76" t="inlineStr">
        <is>
          <t>species</t>
        </is>
      </c>
      <c r="E76" t="inlineStr">
        <is>
          <t>Culicoides iridescent virus</t>
        </is>
      </c>
      <c r="G76" t="inlineStr">
        <is>
          <t>Abolished,</t>
        </is>
      </c>
      <c r="L76" s="8">
        <f>HYPERLINK("https://test.ictv.global/id/TN19780282","TN19780282@TEST")</f>
        <v/>
      </c>
      <c r="M76" s="8">
        <f>HYPERLINK("https://test.ictv.global/id/ICTV19760252","ICTV19760252@TEST")</f>
        <v/>
      </c>
      <c r="N76" s="8">
        <f>HYPERLINK("https://ictv.global/id/TN19780282","TN19780282@prod")</f>
        <v/>
      </c>
      <c r="O76" s="8">
        <f>HYPERLINK("https://ictv.global/id/ICTV19760252","ICTV19760252@prod")</f>
        <v/>
      </c>
    </row>
    <row r="77">
      <c r="A77" t="n">
        <v>5</v>
      </c>
      <c r="B77" t="n">
        <v>19780283</v>
      </c>
      <c r="C77" t="n">
        <v>19760253</v>
      </c>
      <c r="D77" t="inlineStr">
        <is>
          <t>species</t>
        </is>
      </c>
      <c r="E77" t="inlineStr">
        <is>
          <t>Entamoeba iridescent virus</t>
        </is>
      </c>
      <c r="G77" t="inlineStr">
        <is>
          <t>Abolished,</t>
        </is>
      </c>
      <c r="L77" s="8">
        <f>HYPERLINK("https://test.ictv.global/id/TN19780283","TN19780283@TEST")</f>
        <v/>
      </c>
      <c r="M77" s="8">
        <f>HYPERLINK("https://test.ictv.global/id/ICTV19760253","ICTV19760253@TEST")</f>
        <v/>
      </c>
      <c r="N77" s="8">
        <f>HYPERLINK("https://ictv.global/id/TN19780283","TN19780283@prod")</f>
        <v/>
      </c>
      <c r="O77" s="8">
        <f>HYPERLINK("https://ictv.global/id/ICTV19760253","ICTV19760253@prod")</f>
        <v/>
      </c>
    </row>
    <row r="78">
      <c r="A78" t="n">
        <v>5</v>
      </c>
      <c r="B78" t="n">
        <v>19780284</v>
      </c>
      <c r="C78" t="n">
        <v>19760254</v>
      </c>
      <c r="D78" t="inlineStr">
        <is>
          <t>species</t>
        </is>
      </c>
      <c r="E78" t="inlineStr">
        <is>
          <t>Nereis iridescent virus</t>
        </is>
      </c>
      <c r="G78" t="inlineStr">
        <is>
          <t>Abolished,</t>
        </is>
      </c>
      <c r="L78" s="8">
        <f>HYPERLINK("https://test.ictv.global/id/TN19780284","TN19780284@TEST")</f>
        <v/>
      </c>
      <c r="M78" s="8">
        <f>HYPERLINK("https://test.ictv.global/id/ICTV19760254","ICTV19760254@TEST")</f>
        <v/>
      </c>
      <c r="N78" s="8">
        <f>HYPERLINK("https://ictv.global/id/TN19780284","TN19780284@prod")</f>
        <v/>
      </c>
      <c r="O78" s="8">
        <f>HYPERLINK("https://ictv.global/id/ICTV19760254","ICTV19760254@prod")</f>
        <v/>
      </c>
    </row>
    <row r="79">
      <c r="A79" t="n">
        <v>5</v>
      </c>
      <c r="B79" t="n">
        <v>19780307</v>
      </c>
      <c r="C79" t="n">
        <v>19760799</v>
      </c>
      <c r="D79" t="inlineStr">
        <is>
          <t>species</t>
        </is>
      </c>
      <c r="E79" t="inlineStr">
        <is>
          <t>Phage R40</t>
        </is>
      </c>
      <c r="G79" t="inlineStr">
        <is>
          <t>Abolished,</t>
        </is>
      </c>
      <c r="L79" s="8">
        <f>HYPERLINK("https://test.ictv.global/id/TN19780307","TN19780307@TEST")</f>
        <v/>
      </c>
      <c r="M79" s="8">
        <f>HYPERLINK("https://test.ictv.global/id/ICTV19760799","ICTV19760799@TEST")</f>
        <v/>
      </c>
      <c r="N79" s="8">
        <f>HYPERLINK("https://ictv.global/id/TN19780307","TN19780307@prod")</f>
        <v/>
      </c>
      <c r="O79" s="8">
        <f>HYPERLINK("https://ictv.global/id/ICTV19760799","ICTV19760799@prod")</f>
        <v/>
      </c>
    </row>
    <row r="80">
      <c r="A80" t="n">
        <v>5</v>
      </c>
      <c r="B80" t="n">
        <v>19780387</v>
      </c>
      <c r="C80" t="n">
        <v>19710242</v>
      </c>
      <c r="D80" t="inlineStr">
        <is>
          <t>species</t>
        </is>
      </c>
      <c r="E80" t="inlineStr">
        <is>
          <t>X14 virus</t>
        </is>
      </c>
      <c r="G80" t="inlineStr">
        <is>
          <t>Abolished,</t>
        </is>
      </c>
      <c r="L80" s="8">
        <f>HYPERLINK("https://test.ictv.global/id/TN19780387","TN19780387@TEST")</f>
        <v/>
      </c>
      <c r="M80" s="8">
        <f>HYPERLINK("https://test.ictv.global/id/ICTV19710242","ICTV19710242@TEST")</f>
        <v/>
      </c>
      <c r="N80" s="8">
        <f>HYPERLINK("https://ictv.global/id/TN19780387","TN19780387@prod")</f>
        <v/>
      </c>
      <c r="O80" s="8">
        <f>HYPERLINK("https://ictv.global/id/ICTV19710242","ICTV19710242@prod")</f>
        <v/>
      </c>
    </row>
    <row r="81">
      <c r="A81" t="n">
        <v>5</v>
      </c>
      <c r="B81" t="n">
        <v>19780388</v>
      </c>
      <c r="C81" t="n">
        <v>19710069</v>
      </c>
      <c r="D81" t="inlineStr">
        <is>
          <t>species</t>
        </is>
      </c>
      <c r="E81" t="inlineStr">
        <is>
          <t>Foot-and-mouth disease virus</t>
        </is>
      </c>
      <c r="F81" t="inlineStr"/>
      <c r="G81" t="inlineStr">
        <is>
          <t>Split,Removed as Type Species,</t>
        </is>
      </c>
      <c r="H81" t="inlineStr">
        <is>
          <t>Aphthovirus A</t>
        </is>
      </c>
      <c r="I81" t="inlineStr">
        <is>
          <t>species</t>
        </is>
      </c>
      <c r="J81" t="n">
        <v>19820653</v>
      </c>
      <c r="K81" t="n">
        <v>19791156</v>
      </c>
      <c r="L81" s="8">
        <f>HYPERLINK("https://test.ictv.global/id/TN19780388","TN19780388@TEST")</f>
        <v/>
      </c>
      <c r="M81" s="8">
        <f>HYPERLINK("https://test.ictv.global/id/ICTV19710069","ICTV19710069@TEST")</f>
        <v/>
      </c>
      <c r="N81" s="8">
        <f>HYPERLINK("https://ictv.global/id/TN19780388","TN19780388@prod")</f>
        <v/>
      </c>
      <c r="O81" s="8">
        <f>HYPERLINK("https://ictv.global/id/ICTV19710069","ICTV19710069@prod")</f>
        <v/>
      </c>
    </row>
    <row r="82">
      <c r="A82" t="n">
        <v>5</v>
      </c>
      <c r="B82" t="n">
        <v>19780388</v>
      </c>
      <c r="C82" t="n">
        <v>19710069</v>
      </c>
      <c r="D82" t="inlineStr">
        <is>
          <t>species</t>
        </is>
      </c>
      <c r="E82" t="inlineStr">
        <is>
          <t>Foot-and-mouth disease virus</t>
        </is>
      </c>
      <c r="F82" t="inlineStr"/>
      <c r="G82" t="inlineStr">
        <is>
          <t>Split,</t>
        </is>
      </c>
      <c r="H82" t="inlineStr">
        <is>
          <t>Aphthovirus O</t>
        </is>
      </c>
      <c r="I82" t="inlineStr">
        <is>
          <t>species</t>
        </is>
      </c>
      <c r="J82" t="n">
        <v>19820656</v>
      </c>
      <c r="K82" t="n">
        <v>19791157</v>
      </c>
      <c r="L82" s="8">
        <f>HYPERLINK("https://test.ictv.global/id/TN19780388","TN19780388@TEST")</f>
        <v/>
      </c>
      <c r="M82" s="8">
        <f>HYPERLINK("https://test.ictv.global/id/ICTV19710069","ICTV19710069@TEST")</f>
        <v/>
      </c>
      <c r="N82" s="8">
        <f>HYPERLINK("https://ictv.global/id/TN19780388","TN19780388@prod")</f>
        <v/>
      </c>
      <c r="O82" s="8">
        <f>HYPERLINK("https://ictv.global/id/ICTV19710069","ICTV19710069@prod")</f>
        <v/>
      </c>
    </row>
    <row r="83">
      <c r="A83" t="n">
        <v>5</v>
      </c>
      <c r="B83" t="n">
        <v>19780391</v>
      </c>
      <c r="C83" t="n">
        <v>19760317</v>
      </c>
      <c r="D83" t="inlineStr">
        <is>
          <t>species</t>
        </is>
      </c>
      <c r="E83" t="inlineStr">
        <is>
          <t>Acute bee paralysis virus</t>
        </is>
      </c>
      <c r="F83" t="inlineStr"/>
      <c r="G83" t="inlineStr">
        <is>
          <t>Abolished,</t>
        </is>
      </c>
      <c r="L83" s="8">
        <f>HYPERLINK("https://test.ictv.global/id/TN19780391","TN19780391@TEST")</f>
        <v/>
      </c>
      <c r="M83" s="8">
        <f>HYPERLINK("https://test.ictv.global/id/ICTV19760317","ICTV19760317@TEST")</f>
        <v/>
      </c>
      <c r="N83" s="8">
        <f>HYPERLINK("https://ictv.global/id/TN19780391","TN19780391@prod")</f>
        <v/>
      </c>
      <c r="O83" s="8">
        <f>HYPERLINK("https://ictv.global/id/ICTV19760317","ICTV19760317@prod")</f>
        <v/>
      </c>
    </row>
    <row r="84">
      <c r="A84" t="n">
        <v>5</v>
      </c>
      <c r="B84" t="n">
        <v>19780392</v>
      </c>
      <c r="C84" t="n">
        <v>19710063</v>
      </c>
      <c r="D84" t="inlineStr">
        <is>
          <t>species</t>
        </is>
      </c>
      <c r="E84" t="inlineStr">
        <is>
          <t>Avian encephalomyelitis virus</t>
        </is>
      </c>
      <c r="G84" t="inlineStr">
        <is>
          <t>Abolished,</t>
        </is>
      </c>
      <c r="L84" s="8">
        <f>HYPERLINK("https://test.ictv.global/id/TN19780392","TN19780392@TEST")</f>
        <v/>
      </c>
      <c r="M84" s="8">
        <f>HYPERLINK("https://test.ictv.global/id/ICTV19710063","ICTV19710063@TEST")</f>
        <v/>
      </c>
      <c r="N84" s="8">
        <f>HYPERLINK("https://ictv.global/id/TN19780392","TN19780392@prod")</f>
        <v/>
      </c>
      <c r="O84" s="8">
        <f>HYPERLINK("https://ictv.global/id/ICTV19710063","ICTV19710063@prod")</f>
        <v/>
      </c>
    </row>
    <row r="85">
      <c r="A85" t="n">
        <v>5</v>
      </c>
      <c r="B85" t="n">
        <v>19780393</v>
      </c>
      <c r="C85" t="n">
        <v>19760319</v>
      </c>
      <c r="D85" t="inlineStr">
        <is>
          <t>species</t>
        </is>
      </c>
      <c r="E85" t="inlineStr">
        <is>
          <t>Bovine enterovirus</t>
        </is>
      </c>
      <c r="G85" t="inlineStr">
        <is>
          <t>Split,</t>
        </is>
      </c>
      <c r="H85" t="inlineStr">
        <is>
          <t>Bovine enterovirus 1</t>
        </is>
      </c>
      <c r="I85" t="inlineStr">
        <is>
          <t>species</t>
        </is>
      </c>
      <c r="J85" t="n">
        <v>19790488</v>
      </c>
      <c r="K85" t="n">
        <v>19790488</v>
      </c>
      <c r="L85" s="8">
        <f>HYPERLINK("https://test.ictv.global/id/TN19780393","TN19780393@TEST")</f>
        <v/>
      </c>
      <c r="M85" s="8">
        <f>HYPERLINK("https://test.ictv.global/id/ICTV19760319","ICTV19760319@TEST")</f>
        <v/>
      </c>
      <c r="N85" s="8">
        <f>HYPERLINK("https://ictv.global/id/TN19780393","TN19780393@prod")</f>
        <v/>
      </c>
      <c r="O85" s="8">
        <f>HYPERLINK("https://ictv.global/id/ICTV19760319","ICTV19760319@prod")</f>
        <v/>
      </c>
    </row>
    <row r="86">
      <c r="A86" t="n">
        <v>5</v>
      </c>
      <c r="B86" t="n">
        <v>19780393</v>
      </c>
      <c r="C86" t="n">
        <v>19760319</v>
      </c>
      <c r="D86" t="inlineStr">
        <is>
          <t>species</t>
        </is>
      </c>
      <c r="E86" t="inlineStr">
        <is>
          <t>Bovine enterovirus</t>
        </is>
      </c>
      <c r="G86" t="inlineStr">
        <is>
          <t>Split,</t>
        </is>
      </c>
      <c r="H86" t="inlineStr">
        <is>
          <t>Bovine enterovirus 2</t>
        </is>
      </c>
      <c r="I86" t="inlineStr">
        <is>
          <t>species</t>
        </is>
      </c>
      <c r="J86" t="n">
        <v>19790489</v>
      </c>
      <c r="K86" t="n">
        <v>19790489</v>
      </c>
      <c r="L86" s="8">
        <f>HYPERLINK("https://test.ictv.global/id/TN19780393","TN19780393@TEST")</f>
        <v/>
      </c>
      <c r="M86" s="8">
        <f>HYPERLINK("https://test.ictv.global/id/ICTV19760319","ICTV19760319@TEST")</f>
        <v/>
      </c>
      <c r="N86" s="8">
        <f>HYPERLINK("https://ictv.global/id/TN19780393","TN19780393@prod")</f>
        <v/>
      </c>
      <c r="O86" s="8">
        <f>HYPERLINK("https://ictv.global/id/ICTV19760319","ICTV19760319@prod")</f>
        <v/>
      </c>
    </row>
    <row r="87">
      <c r="A87" t="n">
        <v>5</v>
      </c>
      <c r="B87" t="n">
        <v>19780394</v>
      </c>
      <c r="C87" t="n">
        <v>19760321</v>
      </c>
      <c r="D87" t="inlineStr">
        <is>
          <t>species</t>
        </is>
      </c>
      <c r="E87" t="inlineStr">
        <is>
          <t>Drosophila C virus</t>
        </is>
      </c>
      <c r="F87" t="inlineStr"/>
      <c r="G87" t="inlineStr">
        <is>
          <t>Abolished,</t>
        </is>
      </c>
      <c r="L87" s="8">
        <f>HYPERLINK("https://test.ictv.global/id/TN19780394","TN19780394@TEST")</f>
        <v/>
      </c>
      <c r="M87" s="8">
        <f>HYPERLINK("https://test.ictv.global/id/ICTV19760321","ICTV19760321@TEST")</f>
        <v/>
      </c>
      <c r="N87" s="8">
        <f>HYPERLINK("https://ictv.global/id/TN19780394","TN19780394@prod")</f>
        <v/>
      </c>
      <c r="O87" s="8">
        <f>HYPERLINK("https://ictv.global/id/ICTV19760321","ICTV19760321@prod")</f>
        <v/>
      </c>
    </row>
    <row r="88">
      <c r="A88" t="n">
        <v>5</v>
      </c>
      <c r="B88" t="n">
        <v>19780395</v>
      </c>
      <c r="C88" t="n">
        <v>19710064</v>
      </c>
      <c r="D88" t="inlineStr">
        <is>
          <t>species</t>
        </is>
      </c>
      <c r="E88" t="inlineStr">
        <is>
          <t>Duck hepatitis virus</t>
        </is>
      </c>
      <c r="G88" t="inlineStr">
        <is>
          <t>Abolished,</t>
        </is>
      </c>
      <c r="L88" s="8">
        <f>HYPERLINK("https://test.ictv.global/id/TN19780395","TN19780395@TEST")</f>
        <v/>
      </c>
      <c r="M88" s="8">
        <f>HYPERLINK("https://test.ictv.global/id/ICTV19710064","ICTV19710064@TEST")</f>
        <v/>
      </c>
      <c r="N88" s="8">
        <f>HYPERLINK("https://ictv.global/id/TN19780395","TN19780395@prod")</f>
        <v/>
      </c>
      <c r="O88" s="8">
        <f>HYPERLINK("https://ictv.global/id/ICTV19710064","ICTV19710064@prod")</f>
        <v/>
      </c>
    </row>
    <row r="89">
      <c r="A89" t="n">
        <v>5</v>
      </c>
      <c r="B89" t="n">
        <v>19780396</v>
      </c>
      <c r="C89" t="n">
        <v>19760323</v>
      </c>
      <c r="D89" t="inlineStr">
        <is>
          <t>species</t>
        </is>
      </c>
      <c r="E89" t="inlineStr">
        <is>
          <t>Gonometa virus</t>
        </is>
      </c>
      <c r="G89" t="inlineStr">
        <is>
          <t>Abolished,</t>
        </is>
      </c>
      <c r="L89" s="8">
        <f>HYPERLINK("https://test.ictv.global/id/TN19780396","TN19780396@TEST")</f>
        <v/>
      </c>
      <c r="M89" s="8">
        <f>HYPERLINK("https://test.ictv.global/id/ICTV19760323","ICTV19760323@TEST")</f>
        <v/>
      </c>
      <c r="N89" s="8">
        <f>HYPERLINK("https://ictv.global/id/TN19780396","TN19780396@prod")</f>
        <v/>
      </c>
      <c r="O89" s="8">
        <f>HYPERLINK("https://ictv.global/id/ICTV19760323","ICTV19760323@prod")</f>
        <v/>
      </c>
    </row>
    <row r="90">
      <c r="A90" t="n">
        <v>5</v>
      </c>
      <c r="B90" t="n">
        <v>19780397</v>
      </c>
      <c r="C90" t="n">
        <v>19760324</v>
      </c>
      <c r="D90" t="inlineStr">
        <is>
          <t>species</t>
        </is>
      </c>
      <c r="E90" t="inlineStr">
        <is>
          <t>Human enteroviruses</t>
        </is>
      </c>
      <c r="G90" t="inlineStr">
        <is>
          <t>Split,</t>
        </is>
      </c>
      <c r="H90" t="inlineStr">
        <is>
          <t>Human enterovirus 68</t>
        </is>
      </c>
      <c r="I90" t="inlineStr">
        <is>
          <t>species</t>
        </is>
      </c>
      <c r="J90" t="n">
        <v>19790551</v>
      </c>
      <c r="K90" t="n">
        <v>19790551</v>
      </c>
      <c r="L90" s="8">
        <f>HYPERLINK("https://test.ictv.global/id/TN19780397","TN19780397@TEST")</f>
        <v/>
      </c>
      <c r="M90" s="8">
        <f>HYPERLINK("https://test.ictv.global/id/ICTV19760324","ICTV19760324@TEST")</f>
        <v/>
      </c>
      <c r="N90" s="8">
        <f>HYPERLINK("https://ictv.global/id/TN19780397","TN19780397@prod")</f>
        <v/>
      </c>
      <c r="O90" s="8">
        <f>HYPERLINK("https://ictv.global/id/ICTV19760324","ICTV19760324@prod")</f>
        <v/>
      </c>
    </row>
    <row r="91">
      <c r="A91" t="n">
        <v>5</v>
      </c>
      <c r="B91" t="n">
        <v>19780397</v>
      </c>
      <c r="C91" t="n">
        <v>19760324</v>
      </c>
      <c r="D91" t="inlineStr">
        <is>
          <t>species</t>
        </is>
      </c>
      <c r="E91" t="inlineStr">
        <is>
          <t>Human enteroviruses</t>
        </is>
      </c>
      <c r="G91" t="inlineStr">
        <is>
          <t>Split,</t>
        </is>
      </c>
      <c r="H91" t="inlineStr">
        <is>
          <t>Human enterovirus 69</t>
        </is>
      </c>
      <c r="I91" t="inlineStr">
        <is>
          <t>species</t>
        </is>
      </c>
      <c r="J91" t="n">
        <v>19790552</v>
      </c>
      <c r="K91" t="n">
        <v>19790552</v>
      </c>
      <c r="L91" s="8">
        <f>HYPERLINK("https://test.ictv.global/id/TN19780397","TN19780397@TEST")</f>
        <v/>
      </c>
      <c r="M91" s="8">
        <f>HYPERLINK("https://test.ictv.global/id/ICTV19760324","ICTV19760324@TEST")</f>
        <v/>
      </c>
      <c r="N91" s="8">
        <f>HYPERLINK("https://ictv.global/id/TN19780397","TN19780397@prod")</f>
        <v/>
      </c>
      <c r="O91" s="8">
        <f>HYPERLINK("https://ictv.global/id/ICTV19760324","ICTV19760324@prod")</f>
        <v/>
      </c>
    </row>
    <row r="92">
      <c r="A92" t="n">
        <v>5</v>
      </c>
      <c r="B92" t="n">
        <v>19780397</v>
      </c>
      <c r="C92" t="n">
        <v>19760324</v>
      </c>
      <c r="D92" t="inlineStr">
        <is>
          <t>species</t>
        </is>
      </c>
      <c r="E92" t="inlineStr">
        <is>
          <t>Human enteroviruses</t>
        </is>
      </c>
      <c r="G92" t="inlineStr">
        <is>
          <t>Split,</t>
        </is>
      </c>
      <c r="H92" t="inlineStr">
        <is>
          <t>Human enterovirus 70</t>
        </is>
      </c>
      <c r="I92" t="inlineStr">
        <is>
          <t>species</t>
        </is>
      </c>
      <c r="J92" t="n">
        <v>19790553</v>
      </c>
      <c r="K92" t="n">
        <v>19790553</v>
      </c>
      <c r="L92" s="8">
        <f>HYPERLINK("https://test.ictv.global/id/TN19780397","TN19780397@TEST")</f>
        <v/>
      </c>
      <c r="M92" s="8">
        <f>HYPERLINK("https://test.ictv.global/id/ICTV19760324","ICTV19760324@TEST")</f>
        <v/>
      </c>
      <c r="N92" s="8">
        <f>HYPERLINK("https://ictv.global/id/TN19780397","TN19780397@prod")</f>
        <v/>
      </c>
      <c r="O92" s="8">
        <f>HYPERLINK("https://ictv.global/id/ICTV19760324","ICTV19760324@prod")</f>
        <v/>
      </c>
    </row>
    <row r="93">
      <c r="A93" t="n">
        <v>5</v>
      </c>
      <c r="B93" t="n">
        <v>19780397</v>
      </c>
      <c r="C93" t="n">
        <v>19760324</v>
      </c>
      <c r="D93" t="inlineStr">
        <is>
          <t>species</t>
        </is>
      </c>
      <c r="E93" t="inlineStr">
        <is>
          <t>Human enteroviruses</t>
        </is>
      </c>
      <c r="G93" t="inlineStr">
        <is>
          <t>Split,</t>
        </is>
      </c>
      <c r="H93" t="inlineStr">
        <is>
          <t>Human enterovirus 71</t>
        </is>
      </c>
      <c r="I93" t="inlineStr">
        <is>
          <t>species</t>
        </is>
      </c>
      <c r="J93" t="n">
        <v>19790554</v>
      </c>
      <c r="K93" t="n">
        <v>19790554</v>
      </c>
      <c r="L93" s="8">
        <f>HYPERLINK("https://test.ictv.global/id/TN19780397","TN19780397@TEST")</f>
        <v/>
      </c>
      <c r="M93" s="8">
        <f>HYPERLINK("https://test.ictv.global/id/ICTV19760324","ICTV19760324@TEST")</f>
        <v/>
      </c>
      <c r="N93" s="8">
        <f>HYPERLINK("https://ictv.global/id/TN19780397","TN19780397@prod")</f>
        <v/>
      </c>
      <c r="O93" s="8">
        <f>HYPERLINK("https://ictv.global/id/ICTV19760324","ICTV19760324@prod")</f>
        <v/>
      </c>
    </row>
    <row r="94">
      <c r="A94" t="n">
        <v>5</v>
      </c>
      <c r="B94" t="n">
        <v>19780399</v>
      </c>
      <c r="C94" t="n">
        <v>19760327</v>
      </c>
      <c r="D94" t="inlineStr">
        <is>
          <t>species</t>
        </is>
      </c>
      <c r="E94" t="inlineStr">
        <is>
          <t>Porcine enteroviruses</t>
        </is>
      </c>
      <c r="G94" t="inlineStr">
        <is>
          <t>Split,</t>
        </is>
      </c>
      <c r="H94" t="inlineStr">
        <is>
          <t>Porcine enterovirus 1</t>
        </is>
      </c>
      <c r="I94" t="inlineStr">
        <is>
          <t>species</t>
        </is>
      </c>
      <c r="J94" t="n">
        <v>19991260</v>
      </c>
      <c r="K94" t="n">
        <v>19790559</v>
      </c>
      <c r="L94" s="8">
        <f>HYPERLINK("https://test.ictv.global/id/TN19780399","TN19780399@TEST")</f>
        <v/>
      </c>
      <c r="M94" s="8">
        <f>HYPERLINK("https://test.ictv.global/id/ICTV19760327","ICTV19760327@TEST")</f>
        <v/>
      </c>
      <c r="N94" s="8">
        <f>HYPERLINK("https://ictv.global/id/TN19780399","TN19780399@prod")</f>
        <v/>
      </c>
      <c r="O94" s="8">
        <f>HYPERLINK("https://ictv.global/id/ICTV19760327","ICTV19760327@prod")</f>
        <v/>
      </c>
    </row>
    <row r="95">
      <c r="A95" t="n">
        <v>5</v>
      </c>
      <c r="B95" t="n">
        <v>19780399</v>
      </c>
      <c r="C95" t="n">
        <v>19760327</v>
      </c>
      <c r="D95" t="inlineStr">
        <is>
          <t>species</t>
        </is>
      </c>
      <c r="E95" t="inlineStr">
        <is>
          <t>Porcine enteroviruses</t>
        </is>
      </c>
      <c r="G95" t="inlineStr">
        <is>
          <t>Split,</t>
        </is>
      </c>
      <c r="H95" t="inlineStr">
        <is>
          <t>Porcine enterovirus 2</t>
        </is>
      </c>
      <c r="I95" t="inlineStr">
        <is>
          <t>species</t>
        </is>
      </c>
      <c r="J95" t="n">
        <v>19790560</v>
      </c>
      <c r="K95" t="n">
        <v>19790560</v>
      </c>
      <c r="L95" s="8">
        <f>HYPERLINK("https://test.ictv.global/id/TN19780399","TN19780399@TEST")</f>
        <v/>
      </c>
      <c r="M95" s="8">
        <f>HYPERLINK("https://test.ictv.global/id/ICTV19760327","ICTV19760327@TEST")</f>
        <v/>
      </c>
      <c r="N95" s="8">
        <f>HYPERLINK("https://ictv.global/id/TN19780399","TN19780399@prod")</f>
        <v/>
      </c>
      <c r="O95" s="8">
        <f>HYPERLINK("https://ictv.global/id/ICTV19760327","ICTV19760327@prod")</f>
        <v/>
      </c>
    </row>
    <row r="96">
      <c r="A96" t="n">
        <v>5</v>
      </c>
      <c r="B96" t="n">
        <v>19780399</v>
      </c>
      <c r="C96" t="n">
        <v>19760327</v>
      </c>
      <c r="D96" t="inlineStr">
        <is>
          <t>species</t>
        </is>
      </c>
      <c r="E96" t="inlineStr">
        <is>
          <t>Porcine enteroviruses</t>
        </is>
      </c>
      <c r="G96" t="inlineStr">
        <is>
          <t>Split,</t>
        </is>
      </c>
      <c r="H96" t="inlineStr">
        <is>
          <t>Porcine enterovirus 3</t>
        </is>
      </c>
      <c r="I96" t="inlineStr">
        <is>
          <t>species</t>
        </is>
      </c>
      <c r="J96" t="n">
        <v>19790561</v>
      </c>
      <c r="K96" t="n">
        <v>19790561</v>
      </c>
      <c r="L96" s="8">
        <f>HYPERLINK("https://test.ictv.global/id/TN19780399","TN19780399@TEST")</f>
        <v/>
      </c>
      <c r="M96" s="8">
        <f>HYPERLINK("https://test.ictv.global/id/ICTV19760327","ICTV19760327@TEST")</f>
        <v/>
      </c>
      <c r="N96" s="8">
        <f>HYPERLINK("https://ictv.global/id/TN19780399","TN19780399@prod")</f>
        <v/>
      </c>
      <c r="O96" s="8">
        <f>HYPERLINK("https://ictv.global/id/ICTV19760327","ICTV19760327@prod")</f>
        <v/>
      </c>
    </row>
    <row r="97">
      <c r="A97" t="n">
        <v>5</v>
      </c>
      <c r="B97" t="n">
        <v>19780399</v>
      </c>
      <c r="C97" t="n">
        <v>19760327</v>
      </c>
      <c r="D97" t="inlineStr">
        <is>
          <t>species</t>
        </is>
      </c>
      <c r="E97" t="inlineStr">
        <is>
          <t>Porcine enteroviruses</t>
        </is>
      </c>
      <c r="G97" t="inlineStr">
        <is>
          <t>Split,</t>
        </is>
      </c>
      <c r="H97" t="inlineStr">
        <is>
          <t>Porcine enterovirus 4</t>
        </is>
      </c>
      <c r="I97" t="inlineStr">
        <is>
          <t>species</t>
        </is>
      </c>
      <c r="J97" t="n">
        <v>19790562</v>
      </c>
      <c r="K97" t="n">
        <v>19790562</v>
      </c>
      <c r="L97" s="8">
        <f>HYPERLINK("https://test.ictv.global/id/TN19780399","TN19780399@TEST")</f>
        <v/>
      </c>
      <c r="M97" s="8">
        <f>HYPERLINK("https://test.ictv.global/id/ICTV19760327","ICTV19760327@TEST")</f>
        <v/>
      </c>
      <c r="N97" s="8">
        <f>HYPERLINK("https://ictv.global/id/TN19780399","TN19780399@prod")</f>
        <v/>
      </c>
      <c r="O97" s="8">
        <f>HYPERLINK("https://ictv.global/id/ICTV19760327","ICTV19760327@prod")</f>
        <v/>
      </c>
    </row>
    <row r="98">
      <c r="A98" t="n">
        <v>5</v>
      </c>
      <c r="B98" t="n">
        <v>19780399</v>
      </c>
      <c r="C98" t="n">
        <v>19760327</v>
      </c>
      <c r="D98" t="inlineStr">
        <is>
          <t>species</t>
        </is>
      </c>
      <c r="E98" t="inlineStr">
        <is>
          <t>Porcine enteroviruses</t>
        </is>
      </c>
      <c r="G98" t="inlineStr">
        <is>
          <t>Split,</t>
        </is>
      </c>
      <c r="H98" t="inlineStr">
        <is>
          <t>Porcine enterovirus 5</t>
        </is>
      </c>
      <c r="I98" t="inlineStr">
        <is>
          <t>species</t>
        </is>
      </c>
      <c r="J98" t="n">
        <v>19790563</v>
      </c>
      <c r="K98" t="n">
        <v>19790563</v>
      </c>
      <c r="L98" s="8">
        <f>HYPERLINK("https://test.ictv.global/id/TN19780399","TN19780399@TEST")</f>
        <v/>
      </c>
      <c r="M98" s="8">
        <f>HYPERLINK("https://test.ictv.global/id/ICTV19760327","ICTV19760327@TEST")</f>
        <v/>
      </c>
      <c r="N98" s="8">
        <f>HYPERLINK("https://ictv.global/id/TN19780399","TN19780399@prod")</f>
        <v/>
      </c>
      <c r="O98" s="8">
        <f>HYPERLINK("https://ictv.global/id/ICTV19760327","ICTV19760327@prod")</f>
        <v/>
      </c>
    </row>
    <row r="99">
      <c r="A99" t="n">
        <v>5</v>
      </c>
      <c r="B99" t="n">
        <v>19780399</v>
      </c>
      <c r="C99" t="n">
        <v>19760327</v>
      </c>
      <c r="D99" t="inlineStr">
        <is>
          <t>species</t>
        </is>
      </c>
      <c r="E99" t="inlineStr">
        <is>
          <t>Porcine enteroviruses</t>
        </is>
      </c>
      <c r="G99" t="inlineStr">
        <is>
          <t>Split,</t>
        </is>
      </c>
      <c r="H99" t="inlineStr">
        <is>
          <t>Porcine enterovirus 6</t>
        </is>
      </c>
      <c r="I99" t="inlineStr">
        <is>
          <t>species</t>
        </is>
      </c>
      <c r="J99" t="n">
        <v>19790564</v>
      </c>
      <c r="K99" t="n">
        <v>19790564</v>
      </c>
      <c r="L99" s="8">
        <f>HYPERLINK("https://test.ictv.global/id/TN19780399","TN19780399@TEST")</f>
        <v/>
      </c>
      <c r="M99" s="8">
        <f>HYPERLINK("https://test.ictv.global/id/ICTV19760327","ICTV19760327@TEST")</f>
        <v/>
      </c>
      <c r="N99" s="8">
        <f>HYPERLINK("https://ictv.global/id/TN19780399","TN19780399@prod")</f>
        <v/>
      </c>
      <c r="O99" s="8">
        <f>HYPERLINK("https://ictv.global/id/ICTV19760327","ICTV19760327@prod")</f>
        <v/>
      </c>
    </row>
    <row r="100">
      <c r="A100" t="n">
        <v>5</v>
      </c>
      <c r="B100" t="n">
        <v>19780399</v>
      </c>
      <c r="C100" t="n">
        <v>19760327</v>
      </c>
      <c r="D100" t="inlineStr">
        <is>
          <t>species</t>
        </is>
      </c>
      <c r="E100" t="inlineStr">
        <is>
          <t>Porcine enteroviruses</t>
        </is>
      </c>
      <c r="G100" t="inlineStr">
        <is>
          <t>Split,</t>
        </is>
      </c>
      <c r="H100" t="inlineStr">
        <is>
          <t>Porcine enterovirus 7</t>
        </is>
      </c>
      <c r="I100" t="inlineStr">
        <is>
          <t>species</t>
        </is>
      </c>
      <c r="J100" t="n">
        <v>19790565</v>
      </c>
      <c r="K100" t="n">
        <v>19790565</v>
      </c>
      <c r="L100" s="8">
        <f>HYPERLINK("https://test.ictv.global/id/TN19780399","TN19780399@TEST")</f>
        <v/>
      </c>
      <c r="M100" s="8">
        <f>HYPERLINK("https://test.ictv.global/id/ICTV19760327","ICTV19760327@TEST")</f>
        <v/>
      </c>
      <c r="N100" s="8">
        <f>HYPERLINK("https://ictv.global/id/TN19780399","TN19780399@prod")</f>
        <v/>
      </c>
      <c r="O100" s="8">
        <f>HYPERLINK("https://ictv.global/id/ICTV19760327","ICTV19760327@prod")</f>
        <v/>
      </c>
    </row>
    <row r="101">
      <c r="A101" t="n">
        <v>5</v>
      </c>
      <c r="B101" t="n">
        <v>19780399</v>
      </c>
      <c r="C101" t="n">
        <v>19760327</v>
      </c>
      <c r="D101" t="inlineStr">
        <is>
          <t>species</t>
        </is>
      </c>
      <c r="E101" t="inlineStr">
        <is>
          <t>Porcine enteroviruses</t>
        </is>
      </c>
      <c r="G101" t="inlineStr">
        <is>
          <t>Split,</t>
        </is>
      </c>
      <c r="H101" t="inlineStr">
        <is>
          <t>Porcine enterovirus 8</t>
        </is>
      </c>
      <c r="I101" t="inlineStr">
        <is>
          <t>species</t>
        </is>
      </c>
      <c r="J101" t="n">
        <v>19790566</v>
      </c>
      <c r="K101" t="n">
        <v>19790566</v>
      </c>
      <c r="L101" s="8">
        <f>HYPERLINK("https://test.ictv.global/id/TN19780399","TN19780399@TEST")</f>
        <v/>
      </c>
      <c r="M101" s="8">
        <f>HYPERLINK("https://test.ictv.global/id/ICTV19760327","ICTV19760327@TEST")</f>
        <v/>
      </c>
      <c r="N101" s="8">
        <f>HYPERLINK("https://ictv.global/id/TN19780399","TN19780399@prod")</f>
        <v/>
      </c>
      <c r="O101" s="8">
        <f>HYPERLINK("https://ictv.global/id/ICTV19760327","ICTV19760327@prod")</f>
        <v/>
      </c>
    </row>
    <row r="102">
      <c r="A102" t="n">
        <v>5</v>
      </c>
      <c r="B102" t="n">
        <v>19780400</v>
      </c>
      <c r="C102" t="n">
        <v>19760328</v>
      </c>
      <c r="D102" t="inlineStr">
        <is>
          <t>species</t>
        </is>
      </c>
      <c r="E102" t="inlineStr">
        <is>
          <t>Simian enteroviruses</t>
        </is>
      </c>
      <c r="G102" t="inlineStr">
        <is>
          <t>Split,</t>
        </is>
      </c>
      <c r="H102" t="inlineStr">
        <is>
          <t>Simian enterovirus 1</t>
        </is>
      </c>
      <c r="I102" t="inlineStr">
        <is>
          <t>species</t>
        </is>
      </c>
      <c r="J102" t="n">
        <v>19790567</v>
      </c>
      <c r="K102" t="n">
        <v>19790567</v>
      </c>
      <c r="L102" s="8">
        <f>HYPERLINK("https://test.ictv.global/id/TN19780400","TN19780400@TEST")</f>
        <v/>
      </c>
      <c r="M102" s="8">
        <f>HYPERLINK("https://test.ictv.global/id/ICTV19760328","ICTV19760328@TEST")</f>
        <v/>
      </c>
      <c r="N102" s="8">
        <f>HYPERLINK("https://ictv.global/id/TN19780400","TN19780400@prod")</f>
        <v/>
      </c>
      <c r="O102" s="8">
        <f>HYPERLINK("https://ictv.global/id/ICTV19760328","ICTV19760328@prod")</f>
        <v/>
      </c>
    </row>
    <row r="103">
      <c r="A103" t="n">
        <v>5</v>
      </c>
      <c r="B103" t="n">
        <v>19780400</v>
      </c>
      <c r="C103" t="n">
        <v>19760328</v>
      </c>
      <c r="D103" t="inlineStr">
        <is>
          <t>species</t>
        </is>
      </c>
      <c r="E103" t="inlineStr">
        <is>
          <t>Simian enteroviruses</t>
        </is>
      </c>
      <c r="G103" t="inlineStr">
        <is>
          <t>Split,</t>
        </is>
      </c>
      <c r="H103" t="inlineStr">
        <is>
          <t>Simian enterovirus 10</t>
        </is>
      </c>
      <c r="I103" t="inlineStr">
        <is>
          <t>species</t>
        </is>
      </c>
      <c r="J103" t="n">
        <v>19790568</v>
      </c>
      <c r="K103" t="n">
        <v>19790568</v>
      </c>
      <c r="L103" s="8">
        <f>HYPERLINK("https://test.ictv.global/id/TN19780400","TN19780400@TEST")</f>
        <v/>
      </c>
      <c r="M103" s="8">
        <f>HYPERLINK("https://test.ictv.global/id/ICTV19760328","ICTV19760328@TEST")</f>
        <v/>
      </c>
      <c r="N103" s="8">
        <f>HYPERLINK("https://ictv.global/id/TN19780400","TN19780400@prod")</f>
        <v/>
      </c>
      <c r="O103" s="8">
        <f>HYPERLINK("https://ictv.global/id/ICTV19760328","ICTV19760328@prod")</f>
        <v/>
      </c>
    </row>
    <row r="104">
      <c r="A104" t="n">
        <v>5</v>
      </c>
      <c r="B104" t="n">
        <v>19780400</v>
      </c>
      <c r="C104" t="n">
        <v>19760328</v>
      </c>
      <c r="D104" t="inlineStr">
        <is>
          <t>species</t>
        </is>
      </c>
      <c r="E104" t="inlineStr">
        <is>
          <t>Simian enteroviruses</t>
        </is>
      </c>
      <c r="G104" t="inlineStr">
        <is>
          <t>Split,</t>
        </is>
      </c>
      <c r="H104" t="inlineStr">
        <is>
          <t>Simian enterovirus 11</t>
        </is>
      </c>
      <c r="I104" t="inlineStr">
        <is>
          <t>species</t>
        </is>
      </c>
      <c r="J104" t="n">
        <v>19790569</v>
      </c>
      <c r="K104" t="n">
        <v>19790569</v>
      </c>
      <c r="L104" s="8">
        <f>HYPERLINK("https://test.ictv.global/id/TN19780400","TN19780400@TEST")</f>
        <v/>
      </c>
      <c r="M104" s="8">
        <f>HYPERLINK("https://test.ictv.global/id/ICTV19760328","ICTV19760328@TEST")</f>
        <v/>
      </c>
      <c r="N104" s="8">
        <f>HYPERLINK("https://ictv.global/id/TN19780400","TN19780400@prod")</f>
        <v/>
      </c>
      <c r="O104" s="8">
        <f>HYPERLINK("https://ictv.global/id/ICTV19760328","ICTV19760328@prod")</f>
        <v/>
      </c>
    </row>
    <row r="105">
      <c r="A105" t="n">
        <v>5</v>
      </c>
      <c r="B105" t="n">
        <v>19780400</v>
      </c>
      <c r="C105" t="n">
        <v>19760328</v>
      </c>
      <c r="D105" t="inlineStr">
        <is>
          <t>species</t>
        </is>
      </c>
      <c r="E105" t="inlineStr">
        <is>
          <t>Simian enteroviruses</t>
        </is>
      </c>
      <c r="G105" t="inlineStr">
        <is>
          <t>Split,</t>
        </is>
      </c>
      <c r="H105" t="inlineStr">
        <is>
          <t>Simian enterovirus 12</t>
        </is>
      </c>
      <c r="I105" t="inlineStr">
        <is>
          <t>species</t>
        </is>
      </c>
      <c r="J105" t="n">
        <v>19790570</v>
      </c>
      <c r="K105" t="n">
        <v>19790570</v>
      </c>
      <c r="L105" s="8">
        <f>HYPERLINK("https://test.ictv.global/id/TN19780400","TN19780400@TEST")</f>
        <v/>
      </c>
      <c r="M105" s="8">
        <f>HYPERLINK("https://test.ictv.global/id/ICTV19760328","ICTV19760328@TEST")</f>
        <v/>
      </c>
      <c r="N105" s="8">
        <f>HYPERLINK("https://ictv.global/id/TN19780400","TN19780400@prod")</f>
        <v/>
      </c>
      <c r="O105" s="8">
        <f>HYPERLINK("https://ictv.global/id/ICTV19760328","ICTV19760328@prod")</f>
        <v/>
      </c>
    </row>
    <row r="106">
      <c r="A106" t="n">
        <v>5</v>
      </c>
      <c r="B106" t="n">
        <v>19780400</v>
      </c>
      <c r="C106" t="n">
        <v>19760328</v>
      </c>
      <c r="D106" t="inlineStr">
        <is>
          <t>species</t>
        </is>
      </c>
      <c r="E106" t="inlineStr">
        <is>
          <t>Simian enteroviruses</t>
        </is>
      </c>
      <c r="G106" t="inlineStr">
        <is>
          <t>Split,</t>
        </is>
      </c>
      <c r="H106" t="inlineStr">
        <is>
          <t>Simian enterovirus 13</t>
        </is>
      </c>
      <c r="I106" t="inlineStr">
        <is>
          <t>species</t>
        </is>
      </c>
      <c r="J106" t="n">
        <v>19790571</v>
      </c>
      <c r="K106" t="n">
        <v>19790571</v>
      </c>
      <c r="L106" s="8">
        <f>HYPERLINK("https://test.ictv.global/id/TN19780400","TN19780400@TEST")</f>
        <v/>
      </c>
      <c r="M106" s="8">
        <f>HYPERLINK("https://test.ictv.global/id/ICTV19760328","ICTV19760328@TEST")</f>
        <v/>
      </c>
      <c r="N106" s="8">
        <f>HYPERLINK("https://ictv.global/id/TN19780400","TN19780400@prod")</f>
        <v/>
      </c>
      <c r="O106" s="8">
        <f>HYPERLINK("https://ictv.global/id/ICTV19760328","ICTV19760328@prod")</f>
        <v/>
      </c>
    </row>
    <row r="107">
      <c r="A107" t="n">
        <v>5</v>
      </c>
      <c r="B107" t="n">
        <v>19780400</v>
      </c>
      <c r="C107" t="n">
        <v>19760328</v>
      </c>
      <c r="D107" t="inlineStr">
        <is>
          <t>species</t>
        </is>
      </c>
      <c r="E107" t="inlineStr">
        <is>
          <t>Simian enteroviruses</t>
        </is>
      </c>
      <c r="G107" t="inlineStr">
        <is>
          <t>Split,</t>
        </is>
      </c>
      <c r="H107" t="inlineStr">
        <is>
          <t>Simian enterovirus 14</t>
        </is>
      </c>
      <c r="I107" t="inlineStr">
        <is>
          <t>species</t>
        </is>
      </c>
      <c r="J107" t="n">
        <v>19790572</v>
      </c>
      <c r="K107" t="n">
        <v>19790572</v>
      </c>
      <c r="L107" s="8">
        <f>HYPERLINK("https://test.ictv.global/id/TN19780400","TN19780400@TEST")</f>
        <v/>
      </c>
      <c r="M107" s="8">
        <f>HYPERLINK("https://test.ictv.global/id/ICTV19760328","ICTV19760328@TEST")</f>
        <v/>
      </c>
      <c r="N107" s="8">
        <f>HYPERLINK("https://ictv.global/id/TN19780400","TN19780400@prod")</f>
        <v/>
      </c>
      <c r="O107" s="8">
        <f>HYPERLINK("https://ictv.global/id/ICTV19760328","ICTV19760328@prod")</f>
        <v/>
      </c>
    </row>
    <row r="108">
      <c r="A108" t="n">
        <v>5</v>
      </c>
      <c r="B108" t="n">
        <v>19780400</v>
      </c>
      <c r="C108" t="n">
        <v>19760328</v>
      </c>
      <c r="D108" t="inlineStr">
        <is>
          <t>species</t>
        </is>
      </c>
      <c r="E108" t="inlineStr">
        <is>
          <t>Simian enteroviruses</t>
        </is>
      </c>
      <c r="G108" t="inlineStr">
        <is>
          <t>Split,</t>
        </is>
      </c>
      <c r="H108" t="inlineStr">
        <is>
          <t>Simian enterovirus 15</t>
        </is>
      </c>
      <c r="I108" t="inlineStr">
        <is>
          <t>species</t>
        </is>
      </c>
      <c r="J108" t="n">
        <v>19790573</v>
      </c>
      <c r="K108" t="n">
        <v>19790573</v>
      </c>
      <c r="L108" s="8">
        <f>HYPERLINK("https://test.ictv.global/id/TN19780400","TN19780400@TEST")</f>
        <v/>
      </c>
      <c r="M108" s="8">
        <f>HYPERLINK("https://test.ictv.global/id/ICTV19760328","ICTV19760328@TEST")</f>
        <v/>
      </c>
      <c r="N108" s="8">
        <f>HYPERLINK("https://ictv.global/id/TN19780400","TN19780400@prod")</f>
        <v/>
      </c>
      <c r="O108" s="8">
        <f>HYPERLINK("https://ictv.global/id/ICTV19760328","ICTV19760328@prod")</f>
        <v/>
      </c>
    </row>
    <row r="109">
      <c r="A109" t="n">
        <v>5</v>
      </c>
      <c r="B109" t="n">
        <v>19780400</v>
      </c>
      <c r="C109" t="n">
        <v>19760328</v>
      </c>
      <c r="D109" t="inlineStr">
        <is>
          <t>species</t>
        </is>
      </c>
      <c r="E109" t="inlineStr">
        <is>
          <t>Simian enteroviruses</t>
        </is>
      </c>
      <c r="G109" t="inlineStr">
        <is>
          <t>Split,</t>
        </is>
      </c>
      <c r="H109" t="inlineStr">
        <is>
          <t>Simian enterovirus 16</t>
        </is>
      </c>
      <c r="I109" t="inlineStr">
        <is>
          <t>species</t>
        </is>
      </c>
      <c r="J109" t="n">
        <v>19790574</v>
      </c>
      <c r="K109" t="n">
        <v>19790574</v>
      </c>
      <c r="L109" s="8">
        <f>HYPERLINK("https://test.ictv.global/id/TN19780400","TN19780400@TEST")</f>
        <v/>
      </c>
      <c r="M109" s="8">
        <f>HYPERLINK("https://test.ictv.global/id/ICTV19760328","ICTV19760328@TEST")</f>
        <v/>
      </c>
      <c r="N109" s="8">
        <f>HYPERLINK("https://ictv.global/id/TN19780400","TN19780400@prod")</f>
        <v/>
      </c>
      <c r="O109" s="8">
        <f>HYPERLINK("https://ictv.global/id/ICTV19760328","ICTV19760328@prod")</f>
        <v/>
      </c>
    </row>
    <row r="110">
      <c r="A110" t="n">
        <v>5</v>
      </c>
      <c r="B110" t="n">
        <v>19780400</v>
      </c>
      <c r="C110" t="n">
        <v>19760328</v>
      </c>
      <c r="D110" t="inlineStr">
        <is>
          <t>species</t>
        </is>
      </c>
      <c r="E110" t="inlineStr">
        <is>
          <t>Simian enteroviruses</t>
        </is>
      </c>
      <c r="G110" t="inlineStr">
        <is>
          <t>Split,</t>
        </is>
      </c>
      <c r="H110" t="inlineStr">
        <is>
          <t>Simian enterovirus 17</t>
        </is>
      </c>
      <c r="I110" t="inlineStr">
        <is>
          <t>species</t>
        </is>
      </c>
      <c r="J110" t="n">
        <v>19790575</v>
      </c>
      <c r="K110" t="n">
        <v>19790575</v>
      </c>
      <c r="L110" s="8">
        <f>HYPERLINK("https://test.ictv.global/id/TN19780400","TN19780400@TEST")</f>
        <v/>
      </c>
      <c r="M110" s="8">
        <f>HYPERLINK("https://test.ictv.global/id/ICTV19760328","ICTV19760328@TEST")</f>
        <v/>
      </c>
      <c r="N110" s="8">
        <f>HYPERLINK("https://ictv.global/id/TN19780400","TN19780400@prod")</f>
        <v/>
      </c>
      <c r="O110" s="8">
        <f>HYPERLINK("https://ictv.global/id/ICTV19760328","ICTV19760328@prod")</f>
        <v/>
      </c>
    </row>
    <row r="111">
      <c r="A111" t="n">
        <v>5</v>
      </c>
      <c r="B111" t="n">
        <v>19780400</v>
      </c>
      <c r="C111" t="n">
        <v>19760328</v>
      </c>
      <c r="D111" t="inlineStr">
        <is>
          <t>species</t>
        </is>
      </c>
      <c r="E111" t="inlineStr">
        <is>
          <t>Simian enteroviruses</t>
        </is>
      </c>
      <c r="G111" t="inlineStr">
        <is>
          <t>Split,</t>
        </is>
      </c>
      <c r="H111" t="inlineStr">
        <is>
          <t>Simian enterovirus 18</t>
        </is>
      </c>
      <c r="I111" t="inlineStr">
        <is>
          <t>species</t>
        </is>
      </c>
      <c r="J111" t="n">
        <v>19790576</v>
      </c>
      <c r="K111" t="n">
        <v>19790576</v>
      </c>
      <c r="L111" s="8">
        <f>HYPERLINK("https://test.ictv.global/id/TN19780400","TN19780400@TEST")</f>
        <v/>
      </c>
      <c r="M111" s="8">
        <f>HYPERLINK("https://test.ictv.global/id/ICTV19760328","ICTV19760328@TEST")</f>
        <v/>
      </c>
      <c r="N111" s="8">
        <f>HYPERLINK("https://ictv.global/id/TN19780400","TN19780400@prod")</f>
        <v/>
      </c>
      <c r="O111" s="8">
        <f>HYPERLINK("https://ictv.global/id/ICTV19760328","ICTV19760328@prod")</f>
        <v/>
      </c>
    </row>
    <row r="112">
      <c r="A112" t="n">
        <v>5</v>
      </c>
      <c r="B112" t="n">
        <v>19780400</v>
      </c>
      <c r="C112" t="n">
        <v>19760328</v>
      </c>
      <c r="D112" t="inlineStr">
        <is>
          <t>species</t>
        </is>
      </c>
      <c r="E112" t="inlineStr">
        <is>
          <t>Simian enteroviruses</t>
        </is>
      </c>
      <c r="G112" t="inlineStr">
        <is>
          <t>Split,</t>
        </is>
      </c>
      <c r="H112" t="inlineStr">
        <is>
          <t>Simian enterovirus 2</t>
        </is>
      </c>
      <c r="I112" t="inlineStr">
        <is>
          <t>species</t>
        </is>
      </c>
      <c r="J112" t="n">
        <v>19790577</v>
      </c>
      <c r="K112" t="n">
        <v>19790577</v>
      </c>
      <c r="L112" s="8">
        <f>HYPERLINK("https://test.ictv.global/id/TN19780400","TN19780400@TEST")</f>
        <v/>
      </c>
      <c r="M112" s="8">
        <f>HYPERLINK("https://test.ictv.global/id/ICTV19760328","ICTV19760328@TEST")</f>
        <v/>
      </c>
      <c r="N112" s="8">
        <f>HYPERLINK("https://ictv.global/id/TN19780400","TN19780400@prod")</f>
        <v/>
      </c>
      <c r="O112" s="8">
        <f>HYPERLINK("https://ictv.global/id/ICTV19760328","ICTV19760328@prod")</f>
        <v/>
      </c>
    </row>
    <row r="113">
      <c r="A113" t="n">
        <v>5</v>
      </c>
      <c r="B113" t="n">
        <v>19780400</v>
      </c>
      <c r="C113" t="n">
        <v>19760328</v>
      </c>
      <c r="D113" t="inlineStr">
        <is>
          <t>species</t>
        </is>
      </c>
      <c r="E113" t="inlineStr">
        <is>
          <t>Simian enteroviruses</t>
        </is>
      </c>
      <c r="G113" t="inlineStr">
        <is>
          <t>Split,</t>
        </is>
      </c>
      <c r="H113" t="inlineStr">
        <is>
          <t>Simian enterovirus 3</t>
        </is>
      </c>
      <c r="I113" t="inlineStr">
        <is>
          <t>species</t>
        </is>
      </c>
      <c r="J113" t="n">
        <v>19790578</v>
      </c>
      <c r="K113" t="n">
        <v>19790578</v>
      </c>
      <c r="L113" s="8">
        <f>HYPERLINK("https://test.ictv.global/id/TN19780400","TN19780400@TEST")</f>
        <v/>
      </c>
      <c r="M113" s="8">
        <f>HYPERLINK("https://test.ictv.global/id/ICTV19760328","ICTV19760328@TEST")</f>
        <v/>
      </c>
      <c r="N113" s="8">
        <f>HYPERLINK("https://ictv.global/id/TN19780400","TN19780400@prod")</f>
        <v/>
      </c>
      <c r="O113" s="8">
        <f>HYPERLINK("https://ictv.global/id/ICTV19760328","ICTV19760328@prod")</f>
        <v/>
      </c>
    </row>
    <row r="114">
      <c r="A114" t="n">
        <v>5</v>
      </c>
      <c r="B114" t="n">
        <v>19780400</v>
      </c>
      <c r="C114" t="n">
        <v>19760328</v>
      </c>
      <c r="D114" t="inlineStr">
        <is>
          <t>species</t>
        </is>
      </c>
      <c r="E114" t="inlineStr">
        <is>
          <t>Simian enteroviruses</t>
        </is>
      </c>
      <c r="G114" t="inlineStr">
        <is>
          <t>Split,</t>
        </is>
      </c>
      <c r="H114" t="inlineStr">
        <is>
          <t>Simian enterovirus 4</t>
        </is>
      </c>
      <c r="I114" t="inlineStr">
        <is>
          <t>species</t>
        </is>
      </c>
      <c r="J114" t="n">
        <v>19790579</v>
      </c>
      <c r="K114" t="n">
        <v>19790579</v>
      </c>
      <c r="L114" s="8">
        <f>HYPERLINK("https://test.ictv.global/id/TN19780400","TN19780400@TEST")</f>
        <v/>
      </c>
      <c r="M114" s="8">
        <f>HYPERLINK("https://test.ictv.global/id/ICTV19760328","ICTV19760328@TEST")</f>
        <v/>
      </c>
      <c r="N114" s="8">
        <f>HYPERLINK("https://ictv.global/id/TN19780400","TN19780400@prod")</f>
        <v/>
      </c>
      <c r="O114" s="8">
        <f>HYPERLINK("https://ictv.global/id/ICTV19760328","ICTV19760328@prod")</f>
        <v/>
      </c>
    </row>
    <row r="115">
      <c r="A115" t="n">
        <v>5</v>
      </c>
      <c r="B115" t="n">
        <v>19780400</v>
      </c>
      <c r="C115" t="n">
        <v>19760328</v>
      </c>
      <c r="D115" t="inlineStr">
        <is>
          <t>species</t>
        </is>
      </c>
      <c r="E115" t="inlineStr">
        <is>
          <t>Simian enteroviruses</t>
        </is>
      </c>
      <c r="G115" t="inlineStr">
        <is>
          <t>Split,</t>
        </is>
      </c>
      <c r="H115" t="inlineStr">
        <is>
          <t>Simian enterovirus 5</t>
        </is>
      </c>
      <c r="I115" t="inlineStr">
        <is>
          <t>species</t>
        </is>
      </c>
      <c r="J115" t="n">
        <v>19790580</v>
      </c>
      <c r="K115" t="n">
        <v>19790580</v>
      </c>
      <c r="L115" s="8">
        <f>HYPERLINK("https://test.ictv.global/id/TN19780400","TN19780400@TEST")</f>
        <v/>
      </c>
      <c r="M115" s="8">
        <f>HYPERLINK("https://test.ictv.global/id/ICTV19760328","ICTV19760328@TEST")</f>
        <v/>
      </c>
      <c r="N115" s="8">
        <f>HYPERLINK("https://ictv.global/id/TN19780400","TN19780400@prod")</f>
        <v/>
      </c>
      <c r="O115" s="8">
        <f>HYPERLINK("https://ictv.global/id/ICTV19760328","ICTV19760328@prod")</f>
        <v/>
      </c>
    </row>
    <row r="116">
      <c r="A116" t="n">
        <v>5</v>
      </c>
      <c r="B116" t="n">
        <v>19780400</v>
      </c>
      <c r="C116" t="n">
        <v>19760328</v>
      </c>
      <c r="D116" t="inlineStr">
        <is>
          <t>species</t>
        </is>
      </c>
      <c r="E116" t="inlineStr">
        <is>
          <t>Simian enteroviruses</t>
        </is>
      </c>
      <c r="G116" t="inlineStr">
        <is>
          <t>Split,</t>
        </is>
      </c>
      <c r="H116" t="inlineStr">
        <is>
          <t>Simian enterovirus 6</t>
        </is>
      </c>
      <c r="I116" t="inlineStr">
        <is>
          <t>species</t>
        </is>
      </c>
      <c r="J116" t="n">
        <v>19790581</v>
      </c>
      <c r="K116" t="n">
        <v>19790581</v>
      </c>
      <c r="L116" s="8">
        <f>HYPERLINK("https://test.ictv.global/id/TN19780400","TN19780400@TEST")</f>
        <v/>
      </c>
      <c r="M116" s="8">
        <f>HYPERLINK("https://test.ictv.global/id/ICTV19760328","ICTV19760328@TEST")</f>
        <v/>
      </c>
      <c r="N116" s="8">
        <f>HYPERLINK("https://ictv.global/id/TN19780400","TN19780400@prod")</f>
        <v/>
      </c>
      <c r="O116" s="8">
        <f>HYPERLINK("https://ictv.global/id/ICTV19760328","ICTV19760328@prod")</f>
        <v/>
      </c>
    </row>
    <row r="117">
      <c r="A117" t="n">
        <v>5</v>
      </c>
      <c r="B117" t="n">
        <v>19780400</v>
      </c>
      <c r="C117" t="n">
        <v>19760328</v>
      </c>
      <c r="D117" t="inlineStr">
        <is>
          <t>species</t>
        </is>
      </c>
      <c r="E117" t="inlineStr">
        <is>
          <t>Simian enteroviruses</t>
        </is>
      </c>
      <c r="G117" t="inlineStr">
        <is>
          <t>Split,</t>
        </is>
      </c>
      <c r="H117" t="inlineStr">
        <is>
          <t>Simian enterovirus 7</t>
        </is>
      </c>
      <c r="I117" t="inlineStr">
        <is>
          <t>species</t>
        </is>
      </c>
      <c r="J117" t="n">
        <v>19790582</v>
      </c>
      <c r="K117" t="n">
        <v>19790582</v>
      </c>
      <c r="L117" s="8">
        <f>HYPERLINK("https://test.ictv.global/id/TN19780400","TN19780400@TEST")</f>
        <v/>
      </c>
      <c r="M117" s="8">
        <f>HYPERLINK("https://test.ictv.global/id/ICTV19760328","ICTV19760328@TEST")</f>
        <v/>
      </c>
      <c r="N117" s="8">
        <f>HYPERLINK("https://ictv.global/id/TN19780400","TN19780400@prod")</f>
        <v/>
      </c>
      <c r="O117" s="8">
        <f>HYPERLINK("https://ictv.global/id/ICTV19760328","ICTV19760328@prod")</f>
        <v/>
      </c>
    </row>
    <row r="118">
      <c r="A118" t="n">
        <v>5</v>
      </c>
      <c r="B118" t="n">
        <v>19780400</v>
      </c>
      <c r="C118" t="n">
        <v>19760328</v>
      </c>
      <c r="D118" t="inlineStr">
        <is>
          <t>species</t>
        </is>
      </c>
      <c r="E118" t="inlineStr">
        <is>
          <t>Simian enteroviruses</t>
        </is>
      </c>
      <c r="G118" t="inlineStr">
        <is>
          <t>Split,</t>
        </is>
      </c>
      <c r="H118" t="inlineStr">
        <is>
          <t>Simian enterovirus 8</t>
        </is>
      </c>
      <c r="I118" t="inlineStr">
        <is>
          <t>species</t>
        </is>
      </c>
      <c r="J118" t="n">
        <v>19790583</v>
      </c>
      <c r="K118" t="n">
        <v>19790583</v>
      </c>
      <c r="L118" s="8">
        <f>HYPERLINK("https://test.ictv.global/id/TN19780400","TN19780400@TEST")</f>
        <v/>
      </c>
      <c r="M118" s="8">
        <f>HYPERLINK("https://test.ictv.global/id/ICTV19760328","ICTV19760328@TEST")</f>
        <v/>
      </c>
      <c r="N118" s="8">
        <f>HYPERLINK("https://ictv.global/id/TN19780400","TN19780400@prod")</f>
        <v/>
      </c>
      <c r="O118" s="8">
        <f>HYPERLINK("https://ictv.global/id/ICTV19760328","ICTV19760328@prod")</f>
        <v/>
      </c>
    </row>
    <row r="119">
      <c r="A119" t="n">
        <v>5</v>
      </c>
      <c r="B119" t="n">
        <v>19780400</v>
      </c>
      <c r="C119" t="n">
        <v>19760328</v>
      </c>
      <c r="D119" t="inlineStr">
        <is>
          <t>species</t>
        </is>
      </c>
      <c r="E119" t="inlineStr">
        <is>
          <t>Simian enteroviruses</t>
        </is>
      </c>
      <c r="G119" t="inlineStr">
        <is>
          <t>Split,</t>
        </is>
      </c>
      <c r="H119" t="inlineStr">
        <is>
          <t>Simian enterovirus 9</t>
        </is>
      </c>
      <c r="I119" t="inlineStr">
        <is>
          <t>species</t>
        </is>
      </c>
      <c r="J119" t="n">
        <v>19790584</v>
      </c>
      <c r="K119" t="n">
        <v>19790584</v>
      </c>
      <c r="L119" s="8">
        <f>HYPERLINK("https://test.ictv.global/id/TN19780400","TN19780400@TEST")</f>
        <v/>
      </c>
      <c r="M119" s="8">
        <f>HYPERLINK("https://test.ictv.global/id/ICTV19760328","ICTV19760328@TEST")</f>
        <v/>
      </c>
      <c r="N119" s="8">
        <f>HYPERLINK("https://ictv.global/id/TN19780400","TN19780400@prod")</f>
        <v/>
      </c>
      <c r="O119" s="8">
        <f>HYPERLINK("https://ictv.global/id/ICTV19760328","ICTV19760328@prod")</f>
        <v/>
      </c>
    </row>
    <row r="120">
      <c r="A120" t="n">
        <v>5</v>
      </c>
      <c r="B120" t="n">
        <v>19780401</v>
      </c>
      <c r="C120" t="n">
        <v>19760329</v>
      </c>
      <c r="D120" t="inlineStr">
        <is>
          <t>species</t>
        </is>
      </c>
      <c r="E120" t="inlineStr">
        <is>
          <t>Bovine rhinoviruses</t>
        </is>
      </c>
      <c r="G120" t="inlineStr">
        <is>
          <t>Split,</t>
        </is>
      </c>
      <c r="H120" t="inlineStr">
        <is>
          <t>Bovine rhinovirus 1</t>
        </is>
      </c>
      <c r="I120" t="inlineStr">
        <is>
          <t>species</t>
        </is>
      </c>
      <c r="J120" t="n">
        <v>19790585</v>
      </c>
      <c r="K120" t="n">
        <v>19790585</v>
      </c>
      <c r="L120" s="8">
        <f>HYPERLINK("https://test.ictv.global/id/TN19780401","TN19780401@TEST")</f>
        <v/>
      </c>
      <c r="M120" s="8">
        <f>HYPERLINK("https://test.ictv.global/id/ICTV19760329","ICTV19760329@TEST")</f>
        <v/>
      </c>
      <c r="N120" s="8">
        <f>HYPERLINK("https://ictv.global/id/TN19780401","TN19780401@prod")</f>
        <v/>
      </c>
      <c r="O120" s="8">
        <f>HYPERLINK("https://ictv.global/id/ICTV19760329","ICTV19760329@prod")</f>
        <v/>
      </c>
    </row>
    <row r="121">
      <c r="A121" t="n">
        <v>5</v>
      </c>
      <c r="B121" t="n">
        <v>19780401</v>
      </c>
      <c r="C121" t="n">
        <v>19760329</v>
      </c>
      <c r="D121" t="inlineStr">
        <is>
          <t>species</t>
        </is>
      </c>
      <c r="E121" t="inlineStr">
        <is>
          <t>Bovine rhinoviruses</t>
        </is>
      </c>
      <c r="G121" t="inlineStr">
        <is>
          <t>Split,</t>
        </is>
      </c>
      <c r="H121" t="inlineStr">
        <is>
          <t>Bovine rhinovirus 2</t>
        </is>
      </c>
      <c r="I121" t="inlineStr">
        <is>
          <t>species</t>
        </is>
      </c>
      <c r="J121" t="n">
        <v>19790586</v>
      </c>
      <c r="K121" t="n">
        <v>19790586</v>
      </c>
      <c r="L121" s="8">
        <f>HYPERLINK("https://test.ictv.global/id/TN19780401","TN19780401@TEST")</f>
        <v/>
      </c>
      <c r="M121" s="8">
        <f>HYPERLINK("https://test.ictv.global/id/ICTV19760329","ICTV19760329@TEST")</f>
        <v/>
      </c>
      <c r="N121" s="8">
        <f>HYPERLINK("https://ictv.global/id/TN19780401","TN19780401@prod")</f>
        <v/>
      </c>
      <c r="O121" s="8">
        <f>HYPERLINK("https://ictv.global/id/ICTV19760329","ICTV19760329@prod")</f>
        <v/>
      </c>
    </row>
    <row r="122">
      <c r="A122" t="n">
        <v>5</v>
      </c>
      <c r="B122" t="n">
        <v>19780402</v>
      </c>
      <c r="C122" t="n">
        <v>19760330</v>
      </c>
      <c r="D122" t="inlineStr">
        <is>
          <t>species</t>
        </is>
      </c>
      <c r="E122" t="inlineStr">
        <is>
          <t>Equine rhinoviruses</t>
        </is>
      </c>
      <c r="G122" t="inlineStr">
        <is>
          <t>Split,Moved,</t>
        </is>
      </c>
      <c r="H122" t="inlineStr">
        <is>
          <t>Equine rhinovirus 1</t>
        </is>
      </c>
      <c r="I122" t="inlineStr">
        <is>
          <t>species</t>
        </is>
      </c>
      <c r="J122" t="n">
        <v>19790701</v>
      </c>
      <c r="K122" t="n">
        <v>19790701</v>
      </c>
      <c r="L122" s="8">
        <f>HYPERLINK("https://test.ictv.global/id/TN19780402","TN19780402@TEST")</f>
        <v/>
      </c>
      <c r="M122" s="8">
        <f>HYPERLINK("https://test.ictv.global/id/ICTV19760330","ICTV19760330@TEST")</f>
        <v/>
      </c>
      <c r="N122" s="8">
        <f>HYPERLINK("https://ictv.global/id/TN19780402","TN19780402@prod")</f>
        <v/>
      </c>
      <c r="O122" s="8">
        <f>HYPERLINK("https://ictv.global/id/ICTV19760330","ICTV19760330@prod")</f>
        <v/>
      </c>
    </row>
    <row r="123">
      <c r="A123" t="n">
        <v>5</v>
      </c>
      <c r="B123" t="n">
        <v>19780402</v>
      </c>
      <c r="C123" t="n">
        <v>19760330</v>
      </c>
      <c r="D123" t="inlineStr">
        <is>
          <t>species</t>
        </is>
      </c>
      <c r="E123" t="inlineStr">
        <is>
          <t>Equine rhinoviruses</t>
        </is>
      </c>
      <c r="G123" t="inlineStr">
        <is>
          <t>Split,Moved,</t>
        </is>
      </c>
      <c r="H123" t="inlineStr">
        <is>
          <t>Equine rhinovirus 2</t>
        </is>
      </c>
      <c r="I123" t="inlineStr">
        <is>
          <t>species</t>
        </is>
      </c>
      <c r="J123" t="n">
        <v>19790702</v>
      </c>
      <c r="K123" t="n">
        <v>19790702</v>
      </c>
      <c r="L123" s="8">
        <f>HYPERLINK("https://test.ictv.global/id/TN19780402","TN19780402@TEST")</f>
        <v/>
      </c>
      <c r="M123" s="8">
        <f>HYPERLINK("https://test.ictv.global/id/ICTV19760330","ICTV19760330@TEST")</f>
        <v/>
      </c>
      <c r="N123" s="8">
        <f>HYPERLINK("https://ictv.global/id/TN19780402","TN19780402@prod")</f>
        <v/>
      </c>
      <c r="O123" s="8">
        <f>HYPERLINK("https://ictv.global/id/ICTV19760330","ICTV19760330@prod")</f>
        <v/>
      </c>
    </row>
    <row r="124">
      <c r="A124" t="n">
        <v>5</v>
      </c>
      <c r="B124" t="n">
        <v>19780612</v>
      </c>
      <c r="C124" t="n">
        <v>19760539</v>
      </c>
      <c r="D124" t="inlineStr">
        <is>
          <t>species</t>
        </is>
      </c>
      <c r="E124" t="inlineStr">
        <is>
          <t>Viper type C virus</t>
        </is>
      </c>
      <c r="G124" t="inlineStr">
        <is>
          <t>Abolished,</t>
        </is>
      </c>
      <c r="L124" s="8">
        <f>HYPERLINK("https://test.ictv.global/id/TN19780612","TN19780612@TEST")</f>
        <v/>
      </c>
      <c r="M124" s="8">
        <f>HYPERLINK("https://test.ictv.global/id/ICTV19760539","ICTV19760539@TEST")</f>
        <v/>
      </c>
      <c r="N124" s="8">
        <f>HYPERLINK("https://ictv.global/id/TN19780612","TN19780612@prod")</f>
        <v/>
      </c>
      <c r="O124" s="8">
        <f>HYPERLINK("https://ictv.global/id/ICTV19760539","ICTV19760539@prod")</f>
        <v/>
      </c>
    </row>
    <row r="125">
      <c r="A125" t="n">
        <v>5</v>
      </c>
      <c r="B125" t="n">
        <v>19780616</v>
      </c>
      <c r="C125" t="n">
        <v>19760543</v>
      </c>
      <c r="D125" t="inlineStr">
        <is>
          <t>species</t>
        </is>
      </c>
      <c r="E125" t="inlineStr">
        <is>
          <t>Hamster syncytial virus</t>
        </is>
      </c>
      <c r="G125" t="inlineStr">
        <is>
          <t>Abolished,</t>
        </is>
      </c>
      <c r="L125" s="8">
        <f>HYPERLINK("https://test.ictv.global/id/TN19780616","TN19780616@TEST")</f>
        <v/>
      </c>
      <c r="M125" s="8">
        <f>HYPERLINK("https://test.ictv.global/id/ICTV19760543","ICTV19760543@TEST")</f>
        <v/>
      </c>
      <c r="N125" s="8">
        <f>HYPERLINK("https://ictv.global/id/TN19780616","TN19780616@prod")</f>
        <v/>
      </c>
      <c r="O125" s="8">
        <f>HYPERLINK("https://ictv.global/id/ICTV19760543","ICTV19760543@prod")</f>
        <v/>
      </c>
    </row>
    <row r="126">
      <c r="A126" t="n">
        <v>5</v>
      </c>
      <c r="B126" t="n">
        <v>19780629</v>
      </c>
      <c r="C126" t="n">
        <v>19760556</v>
      </c>
      <c r="D126" t="inlineStr">
        <is>
          <t>species</t>
        </is>
      </c>
      <c r="E126" t="inlineStr">
        <is>
          <t>Flanders-Hart Park virus</t>
        </is>
      </c>
      <c r="G126" t="inlineStr">
        <is>
          <t>Abolished,</t>
        </is>
      </c>
      <c r="L126" s="8">
        <f>HYPERLINK("https://test.ictv.global/id/TN19780629","TN19780629@TEST")</f>
        <v/>
      </c>
      <c r="M126" s="8">
        <f>HYPERLINK("https://test.ictv.global/id/ICTV19760556","ICTV19760556@TEST")</f>
        <v/>
      </c>
      <c r="N126" s="8">
        <f>HYPERLINK("https://ictv.global/id/TN19780629","TN19780629@prod")</f>
        <v/>
      </c>
      <c r="O126" s="8">
        <f>HYPERLINK("https://ictv.global/id/ICTV19760556","ICTV19760556@prod")</f>
        <v/>
      </c>
    </row>
    <row r="127">
      <c r="A127" t="n">
        <v>5</v>
      </c>
      <c r="B127" t="n">
        <v>19780630</v>
      </c>
      <c r="C127" t="n">
        <v>19710310</v>
      </c>
      <c r="D127" t="inlineStr">
        <is>
          <t>species</t>
        </is>
      </c>
      <c r="E127" t="inlineStr">
        <is>
          <t>Kern Canyon virus</t>
        </is>
      </c>
      <c r="G127" t="inlineStr">
        <is>
          <t>Abolished,</t>
        </is>
      </c>
      <c r="L127" s="8">
        <f>HYPERLINK("https://test.ictv.global/id/TN19780630","TN19780630@TEST")</f>
        <v/>
      </c>
      <c r="M127" s="8">
        <f>HYPERLINK("https://test.ictv.global/id/ICTV19710310","ICTV19710310@TEST")</f>
        <v/>
      </c>
      <c r="N127" s="8">
        <f>HYPERLINK("https://ictv.global/id/TN19780630","TN19780630@prod")</f>
        <v/>
      </c>
      <c r="O127" s="8">
        <f>HYPERLINK("https://ictv.global/id/ICTV19710310","ICTV19710310@prod")</f>
        <v/>
      </c>
    </row>
    <row r="128">
      <c r="A128" t="n">
        <v>5</v>
      </c>
      <c r="B128" t="n">
        <v>19780658</v>
      </c>
      <c r="C128" t="n">
        <v>19760584</v>
      </c>
      <c r="D128" t="inlineStr">
        <is>
          <t>species</t>
        </is>
      </c>
      <c r="E128" t="inlineStr">
        <is>
          <t>Abbsettarov virus</t>
        </is>
      </c>
      <c r="G128" t="inlineStr">
        <is>
          <t>Merged,</t>
        </is>
      </c>
      <c r="H128" t="inlineStr">
        <is>
          <t>Tick-borne encephalitis virus</t>
        </is>
      </c>
      <c r="I128" t="inlineStr">
        <is>
          <t>species</t>
        </is>
      </c>
      <c r="J128" t="n">
        <v>19790934</v>
      </c>
      <c r="K128" t="n">
        <v>19790934</v>
      </c>
      <c r="L128" s="8">
        <f>HYPERLINK("https://test.ictv.global/id/TN19780658","TN19780658@TEST")</f>
        <v/>
      </c>
      <c r="M128" s="8">
        <f>HYPERLINK("https://test.ictv.global/id/ICTV19760584","ICTV19760584@TEST")</f>
        <v/>
      </c>
      <c r="N128" s="8">
        <f>HYPERLINK("https://ictv.global/id/TN19780658","TN19780658@prod")</f>
        <v/>
      </c>
      <c r="O128" s="8">
        <f>HYPERLINK("https://ictv.global/id/ICTV19760584","ICTV19760584@prod")</f>
        <v/>
      </c>
    </row>
    <row r="129">
      <c r="A129" t="n">
        <v>5</v>
      </c>
      <c r="B129" t="n">
        <v>19780675</v>
      </c>
      <c r="C129" t="n">
        <v>19760601</v>
      </c>
      <c r="D129" t="inlineStr">
        <is>
          <t>species</t>
        </is>
      </c>
      <c r="E129" t="inlineStr">
        <is>
          <t>Hanzalova virus</t>
        </is>
      </c>
      <c r="G129" t="inlineStr">
        <is>
          <t>Merged,</t>
        </is>
      </c>
      <c r="H129" t="inlineStr">
        <is>
          <t>Tick-borne encephalitis virus</t>
        </is>
      </c>
      <c r="I129" t="inlineStr">
        <is>
          <t>species</t>
        </is>
      </c>
      <c r="J129" t="n">
        <v>19790934</v>
      </c>
      <c r="K129" t="n">
        <v>19790934</v>
      </c>
      <c r="L129" s="8">
        <f>HYPERLINK("https://test.ictv.global/id/TN19780675","TN19780675@TEST")</f>
        <v/>
      </c>
      <c r="M129" s="8">
        <f>HYPERLINK("https://test.ictv.global/id/ICTV19760601","ICTV19760601@TEST")</f>
        <v/>
      </c>
      <c r="N129" s="8">
        <f>HYPERLINK("https://ictv.global/id/TN19780675","TN19780675@prod")</f>
        <v/>
      </c>
      <c r="O129" s="8">
        <f>HYPERLINK("https://ictv.global/id/ICTV19760601","ICTV19760601@prod")</f>
        <v/>
      </c>
    </row>
    <row r="130">
      <c r="A130" t="n">
        <v>5</v>
      </c>
      <c r="B130" t="n">
        <v>19780676</v>
      </c>
      <c r="C130" t="n">
        <v>19760602</v>
      </c>
      <c r="D130" t="inlineStr">
        <is>
          <t>species</t>
        </is>
      </c>
      <c r="E130" t="inlineStr">
        <is>
          <t>Hypr virus</t>
        </is>
      </c>
      <c r="G130" t="inlineStr">
        <is>
          <t>Merged,</t>
        </is>
      </c>
      <c r="H130" t="inlineStr">
        <is>
          <t>Tick-borne encephalitis virus</t>
        </is>
      </c>
      <c r="I130" t="inlineStr">
        <is>
          <t>species</t>
        </is>
      </c>
      <c r="J130" t="n">
        <v>19790934</v>
      </c>
      <c r="K130" t="n">
        <v>19790934</v>
      </c>
      <c r="L130" s="8">
        <f>HYPERLINK("https://test.ictv.global/id/TN19780676","TN19780676@TEST")</f>
        <v/>
      </c>
      <c r="M130" s="8">
        <f>HYPERLINK("https://test.ictv.global/id/ICTV19760602","ICTV19760602@TEST")</f>
        <v/>
      </c>
      <c r="N130" s="8">
        <f>HYPERLINK("https://ictv.global/id/TN19780676","TN19780676@prod")</f>
        <v/>
      </c>
      <c r="O130" s="8">
        <f>HYPERLINK("https://ictv.global/id/ICTV19760602","ICTV19760602@prod")</f>
        <v/>
      </c>
    </row>
    <row r="131">
      <c r="A131" t="n">
        <v>5</v>
      </c>
      <c r="B131" t="n">
        <v>19780686</v>
      </c>
      <c r="C131" t="n">
        <v>19760612</v>
      </c>
      <c r="D131" t="inlineStr">
        <is>
          <t>species</t>
        </is>
      </c>
      <c r="E131" t="inlineStr">
        <is>
          <t>Kumlinge virus</t>
        </is>
      </c>
      <c r="G131" t="inlineStr">
        <is>
          <t>Merged,</t>
        </is>
      </c>
      <c r="H131" t="inlineStr">
        <is>
          <t>Tick-borne encephalitis virus</t>
        </is>
      </c>
      <c r="I131" t="inlineStr">
        <is>
          <t>species</t>
        </is>
      </c>
      <c r="J131" t="n">
        <v>19790934</v>
      </c>
      <c r="K131" t="n">
        <v>19790934</v>
      </c>
      <c r="L131" s="8">
        <f>HYPERLINK("https://test.ictv.global/id/TN19780686","TN19780686@TEST")</f>
        <v/>
      </c>
      <c r="M131" s="8">
        <f>HYPERLINK("https://test.ictv.global/id/ICTV19760612","ICTV19760612@TEST")</f>
        <v/>
      </c>
      <c r="N131" s="8">
        <f>HYPERLINK("https://ictv.global/id/TN19780686","TN19780686@prod")</f>
        <v/>
      </c>
      <c r="O131" s="8">
        <f>HYPERLINK("https://ictv.global/id/ICTV19760612","ICTV19760612@prod")</f>
        <v/>
      </c>
    </row>
    <row r="132">
      <c r="A132" t="n">
        <v>5</v>
      </c>
      <c r="B132" t="n">
        <v>19780701</v>
      </c>
      <c r="C132" t="n">
        <v>19760627</v>
      </c>
      <c r="D132" t="inlineStr">
        <is>
          <t>species</t>
        </is>
      </c>
      <c r="E132" t="inlineStr">
        <is>
          <t>Russian spring-summer encephalitis virus</t>
        </is>
      </c>
      <c r="G132" t="inlineStr">
        <is>
          <t>Merged,</t>
        </is>
      </c>
      <c r="H132" t="inlineStr">
        <is>
          <t>Tick-borne encephalitis virus</t>
        </is>
      </c>
      <c r="I132" t="inlineStr">
        <is>
          <t>species</t>
        </is>
      </c>
      <c r="J132" t="n">
        <v>19790934</v>
      </c>
      <c r="K132" t="n">
        <v>19790934</v>
      </c>
      <c r="L132" s="8">
        <f>HYPERLINK("https://test.ictv.global/id/TN19780701","TN19780701@TEST")</f>
        <v/>
      </c>
      <c r="M132" s="8">
        <f>HYPERLINK("https://test.ictv.global/id/ICTV19760627","ICTV19760627@TEST")</f>
        <v/>
      </c>
      <c r="N132" s="8">
        <f>HYPERLINK("https://ictv.global/id/TN19780701","TN19780701@prod")</f>
        <v/>
      </c>
      <c r="O132" s="8">
        <f>HYPERLINK("https://ictv.global/id/ICTV19760627","ICTV19760627@prod")</f>
        <v/>
      </c>
    </row>
    <row r="133">
      <c r="A133" t="n">
        <v>5</v>
      </c>
      <c r="B133" t="n">
        <v>19780785</v>
      </c>
      <c r="C133" t="n">
        <v>19760710</v>
      </c>
      <c r="D133" t="inlineStr">
        <is>
          <t>species</t>
        </is>
      </c>
      <c r="E133" t="inlineStr">
        <is>
          <t>Cherry raspberry leaf virus</t>
        </is>
      </c>
      <c r="G133" t="inlineStr">
        <is>
          <t>Abolished,</t>
        </is>
      </c>
      <c r="L133" s="8">
        <f>HYPERLINK("https://test.ictv.global/id/TN19780785","TN19780785@TEST")</f>
        <v/>
      </c>
      <c r="M133" s="8">
        <f>HYPERLINK("https://test.ictv.global/id/ICTV19760710","ICTV19760710@TEST")</f>
        <v/>
      </c>
      <c r="N133" s="8">
        <f>HYPERLINK("https://ictv.global/id/TN19780785","TN19780785@prod")</f>
        <v/>
      </c>
      <c r="O133" s="8">
        <f>HYPERLINK("https://ictv.global/id/ICTV19760710","ICTV19760710@prod")</f>
        <v/>
      </c>
    </row>
    <row r="134">
      <c r="A134" t="n">
        <v>5</v>
      </c>
      <c r="B134" t="n">
        <v>19780847</v>
      </c>
      <c r="C134" t="n">
        <v>19710315</v>
      </c>
      <c r="D134" t="inlineStr">
        <is>
          <t>species</t>
        </is>
      </c>
      <c r="E134" t="inlineStr">
        <is>
          <t>Coliphage T4</t>
        </is>
      </c>
      <c r="G134" t="inlineStr">
        <is>
          <t>Abolished,</t>
        </is>
      </c>
      <c r="L134" s="8">
        <f>HYPERLINK("https://test.ictv.global/id/TN19780847","TN19780847@TEST")</f>
        <v/>
      </c>
      <c r="M134" s="8">
        <f>HYPERLINK("https://test.ictv.global/id/ICTV19710315","ICTV19710315@TEST")</f>
        <v/>
      </c>
      <c r="N134" s="8">
        <f>HYPERLINK("https://ictv.global/id/TN19780847","TN19780847@prod")</f>
        <v/>
      </c>
      <c r="O134" s="8">
        <f>HYPERLINK("https://ictv.global/id/ICTV19710315","ICTV19710315@prod")</f>
        <v/>
      </c>
    </row>
    <row r="135">
      <c r="A135" t="n">
        <v>5</v>
      </c>
      <c r="B135" t="n">
        <v>19780859</v>
      </c>
      <c r="C135" t="n">
        <v>19760826</v>
      </c>
      <c r="D135" t="inlineStr">
        <is>
          <t>species</t>
        </is>
      </c>
      <c r="E135" t="inlineStr">
        <is>
          <t>Phage Dd</t>
        </is>
      </c>
      <c r="G135" t="inlineStr">
        <is>
          <t>Merged,</t>
        </is>
      </c>
      <c r="H135" t="inlineStr">
        <is>
          <t>Phage DdVI</t>
        </is>
      </c>
      <c r="I135" t="inlineStr">
        <is>
          <t>species</t>
        </is>
      </c>
      <c r="J135" t="n">
        <v>19791117</v>
      </c>
      <c r="K135" t="n">
        <v>19791117</v>
      </c>
      <c r="L135" s="8">
        <f>HYPERLINK("https://test.ictv.global/id/TN19780859","TN19780859@TEST")</f>
        <v/>
      </c>
      <c r="M135" s="8">
        <f>HYPERLINK("https://test.ictv.global/id/ICTV19760826","ICTV19760826@TEST")</f>
        <v/>
      </c>
      <c r="N135" s="8">
        <f>HYPERLINK("https://ictv.global/id/TN19780859","TN19780859@prod")</f>
        <v/>
      </c>
      <c r="O135" s="8">
        <f>HYPERLINK("https://ictv.global/id/ICTV19760826","ICTV19760826@prod")</f>
        <v/>
      </c>
    </row>
    <row r="136">
      <c r="A136" t="n">
        <v>5</v>
      </c>
      <c r="B136" t="n">
        <v>19780863</v>
      </c>
      <c r="C136" t="n">
        <v>19760830</v>
      </c>
      <c r="D136" t="inlineStr">
        <is>
          <t>species</t>
        </is>
      </c>
      <c r="E136" t="inlineStr">
        <is>
          <t>Phage Vi</t>
        </is>
      </c>
      <c r="G136" t="inlineStr">
        <is>
          <t>Merged,</t>
        </is>
      </c>
      <c r="H136" t="inlineStr">
        <is>
          <t>Phage DdVI</t>
        </is>
      </c>
      <c r="I136" t="inlineStr">
        <is>
          <t>species</t>
        </is>
      </c>
      <c r="J136" t="n">
        <v>19791117</v>
      </c>
      <c r="K136" t="n">
        <v>19791117</v>
      </c>
      <c r="L136" s="8">
        <f>HYPERLINK("https://test.ictv.global/id/TN19780863","TN19780863@TEST")</f>
        <v/>
      </c>
      <c r="M136" s="8">
        <f>HYPERLINK("https://test.ictv.global/id/ICTV19760830","ICTV19760830@TEST")</f>
        <v/>
      </c>
      <c r="N136" s="8">
        <f>HYPERLINK("https://ictv.global/id/TN19780863","TN19780863@prod")</f>
        <v/>
      </c>
      <c r="O136" s="8">
        <f>HYPERLINK("https://ictv.global/id/ICTV19760830","ICTV19760830@prod")</f>
        <v/>
      </c>
    </row>
    <row r="137">
      <c r="A137" t="n">
        <v>5</v>
      </c>
      <c r="B137" t="n">
        <v>19780865</v>
      </c>
      <c r="C137" t="n">
        <v>19710325</v>
      </c>
      <c r="D137" t="inlineStr">
        <is>
          <t>species</t>
        </is>
      </c>
      <c r="E137" t="inlineStr">
        <is>
          <t>Tobacco necrosis virus (D strain)</t>
        </is>
      </c>
      <c r="G137" t="inlineStr">
        <is>
          <t>Abolished,</t>
        </is>
      </c>
      <c r="L137" s="8">
        <f>HYPERLINK("https://test.ictv.global/id/TN19780865","TN19780865@TEST")</f>
        <v/>
      </c>
      <c r="M137" s="8">
        <f>HYPERLINK("https://test.ictv.global/id/ICTV19710325","ICTV19710325@TEST")</f>
        <v/>
      </c>
      <c r="N137" s="8">
        <f>HYPERLINK("https://ictv.global/id/TN19780865","TN19780865@prod")</f>
        <v/>
      </c>
      <c r="O137" s="8">
        <f>HYPERLINK("https://ictv.global/id/ICTV19710325","ICTV19710325@prod")</f>
        <v/>
      </c>
    </row>
    <row r="138">
      <c r="A138" t="n">
        <v>5</v>
      </c>
      <c r="B138" t="n">
        <v>19780866</v>
      </c>
      <c r="C138" t="n">
        <v>19760833</v>
      </c>
      <c r="D138" t="inlineStr">
        <is>
          <t>species</t>
        </is>
      </c>
      <c r="E138" t="inlineStr">
        <is>
          <t>Chara corallina virus</t>
        </is>
      </c>
      <c r="G138" t="inlineStr">
        <is>
          <t>Abolished,</t>
        </is>
      </c>
      <c r="L138" s="8">
        <f>HYPERLINK("https://test.ictv.global/id/TN19780866","TN19780866@TEST")</f>
        <v/>
      </c>
      <c r="M138" s="8">
        <f>HYPERLINK("https://test.ictv.global/id/ICTV19760833","ICTV19760833@TEST")</f>
        <v/>
      </c>
      <c r="N138" s="8">
        <f>HYPERLINK("https://ictv.global/id/TN19780866","TN19780866@prod")</f>
        <v/>
      </c>
      <c r="O138" s="8">
        <f>HYPERLINK("https://ictv.global/id/ICTV19760833","ICTV19760833@prod")</f>
        <v/>
      </c>
    </row>
    <row r="139">
      <c r="A139" t="n">
        <v>6</v>
      </c>
      <c r="B139" t="n">
        <v>19790150</v>
      </c>
      <c r="C139" t="n">
        <v>19760116</v>
      </c>
      <c r="D139" t="inlineStr">
        <is>
          <t>species</t>
        </is>
      </c>
      <c r="E139" t="inlineStr">
        <is>
          <t>Bovine adenovirus</t>
        </is>
      </c>
      <c r="G139" t="inlineStr">
        <is>
          <t>Split,</t>
        </is>
      </c>
      <c r="H139" t="inlineStr">
        <is>
          <t>Bovine adenovirus 1</t>
        </is>
      </c>
      <c r="I139" t="inlineStr">
        <is>
          <t>species</t>
        </is>
      </c>
      <c r="J139" t="n">
        <v>19810183</v>
      </c>
      <c r="K139" t="n">
        <v>19810183</v>
      </c>
      <c r="L139" s="8">
        <f>HYPERLINK("https://test.ictv.global/id/TN19790150","TN19790150@TEST")</f>
        <v/>
      </c>
      <c r="M139" s="8">
        <f>HYPERLINK("https://test.ictv.global/id/ICTV19760116","ICTV19760116@TEST")</f>
        <v/>
      </c>
      <c r="N139" s="8">
        <f>HYPERLINK("https://ictv.global/id/TN19790150","TN19790150@prod")</f>
        <v/>
      </c>
      <c r="O139" s="8">
        <f>HYPERLINK("https://ictv.global/id/ICTV19760116","ICTV19760116@prod")</f>
        <v/>
      </c>
    </row>
    <row r="140">
      <c r="A140" t="n">
        <v>6</v>
      </c>
      <c r="B140" t="n">
        <v>19790150</v>
      </c>
      <c r="C140" t="n">
        <v>19760116</v>
      </c>
      <c r="D140" t="inlineStr">
        <is>
          <t>species</t>
        </is>
      </c>
      <c r="E140" t="inlineStr">
        <is>
          <t>Bovine adenovirus</t>
        </is>
      </c>
      <c r="G140" t="inlineStr">
        <is>
          <t>Split,</t>
        </is>
      </c>
      <c r="H140" t="inlineStr">
        <is>
          <t>Bovine adenovirus 2</t>
        </is>
      </c>
      <c r="I140" t="inlineStr">
        <is>
          <t>species</t>
        </is>
      </c>
      <c r="J140" t="n">
        <v>19810184</v>
      </c>
      <c r="K140" t="n">
        <v>19810184</v>
      </c>
      <c r="L140" s="8">
        <f>HYPERLINK("https://test.ictv.global/id/TN19790150","TN19790150@TEST")</f>
        <v/>
      </c>
      <c r="M140" s="8">
        <f>HYPERLINK("https://test.ictv.global/id/ICTV19760116","ICTV19760116@TEST")</f>
        <v/>
      </c>
      <c r="N140" s="8">
        <f>HYPERLINK("https://ictv.global/id/TN19790150","TN19790150@prod")</f>
        <v/>
      </c>
      <c r="O140" s="8">
        <f>HYPERLINK("https://ictv.global/id/ICTV19760116","ICTV19760116@prod")</f>
        <v/>
      </c>
    </row>
    <row r="141">
      <c r="A141" t="n">
        <v>6</v>
      </c>
      <c r="B141" t="n">
        <v>19790150</v>
      </c>
      <c r="C141" t="n">
        <v>19760116</v>
      </c>
      <c r="D141" t="inlineStr">
        <is>
          <t>species</t>
        </is>
      </c>
      <c r="E141" t="inlineStr">
        <is>
          <t>Bovine adenovirus</t>
        </is>
      </c>
      <c r="G141" t="inlineStr">
        <is>
          <t>Split,</t>
        </is>
      </c>
      <c r="H141" t="inlineStr">
        <is>
          <t>Bovine adenovirus 3</t>
        </is>
      </c>
      <c r="I141" t="inlineStr">
        <is>
          <t>species</t>
        </is>
      </c>
      <c r="J141" t="n">
        <v>19810185</v>
      </c>
      <c r="K141" t="n">
        <v>19810185</v>
      </c>
      <c r="L141" s="8">
        <f>HYPERLINK("https://test.ictv.global/id/TN19790150","TN19790150@TEST")</f>
        <v/>
      </c>
      <c r="M141" s="8">
        <f>HYPERLINK("https://test.ictv.global/id/ICTV19760116","ICTV19760116@TEST")</f>
        <v/>
      </c>
      <c r="N141" s="8">
        <f>HYPERLINK("https://ictv.global/id/TN19790150","TN19790150@prod")</f>
        <v/>
      </c>
      <c r="O141" s="8">
        <f>HYPERLINK("https://ictv.global/id/ICTV19760116","ICTV19760116@prod")</f>
        <v/>
      </c>
    </row>
    <row r="142">
      <c r="A142" t="n">
        <v>6</v>
      </c>
      <c r="B142" t="n">
        <v>19790150</v>
      </c>
      <c r="C142" t="n">
        <v>19760116</v>
      </c>
      <c r="D142" t="inlineStr">
        <is>
          <t>species</t>
        </is>
      </c>
      <c r="E142" t="inlineStr">
        <is>
          <t>Bovine adenovirus</t>
        </is>
      </c>
      <c r="G142" t="inlineStr">
        <is>
          <t>Split,</t>
        </is>
      </c>
      <c r="H142" t="inlineStr">
        <is>
          <t>Bovine adenovirus 4</t>
        </is>
      </c>
      <c r="I142" t="inlineStr">
        <is>
          <t>species</t>
        </is>
      </c>
      <c r="J142" t="n">
        <v>19810186</v>
      </c>
      <c r="K142" t="n">
        <v>19810186</v>
      </c>
      <c r="L142" s="8">
        <f>HYPERLINK("https://test.ictv.global/id/TN19790150","TN19790150@TEST")</f>
        <v/>
      </c>
      <c r="M142" s="8">
        <f>HYPERLINK("https://test.ictv.global/id/ICTV19760116","ICTV19760116@TEST")</f>
        <v/>
      </c>
      <c r="N142" s="8">
        <f>HYPERLINK("https://ictv.global/id/TN19790150","TN19790150@prod")</f>
        <v/>
      </c>
      <c r="O142" s="8">
        <f>HYPERLINK("https://ictv.global/id/ICTV19760116","ICTV19760116@prod")</f>
        <v/>
      </c>
    </row>
    <row r="143">
      <c r="A143" t="n">
        <v>6</v>
      </c>
      <c r="B143" t="n">
        <v>19790150</v>
      </c>
      <c r="C143" t="n">
        <v>19760116</v>
      </c>
      <c r="D143" t="inlineStr">
        <is>
          <t>species</t>
        </is>
      </c>
      <c r="E143" t="inlineStr">
        <is>
          <t>Bovine adenovirus</t>
        </is>
      </c>
      <c r="G143" t="inlineStr">
        <is>
          <t>Split,</t>
        </is>
      </c>
      <c r="H143" t="inlineStr">
        <is>
          <t>Bovine adenovirus 5</t>
        </is>
      </c>
      <c r="I143" t="inlineStr">
        <is>
          <t>species</t>
        </is>
      </c>
      <c r="J143" t="n">
        <v>19810187</v>
      </c>
      <c r="K143" t="n">
        <v>19810187</v>
      </c>
      <c r="L143" s="8">
        <f>HYPERLINK("https://test.ictv.global/id/TN19790150","TN19790150@TEST")</f>
        <v/>
      </c>
      <c r="M143" s="8">
        <f>HYPERLINK("https://test.ictv.global/id/ICTV19760116","ICTV19760116@TEST")</f>
        <v/>
      </c>
      <c r="N143" s="8">
        <f>HYPERLINK("https://ictv.global/id/TN19790150","TN19790150@prod")</f>
        <v/>
      </c>
      <c r="O143" s="8">
        <f>HYPERLINK("https://ictv.global/id/ICTV19760116","ICTV19760116@prod")</f>
        <v/>
      </c>
    </row>
    <row r="144">
      <c r="A144" t="n">
        <v>6</v>
      </c>
      <c r="B144" t="n">
        <v>19790150</v>
      </c>
      <c r="C144" t="n">
        <v>19760116</v>
      </c>
      <c r="D144" t="inlineStr">
        <is>
          <t>species</t>
        </is>
      </c>
      <c r="E144" t="inlineStr">
        <is>
          <t>Bovine adenovirus</t>
        </is>
      </c>
      <c r="G144" t="inlineStr">
        <is>
          <t>Split,</t>
        </is>
      </c>
      <c r="H144" t="inlineStr">
        <is>
          <t>Bovine adenovirus 6</t>
        </is>
      </c>
      <c r="I144" t="inlineStr">
        <is>
          <t>species</t>
        </is>
      </c>
      <c r="J144" t="n">
        <v>19810188</v>
      </c>
      <c r="K144" t="n">
        <v>19810188</v>
      </c>
      <c r="L144" s="8">
        <f>HYPERLINK("https://test.ictv.global/id/TN19790150","TN19790150@TEST")</f>
        <v/>
      </c>
      <c r="M144" s="8">
        <f>HYPERLINK("https://test.ictv.global/id/ICTV19760116","ICTV19760116@TEST")</f>
        <v/>
      </c>
      <c r="N144" s="8">
        <f>HYPERLINK("https://ictv.global/id/TN19790150","TN19790150@prod")</f>
        <v/>
      </c>
      <c r="O144" s="8">
        <f>HYPERLINK("https://ictv.global/id/ICTV19760116","ICTV19760116@prod")</f>
        <v/>
      </c>
    </row>
    <row r="145">
      <c r="A145" t="n">
        <v>6</v>
      </c>
      <c r="B145" t="n">
        <v>19790150</v>
      </c>
      <c r="C145" t="n">
        <v>19760116</v>
      </c>
      <c r="D145" t="inlineStr">
        <is>
          <t>species</t>
        </is>
      </c>
      <c r="E145" t="inlineStr">
        <is>
          <t>Bovine adenovirus</t>
        </is>
      </c>
      <c r="G145" t="inlineStr">
        <is>
          <t>Split,</t>
        </is>
      </c>
      <c r="H145" t="inlineStr">
        <is>
          <t>Bovine adenovirus 7</t>
        </is>
      </c>
      <c r="I145" t="inlineStr">
        <is>
          <t>species</t>
        </is>
      </c>
      <c r="J145" t="n">
        <v>19810189</v>
      </c>
      <c r="K145" t="n">
        <v>19810189</v>
      </c>
      <c r="L145" s="8">
        <f>HYPERLINK("https://test.ictv.global/id/TN19790150","TN19790150@TEST")</f>
        <v/>
      </c>
      <c r="M145" s="8">
        <f>HYPERLINK("https://test.ictv.global/id/ICTV19760116","ICTV19760116@TEST")</f>
        <v/>
      </c>
      <c r="N145" s="8">
        <f>HYPERLINK("https://ictv.global/id/TN19790150","TN19790150@prod")</f>
        <v/>
      </c>
      <c r="O145" s="8">
        <f>HYPERLINK("https://ictv.global/id/ICTV19760116","ICTV19760116@prod")</f>
        <v/>
      </c>
    </row>
    <row r="146">
      <c r="A146" t="n">
        <v>6</v>
      </c>
      <c r="B146" t="n">
        <v>19790150</v>
      </c>
      <c r="C146" t="n">
        <v>19760116</v>
      </c>
      <c r="D146" t="inlineStr">
        <is>
          <t>species</t>
        </is>
      </c>
      <c r="E146" t="inlineStr">
        <is>
          <t>Bovine adenovirus</t>
        </is>
      </c>
      <c r="G146" t="inlineStr">
        <is>
          <t>Split,</t>
        </is>
      </c>
      <c r="H146" t="inlineStr">
        <is>
          <t>Bovine adenovirus 8</t>
        </is>
      </c>
      <c r="I146" t="inlineStr">
        <is>
          <t>species</t>
        </is>
      </c>
      <c r="J146" t="n">
        <v>19810190</v>
      </c>
      <c r="K146" t="n">
        <v>19810190</v>
      </c>
      <c r="L146" s="8">
        <f>HYPERLINK("https://test.ictv.global/id/TN19790150","TN19790150@TEST")</f>
        <v/>
      </c>
      <c r="M146" s="8">
        <f>HYPERLINK("https://test.ictv.global/id/ICTV19760116","ICTV19760116@TEST")</f>
        <v/>
      </c>
      <c r="N146" s="8">
        <f>HYPERLINK("https://ictv.global/id/TN19790150","TN19790150@prod")</f>
        <v/>
      </c>
      <c r="O146" s="8">
        <f>HYPERLINK("https://ictv.global/id/ICTV19760116","ICTV19760116@prod")</f>
        <v/>
      </c>
    </row>
    <row r="147">
      <c r="A147" t="n">
        <v>6</v>
      </c>
      <c r="B147" t="n">
        <v>19790150</v>
      </c>
      <c r="C147" t="n">
        <v>19760116</v>
      </c>
      <c r="D147" t="inlineStr">
        <is>
          <t>species</t>
        </is>
      </c>
      <c r="E147" t="inlineStr">
        <is>
          <t>Bovine adenovirus</t>
        </is>
      </c>
      <c r="G147" t="inlineStr">
        <is>
          <t>Split,</t>
        </is>
      </c>
      <c r="H147" t="inlineStr">
        <is>
          <t>Bovine adenovirus 9</t>
        </is>
      </c>
      <c r="I147" t="inlineStr">
        <is>
          <t>species</t>
        </is>
      </c>
      <c r="J147" t="n">
        <v>19810191</v>
      </c>
      <c r="K147" t="n">
        <v>19810191</v>
      </c>
      <c r="L147" s="8">
        <f>HYPERLINK("https://test.ictv.global/id/TN19790150","TN19790150@TEST")</f>
        <v/>
      </c>
      <c r="M147" s="8">
        <f>HYPERLINK("https://test.ictv.global/id/ICTV19760116","ICTV19760116@TEST")</f>
        <v/>
      </c>
      <c r="N147" s="8">
        <f>HYPERLINK("https://ictv.global/id/TN19790150","TN19790150@prod")</f>
        <v/>
      </c>
      <c r="O147" s="8">
        <f>HYPERLINK("https://ictv.global/id/ICTV19760116","ICTV19760116@prod")</f>
        <v/>
      </c>
    </row>
    <row r="148">
      <c r="A148" t="n">
        <v>6</v>
      </c>
      <c r="B148" t="n">
        <v>19790155</v>
      </c>
      <c r="C148" t="n">
        <v>19760120</v>
      </c>
      <c r="D148" t="inlineStr">
        <is>
          <t>species</t>
        </is>
      </c>
      <c r="E148" t="inlineStr">
        <is>
          <t>Human adenovirus types 3-33</t>
        </is>
      </c>
      <c r="G148" t="inlineStr">
        <is>
          <t>Split,</t>
        </is>
      </c>
      <c r="H148" t="inlineStr">
        <is>
          <t>Human adenovirus 10</t>
        </is>
      </c>
      <c r="I148" t="inlineStr">
        <is>
          <t>species</t>
        </is>
      </c>
      <c r="J148" t="n">
        <v>19810196</v>
      </c>
      <c r="K148" t="n">
        <v>19810196</v>
      </c>
      <c r="L148" s="8">
        <f>HYPERLINK("https://test.ictv.global/id/TN19790155","TN19790155@TEST")</f>
        <v/>
      </c>
      <c r="M148" s="8">
        <f>HYPERLINK("https://test.ictv.global/id/ICTV19760120","ICTV19760120@TEST")</f>
        <v/>
      </c>
      <c r="N148" s="8">
        <f>HYPERLINK("https://ictv.global/id/TN19790155","TN19790155@prod")</f>
        <v/>
      </c>
      <c r="O148" s="8">
        <f>HYPERLINK("https://ictv.global/id/ICTV19760120","ICTV19760120@prod")</f>
        <v/>
      </c>
    </row>
    <row r="149">
      <c r="A149" t="n">
        <v>6</v>
      </c>
      <c r="B149" t="n">
        <v>19790155</v>
      </c>
      <c r="C149" t="n">
        <v>19760120</v>
      </c>
      <c r="D149" t="inlineStr">
        <is>
          <t>species</t>
        </is>
      </c>
      <c r="E149" t="inlineStr">
        <is>
          <t>Human adenovirus types 3-33</t>
        </is>
      </c>
      <c r="G149" t="inlineStr">
        <is>
          <t>Split,</t>
        </is>
      </c>
      <c r="H149" t="inlineStr">
        <is>
          <t>Human adenovirus 11</t>
        </is>
      </c>
      <c r="I149" t="inlineStr">
        <is>
          <t>species</t>
        </is>
      </c>
      <c r="J149" t="n">
        <v>19810197</v>
      </c>
      <c r="K149" t="n">
        <v>19810197</v>
      </c>
      <c r="L149" s="8">
        <f>HYPERLINK("https://test.ictv.global/id/TN19790155","TN19790155@TEST")</f>
        <v/>
      </c>
      <c r="M149" s="8">
        <f>HYPERLINK("https://test.ictv.global/id/ICTV19760120","ICTV19760120@TEST")</f>
        <v/>
      </c>
      <c r="N149" s="8">
        <f>HYPERLINK("https://ictv.global/id/TN19790155","TN19790155@prod")</f>
        <v/>
      </c>
      <c r="O149" s="8">
        <f>HYPERLINK("https://ictv.global/id/ICTV19760120","ICTV19760120@prod")</f>
        <v/>
      </c>
    </row>
    <row r="150">
      <c r="A150" t="n">
        <v>6</v>
      </c>
      <c r="B150" t="n">
        <v>19790155</v>
      </c>
      <c r="C150" t="n">
        <v>19760120</v>
      </c>
      <c r="D150" t="inlineStr">
        <is>
          <t>species</t>
        </is>
      </c>
      <c r="E150" t="inlineStr">
        <is>
          <t>Human adenovirus types 3-33</t>
        </is>
      </c>
      <c r="G150" t="inlineStr">
        <is>
          <t>Split,</t>
        </is>
      </c>
      <c r="H150" t="inlineStr">
        <is>
          <t>Human adenovirus 12</t>
        </is>
      </c>
      <c r="I150" t="inlineStr">
        <is>
          <t>species</t>
        </is>
      </c>
      <c r="J150" t="n">
        <v>19810198</v>
      </c>
      <c r="K150" t="n">
        <v>19810198</v>
      </c>
      <c r="L150" s="8">
        <f>HYPERLINK("https://test.ictv.global/id/TN19790155","TN19790155@TEST")</f>
        <v/>
      </c>
      <c r="M150" s="8">
        <f>HYPERLINK("https://test.ictv.global/id/ICTV19760120","ICTV19760120@TEST")</f>
        <v/>
      </c>
      <c r="N150" s="8">
        <f>HYPERLINK("https://ictv.global/id/TN19790155","TN19790155@prod")</f>
        <v/>
      </c>
      <c r="O150" s="8">
        <f>HYPERLINK("https://ictv.global/id/ICTV19760120","ICTV19760120@prod")</f>
        <v/>
      </c>
    </row>
    <row r="151">
      <c r="A151" t="n">
        <v>6</v>
      </c>
      <c r="B151" t="n">
        <v>19790155</v>
      </c>
      <c r="C151" t="n">
        <v>19760120</v>
      </c>
      <c r="D151" t="inlineStr">
        <is>
          <t>species</t>
        </is>
      </c>
      <c r="E151" t="inlineStr">
        <is>
          <t>Human adenovirus types 3-33</t>
        </is>
      </c>
      <c r="G151" t="inlineStr">
        <is>
          <t>Split,</t>
        </is>
      </c>
      <c r="H151" t="inlineStr">
        <is>
          <t>Human adenovirus 13</t>
        </is>
      </c>
      <c r="I151" t="inlineStr">
        <is>
          <t>species</t>
        </is>
      </c>
      <c r="J151" t="n">
        <v>19810199</v>
      </c>
      <c r="K151" t="n">
        <v>19810199</v>
      </c>
      <c r="L151" s="8">
        <f>HYPERLINK("https://test.ictv.global/id/TN19790155","TN19790155@TEST")</f>
        <v/>
      </c>
      <c r="M151" s="8">
        <f>HYPERLINK("https://test.ictv.global/id/ICTV19760120","ICTV19760120@TEST")</f>
        <v/>
      </c>
      <c r="N151" s="8">
        <f>HYPERLINK("https://ictv.global/id/TN19790155","TN19790155@prod")</f>
        <v/>
      </c>
      <c r="O151" s="8">
        <f>HYPERLINK("https://ictv.global/id/ICTV19760120","ICTV19760120@prod")</f>
        <v/>
      </c>
    </row>
    <row r="152">
      <c r="A152" t="n">
        <v>6</v>
      </c>
      <c r="B152" t="n">
        <v>19790155</v>
      </c>
      <c r="C152" t="n">
        <v>19760120</v>
      </c>
      <c r="D152" t="inlineStr">
        <is>
          <t>species</t>
        </is>
      </c>
      <c r="E152" t="inlineStr">
        <is>
          <t>Human adenovirus types 3-33</t>
        </is>
      </c>
      <c r="G152" t="inlineStr">
        <is>
          <t>Split,</t>
        </is>
      </c>
      <c r="H152" t="inlineStr">
        <is>
          <t>Human adenovirus 14</t>
        </is>
      </c>
      <c r="I152" t="inlineStr">
        <is>
          <t>species</t>
        </is>
      </c>
      <c r="J152" t="n">
        <v>19810200</v>
      </c>
      <c r="K152" t="n">
        <v>19810200</v>
      </c>
      <c r="L152" s="8">
        <f>HYPERLINK("https://test.ictv.global/id/TN19790155","TN19790155@TEST")</f>
        <v/>
      </c>
      <c r="M152" s="8">
        <f>HYPERLINK("https://test.ictv.global/id/ICTV19760120","ICTV19760120@TEST")</f>
        <v/>
      </c>
      <c r="N152" s="8">
        <f>HYPERLINK("https://ictv.global/id/TN19790155","TN19790155@prod")</f>
        <v/>
      </c>
      <c r="O152" s="8">
        <f>HYPERLINK("https://ictv.global/id/ICTV19760120","ICTV19760120@prod")</f>
        <v/>
      </c>
    </row>
    <row r="153">
      <c r="A153" t="n">
        <v>6</v>
      </c>
      <c r="B153" t="n">
        <v>19790155</v>
      </c>
      <c r="C153" t="n">
        <v>19760120</v>
      </c>
      <c r="D153" t="inlineStr">
        <is>
          <t>species</t>
        </is>
      </c>
      <c r="E153" t="inlineStr">
        <is>
          <t>Human adenovirus types 3-33</t>
        </is>
      </c>
      <c r="G153" t="inlineStr">
        <is>
          <t>Split,</t>
        </is>
      </c>
      <c r="H153" t="inlineStr">
        <is>
          <t>Human adenovirus 15</t>
        </is>
      </c>
      <c r="I153" t="inlineStr">
        <is>
          <t>species</t>
        </is>
      </c>
      <c r="J153" t="n">
        <v>19810201</v>
      </c>
      <c r="K153" t="n">
        <v>19810201</v>
      </c>
      <c r="L153" s="8">
        <f>HYPERLINK("https://test.ictv.global/id/TN19790155","TN19790155@TEST")</f>
        <v/>
      </c>
      <c r="M153" s="8">
        <f>HYPERLINK("https://test.ictv.global/id/ICTV19760120","ICTV19760120@TEST")</f>
        <v/>
      </c>
      <c r="N153" s="8">
        <f>HYPERLINK("https://ictv.global/id/TN19790155","TN19790155@prod")</f>
        <v/>
      </c>
      <c r="O153" s="8">
        <f>HYPERLINK("https://ictv.global/id/ICTV19760120","ICTV19760120@prod")</f>
        <v/>
      </c>
    </row>
    <row r="154">
      <c r="A154" t="n">
        <v>6</v>
      </c>
      <c r="B154" t="n">
        <v>19790155</v>
      </c>
      <c r="C154" t="n">
        <v>19760120</v>
      </c>
      <c r="D154" t="inlineStr">
        <is>
          <t>species</t>
        </is>
      </c>
      <c r="E154" t="inlineStr">
        <is>
          <t>Human adenovirus types 3-33</t>
        </is>
      </c>
      <c r="G154" t="inlineStr">
        <is>
          <t>Split,</t>
        </is>
      </c>
      <c r="H154" t="inlineStr">
        <is>
          <t>Human adenovirus 16</t>
        </is>
      </c>
      <c r="I154" t="inlineStr">
        <is>
          <t>species</t>
        </is>
      </c>
      <c r="J154" t="n">
        <v>19810202</v>
      </c>
      <c r="K154" t="n">
        <v>19810202</v>
      </c>
      <c r="L154" s="8">
        <f>HYPERLINK("https://test.ictv.global/id/TN19790155","TN19790155@TEST")</f>
        <v/>
      </c>
      <c r="M154" s="8">
        <f>HYPERLINK("https://test.ictv.global/id/ICTV19760120","ICTV19760120@TEST")</f>
        <v/>
      </c>
      <c r="N154" s="8">
        <f>HYPERLINK("https://ictv.global/id/TN19790155","TN19790155@prod")</f>
        <v/>
      </c>
      <c r="O154" s="8">
        <f>HYPERLINK("https://ictv.global/id/ICTV19760120","ICTV19760120@prod")</f>
        <v/>
      </c>
    </row>
    <row r="155">
      <c r="A155" t="n">
        <v>6</v>
      </c>
      <c r="B155" t="n">
        <v>19790155</v>
      </c>
      <c r="C155" t="n">
        <v>19760120</v>
      </c>
      <c r="D155" t="inlineStr">
        <is>
          <t>species</t>
        </is>
      </c>
      <c r="E155" t="inlineStr">
        <is>
          <t>Human adenovirus types 3-33</t>
        </is>
      </c>
      <c r="G155" t="inlineStr">
        <is>
          <t>Split,</t>
        </is>
      </c>
      <c r="H155" t="inlineStr">
        <is>
          <t>Human adenovirus 17</t>
        </is>
      </c>
      <c r="I155" t="inlineStr">
        <is>
          <t>species</t>
        </is>
      </c>
      <c r="J155" t="n">
        <v>19810203</v>
      </c>
      <c r="K155" t="n">
        <v>19810203</v>
      </c>
      <c r="L155" s="8">
        <f>HYPERLINK("https://test.ictv.global/id/TN19790155","TN19790155@TEST")</f>
        <v/>
      </c>
      <c r="M155" s="8">
        <f>HYPERLINK("https://test.ictv.global/id/ICTV19760120","ICTV19760120@TEST")</f>
        <v/>
      </c>
      <c r="N155" s="8">
        <f>HYPERLINK("https://ictv.global/id/TN19790155","TN19790155@prod")</f>
        <v/>
      </c>
      <c r="O155" s="8">
        <f>HYPERLINK("https://ictv.global/id/ICTV19760120","ICTV19760120@prod")</f>
        <v/>
      </c>
    </row>
    <row r="156">
      <c r="A156" t="n">
        <v>6</v>
      </c>
      <c r="B156" t="n">
        <v>19790155</v>
      </c>
      <c r="C156" t="n">
        <v>19760120</v>
      </c>
      <c r="D156" t="inlineStr">
        <is>
          <t>species</t>
        </is>
      </c>
      <c r="E156" t="inlineStr">
        <is>
          <t>Human adenovirus types 3-33</t>
        </is>
      </c>
      <c r="G156" t="inlineStr">
        <is>
          <t>Split,</t>
        </is>
      </c>
      <c r="H156" t="inlineStr">
        <is>
          <t>Human adenovirus 18</t>
        </is>
      </c>
      <c r="I156" t="inlineStr">
        <is>
          <t>species</t>
        </is>
      </c>
      <c r="J156" t="n">
        <v>19810204</v>
      </c>
      <c r="K156" t="n">
        <v>19810204</v>
      </c>
      <c r="L156" s="8">
        <f>HYPERLINK("https://test.ictv.global/id/TN19790155","TN19790155@TEST")</f>
        <v/>
      </c>
      <c r="M156" s="8">
        <f>HYPERLINK("https://test.ictv.global/id/ICTV19760120","ICTV19760120@TEST")</f>
        <v/>
      </c>
      <c r="N156" s="8">
        <f>HYPERLINK("https://ictv.global/id/TN19790155","TN19790155@prod")</f>
        <v/>
      </c>
      <c r="O156" s="8">
        <f>HYPERLINK("https://ictv.global/id/ICTV19760120","ICTV19760120@prod")</f>
        <v/>
      </c>
    </row>
    <row r="157">
      <c r="A157" t="n">
        <v>6</v>
      </c>
      <c r="B157" t="n">
        <v>19790155</v>
      </c>
      <c r="C157" t="n">
        <v>19760120</v>
      </c>
      <c r="D157" t="inlineStr">
        <is>
          <t>species</t>
        </is>
      </c>
      <c r="E157" t="inlineStr">
        <is>
          <t>Human adenovirus types 3-33</t>
        </is>
      </c>
      <c r="G157" t="inlineStr">
        <is>
          <t>Split,</t>
        </is>
      </c>
      <c r="H157" t="inlineStr">
        <is>
          <t>Human adenovirus 19</t>
        </is>
      </c>
      <c r="I157" t="inlineStr">
        <is>
          <t>species</t>
        </is>
      </c>
      <c r="J157" t="n">
        <v>19810205</v>
      </c>
      <c r="K157" t="n">
        <v>19810205</v>
      </c>
      <c r="L157" s="8">
        <f>HYPERLINK("https://test.ictv.global/id/TN19790155","TN19790155@TEST")</f>
        <v/>
      </c>
      <c r="M157" s="8">
        <f>HYPERLINK("https://test.ictv.global/id/ICTV19760120","ICTV19760120@TEST")</f>
        <v/>
      </c>
      <c r="N157" s="8">
        <f>HYPERLINK("https://ictv.global/id/TN19790155","TN19790155@prod")</f>
        <v/>
      </c>
      <c r="O157" s="8">
        <f>HYPERLINK("https://ictv.global/id/ICTV19760120","ICTV19760120@prod")</f>
        <v/>
      </c>
    </row>
    <row r="158">
      <c r="A158" t="n">
        <v>6</v>
      </c>
      <c r="B158" t="n">
        <v>19790155</v>
      </c>
      <c r="C158" t="n">
        <v>19760120</v>
      </c>
      <c r="D158" t="inlineStr">
        <is>
          <t>species</t>
        </is>
      </c>
      <c r="E158" t="inlineStr">
        <is>
          <t>Human adenovirus types 3-33</t>
        </is>
      </c>
      <c r="G158" t="inlineStr">
        <is>
          <t>Split,</t>
        </is>
      </c>
      <c r="H158" t="inlineStr">
        <is>
          <t>Human adenovirus 20</t>
        </is>
      </c>
      <c r="I158" t="inlineStr">
        <is>
          <t>species</t>
        </is>
      </c>
      <c r="J158" t="n">
        <v>19810207</v>
      </c>
      <c r="K158" t="n">
        <v>19810207</v>
      </c>
      <c r="L158" s="8">
        <f>HYPERLINK("https://test.ictv.global/id/TN19790155","TN19790155@TEST")</f>
        <v/>
      </c>
      <c r="M158" s="8">
        <f>HYPERLINK("https://test.ictv.global/id/ICTV19760120","ICTV19760120@TEST")</f>
        <v/>
      </c>
      <c r="N158" s="8">
        <f>HYPERLINK("https://ictv.global/id/TN19790155","TN19790155@prod")</f>
        <v/>
      </c>
      <c r="O158" s="8">
        <f>HYPERLINK("https://ictv.global/id/ICTV19760120","ICTV19760120@prod")</f>
        <v/>
      </c>
    </row>
    <row r="159">
      <c r="A159" t="n">
        <v>6</v>
      </c>
      <c r="B159" t="n">
        <v>19790155</v>
      </c>
      <c r="C159" t="n">
        <v>19760120</v>
      </c>
      <c r="D159" t="inlineStr">
        <is>
          <t>species</t>
        </is>
      </c>
      <c r="E159" t="inlineStr">
        <is>
          <t>Human adenovirus types 3-33</t>
        </is>
      </c>
      <c r="G159" t="inlineStr">
        <is>
          <t>Split,</t>
        </is>
      </c>
      <c r="H159" t="inlineStr">
        <is>
          <t>Human adenovirus 21</t>
        </is>
      </c>
      <c r="I159" t="inlineStr">
        <is>
          <t>species</t>
        </is>
      </c>
      <c r="J159" t="n">
        <v>19810208</v>
      </c>
      <c r="K159" t="n">
        <v>19810208</v>
      </c>
      <c r="L159" s="8">
        <f>HYPERLINK("https://test.ictv.global/id/TN19790155","TN19790155@TEST")</f>
        <v/>
      </c>
      <c r="M159" s="8">
        <f>HYPERLINK("https://test.ictv.global/id/ICTV19760120","ICTV19760120@TEST")</f>
        <v/>
      </c>
      <c r="N159" s="8">
        <f>HYPERLINK("https://ictv.global/id/TN19790155","TN19790155@prod")</f>
        <v/>
      </c>
      <c r="O159" s="8">
        <f>HYPERLINK("https://ictv.global/id/ICTV19760120","ICTV19760120@prod")</f>
        <v/>
      </c>
    </row>
    <row r="160">
      <c r="A160" t="n">
        <v>6</v>
      </c>
      <c r="B160" t="n">
        <v>19790155</v>
      </c>
      <c r="C160" t="n">
        <v>19760120</v>
      </c>
      <c r="D160" t="inlineStr">
        <is>
          <t>species</t>
        </is>
      </c>
      <c r="E160" t="inlineStr">
        <is>
          <t>Human adenovirus types 3-33</t>
        </is>
      </c>
      <c r="G160" t="inlineStr">
        <is>
          <t>Split,</t>
        </is>
      </c>
      <c r="H160" t="inlineStr">
        <is>
          <t>Human adenovirus 22</t>
        </is>
      </c>
      <c r="I160" t="inlineStr">
        <is>
          <t>species</t>
        </is>
      </c>
      <c r="J160" t="n">
        <v>19810209</v>
      </c>
      <c r="K160" t="n">
        <v>19810209</v>
      </c>
      <c r="L160" s="8">
        <f>HYPERLINK("https://test.ictv.global/id/TN19790155","TN19790155@TEST")</f>
        <v/>
      </c>
      <c r="M160" s="8">
        <f>HYPERLINK("https://test.ictv.global/id/ICTV19760120","ICTV19760120@TEST")</f>
        <v/>
      </c>
      <c r="N160" s="8">
        <f>HYPERLINK("https://ictv.global/id/TN19790155","TN19790155@prod")</f>
        <v/>
      </c>
      <c r="O160" s="8">
        <f>HYPERLINK("https://ictv.global/id/ICTV19760120","ICTV19760120@prod")</f>
        <v/>
      </c>
    </row>
    <row r="161">
      <c r="A161" t="n">
        <v>6</v>
      </c>
      <c r="B161" t="n">
        <v>19790155</v>
      </c>
      <c r="C161" t="n">
        <v>19760120</v>
      </c>
      <c r="D161" t="inlineStr">
        <is>
          <t>species</t>
        </is>
      </c>
      <c r="E161" t="inlineStr">
        <is>
          <t>Human adenovirus types 3-33</t>
        </is>
      </c>
      <c r="G161" t="inlineStr">
        <is>
          <t>Split,</t>
        </is>
      </c>
      <c r="H161" t="inlineStr">
        <is>
          <t>Human adenovirus 23</t>
        </is>
      </c>
      <c r="I161" t="inlineStr">
        <is>
          <t>species</t>
        </is>
      </c>
      <c r="J161" t="n">
        <v>19810210</v>
      </c>
      <c r="K161" t="n">
        <v>19810210</v>
      </c>
      <c r="L161" s="8">
        <f>HYPERLINK("https://test.ictv.global/id/TN19790155","TN19790155@TEST")</f>
        <v/>
      </c>
      <c r="M161" s="8">
        <f>HYPERLINK("https://test.ictv.global/id/ICTV19760120","ICTV19760120@TEST")</f>
        <v/>
      </c>
      <c r="N161" s="8">
        <f>HYPERLINK("https://ictv.global/id/TN19790155","TN19790155@prod")</f>
        <v/>
      </c>
      <c r="O161" s="8">
        <f>HYPERLINK("https://ictv.global/id/ICTV19760120","ICTV19760120@prod")</f>
        <v/>
      </c>
    </row>
    <row r="162">
      <c r="A162" t="n">
        <v>6</v>
      </c>
      <c r="B162" t="n">
        <v>19790155</v>
      </c>
      <c r="C162" t="n">
        <v>19760120</v>
      </c>
      <c r="D162" t="inlineStr">
        <is>
          <t>species</t>
        </is>
      </c>
      <c r="E162" t="inlineStr">
        <is>
          <t>Human adenovirus types 3-33</t>
        </is>
      </c>
      <c r="G162" t="inlineStr">
        <is>
          <t>Split,</t>
        </is>
      </c>
      <c r="H162" t="inlineStr">
        <is>
          <t>Human adenovirus 24</t>
        </is>
      </c>
      <c r="I162" t="inlineStr">
        <is>
          <t>species</t>
        </is>
      </c>
      <c r="J162" t="n">
        <v>19810211</v>
      </c>
      <c r="K162" t="n">
        <v>19810211</v>
      </c>
      <c r="L162" s="8">
        <f>HYPERLINK("https://test.ictv.global/id/TN19790155","TN19790155@TEST")</f>
        <v/>
      </c>
      <c r="M162" s="8">
        <f>HYPERLINK("https://test.ictv.global/id/ICTV19760120","ICTV19760120@TEST")</f>
        <v/>
      </c>
      <c r="N162" s="8">
        <f>HYPERLINK("https://ictv.global/id/TN19790155","TN19790155@prod")</f>
        <v/>
      </c>
      <c r="O162" s="8">
        <f>HYPERLINK("https://ictv.global/id/ICTV19760120","ICTV19760120@prod")</f>
        <v/>
      </c>
    </row>
    <row r="163">
      <c r="A163" t="n">
        <v>6</v>
      </c>
      <c r="B163" t="n">
        <v>19790155</v>
      </c>
      <c r="C163" t="n">
        <v>19760120</v>
      </c>
      <c r="D163" t="inlineStr">
        <is>
          <t>species</t>
        </is>
      </c>
      <c r="E163" t="inlineStr">
        <is>
          <t>Human adenovirus types 3-33</t>
        </is>
      </c>
      <c r="G163" t="inlineStr">
        <is>
          <t>Split,</t>
        </is>
      </c>
      <c r="H163" t="inlineStr">
        <is>
          <t>Human adenovirus 25</t>
        </is>
      </c>
      <c r="I163" t="inlineStr">
        <is>
          <t>species</t>
        </is>
      </c>
      <c r="J163" t="n">
        <v>19810212</v>
      </c>
      <c r="K163" t="n">
        <v>19810212</v>
      </c>
      <c r="L163" s="8">
        <f>HYPERLINK("https://test.ictv.global/id/TN19790155","TN19790155@TEST")</f>
        <v/>
      </c>
      <c r="M163" s="8">
        <f>HYPERLINK("https://test.ictv.global/id/ICTV19760120","ICTV19760120@TEST")</f>
        <v/>
      </c>
      <c r="N163" s="8">
        <f>HYPERLINK("https://ictv.global/id/TN19790155","TN19790155@prod")</f>
        <v/>
      </c>
      <c r="O163" s="8">
        <f>HYPERLINK("https://ictv.global/id/ICTV19760120","ICTV19760120@prod")</f>
        <v/>
      </c>
    </row>
    <row r="164">
      <c r="A164" t="n">
        <v>6</v>
      </c>
      <c r="B164" t="n">
        <v>19790155</v>
      </c>
      <c r="C164" t="n">
        <v>19760120</v>
      </c>
      <c r="D164" t="inlineStr">
        <is>
          <t>species</t>
        </is>
      </c>
      <c r="E164" t="inlineStr">
        <is>
          <t>Human adenovirus types 3-33</t>
        </is>
      </c>
      <c r="G164" t="inlineStr">
        <is>
          <t>Split,</t>
        </is>
      </c>
      <c r="H164" t="inlineStr">
        <is>
          <t>Human adenovirus 26</t>
        </is>
      </c>
      <c r="I164" t="inlineStr">
        <is>
          <t>species</t>
        </is>
      </c>
      <c r="J164" t="n">
        <v>19810213</v>
      </c>
      <c r="K164" t="n">
        <v>19810213</v>
      </c>
      <c r="L164" s="8">
        <f>HYPERLINK("https://test.ictv.global/id/TN19790155","TN19790155@TEST")</f>
        <v/>
      </c>
      <c r="M164" s="8">
        <f>HYPERLINK("https://test.ictv.global/id/ICTV19760120","ICTV19760120@TEST")</f>
        <v/>
      </c>
      <c r="N164" s="8">
        <f>HYPERLINK("https://ictv.global/id/TN19790155","TN19790155@prod")</f>
        <v/>
      </c>
      <c r="O164" s="8">
        <f>HYPERLINK("https://ictv.global/id/ICTV19760120","ICTV19760120@prod")</f>
        <v/>
      </c>
    </row>
    <row r="165">
      <c r="A165" t="n">
        <v>6</v>
      </c>
      <c r="B165" t="n">
        <v>19790155</v>
      </c>
      <c r="C165" t="n">
        <v>19760120</v>
      </c>
      <c r="D165" t="inlineStr">
        <is>
          <t>species</t>
        </is>
      </c>
      <c r="E165" t="inlineStr">
        <is>
          <t>Human adenovirus types 3-33</t>
        </is>
      </c>
      <c r="G165" t="inlineStr">
        <is>
          <t>Split,</t>
        </is>
      </c>
      <c r="H165" t="inlineStr">
        <is>
          <t>Human adenovirus 27</t>
        </is>
      </c>
      <c r="I165" t="inlineStr">
        <is>
          <t>species</t>
        </is>
      </c>
      <c r="J165" t="n">
        <v>19810214</v>
      </c>
      <c r="K165" t="n">
        <v>19810214</v>
      </c>
      <c r="L165" s="8">
        <f>HYPERLINK("https://test.ictv.global/id/TN19790155","TN19790155@TEST")</f>
        <v/>
      </c>
      <c r="M165" s="8">
        <f>HYPERLINK("https://test.ictv.global/id/ICTV19760120","ICTV19760120@TEST")</f>
        <v/>
      </c>
      <c r="N165" s="8">
        <f>HYPERLINK("https://ictv.global/id/TN19790155","TN19790155@prod")</f>
        <v/>
      </c>
      <c r="O165" s="8">
        <f>HYPERLINK("https://ictv.global/id/ICTV19760120","ICTV19760120@prod")</f>
        <v/>
      </c>
    </row>
    <row r="166">
      <c r="A166" t="n">
        <v>6</v>
      </c>
      <c r="B166" t="n">
        <v>19790155</v>
      </c>
      <c r="C166" t="n">
        <v>19760120</v>
      </c>
      <c r="D166" t="inlineStr">
        <is>
          <t>species</t>
        </is>
      </c>
      <c r="E166" t="inlineStr">
        <is>
          <t>Human adenovirus types 3-33</t>
        </is>
      </c>
      <c r="G166" t="inlineStr">
        <is>
          <t>Split,</t>
        </is>
      </c>
      <c r="H166" t="inlineStr">
        <is>
          <t>Human adenovirus 28</t>
        </is>
      </c>
      <c r="I166" t="inlineStr">
        <is>
          <t>species</t>
        </is>
      </c>
      <c r="J166" t="n">
        <v>19810215</v>
      </c>
      <c r="K166" t="n">
        <v>19810215</v>
      </c>
      <c r="L166" s="8">
        <f>HYPERLINK("https://test.ictv.global/id/TN19790155","TN19790155@TEST")</f>
        <v/>
      </c>
      <c r="M166" s="8">
        <f>HYPERLINK("https://test.ictv.global/id/ICTV19760120","ICTV19760120@TEST")</f>
        <v/>
      </c>
      <c r="N166" s="8">
        <f>HYPERLINK("https://ictv.global/id/TN19790155","TN19790155@prod")</f>
        <v/>
      </c>
      <c r="O166" s="8">
        <f>HYPERLINK("https://ictv.global/id/ICTV19760120","ICTV19760120@prod")</f>
        <v/>
      </c>
    </row>
    <row r="167">
      <c r="A167" t="n">
        <v>6</v>
      </c>
      <c r="B167" t="n">
        <v>19790155</v>
      </c>
      <c r="C167" t="n">
        <v>19760120</v>
      </c>
      <c r="D167" t="inlineStr">
        <is>
          <t>species</t>
        </is>
      </c>
      <c r="E167" t="inlineStr">
        <is>
          <t>Human adenovirus types 3-33</t>
        </is>
      </c>
      <c r="G167" t="inlineStr">
        <is>
          <t>Split,</t>
        </is>
      </c>
      <c r="H167" t="inlineStr">
        <is>
          <t>Human adenovirus 29</t>
        </is>
      </c>
      <c r="I167" t="inlineStr">
        <is>
          <t>species</t>
        </is>
      </c>
      <c r="J167" t="n">
        <v>19810216</v>
      </c>
      <c r="K167" t="n">
        <v>19810216</v>
      </c>
      <c r="L167" s="8">
        <f>HYPERLINK("https://test.ictv.global/id/TN19790155","TN19790155@TEST")</f>
        <v/>
      </c>
      <c r="M167" s="8">
        <f>HYPERLINK("https://test.ictv.global/id/ICTV19760120","ICTV19760120@TEST")</f>
        <v/>
      </c>
      <c r="N167" s="8">
        <f>HYPERLINK("https://ictv.global/id/TN19790155","TN19790155@prod")</f>
        <v/>
      </c>
      <c r="O167" s="8">
        <f>HYPERLINK("https://ictv.global/id/ICTV19760120","ICTV19760120@prod")</f>
        <v/>
      </c>
    </row>
    <row r="168">
      <c r="A168" t="n">
        <v>6</v>
      </c>
      <c r="B168" t="n">
        <v>19790155</v>
      </c>
      <c r="C168" t="n">
        <v>19760120</v>
      </c>
      <c r="D168" t="inlineStr">
        <is>
          <t>species</t>
        </is>
      </c>
      <c r="E168" t="inlineStr">
        <is>
          <t>Human adenovirus types 3-33</t>
        </is>
      </c>
      <c r="G168" t="inlineStr">
        <is>
          <t>Split,</t>
        </is>
      </c>
      <c r="H168" t="inlineStr">
        <is>
          <t>Human adenovirus 3</t>
        </is>
      </c>
      <c r="I168" t="inlineStr">
        <is>
          <t>species</t>
        </is>
      </c>
      <c r="J168" t="n">
        <v>19810217</v>
      </c>
      <c r="K168" t="n">
        <v>19810217</v>
      </c>
      <c r="L168" s="8">
        <f>HYPERLINK("https://test.ictv.global/id/TN19790155","TN19790155@TEST")</f>
        <v/>
      </c>
      <c r="M168" s="8">
        <f>HYPERLINK("https://test.ictv.global/id/ICTV19760120","ICTV19760120@TEST")</f>
        <v/>
      </c>
      <c r="N168" s="8">
        <f>HYPERLINK("https://ictv.global/id/TN19790155","TN19790155@prod")</f>
        <v/>
      </c>
      <c r="O168" s="8">
        <f>HYPERLINK("https://ictv.global/id/ICTV19760120","ICTV19760120@prod")</f>
        <v/>
      </c>
    </row>
    <row r="169">
      <c r="A169" t="n">
        <v>6</v>
      </c>
      <c r="B169" t="n">
        <v>19790155</v>
      </c>
      <c r="C169" t="n">
        <v>19760120</v>
      </c>
      <c r="D169" t="inlineStr">
        <is>
          <t>species</t>
        </is>
      </c>
      <c r="E169" t="inlineStr">
        <is>
          <t>Human adenovirus types 3-33</t>
        </is>
      </c>
      <c r="G169" t="inlineStr">
        <is>
          <t>Split,</t>
        </is>
      </c>
      <c r="H169" t="inlineStr">
        <is>
          <t>Human adenovirus 30</t>
        </is>
      </c>
      <c r="I169" t="inlineStr">
        <is>
          <t>species</t>
        </is>
      </c>
      <c r="J169" t="n">
        <v>19810218</v>
      </c>
      <c r="K169" t="n">
        <v>19810218</v>
      </c>
      <c r="L169" s="8">
        <f>HYPERLINK("https://test.ictv.global/id/TN19790155","TN19790155@TEST")</f>
        <v/>
      </c>
      <c r="M169" s="8">
        <f>HYPERLINK("https://test.ictv.global/id/ICTV19760120","ICTV19760120@TEST")</f>
        <v/>
      </c>
      <c r="N169" s="8">
        <f>HYPERLINK("https://ictv.global/id/TN19790155","TN19790155@prod")</f>
        <v/>
      </c>
      <c r="O169" s="8">
        <f>HYPERLINK("https://ictv.global/id/ICTV19760120","ICTV19760120@prod")</f>
        <v/>
      </c>
    </row>
    <row r="170">
      <c r="A170" t="n">
        <v>6</v>
      </c>
      <c r="B170" t="n">
        <v>19790155</v>
      </c>
      <c r="C170" t="n">
        <v>19760120</v>
      </c>
      <c r="D170" t="inlineStr">
        <is>
          <t>species</t>
        </is>
      </c>
      <c r="E170" t="inlineStr">
        <is>
          <t>Human adenovirus types 3-33</t>
        </is>
      </c>
      <c r="G170" t="inlineStr">
        <is>
          <t>Split,</t>
        </is>
      </c>
      <c r="H170" t="inlineStr">
        <is>
          <t>Human adenovirus 31</t>
        </is>
      </c>
      <c r="I170" t="inlineStr">
        <is>
          <t>species</t>
        </is>
      </c>
      <c r="J170" t="n">
        <v>19810219</v>
      </c>
      <c r="K170" t="n">
        <v>19810219</v>
      </c>
      <c r="L170" s="8">
        <f>HYPERLINK("https://test.ictv.global/id/TN19790155","TN19790155@TEST")</f>
        <v/>
      </c>
      <c r="M170" s="8">
        <f>HYPERLINK("https://test.ictv.global/id/ICTV19760120","ICTV19760120@TEST")</f>
        <v/>
      </c>
      <c r="N170" s="8">
        <f>HYPERLINK("https://ictv.global/id/TN19790155","TN19790155@prod")</f>
        <v/>
      </c>
      <c r="O170" s="8">
        <f>HYPERLINK("https://ictv.global/id/ICTV19760120","ICTV19760120@prod")</f>
        <v/>
      </c>
    </row>
    <row r="171">
      <c r="A171" t="n">
        <v>6</v>
      </c>
      <c r="B171" t="n">
        <v>19790155</v>
      </c>
      <c r="C171" t="n">
        <v>19760120</v>
      </c>
      <c r="D171" t="inlineStr">
        <is>
          <t>species</t>
        </is>
      </c>
      <c r="E171" t="inlineStr">
        <is>
          <t>Human adenovirus types 3-33</t>
        </is>
      </c>
      <c r="G171" t="inlineStr">
        <is>
          <t>Split,</t>
        </is>
      </c>
      <c r="H171" t="inlineStr">
        <is>
          <t>Human adenovirus 32</t>
        </is>
      </c>
      <c r="I171" t="inlineStr">
        <is>
          <t>species</t>
        </is>
      </c>
      <c r="J171" t="n">
        <v>19810220</v>
      </c>
      <c r="K171" t="n">
        <v>19810220</v>
      </c>
      <c r="L171" s="8">
        <f>HYPERLINK("https://test.ictv.global/id/TN19790155","TN19790155@TEST")</f>
        <v/>
      </c>
      <c r="M171" s="8">
        <f>HYPERLINK("https://test.ictv.global/id/ICTV19760120","ICTV19760120@TEST")</f>
        <v/>
      </c>
      <c r="N171" s="8">
        <f>HYPERLINK("https://ictv.global/id/TN19790155","TN19790155@prod")</f>
        <v/>
      </c>
      <c r="O171" s="8">
        <f>HYPERLINK("https://ictv.global/id/ICTV19760120","ICTV19760120@prod")</f>
        <v/>
      </c>
    </row>
    <row r="172">
      <c r="A172" t="n">
        <v>6</v>
      </c>
      <c r="B172" t="n">
        <v>19790155</v>
      </c>
      <c r="C172" t="n">
        <v>19760120</v>
      </c>
      <c r="D172" t="inlineStr">
        <is>
          <t>species</t>
        </is>
      </c>
      <c r="E172" t="inlineStr">
        <is>
          <t>Human adenovirus types 3-33</t>
        </is>
      </c>
      <c r="G172" t="inlineStr">
        <is>
          <t>Split,</t>
        </is>
      </c>
      <c r="H172" t="inlineStr">
        <is>
          <t>Human adenovirus 33</t>
        </is>
      </c>
      <c r="I172" t="inlineStr">
        <is>
          <t>species</t>
        </is>
      </c>
      <c r="J172" t="n">
        <v>19810221</v>
      </c>
      <c r="K172" t="n">
        <v>19810221</v>
      </c>
      <c r="L172" s="8">
        <f>HYPERLINK("https://test.ictv.global/id/TN19790155","TN19790155@TEST")</f>
        <v/>
      </c>
      <c r="M172" s="8">
        <f>HYPERLINK("https://test.ictv.global/id/ICTV19760120","ICTV19760120@TEST")</f>
        <v/>
      </c>
      <c r="N172" s="8">
        <f>HYPERLINK("https://ictv.global/id/TN19790155","TN19790155@prod")</f>
        <v/>
      </c>
      <c r="O172" s="8">
        <f>HYPERLINK("https://ictv.global/id/ICTV19760120","ICTV19760120@prod")</f>
        <v/>
      </c>
    </row>
    <row r="173">
      <c r="A173" t="n">
        <v>6</v>
      </c>
      <c r="B173" t="n">
        <v>19790155</v>
      </c>
      <c r="C173" t="n">
        <v>19760120</v>
      </c>
      <c r="D173" t="inlineStr">
        <is>
          <t>species</t>
        </is>
      </c>
      <c r="E173" t="inlineStr">
        <is>
          <t>Human adenovirus types 3-33</t>
        </is>
      </c>
      <c r="G173" t="inlineStr">
        <is>
          <t>Split,</t>
        </is>
      </c>
      <c r="H173" t="inlineStr">
        <is>
          <t>Human adenovirus 4</t>
        </is>
      </c>
      <c r="I173" t="inlineStr">
        <is>
          <t>species</t>
        </is>
      </c>
      <c r="J173" t="n">
        <v>19810223</v>
      </c>
      <c r="K173" t="n">
        <v>19810223</v>
      </c>
      <c r="L173" s="8">
        <f>HYPERLINK("https://test.ictv.global/id/TN19790155","TN19790155@TEST")</f>
        <v/>
      </c>
      <c r="M173" s="8">
        <f>HYPERLINK("https://test.ictv.global/id/ICTV19760120","ICTV19760120@TEST")</f>
        <v/>
      </c>
      <c r="N173" s="8">
        <f>HYPERLINK("https://ictv.global/id/TN19790155","TN19790155@prod")</f>
        <v/>
      </c>
      <c r="O173" s="8">
        <f>HYPERLINK("https://ictv.global/id/ICTV19760120","ICTV19760120@prod")</f>
        <v/>
      </c>
    </row>
    <row r="174">
      <c r="A174" t="n">
        <v>6</v>
      </c>
      <c r="B174" t="n">
        <v>19790155</v>
      </c>
      <c r="C174" t="n">
        <v>19760120</v>
      </c>
      <c r="D174" t="inlineStr">
        <is>
          <t>species</t>
        </is>
      </c>
      <c r="E174" t="inlineStr">
        <is>
          <t>Human adenovirus types 3-33</t>
        </is>
      </c>
      <c r="G174" t="inlineStr">
        <is>
          <t>Split,</t>
        </is>
      </c>
      <c r="H174" t="inlineStr">
        <is>
          <t>Human adenovirus 5</t>
        </is>
      </c>
      <c r="I174" t="inlineStr">
        <is>
          <t>species</t>
        </is>
      </c>
      <c r="J174" t="n">
        <v>19810224</v>
      </c>
      <c r="K174" t="n">
        <v>19810224</v>
      </c>
      <c r="L174" s="8">
        <f>HYPERLINK("https://test.ictv.global/id/TN19790155","TN19790155@TEST")</f>
        <v/>
      </c>
      <c r="M174" s="8">
        <f>HYPERLINK("https://test.ictv.global/id/ICTV19760120","ICTV19760120@TEST")</f>
        <v/>
      </c>
      <c r="N174" s="8">
        <f>HYPERLINK("https://ictv.global/id/TN19790155","TN19790155@prod")</f>
        <v/>
      </c>
      <c r="O174" s="8">
        <f>HYPERLINK("https://ictv.global/id/ICTV19760120","ICTV19760120@prod")</f>
        <v/>
      </c>
    </row>
    <row r="175">
      <c r="A175" t="n">
        <v>6</v>
      </c>
      <c r="B175" t="n">
        <v>19790155</v>
      </c>
      <c r="C175" t="n">
        <v>19760120</v>
      </c>
      <c r="D175" t="inlineStr">
        <is>
          <t>species</t>
        </is>
      </c>
      <c r="E175" t="inlineStr">
        <is>
          <t>Human adenovirus types 3-33</t>
        </is>
      </c>
      <c r="G175" t="inlineStr">
        <is>
          <t>Split,</t>
        </is>
      </c>
      <c r="H175" t="inlineStr">
        <is>
          <t>Human adenovirus 6</t>
        </is>
      </c>
      <c r="I175" t="inlineStr">
        <is>
          <t>species</t>
        </is>
      </c>
      <c r="J175" t="n">
        <v>19810225</v>
      </c>
      <c r="K175" t="n">
        <v>19810225</v>
      </c>
      <c r="L175" s="8">
        <f>HYPERLINK("https://test.ictv.global/id/TN19790155","TN19790155@TEST")</f>
        <v/>
      </c>
      <c r="M175" s="8">
        <f>HYPERLINK("https://test.ictv.global/id/ICTV19760120","ICTV19760120@TEST")</f>
        <v/>
      </c>
      <c r="N175" s="8">
        <f>HYPERLINK("https://ictv.global/id/TN19790155","TN19790155@prod")</f>
        <v/>
      </c>
      <c r="O175" s="8">
        <f>HYPERLINK("https://ictv.global/id/ICTV19760120","ICTV19760120@prod")</f>
        <v/>
      </c>
    </row>
    <row r="176">
      <c r="A176" t="n">
        <v>6</v>
      </c>
      <c r="B176" t="n">
        <v>19790155</v>
      </c>
      <c r="C176" t="n">
        <v>19760120</v>
      </c>
      <c r="D176" t="inlineStr">
        <is>
          <t>species</t>
        </is>
      </c>
      <c r="E176" t="inlineStr">
        <is>
          <t>Human adenovirus types 3-33</t>
        </is>
      </c>
      <c r="G176" t="inlineStr">
        <is>
          <t>Split,</t>
        </is>
      </c>
      <c r="H176" t="inlineStr">
        <is>
          <t>Human adenovirus 7</t>
        </is>
      </c>
      <c r="I176" t="inlineStr">
        <is>
          <t>species</t>
        </is>
      </c>
      <c r="J176" t="n">
        <v>19810226</v>
      </c>
      <c r="K176" t="n">
        <v>19810226</v>
      </c>
      <c r="L176" s="8">
        <f>HYPERLINK("https://test.ictv.global/id/TN19790155","TN19790155@TEST")</f>
        <v/>
      </c>
      <c r="M176" s="8">
        <f>HYPERLINK("https://test.ictv.global/id/ICTV19760120","ICTV19760120@TEST")</f>
        <v/>
      </c>
      <c r="N176" s="8">
        <f>HYPERLINK("https://ictv.global/id/TN19790155","TN19790155@prod")</f>
        <v/>
      </c>
      <c r="O176" s="8">
        <f>HYPERLINK("https://ictv.global/id/ICTV19760120","ICTV19760120@prod")</f>
        <v/>
      </c>
    </row>
    <row r="177">
      <c r="A177" t="n">
        <v>6</v>
      </c>
      <c r="B177" t="n">
        <v>19790155</v>
      </c>
      <c r="C177" t="n">
        <v>19760120</v>
      </c>
      <c r="D177" t="inlineStr">
        <is>
          <t>species</t>
        </is>
      </c>
      <c r="E177" t="inlineStr">
        <is>
          <t>Human adenovirus types 3-33</t>
        </is>
      </c>
      <c r="G177" t="inlineStr">
        <is>
          <t>Split,</t>
        </is>
      </c>
      <c r="H177" t="inlineStr">
        <is>
          <t>Human adenovirus 8</t>
        </is>
      </c>
      <c r="I177" t="inlineStr">
        <is>
          <t>species</t>
        </is>
      </c>
      <c r="J177" t="n">
        <v>19810227</v>
      </c>
      <c r="K177" t="n">
        <v>19810227</v>
      </c>
      <c r="L177" s="8">
        <f>HYPERLINK("https://test.ictv.global/id/TN19790155","TN19790155@TEST")</f>
        <v/>
      </c>
      <c r="M177" s="8">
        <f>HYPERLINK("https://test.ictv.global/id/ICTV19760120","ICTV19760120@TEST")</f>
        <v/>
      </c>
      <c r="N177" s="8">
        <f>HYPERLINK("https://ictv.global/id/TN19790155","TN19790155@prod")</f>
        <v/>
      </c>
      <c r="O177" s="8">
        <f>HYPERLINK("https://ictv.global/id/ICTV19760120","ICTV19760120@prod")</f>
        <v/>
      </c>
    </row>
    <row r="178">
      <c r="A178" t="n">
        <v>6</v>
      </c>
      <c r="B178" t="n">
        <v>19790155</v>
      </c>
      <c r="C178" t="n">
        <v>19760120</v>
      </c>
      <c r="D178" t="inlineStr">
        <is>
          <t>species</t>
        </is>
      </c>
      <c r="E178" t="inlineStr">
        <is>
          <t>Human adenovirus types 3-33</t>
        </is>
      </c>
      <c r="G178" t="inlineStr">
        <is>
          <t>Split,</t>
        </is>
      </c>
      <c r="H178" t="inlineStr">
        <is>
          <t>Human adenovirus 9</t>
        </is>
      </c>
      <c r="I178" t="inlineStr">
        <is>
          <t>species</t>
        </is>
      </c>
      <c r="J178" t="n">
        <v>19810228</v>
      </c>
      <c r="K178" t="n">
        <v>19810228</v>
      </c>
      <c r="L178" s="8">
        <f>HYPERLINK("https://test.ictv.global/id/TN19790155","TN19790155@TEST")</f>
        <v/>
      </c>
      <c r="M178" s="8">
        <f>HYPERLINK("https://test.ictv.global/id/ICTV19760120","ICTV19760120@TEST")</f>
        <v/>
      </c>
      <c r="N178" s="8">
        <f>HYPERLINK("https://ictv.global/id/TN19790155","TN19790155@prod")</f>
        <v/>
      </c>
      <c r="O178" s="8">
        <f>HYPERLINK("https://ictv.global/id/ICTV19760120","ICTV19760120@prod")</f>
        <v/>
      </c>
    </row>
    <row r="179">
      <c r="A179" t="n">
        <v>6</v>
      </c>
      <c r="B179" t="n">
        <v>19790157</v>
      </c>
      <c r="C179" t="n">
        <v>19760123</v>
      </c>
      <c r="D179" t="inlineStr">
        <is>
          <t>species</t>
        </is>
      </c>
      <c r="E179" t="inlineStr">
        <is>
          <t>Ovine adenovirus</t>
        </is>
      </c>
      <c r="G179" t="inlineStr">
        <is>
          <t>Split,</t>
        </is>
      </c>
      <c r="H179" t="inlineStr">
        <is>
          <t>Ovine adenovirus 1</t>
        </is>
      </c>
      <c r="I179" t="inlineStr">
        <is>
          <t>species</t>
        </is>
      </c>
      <c r="J179" t="n">
        <v>19810230</v>
      </c>
      <c r="K179" t="n">
        <v>19810230</v>
      </c>
      <c r="L179" s="8">
        <f>HYPERLINK("https://test.ictv.global/id/TN19790157","TN19790157@TEST")</f>
        <v/>
      </c>
      <c r="M179" s="8">
        <f>HYPERLINK("https://test.ictv.global/id/ICTV19760123","ICTV19760123@TEST")</f>
        <v/>
      </c>
      <c r="N179" s="8">
        <f>HYPERLINK("https://ictv.global/id/TN19790157","TN19790157@prod")</f>
        <v/>
      </c>
      <c r="O179" s="8">
        <f>HYPERLINK("https://ictv.global/id/ICTV19760123","ICTV19760123@prod")</f>
        <v/>
      </c>
    </row>
    <row r="180">
      <c r="A180" t="n">
        <v>6</v>
      </c>
      <c r="B180" t="n">
        <v>19790157</v>
      </c>
      <c r="C180" t="n">
        <v>19760123</v>
      </c>
      <c r="D180" t="inlineStr">
        <is>
          <t>species</t>
        </is>
      </c>
      <c r="E180" t="inlineStr">
        <is>
          <t>Ovine adenovirus</t>
        </is>
      </c>
      <c r="G180" t="inlineStr">
        <is>
          <t>Split,</t>
        </is>
      </c>
      <c r="H180" t="inlineStr">
        <is>
          <t>Ovine adenovirus 2</t>
        </is>
      </c>
      <c r="I180" t="inlineStr">
        <is>
          <t>species</t>
        </is>
      </c>
      <c r="J180" t="n">
        <v>19810231</v>
      </c>
      <c r="K180" t="n">
        <v>19810231</v>
      </c>
      <c r="L180" s="8">
        <f>HYPERLINK("https://test.ictv.global/id/TN19790157","TN19790157@TEST")</f>
        <v/>
      </c>
      <c r="M180" s="8">
        <f>HYPERLINK("https://test.ictv.global/id/ICTV19760123","ICTV19760123@TEST")</f>
        <v/>
      </c>
      <c r="N180" s="8">
        <f>HYPERLINK("https://ictv.global/id/TN19790157","TN19790157@prod")</f>
        <v/>
      </c>
      <c r="O180" s="8">
        <f>HYPERLINK("https://ictv.global/id/ICTV19760123","ICTV19760123@prod")</f>
        <v/>
      </c>
    </row>
    <row r="181">
      <c r="A181" t="n">
        <v>6</v>
      </c>
      <c r="B181" t="n">
        <v>19790157</v>
      </c>
      <c r="C181" t="n">
        <v>19760123</v>
      </c>
      <c r="D181" t="inlineStr">
        <is>
          <t>species</t>
        </is>
      </c>
      <c r="E181" t="inlineStr">
        <is>
          <t>Ovine adenovirus</t>
        </is>
      </c>
      <c r="G181" t="inlineStr">
        <is>
          <t>Split,</t>
        </is>
      </c>
      <c r="H181" t="inlineStr">
        <is>
          <t>Ovine adenovirus 3</t>
        </is>
      </c>
      <c r="I181" t="inlineStr">
        <is>
          <t>species</t>
        </is>
      </c>
      <c r="J181" t="n">
        <v>19810232</v>
      </c>
      <c r="K181" t="n">
        <v>19810232</v>
      </c>
      <c r="L181" s="8">
        <f>HYPERLINK("https://test.ictv.global/id/TN19790157","TN19790157@TEST")</f>
        <v/>
      </c>
      <c r="M181" s="8">
        <f>HYPERLINK("https://test.ictv.global/id/ICTV19760123","ICTV19760123@TEST")</f>
        <v/>
      </c>
      <c r="N181" s="8">
        <f>HYPERLINK("https://ictv.global/id/TN19790157","TN19790157@prod")</f>
        <v/>
      </c>
      <c r="O181" s="8">
        <f>HYPERLINK("https://ictv.global/id/ICTV19760123","ICTV19760123@prod")</f>
        <v/>
      </c>
    </row>
    <row r="182">
      <c r="A182" t="n">
        <v>6</v>
      </c>
      <c r="B182" t="n">
        <v>19790157</v>
      </c>
      <c r="C182" t="n">
        <v>19760123</v>
      </c>
      <c r="D182" t="inlineStr">
        <is>
          <t>species</t>
        </is>
      </c>
      <c r="E182" t="inlineStr">
        <is>
          <t>Ovine adenovirus</t>
        </is>
      </c>
      <c r="G182" t="inlineStr">
        <is>
          <t>Split,</t>
        </is>
      </c>
      <c r="H182" t="inlineStr">
        <is>
          <t>Ovine adenovirus 4</t>
        </is>
      </c>
      <c r="I182" t="inlineStr">
        <is>
          <t>species</t>
        </is>
      </c>
      <c r="J182" t="n">
        <v>19810233</v>
      </c>
      <c r="K182" t="n">
        <v>19810233</v>
      </c>
      <c r="L182" s="8">
        <f>HYPERLINK("https://test.ictv.global/id/TN19790157","TN19790157@TEST")</f>
        <v/>
      </c>
      <c r="M182" s="8">
        <f>HYPERLINK("https://test.ictv.global/id/ICTV19760123","ICTV19760123@TEST")</f>
        <v/>
      </c>
      <c r="N182" s="8">
        <f>HYPERLINK("https://ictv.global/id/TN19790157","TN19790157@prod")</f>
        <v/>
      </c>
      <c r="O182" s="8">
        <f>HYPERLINK("https://ictv.global/id/ICTV19760123","ICTV19760123@prod")</f>
        <v/>
      </c>
    </row>
    <row r="183">
      <c r="A183" t="n">
        <v>6</v>
      </c>
      <c r="B183" t="n">
        <v>19790157</v>
      </c>
      <c r="C183" t="n">
        <v>19760123</v>
      </c>
      <c r="D183" t="inlineStr">
        <is>
          <t>species</t>
        </is>
      </c>
      <c r="E183" t="inlineStr">
        <is>
          <t>Ovine adenovirus</t>
        </is>
      </c>
      <c r="G183" t="inlineStr">
        <is>
          <t>Split,</t>
        </is>
      </c>
      <c r="H183" t="inlineStr">
        <is>
          <t>Ovine adenovirus 5</t>
        </is>
      </c>
      <c r="I183" t="inlineStr">
        <is>
          <t>species</t>
        </is>
      </c>
      <c r="J183" t="n">
        <v>19810234</v>
      </c>
      <c r="K183" t="n">
        <v>19810234</v>
      </c>
      <c r="L183" s="8">
        <f>HYPERLINK("https://test.ictv.global/id/TN19790157","TN19790157@TEST")</f>
        <v/>
      </c>
      <c r="M183" s="8">
        <f>HYPERLINK("https://test.ictv.global/id/ICTV19760123","ICTV19760123@TEST")</f>
        <v/>
      </c>
      <c r="N183" s="8">
        <f>HYPERLINK("https://ictv.global/id/TN19790157","TN19790157@prod")</f>
        <v/>
      </c>
      <c r="O183" s="8">
        <f>HYPERLINK("https://ictv.global/id/ICTV19760123","ICTV19760123@prod")</f>
        <v/>
      </c>
    </row>
    <row r="184">
      <c r="A184" t="n">
        <v>6</v>
      </c>
      <c r="B184" t="n">
        <v>19790158</v>
      </c>
      <c r="C184" t="n">
        <v>19760124</v>
      </c>
      <c r="D184" t="inlineStr">
        <is>
          <t>species</t>
        </is>
      </c>
      <c r="E184" t="inlineStr">
        <is>
          <t>Porcine adenovirus</t>
        </is>
      </c>
      <c r="G184" t="inlineStr">
        <is>
          <t>Split,</t>
        </is>
      </c>
      <c r="H184" t="inlineStr">
        <is>
          <t>Porcine adenovirus 1</t>
        </is>
      </c>
      <c r="I184" t="inlineStr">
        <is>
          <t>species</t>
        </is>
      </c>
      <c r="J184" t="n">
        <v>19810235</v>
      </c>
      <c r="K184" t="n">
        <v>19810235</v>
      </c>
      <c r="L184" s="8">
        <f>HYPERLINK("https://test.ictv.global/id/TN19790158","TN19790158@TEST")</f>
        <v/>
      </c>
      <c r="M184" s="8">
        <f>HYPERLINK("https://test.ictv.global/id/ICTV19760124","ICTV19760124@TEST")</f>
        <v/>
      </c>
      <c r="N184" s="8">
        <f>HYPERLINK("https://ictv.global/id/TN19790158","TN19790158@prod")</f>
        <v/>
      </c>
      <c r="O184" s="8">
        <f>HYPERLINK("https://ictv.global/id/ICTV19760124","ICTV19760124@prod")</f>
        <v/>
      </c>
    </row>
    <row r="185">
      <c r="A185" t="n">
        <v>6</v>
      </c>
      <c r="B185" t="n">
        <v>19790158</v>
      </c>
      <c r="C185" t="n">
        <v>19760124</v>
      </c>
      <c r="D185" t="inlineStr">
        <is>
          <t>species</t>
        </is>
      </c>
      <c r="E185" t="inlineStr">
        <is>
          <t>Porcine adenovirus</t>
        </is>
      </c>
      <c r="G185" t="inlineStr">
        <is>
          <t>Split,</t>
        </is>
      </c>
      <c r="H185" t="inlineStr">
        <is>
          <t>Porcine adenovirus 2</t>
        </is>
      </c>
      <c r="I185" t="inlineStr">
        <is>
          <t>species</t>
        </is>
      </c>
      <c r="J185" t="n">
        <v>19810236</v>
      </c>
      <c r="K185" t="n">
        <v>19810236</v>
      </c>
      <c r="L185" s="8">
        <f>HYPERLINK("https://test.ictv.global/id/TN19790158","TN19790158@TEST")</f>
        <v/>
      </c>
      <c r="M185" s="8">
        <f>HYPERLINK("https://test.ictv.global/id/ICTV19760124","ICTV19760124@TEST")</f>
        <v/>
      </c>
      <c r="N185" s="8">
        <f>HYPERLINK("https://ictv.global/id/TN19790158","TN19790158@prod")</f>
        <v/>
      </c>
      <c r="O185" s="8">
        <f>HYPERLINK("https://ictv.global/id/ICTV19760124","ICTV19760124@prod")</f>
        <v/>
      </c>
    </row>
    <row r="186">
      <c r="A186" t="n">
        <v>6</v>
      </c>
      <c r="B186" t="n">
        <v>19790158</v>
      </c>
      <c r="C186" t="n">
        <v>19760124</v>
      </c>
      <c r="D186" t="inlineStr">
        <is>
          <t>species</t>
        </is>
      </c>
      <c r="E186" t="inlineStr">
        <is>
          <t>Porcine adenovirus</t>
        </is>
      </c>
      <c r="G186" t="inlineStr">
        <is>
          <t>Split,</t>
        </is>
      </c>
      <c r="H186" t="inlineStr">
        <is>
          <t>Porcine adenovirus 3</t>
        </is>
      </c>
      <c r="I186" t="inlineStr">
        <is>
          <t>species</t>
        </is>
      </c>
      <c r="J186" t="n">
        <v>19810237</v>
      </c>
      <c r="K186" t="n">
        <v>19810237</v>
      </c>
      <c r="L186" s="8">
        <f>HYPERLINK("https://test.ictv.global/id/TN19790158","TN19790158@TEST")</f>
        <v/>
      </c>
      <c r="M186" s="8">
        <f>HYPERLINK("https://test.ictv.global/id/ICTV19760124","ICTV19760124@TEST")</f>
        <v/>
      </c>
      <c r="N186" s="8">
        <f>HYPERLINK("https://ictv.global/id/TN19790158","TN19790158@prod")</f>
        <v/>
      </c>
      <c r="O186" s="8">
        <f>HYPERLINK("https://ictv.global/id/ICTV19760124","ICTV19760124@prod")</f>
        <v/>
      </c>
    </row>
    <row r="187">
      <c r="A187" t="n">
        <v>6</v>
      </c>
      <c r="B187" t="n">
        <v>19790158</v>
      </c>
      <c r="C187" t="n">
        <v>19760124</v>
      </c>
      <c r="D187" t="inlineStr">
        <is>
          <t>species</t>
        </is>
      </c>
      <c r="E187" t="inlineStr">
        <is>
          <t>Porcine adenovirus</t>
        </is>
      </c>
      <c r="G187" t="inlineStr">
        <is>
          <t>Split,</t>
        </is>
      </c>
      <c r="H187" t="inlineStr">
        <is>
          <t>Porcine adenovirus 4</t>
        </is>
      </c>
      <c r="I187" t="inlineStr">
        <is>
          <t>species</t>
        </is>
      </c>
      <c r="J187" t="n">
        <v>19810238</v>
      </c>
      <c r="K187" t="n">
        <v>19810238</v>
      </c>
      <c r="L187" s="8">
        <f>HYPERLINK("https://test.ictv.global/id/TN19790158","TN19790158@TEST")</f>
        <v/>
      </c>
      <c r="M187" s="8">
        <f>HYPERLINK("https://test.ictv.global/id/ICTV19760124","ICTV19760124@TEST")</f>
        <v/>
      </c>
      <c r="N187" s="8">
        <f>HYPERLINK("https://ictv.global/id/TN19790158","TN19790158@prod")</f>
        <v/>
      </c>
      <c r="O187" s="8">
        <f>HYPERLINK("https://ictv.global/id/ICTV19760124","ICTV19760124@prod")</f>
        <v/>
      </c>
    </row>
    <row r="188">
      <c r="A188" t="n">
        <v>6</v>
      </c>
      <c r="B188" t="n">
        <v>19790159</v>
      </c>
      <c r="C188" t="n">
        <v>19760125</v>
      </c>
      <c r="D188" t="inlineStr">
        <is>
          <t>species</t>
        </is>
      </c>
      <c r="E188" t="inlineStr">
        <is>
          <t>Simian adenoviruses</t>
        </is>
      </c>
      <c r="G188" t="inlineStr">
        <is>
          <t>Abolished,</t>
        </is>
      </c>
      <c r="L188" s="8">
        <f>HYPERLINK("https://test.ictv.global/id/TN19790159","TN19790159@TEST")</f>
        <v/>
      </c>
      <c r="M188" s="8">
        <f>HYPERLINK("https://test.ictv.global/id/ICTV19760125","ICTV19760125@TEST")</f>
        <v/>
      </c>
      <c r="N188" s="8">
        <f>HYPERLINK("https://ictv.global/id/TN19790159","TN19790159@prod")</f>
        <v/>
      </c>
      <c r="O188" s="8">
        <f>HYPERLINK("https://ictv.global/id/ICTV19760125","ICTV19760125@prod")</f>
        <v/>
      </c>
    </row>
    <row r="189">
      <c r="A189" t="n">
        <v>6</v>
      </c>
      <c r="B189" t="n">
        <v>19790280</v>
      </c>
      <c r="C189" t="n">
        <v>19790280</v>
      </c>
      <c r="D189" t="inlineStr">
        <is>
          <t>species</t>
        </is>
      </c>
      <c r="E189" t="inlineStr">
        <is>
          <t>Congo virus</t>
        </is>
      </c>
      <c r="G189" t="inlineStr">
        <is>
          <t>Merged,Moved,Assigned as Type Species,</t>
        </is>
      </c>
      <c r="H189" t="inlineStr">
        <is>
          <t>Crimean-Congo hemorrhagic fever virus</t>
        </is>
      </c>
      <c r="I189" t="inlineStr">
        <is>
          <t>species</t>
        </is>
      </c>
      <c r="J189" t="n">
        <v>19990680</v>
      </c>
      <c r="K189" t="n">
        <v>19810350</v>
      </c>
      <c r="L189" s="8">
        <f>HYPERLINK("https://test.ictv.global/id/TN19790280","TN19790280@TEST")</f>
        <v/>
      </c>
      <c r="M189" s="8">
        <f>HYPERLINK("https://test.ictv.global/id/ICTV19790280","ICTV19790280@TEST")</f>
        <v/>
      </c>
      <c r="N189" s="8">
        <f>HYPERLINK("https://ictv.global/id/TN19790280","TN19790280@prod")</f>
        <v/>
      </c>
      <c r="O189" s="8">
        <f>HYPERLINK("https://ictv.global/id/ICTV19790280","ICTV19790280@prod")</f>
        <v/>
      </c>
    </row>
    <row r="190">
      <c r="A190" t="n">
        <v>6</v>
      </c>
      <c r="B190" t="n">
        <v>19790281</v>
      </c>
      <c r="C190" t="n">
        <v>19790281</v>
      </c>
      <c r="D190" t="inlineStr">
        <is>
          <t>species</t>
        </is>
      </c>
      <c r="E190" t="inlineStr">
        <is>
          <t>Crimean hemorrhagic fever virus</t>
        </is>
      </c>
      <c r="G190" t="inlineStr">
        <is>
          <t>Merged,Moved,Assigned as Type Species,</t>
        </is>
      </c>
      <c r="H190" t="inlineStr">
        <is>
          <t>Crimean-Congo hemorrhagic fever virus</t>
        </is>
      </c>
      <c r="I190" t="inlineStr">
        <is>
          <t>species</t>
        </is>
      </c>
      <c r="J190" t="n">
        <v>19990680</v>
      </c>
      <c r="K190" t="n">
        <v>19810350</v>
      </c>
      <c r="L190" s="8">
        <f>HYPERLINK("https://test.ictv.global/id/TN19790281","TN19790281@TEST")</f>
        <v/>
      </c>
      <c r="M190" s="8">
        <f>HYPERLINK("https://test.ictv.global/id/ICTV19790281","ICTV19790281@TEST")</f>
        <v/>
      </c>
      <c r="N190" s="8">
        <f>HYPERLINK("https://ictv.global/id/TN19790281","TN19790281@prod")</f>
        <v/>
      </c>
      <c r="O190" s="8">
        <f>HYPERLINK("https://ictv.global/id/ICTV19790281","ICTV19790281@prod")</f>
        <v/>
      </c>
    </row>
    <row r="191">
      <c r="A191" t="n">
        <v>7</v>
      </c>
      <c r="B191" t="n">
        <v>19810134</v>
      </c>
      <c r="C191" t="n">
        <v>19760077</v>
      </c>
      <c r="D191" t="inlineStr">
        <is>
          <t>genus</t>
        </is>
      </c>
      <c r="E191" t="inlineStr">
        <is>
          <t>Plant rhabdovirus group</t>
        </is>
      </c>
      <c r="G191" t="inlineStr">
        <is>
          <t>Split,</t>
        </is>
      </c>
      <c r="H191" t="inlineStr">
        <is>
          <t>Plant rhabdovirus subgroup A</t>
        </is>
      </c>
      <c r="I191" t="inlineStr">
        <is>
          <t>genus</t>
        </is>
      </c>
      <c r="J191" t="n">
        <v>19820133</v>
      </c>
      <c r="K191" t="n">
        <v>19820133</v>
      </c>
      <c r="L191" s="8">
        <f>HYPERLINK("https://test.ictv.global/id/TN19810134","TN19810134@TEST")</f>
        <v/>
      </c>
      <c r="M191" s="8">
        <f>HYPERLINK("https://test.ictv.global/id/ICTV19760077","ICTV19760077@TEST")</f>
        <v/>
      </c>
      <c r="N191" s="8">
        <f>HYPERLINK("https://ictv.global/id/TN19810134","TN19810134@prod")</f>
        <v/>
      </c>
      <c r="O191" s="8">
        <f>HYPERLINK("https://ictv.global/id/ICTV19760077","ICTV19760077@prod")</f>
        <v/>
      </c>
    </row>
    <row r="192">
      <c r="A192" t="n">
        <v>7</v>
      </c>
      <c r="B192" t="n">
        <v>19810134</v>
      </c>
      <c r="C192" t="n">
        <v>19760077</v>
      </c>
      <c r="D192" t="inlineStr">
        <is>
          <t>genus</t>
        </is>
      </c>
      <c r="E192" t="inlineStr">
        <is>
          <t>Plant rhabdovirus group</t>
        </is>
      </c>
      <c r="G192" t="inlineStr">
        <is>
          <t>Split,</t>
        </is>
      </c>
      <c r="H192" t="inlineStr">
        <is>
          <t>Plant rhabdovirus subgroup B</t>
        </is>
      </c>
      <c r="I192" t="inlineStr">
        <is>
          <t>genus</t>
        </is>
      </c>
      <c r="J192" t="n">
        <v>19820134</v>
      </c>
      <c r="K192" t="n">
        <v>19820134</v>
      </c>
      <c r="L192" s="8">
        <f>HYPERLINK("https://test.ictv.global/id/TN19810134","TN19810134@TEST")</f>
        <v/>
      </c>
      <c r="M192" s="8">
        <f>HYPERLINK("https://test.ictv.global/id/ICTV19760077","ICTV19760077@TEST")</f>
        <v/>
      </c>
      <c r="N192" s="8">
        <f>HYPERLINK("https://ictv.global/id/TN19810134","TN19810134@prod")</f>
        <v/>
      </c>
      <c r="O192" s="8">
        <f>HYPERLINK("https://ictv.global/id/ICTV19760077","ICTV19760077@prod")</f>
        <v/>
      </c>
    </row>
    <row r="193">
      <c r="A193" t="n">
        <v>7</v>
      </c>
      <c r="B193" t="n">
        <v>19810251</v>
      </c>
      <c r="C193" t="n">
        <v>19710139</v>
      </c>
      <c r="D193" t="inlineStr">
        <is>
          <t>species</t>
        </is>
      </c>
      <c r="E193" t="inlineStr">
        <is>
          <t>Choristoneura fumiferana granulosis virus</t>
        </is>
      </c>
      <c r="G193" t="inlineStr">
        <is>
          <t>Abolished,</t>
        </is>
      </c>
      <c r="L193" s="8">
        <f>HYPERLINK("https://test.ictv.global/id/TN19810251","TN19810251@TEST")</f>
        <v/>
      </c>
      <c r="M193" s="8">
        <f>HYPERLINK("https://test.ictv.global/id/ICTV19710139","ICTV19710139@TEST")</f>
        <v/>
      </c>
      <c r="N193" s="8">
        <f>HYPERLINK("https://ictv.global/id/TN19810251","TN19810251@prod")</f>
        <v/>
      </c>
      <c r="O193" s="8">
        <f>HYPERLINK("https://ictv.global/id/ICTV19710139","ICTV19710139@prod")</f>
        <v/>
      </c>
    </row>
    <row r="194">
      <c r="A194" t="n">
        <v>7</v>
      </c>
      <c r="B194" t="n">
        <v>19810290</v>
      </c>
      <c r="C194" t="n">
        <v>19760174</v>
      </c>
      <c r="D194" t="inlineStr">
        <is>
          <t>species</t>
        </is>
      </c>
      <c r="E194" t="inlineStr">
        <is>
          <t>Jurona virus</t>
        </is>
      </c>
      <c r="G194" t="inlineStr">
        <is>
          <t>Abolished,</t>
        </is>
      </c>
      <c r="L194" s="8">
        <f>HYPERLINK("https://test.ictv.global/id/TN19810290","TN19810290@TEST")</f>
        <v/>
      </c>
      <c r="M194" s="8">
        <f>HYPERLINK("https://test.ictv.global/id/ICTV19760174","ICTV19760174@TEST")</f>
        <v/>
      </c>
      <c r="N194" s="8">
        <f>HYPERLINK("https://ictv.global/id/TN19810290","TN19810290@prod")</f>
        <v/>
      </c>
      <c r="O194" s="8">
        <f>HYPERLINK("https://ictv.global/id/ICTV19760174","ICTV19760174@prod")</f>
        <v/>
      </c>
    </row>
    <row r="195">
      <c r="A195" t="n">
        <v>7</v>
      </c>
      <c r="B195" t="n">
        <v>19810352</v>
      </c>
      <c r="C195" t="n">
        <v>19810352</v>
      </c>
      <c r="D195" t="inlineStr">
        <is>
          <t>species</t>
        </is>
      </c>
      <c r="E195" t="inlineStr">
        <is>
          <t>Dhori virus</t>
        </is>
      </c>
      <c r="F195" t="inlineStr"/>
      <c r="G195" t="inlineStr">
        <is>
          <t>Abolished,</t>
        </is>
      </c>
      <c r="L195" s="8">
        <f>HYPERLINK("https://test.ictv.global/id/TN19810352","TN19810352@TEST")</f>
        <v/>
      </c>
      <c r="M195" s="8">
        <f>HYPERLINK("https://test.ictv.global/id/ICTV19810352","ICTV19810352@TEST")</f>
        <v/>
      </c>
      <c r="N195" s="8">
        <f>HYPERLINK("https://ictv.global/id/TN19810352","TN19810352@prod")</f>
        <v/>
      </c>
      <c r="O195" s="8">
        <f>HYPERLINK("https://ictv.global/id/ICTV19810352","ICTV19810352@prod")</f>
        <v/>
      </c>
    </row>
    <row r="196">
      <c r="A196" t="n">
        <v>7</v>
      </c>
      <c r="B196" t="n">
        <v>19810393</v>
      </c>
      <c r="C196" t="n">
        <v>19790272</v>
      </c>
      <c r="D196" t="inlineStr">
        <is>
          <t>species</t>
        </is>
      </c>
      <c r="E196" t="inlineStr">
        <is>
          <t>Bakau virus</t>
        </is>
      </c>
      <c r="F196" t="inlineStr"/>
      <c r="G196" t="inlineStr">
        <is>
          <t>Abolished,</t>
        </is>
      </c>
      <c r="L196" s="8">
        <f>HYPERLINK("https://test.ictv.global/id/TN19810393","TN19810393@TEST")</f>
        <v/>
      </c>
      <c r="M196" s="8">
        <f>HYPERLINK("https://test.ictv.global/id/ICTV19790272","ICTV19790272@TEST")</f>
        <v/>
      </c>
      <c r="N196" s="8">
        <f>HYPERLINK("https://ictv.global/id/TN19810393","TN19810393@prod")</f>
        <v/>
      </c>
      <c r="O196" s="8">
        <f>HYPERLINK("https://ictv.global/id/ICTV19790272","ICTV19790272@prod")</f>
        <v/>
      </c>
    </row>
    <row r="197">
      <c r="A197" t="n">
        <v>7</v>
      </c>
      <c r="B197" t="n">
        <v>19810395</v>
      </c>
      <c r="C197" t="n">
        <v>19790290</v>
      </c>
      <c r="D197" t="inlineStr">
        <is>
          <t>species</t>
        </is>
      </c>
      <c r="E197" t="inlineStr">
        <is>
          <t>Kaisodi virus</t>
        </is>
      </c>
      <c r="G197" t="inlineStr">
        <is>
          <t>Abolished,</t>
        </is>
      </c>
      <c r="L197" s="8">
        <f>HYPERLINK("https://test.ictv.global/id/TN19810395","TN19810395@TEST")</f>
        <v/>
      </c>
      <c r="M197" s="8">
        <f>HYPERLINK("https://test.ictv.global/id/ICTV19790290","ICTV19790290@TEST")</f>
        <v/>
      </c>
      <c r="N197" s="8">
        <f>HYPERLINK("https://ictv.global/id/TN19810395","TN19810395@prod")</f>
        <v/>
      </c>
      <c r="O197" s="8">
        <f>HYPERLINK("https://ictv.global/id/ICTV19790290","ICTV19790290@prod")</f>
        <v/>
      </c>
    </row>
    <row r="198">
      <c r="A198" t="n">
        <v>7</v>
      </c>
      <c r="B198" t="n">
        <v>19810396</v>
      </c>
      <c r="C198" t="n">
        <v>19790292</v>
      </c>
      <c r="D198" t="inlineStr">
        <is>
          <t>species</t>
        </is>
      </c>
      <c r="E198" t="inlineStr">
        <is>
          <t>Ketapang virus</t>
        </is>
      </c>
      <c r="G198" t="inlineStr">
        <is>
          <t>Abolished,</t>
        </is>
      </c>
      <c r="L198" s="8">
        <f>HYPERLINK("https://test.ictv.global/id/TN19810396","TN19810396@TEST")</f>
        <v/>
      </c>
      <c r="M198" s="8">
        <f>HYPERLINK("https://test.ictv.global/id/ICTV19790292","ICTV19790292@TEST")</f>
        <v/>
      </c>
      <c r="N198" s="8">
        <f>HYPERLINK("https://ictv.global/id/TN19810396","TN19810396@prod")</f>
        <v/>
      </c>
      <c r="O198" s="8">
        <f>HYPERLINK("https://ictv.global/id/ICTV19790292","ICTV19790292@prod")</f>
        <v/>
      </c>
    </row>
    <row r="199">
      <c r="A199" t="n">
        <v>7</v>
      </c>
      <c r="B199" t="n">
        <v>19810397</v>
      </c>
      <c r="C199" t="n">
        <v>19790293</v>
      </c>
      <c r="D199" t="inlineStr">
        <is>
          <t>species</t>
        </is>
      </c>
      <c r="E199" t="inlineStr">
        <is>
          <t>Kowanyama virus</t>
        </is>
      </c>
      <c r="G199" t="inlineStr">
        <is>
          <t>Abolished,</t>
        </is>
      </c>
      <c r="L199" s="8">
        <f>HYPERLINK("https://test.ictv.global/id/TN19810397","TN19810397@TEST")</f>
        <v/>
      </c>
      <c r="M199" s="8">
        <f>HYPERLINK("https://test.ictv.global/id/ICTV19790293","ICTV19790293@TEST")</f>
        <v/>
      </c>
      <c r="N199" s="8">
        <f>HYPERLINK("https://ictv.global/id/TN19810397","TN19810397@prod")</f>
        <v/>
      </c>
      <c r="O199" s="8">
        <f>HYPERLINK("https://ictv.global/id/ICTV19790293","ICTV19790293@prod")</f>
        <v/>
      </c>
    </row>
    <row r="200">
      <c r="A200" t="n">
        <v>7</v>
      </c>
      <c r="B200" t="n">
        <v>19810398</v>
      </c>
      <c r="C200" t="n">
        <v>19790294</v>
      </c>
      <c r="D200" t="inlineStr">
        <is>
          <t>species</t>
        </is>
      </c>
      <c r="E200" t="inlineStr">
        <is>
          <t>Lanjan virus</t>
        </is>
      </c>
      <c r="G200" t="inlineStr">
        <is>
          <t>Abolished,</t>
        </is>
      </c>
      <c r="L200" s="8">
        <f>HYPERLINK("https://test.ictv.global/id/TN19810398","TN19810398@TEST")</f>
        <v/>
      </c>
      <c r="M200" s="8">
        <f>HYPERLINK("https://test.ictv.global/id/ICTV19790294","ICTV19790294@TEST")</f>
        <v/>
      </c>
      <c r="N200" s="8">
        <f>HYPERLINK("https://ictv.global/id/TN19810398","TN19810398@prod")</f>
        <v/>
      </c>
      <c r="O200" s="8">
        <f>HYPERLINK("https://ictv.global/id/ICTV19790294","ICTV19790294@prod")</f>
        <v/>
      </c>
    </row>
    <row r="201">
      <c r="A201" t="n">
        <v>7</v>
      </c>
      <c r="B201" t="n">
        <v>19810399</v>
      </c>
      <c r="C201" t="n">
        <v>19790295</v>
      </c>
      <c r="D201" t="inlineStr">
        <is>
          <t>species</t>
        </is>
      </c>
      <c r="E201" t="inlineStr">
        <is>
          <t>Lone Star virus</t>
        </is>
      </c>
      <c r="G201" t="inlineStr">
        <is>
          <t>Abolished,</t>
        </is>
      </c>
      <c r="L201" s="8">
        <f>HYPERLINK("https://test.ictv.global/id/TN19810399","TN19810399@TEST")</f>
        <v/>
      </c>
      <c r="M201" s="8">
        <f>HYPERLINK("https://test.ictv.global/id/ICTV19790295","ICTV19790295@TEST")</f>
        <v/>
      </c>
      <c r="N201" s="8">
        <f>HYPERLINK("https://ictv.global/id/TN19810399","TN19810399@prod")</f>
        <v/>
      </c>
      <c r="O201" s="8">
        <f>HYPERLINK("https://ictv.global/id/ICTV19790295","ICTV19790295@prod")</f>
        <v/>
      </c>
    </row>
    <row r="202">
      <c r="A202" t="n">
        <v>7</v>
      </c>
      <c r="B202" t="n">
        <v>19810400</v>
      </c>
      <c r="C202" t="n">
        <v>19790297</v>
      </c>
      <c r="D202" t="inlineStr">
        <is>
          <t>species</t>
        </is>
      </c>
      <c r="E202" t="inlineStr">
        <is>
          <t>Mapputta virus</t>
        </is>
      </c>
      <c r="G202" t="inlineStr">
        <is>
          <t>Abolished,</t>
        </is>
      </c>
      <c r="L202" s="8">
        <f>HYPERLINK("https://test.ictv.global/id/TN19810400","TN19810400@TEST")</f>
        <v/>
      </c>
      <c r="M202" s="8">
        <f>HYPERLINK("https://test.ictv.global/id/ICTV19790297","ICTV19790297@TEST")</f>
        <v/>
      </c>
      <c r="N202" s="8">
        <f>HYPERLINK("https://ictv.global/id/TN19810400","TN19810400@prod")</f>
        <v/>
      </c>
      <c r="O202" s="8">
        <f>HYPERLINK("https://ictv.global/id/ICTV19790297","ICTV19790297@prod")</f>
        <v/>
      </c>
    </row>
    <row r="203">
      <c r="A203" t="n">
        <v>7</v>
      </c>
      <c r="B203" t="n">
        <v>19810401</v>
      </c>
      <c r="C203" t="n">
        <v>19790298</v>
      </c>
      <c r="D203" t="inlineStr">
        <is>
          <t>species</t>
        </is>
      </c>
      <c r="E203" t="inlineStr">
        <is>
          <t>Maprik virus</t>
        </is>
      </c>
      <c r="G203" t="inlineStr">
        <is>
          <t>Abolished,</t>
        </is>
      </c>
      <c r="L203" s="8">
        <f>HYPERLINK("https://test.ictv.global/id/TN19810401","TN19810401@TEST")</f>
        <v/>
      </c>
      <c r="M203" s="8">
        <f>HYPERLINK("https://test.ictv.global/id/ICTV19790298","ICTV19790298@TEST")</f>
        <v/>
      </c>
      <c r="N203" s="8">
        <f>HYPERLINK("https://ictv.global/id/TN19810401","TN19810401@prod")</f>
        <v/>
      </c>
      <c r="O203" s="8">
        <f>HYPERLINK("https://ictv.global/id/ICTV19790298","ICTV19790298@prod")</f>
        <v/>
      </c>
    </row>
    <row r="204">
      <c r="A204" t="n">
        <v>7</v>
      </c>
      <c r="B204" t="n">
        <v>19810403</v>
      </c>
      <c r="C204" t="n">
        <v>19790310</v>
      </c>
      <c r="D204" t="inlineStr">
        <is>
          <t>species</t>
        </is>
      </c>
      <c r="E204" t="inlineStr">
        <is>
          <t>Silverwater virus</t>
        </is>
      </c>
      <c r="G204" t="inlineStr">
        <is>
          <t>Abolished,</t>
        </is>
      </c>
      <c r="L204" s="8">
        <f>HYPERLINK("https://test.ictv.global/id/TN19810403","TN19810403@TEST")</f>
        <v/>
      </c>
      <c r="M204" s="8">
        <f>HYPERLINK("https://test.ictv.global/id/ICTV19790310","ICTV19790310@TEST")</f>
        <v/>
      </c>
      <c r="N204" s="8">
        <f>HYPERLINK("https://ictv.global/id/TN19810403","TN19810403@prod")</f>
        <v/>
      </c>
      <c r="O204" s="8">
        <f>HYPERLINK("https://ictv.global/id/ICTV19790310","ICTV19790310@prod")</f>
        <v/>
      </c>
    </row>
    <row r="205">
      <c r="A205" t="n">
        <v>7</v>
      </c>
      <c r="B205" t="n">
        <v>19810404</v>
      </c>
      <c r="C205" t="n">
        <v>19790311</v>
      </c>
      <c r="D205" t="inlineStr">
        <is>
          <t>species</t>
        </is>
      </c>
      <c r="E205" t="inlineStr">
        <is>
          <t>Sunday Canyon virus</t>
        </is>
      </c>
      <c r="G205" t="inlineStr">
        <is>
          <t>Abolished,</t>
        </is>
      </c>
      <c r="L205" s="8">
        <f>HYPERLINK("https://test.ictv.global/id/TN19810404","TN19810404@TEST")</f>
        <v/>
      </c>
      <c r="M205" s="8">
        <f>HYPERLINK("https://test.ictv.global/id/ICTV19790311","ICTV19790311@TEST")</f>
        <v/>
      </c>
      <c r="N205" s="8">
        <f>HYPERLINK("https://ictv.global/id/TN19810404","TN19810404@prod")</f>
        <v/>
      </c>
      <c r="O205" s="8">
        <f>HYPERLINK("https://ictv.global/id/ICTV19790311","ICTV19790311@prod")</f>
        <v/>
      </c>
    </row>
    <row r="206">
      <c r="A206" t="n">
        <v>7</v>
      </c>
      <c r="B206" t="n">
        <v>19810405</v>
      </c>
      <c r="C206" t="n">
        <v>19790312</v>
      </c>
      <c r="D206" t="inlineStr">
        <is>
          <t>species</t>
        </is>
      </c>
      <c r="E206" t="inlineStr">
        <is>
          <t>Tataguine virus</t>
        </is>
      </c>
      <c r="G206" t="inlineStr">
        <is>
          <t>Abolished,</t>
        </is>
      </c>
      <c r="L206" s="8">
        <f>HYPERLINK("https://test.ictv.global/id/TN19810405","TN19810405@TEST")</f>
        <v/>
      </c>
      <c r="M206" s="8">
        <f>HYPERLINK("https://test.ictv.global/id/ICTV19790312","ICTV19790312@TEST")</f>
        <v/>
      </c>
      <c r="N206" s="8">
        <f>HYPERLINK("https://ictv.global/id/TN19810405","TN19810405@prod")</f>
        <v/>
      </c>
      <c r="O206" s="8">
        <f>HYPERLINK("https://ictv.global/id/ICTV19790312","ICTV19790312@prod")</f>
        <v/>
      </c>
    </row>
    <row r="207">
      <c r="A207" t="n">
        <v>7</v>
      </c>
      <c r="B207" t="n">
        <v>19810406</v>
      </c>
      <c r="C207" t="n">
        <v>19790313</v>
      </c>
      <c r="D207" t="inlineStr">
        <is>
          <t>species</t>
        </is>
      </c>
      <c r="E207" t="inlineStr">
        <is>
          <t>Thogoto virus</t>
        </is>
      </c>
      <c r="F207" t="inlineStr"/>
      <c r="G207" t="inlineStr">
        <is>
          <t>Abolished,</t>
        </is>
      </c>
      <c r="L207" s="8">
        <f>HYPERLINK("https://test.ictv.global/id/TN19810406","TN19810406@TEST")</f>
        <v/>
      </c>
      <c r="M207" s="8">
        <f>HYPERLINK("https://test.ictv.global/id/ICTV19790313","ICTV19790313@TEST")</f>
        <v/>
      </c>
      <c r="N207" s="8">
        <f>HYPERLINK("https://ictv.global/id/TN19810406","TN19810406@prod")</f>
        <v/>
      </c>
      <c r="O207" s="8">
        <f>HYPERLINK("https://ictv.global/id/ICTV19790313","ICTV19790313@prod")</f>
        <v/>
      </c>
    </row>
    <row r="208">
      <c r="A208" t="n">
        <v>7</v>
      </c>
      <c r="B208" t="n">
        <v>19810407</v>
      </c>
      <c r="C208" t="n">
        <v>19790314</v>
      </c>
      <c r="D208" t="inlineStr">
        <is>
          <t>species</t>
        </is>
      </c>
      <c r="E208" t="inlineStr">
        <is>
          <t>Trubanaman virus</t>
        </is>
      </c>
      <c r="G208" t="inlineStr">
        <is>
          <t>Abolished,</t>
        </is>
      </c>
      <c r="L208" s="8">
        <f>HYPERLINK("https://test.ictv.global/id/TN19810407","TN19810407@TEST")</f>
        <v/>
      </c>
      <c r="M208" s="8">
        <f>HYPERLINK("https://test.ictv.global/id/ICTV19790314","ICTV19790314@TEST")</f>
        <v/>
      </c>
      <c r="N208" s="8">
        <f>HYPERLINK("https://ictv.global/id/TN19810407","TN19810407@prod")</f>
        <v/>
      </c>
      <c r="O208" s="8">
        <f>HYPERLINK("https://ictv.global/id/ICTV19790314","ICTV19790314@prod")</f>
        <v/>
      </c>
    </row>
    <row r="209">
      <c r="A209" t="n">
        <v>7</v>
      </c>
      <c r="B209" t="n">
        <v>19810410</v>
      </c>
      <c r="C209" t="n">
        <v>19790319</v>
      </c>
      <c r="D209" t="inlineStr">
        <is>
          <t>species</t>
        </is>
      </c>
      <c r="E209" t="inlineStr">
        <is>
          <t>Witwatersrand virus</t>
        </is>
      </c>
      <c r="G209" t="inlineStr">
        <is>
          <t>Abolished,</t>
        </is>
      </c>
      <c r="L209" s="8">
        <f>HYPERLINK("https://test.ictv.global/id/TN19810410","TN19810410@TEST")</f>
        <v/>
      </c>
      <c r="M209" s="8">
        <f>HYPERLINK("https://test.ictv.global/id/ICTV19790319","ICTV19790319@TEST")</f>
        <v/>
      </c>
      <c r="N209" s="8">
        <f>HYPERLINK("https://ictv.global/id/TN19810410","TN19810410@prod")</f>
        <v/>
      </c>
      <c r="O209" s="8">
        <f>HYPERLINK("https://ictv.global/id/ICTV19790319","ICTV19790319@prod")</f>
        <v/>
      </c>
    </row>
    <row r="210">
      <c r="A210" t="n">
        <v>7</v>
      </c>
      <c r="B210" t="n">
        <v>19810451</v>
      </c>
      <c r="C210" t="n">
        <v>19760249</v>
      </c>
      <c r="D210" t="inlineStr">
        <is>
          <t>species</t>
        </is>
      </c>
      <c r="E210" t="inlineStr">
        <is>
          <t>Chironomus plumosus virus</t>
        </is>
      </c>
      <c r="G210" t="inlineStr">
        <is>
          <t>Abolished,</t>
        </is>
      </c>
      <c r="L210" s="8">
        <f>HYPERLINK("https://test.ictv.global/id/TN19810451","TN19810451@TEST")</f>
        <v/>
      </c>
      <c r="M210" s="8">
        <f>HYPERLINK("https://test.ictv.global/id/ICTV19760249","ICTV19760249@TEST")</f>
        <v/>
      </c>
      <c r="N210" s="8">
        <f>HYPERLINK("https://ictv.global/id/TN19810451","TN19810451@prod")</f>
        <v/>
      </c>
      <c r="O210" s="8">
        <f>HYPERLINK("https://ictv.global/id/ICTV19760249","ICTV19760249@prod")</f>
        <v/>
      </c>
    </row>
    <row r="211">
      <c r="A211" t="n">
        <v>7</v>
      </c>
      <c r="B211" t="n">
        <v>19810468</v>
      </c>
      <c r="C211" t="n">
        <v>19790365</v>
      </c>
      <c r="D211" t="inlineStr">
        <is>
          <t>species</t>
        </is>
      </c>
      <c r="E211" t="inlineStr">
        <is>
          <t>Iridescent virus 30</t>
        </is>
      </c>
      <c r="G211" t="inlineStr">
        <is>
          <t>Abolished,</t>
        </is>
      </c>
      <c r="L211" s="8">
        <f>HYPERLINK("https://test.ictv.global/id/TN19810468","TN19810468@TEST")</f>
        <v/>
      </c>
      <c r="M211" s="8">
        <f>HYPERLINK("https://test.ictv.global/id/ICTV19790365","ICTV19790365@TEST")</f>
        <v/>
      </c>
      <c r="N211" s="8">
        <f>HYPERLINK("https://ictv.global/id/TN19810468","TN19810468@prod")</f>
        <v/>
      </c>
      <c r="O211" s="8">
        <f>HYPERLINK("https://ictv.global/id/ICTV19790365","ICTV19790365@prod")</f>
        <v/>
      </c>
    </row>
    <row r="212">
      <c r="A212" t="n">
        <v>7</v>
      </c>
      <c r="B212" t="n">
        <v>19810471</v>
      </c>
      <c r="C212" t="n">
        <v>19760255</v>
      </c>
      <c r="D212" t="inlineStr">
        <is>
          <t>species</t>
        </is>
      </c>
      <c r="E212" t="inlineStr">
        <is>
          <t>Octopus vulgaris disease virus</t>
        </is>
      </c>
      <c r="G212" t="inlineStr">
        <is>
          <t>Abolished,</t>
        </is>
      </c>
      <c r="L212" s="8">
        <f>HYPERLINK("https://test.ictv.global/id/TN19810471","TN19810471@TEST")</f>
        <v/>
      </c>
      <c r="M212" s="8">
        <f>HYPERLINK("https://test.ictv.global/id/ICTV19760255","ICTV19760255@TEST")</f>
        <v/>
      </c>
      <c r="N212" s="8">
        <f>HYPERLINK("https://ictv.global/id/TN19810471","TN19810471@prod")</f>
        <v/>
      </c>
      <c r="O212" s="8">
        <f>HYPERLINK("https://ictv.global/id/ICTV19760255","ICTV19760255@prod")</f>
        <v/>
      </c>
    </row>
    <row r="213">
      <c r="A213" t="n">
        <v>7</v>
      </c>
      <c r="B213" t="n">
        <v>19810913</v>
      </c>
      <c r="C213" t="n">
        <v>19790783</v>
      </c>
      <c r="D213" t="inlineStr">
        <is>
          <t>species</t>
        </is>
      </c>
      <c r="E213" t="inlineStr">
        <is>
          <t>Abadina virus</t>
        </is>
      </c>
      <c r="G213" t="inlineStr">
        <is>
          <t>Abolished,</t>
        </is>
      </c>
      <c r="L213" s="8">
        <f>HYPERLINK("https://test.ictv.global/id/TN19810913","TN19810913@TEST")</f>
        <v/>
      </c>
      <c r="M213" s="8">
        <f>HYPERLINK("https://test.ictv.global/id/ICTV19790783","ICTV19790783@TEST")</f>
        <v/>
      </c>
      <c r="N213" s="8">
        <f>HYPERLINK("https://ictv.global/id/TN19810913","TN19810913@prod")</f>
        <v/>
      </c>
      <c r="O213" s="8">
        <f>HYPERLINK("https://ictv.global/id/ICTV19790783","ICTV19790783@prod")</f>
        <v/>
      </c>
    </row>
    <row r="214">
      <c r="A214" t="n">
        <v>7</v>
      </c>
      <c r="B214" t="n">
        <v>19810915</v>
      </c>
      <c r="C214" t="n">
        <v>19790785</v>
      </c>
      <c r="D214" t="inlineStr">
        <is>
          <t>species</t>
        </is>
      </c>
      <c r="E214" t="inlineStr">
        <is>
          <t>Aus MK 6357 virus</t>
        </is>
      </c>
      <c r="G214" t="inlineStr">
        <is>
          <t>Abolished,</t>
        </is>
      </c>
      <c r="L214" s="8">
        <f>HYPERLINK("https://test.ictv.global/id/TN19810915","TN19810915@TEST")</f>
        <v/>
      </c>
      <c r="M214" s="8">
        <f>HYPERLINK("https://test.ictv.global/id/ICTV19790785","ICTV19790785@TEST")</f>
        <v/>
      </c>
      <c r="N214" s="8">
        <f>HYPERLINK("https://ictv.global/id/TN19810915","TN19810915@prod")</f>
        <v/>
      </c>
      <c r="O214" s="8">
        <f>HYPERLINK("https://ictv.global/id/ICTV19790785","ICTV19790785@prod")</f>
        <v/>
      </c>
    </row>
    <row r="215">
      <c r="A215" t="n">
        <v>7</v>
      </c>
      <c r="B215" t="n">
        <v>19810925</v>
      </c>
      <c r="C215" t="n">
        <v>19790795</v>
      </c>
      <c r="D215" t="inlineStr">
        <is>
          <t>species</t>
        </is>
      </c>
      <c r="E215" t="inlineStr">
        <is>
          <t>SUA T5-0616 virus</t>
        </is>
      </c>
      <c r="G215" t="inlineStr">
        <is>
          <t>Abolished,</t>
        </is>
      </c>
      <c r="L215" s="8">
        <f>HYPERLINK("https://test.ictv.global/id/TN19810925","TN19810925@TEST")</f>
        <v/>
      </c>
      <c r="M215" s="8">
        <f>HYPERLINK("https://test.ictv.global/id/ICTV19790795","ICTV19790795@TEST")</f>
        <v/>
      </c>
      <c r="N215" s="8">
        <f>HYPERLINK("https://ictv.global/id/TN19810925","TN19810925@prod")</f>
        <v/>
      </c>
      <c r="O215" s="8">
        <f>HYPERLINK("https://ictv.global/id/ICTV19790795","ICTV19790795@prod")</f>
        <v/>
      </c>
    </row>
    <row r="216">
      <c r="A216" t="n">
        <v>7</v>
      </c>
      <c r="B216" t="n">
        <v>19810926</v>
      </c>
      <c r="C216" t="n">
        <v>19790796</v>
      </c>
      <c r="D216" t="inlineStr">
        <is>
          <t>species</t>
        </is>
      </c>
      <c r="E216" t="inlineStr">
        <is>
          <t>USA 69V2161 virus</t>
        </is>
      </c>
      <c r="G216" t="inlineStr">
        <is>
          <t>Abolished,</t>
        </is>
      </c>
      <c r="L216" s="8">
        <f>HYPERLINK("https://test.ictv.global/id/TN19810926","TN19810926@TEST")</f>
        <v/>
      </c>
      <c r="M216" s="8">
        <f>HYPERLINK("https://test.ictv.global/id/ICTV19790796","ICTV19790796@TEST")</f>
        <v/>
      </c>
      <c r="N216" s="8">
        <f>HYPERLINK("https://ictv.global/id/TN19810926","TN19810926@prod")</f>
        <v/>
      </c>
      <c r="O216" s="8">
        <f>HYPERLINK("https://ictv.global/id/ICTV19790796","ICTV19790796@prod")</f>
        <v/>
      </c>
    </row>
    <row r="217">
      <c r="A217" t="n">
        <v>7</v>
      </c>
      <c r="B217" t="n">
        <v>19810929</v>
      </c>
      <c r="C217" t="n">
        <v>19790799</v>
      </c>
      <c r="D217" t="inlineStr">
        <is>
          <t>species</t>
        </is>
      </c>
      <c r="E217" t="inlineStr">
        <is>
          <t>X (from bovine serum) virus</t>
        </is>
      </c>
      <c r="G217" t="inlineStr">
        <is>
          <t>Abolished,</t>
        </is>
      </c>
      <c r="L217" s="8">
        <f>HYPERLINK("https://test.ictv.global/id/TN19810929","TN19810929@TEST")</f>
        <v/>
      </c>
      <c r="M217" s="8">
        <f>HYPERLINK("https://test.ictv.global/id/ICTV19790799","ICTV19790799@TEST")</f>
        <v/>
      </c>
      <c r="N217" s="8">
        <f>HYPERLINK("https://ictv.global/id/TN19810929","TN19810929@prod")</f>
        <v/>
      </c>
      <c r="O217" s="8">
        <f>HYPERLINK("https://ictv.global/id/ICTV19790799","ICTV19790799@prod")</f>
        <v/>
      </c>
    </row>
    <row r="218">
      <c r="A218" t="n">
        <v>7</v>
      </c>
      <c r="B218" t="n">
        <v>19810949</v>
      </c>
      <c r="C218" t="n">
        <v>19760532</v>
      </c>
      <c r="D218" t="inlineStr">
        <is>
          <t>species</t>
        </is>
      </c>
      <c r="E218" t="inlineStr">
        <is>
          <t>Feline endogenous type C oncovirus</t>
        </is>
      </c>
      <c r="G218" t="inlineStr">
        <is>
          <t>Abolished,</t>
        </is>
      </c>
      <c r="L218" s="8">
        <f>HYPERLINK("https://test.ictv.global/id/TN19810949","TN19810949@TEST")</f>
        <v/>
      </c>
      <c r="M218" s="8">
        <f>HYPERLINK("https://test.ictv.global/id/ICTV19760532","ICTV19760532@TEST")</f>
        <v/>
      </c>
      <c r="N218" s="8">
        <f>HYPERLINK("https://ictv.global/id/TN19810949","TN19810949@prod")</f>
        <v/>
      </c>
      <c r="O218" s="8">
        <f>HYPERLINK("https://ictv.global/id/ICTV19760532","ICTV19760532@prod")</f>
        <v/>
      </c>
    </row>
    <row r="219">
      <c r="A219" t="n">
        <v>7</v>
      </c>
      <c r="B219" t="n">
        <v>19810972</v>
      </c>
      <c r="C219" t="n">
        <v>19790842</v>
      </c>
      <c r="D219" t="inlineStr">
        <is>
          <t>species</t>
        </is>
      </c>
      <c r="E219" t="inlineStr">
        <is>
          <t>Northern cereal mosaic virus</t>
        </is>
      </c>
      <c r="F219" t="inlineStr">
        <is>
          <t>AB030277</t>
        </is>
      </c>
      <c r="G219" t="inlineStr">
        <is>
          <t>Abolished,</t>
        </is>
      </c>
      <c r="L219" s="8">
        <f>HYPERLINK("https://test.ictv.global/id/TN19810972","TN19810972@TEST")</f>
        <v/>
      </c>
      <c r="M219" s="8">
        <f>HYPERLINK("https://test.ictv.global/id/ICTV19790842","ICTV19790842@TEST")</f>
        <v/>
      </c>
      <c r="N219" s="8">
        <f>HYPERLINK("https://ictv.global/id/TN19810972","TN19810972@prod")</f>
        <v/>
      </c>
      <c r="O219" s="8">
        <f>HYPERLINK("https://ictv.global/id/ICTV19790842","ICTV19790842@prod")</f>
        <v/>
      </c>
    </row>
    <row r="220">
      <c r="A220" t="n">
        <v>7</v>
      </c>
      <c r="B220" t="n">
        <v>19810977</v>
      </c>
      <c r="C220" t="n">
        <v>19760554</v>
      </c>
      <c r="D220" t="inlineStr">
        <is>
          <t>species</t>
        </is>
      </c>
      <c r="E220" t="inlineStr">
        <is>
          <t>Drosophila sigma virus</t>
        </is>
      </c>
      <c r="G220" t="inlineStr">
        <is>
          <t>Abolished,</t>
        </is>
      </c>
      <c r="L220" s="8">
        <f>HYPERLINK("https://test.ictv.global/id/TN19810977","TN19810977@TEST")</f>
        <v/>
      </c>
      <c r="M220" s="8">
        <f>HYPERLINK("https://test.ictv.global/id/ICTV19760554","ICTV19760554@TEST")</f>
        <v/>
      </c>
      <c r="N220" s="8">
        <f>HYPERLINK("https://ictv.global/id/TN19810977","TN19810977@prod")</f>
        <v/>
      </c>
      <c r="O220" s="8">
        <f>HYPERLINK("https://ictv.global/id/ICTV19760554","ICTV19760554@prod")</f>
        <v/>
      </c>
    </row>
    <row r="221">
      <c r="A221" t="n">
        <v>7</v>
      </c>
      <c r="B221" t="n">
        <v>19811080</v>
      </c>
      <c r="C221" t="n">
        <v>19790953</v>
      </c>
      <c r="D221" t="inlineStr">
        <is>
          <t>species</t>
        </is>
      </c>
      <c r="E221" t="inlineStr">
        <is>
          <t>Alfalfa latent virus</t>
        </is>
      </c>
      <c r="G221" t="inlineStr">
        <is>
          <t>Merged,</t>
        </is>
      </c>
      <c r="H221" t="inlineStr">
        <is>
          <t>Pea streak virus</t>
        </is>
      </c>
      <c r="I221" t="inlineStr">
        <is>
          <t>species</t>
        </is>
      </c>
      <c r="J221" t="n">
        <v>19821162</v>
      </c>
      <c r="K221" t="n">
        <v>19821162</v>
      </c>
      <c r="L221" s="8">
        <f>HYPERLINK("https://test.ictv.global/id/TN19811080","TN19811080@TEST")</f>
        <v/>
      </c>
      <c r="M221" s="8">
        <f>HYPERLINK("https://test.ictv.global/id/ICTV19790953","ICTV19790953@TEST")</f>
        <v/>
      </c>
      <c r="N221" s="8">
        <f>HYPERLINK("https://ictv.global/id/TN19811080","TN19811080@prod")</f>
        <v/>
      </c>
      <c r="O221" s="8">
        <f>HYPERLINK("https://ictv.global/id/ICTV19790953","ICTV19790953@prod")</f>
        <v/>
      </c>
    </row>
    <row r="222">
      <c r="A222" t="n">
        <v>7</v>
      </c>
      <c r="B222" t="n">
        <v>19811085</v>
      </c>
      <c r="C222" t="n">
        <v>19790958</v>
      </c>
      <c r="D222" t="inlineStr">
        <is>
          <t>species</t>
        </is>
      </c>
      <c r="E222" t="inlineStr">
        <is>
          <t>Eggplant mild mottle virus</t>
        </is>
      </c>
      <c r="G222" t="inlineStr">
        <is>
          <t>Abolished,</t>
        </is>
      </c>
      <c r="L222" s="8">
        <f>HYPERLINK("https://test.ictv.global/id/TN19811085","TN19811085@TEST")</f>
        <v/>
      </c>
      <c r="M222" s="8">
        <f>HYPERLINK("https://test.ictv.global/id/ICTV19790958","ICTV19790958@TEST")</f>
        <v/>
      </c>
      <c r="N222" s="8">
        <f>HYPERLINK("https://ictv.global/id/TN19811085","TN19811085@prod")</f>
        <v/>
      </c>
      <c r="O222" s="8">
        <f>HYPERLINK("https://ictv.global/id/ICTV19790958","ICTV19790958@prod")</f>
        <v/>
      </c>
    </row>
    <row r="223">
      <c r="A223" t="n">
        <v>7</v>
      </c>
      <c r="B223" t="n">
        <v>19811090</v>
      </c>
      <c r="C223" t="n">
        <v>19821162</v>
      </c>
      <c r="D223" t="inlineStr">
        <is>
          <t>species</t>
        </is>
      </c>
      <c r="E223" t="inlineStr">
        <is>
          <t>Pea streak virus</t>
        </is>
      </c>
      <c r="F223" t="inlineStr">
        <is>
          <t>KP784454</t>
        </is>
      </c>
      <c r="G223" t="inlineStr">
        <is>
          <t>Merged,</t>
        </is>
      </c>
      <c r="H223" t="inlineStr">
        <is>
          <t>Pea streak virus</t>
        </is>
      </c>
      <c r="I223" t="inlineStr">
        <is>
          <t>species</t>
        </is>
      </c>
      <c r="J223" t="n">
        <v>19821162</v>
      </c>
      <c r="K223" t="n">
        <v>19821162</v>
      </c>
      <c r="L223" s="8">
        <f>HYPERLINK("https://test.ictv.global/id/TN19811090","TN19811090@TEST")</f>
        <v/>
      </c>
      <c r="M223" s="8">
        <f>HYPERLINK("https://test.ictv.global/id/ICTV19821162","ICTV19821162@TEST")</f>
        <v/>
      </c>
      <c r="N223" s="8">
        <f>HYPERLINK("https://ictv.global/id/TN19811090","TN19811090@prod")</f>
        <v/>
      </c>
      <c r="O223" s="8">
        <f>HYPERLINK("https://ictv.global/id/ICTV19821162","ICTV19821162@prod")</f>
        <v/>
      </c>
    </row>
    <row r="224">
      <c r="A224" t="n">
        <v>7</v>
      </c>
      <c r="B224" t="n">
        <v>19811111</v>
      </c>
      <c r="C224" t="n">
        <v>19760675</v>
      </c>
      <c r="D224" t="inlineStr">
        <is>
          <t>species</t>
        </is>
      </c>
      <c r="E224" t="inlineStr">
        <is>
          <t>Desmodium virus</t>
        </is>
      </c>
      <c r="G224" t="inlineStr">
        <is>
          <t>Abolished,</t>
        </is>
      </c>
      <c r="L224" s="8">
        <f>HYPERLINK("https://test.ictv.global/id/TN19811111","TN19811111@TEST")</f>
        <v/>
      </c>
      <c r="M224" s="8">
        <f>HYPERLINK("https://test.ictv.global/id/ICTV19760675","ICTV19760675@TEST")</f>
        <v/>
      </c>
      <c r="N224" s="8">
        <f>HYPERLINK("https://ictv.global/id/TN19811111","TN19811111@prod")</f>
        <v/>
      </c>
      <c r="O224" s="8">
        <f>HYPERLINK("https://ictv.global/id/ICTV19760675","ICTV19760675@prod")</f>
        <v/>
      </c>
    </row>
    <row r="225">
      <c r="A225" t="n">
        <v>7</v>
      </c>
      <c r="B225" t="n">
        <v>19811128</v>
      </c>
      <c r="C225" t="n">
        <v>19950542</v>
      </c>
      <c r="D225" t="inlineStr">
        <is>
          <t>species</t>
        </is>
      </c>
      <c r="E225" t="inlineStr">
        <is>
          <t>Apple mosaic virus</t>
        </is>
      </c>
      <c r="F225" t="inlineStr">
        <is>
          <t>RNA1: AF174584; RNA2: AF174585; RNA3: U15608</t>
        </is>
      </c>
      <c r="G225" t="inlineStr">
        <is>
          <t>Merged,</t>
        </is>
      </c>
      <c r="H225" t="inlineStr">
        <is>
          <t>Apple mosaic virus</t>
        </is>
      </c>
      <c r="I225" t="inlineStr">
        <is>
          <t>species</t>
        </is>
      </c>
      <c r="J225" t="n">
        <v>19950542</v>
      </c>
      <c r="K225" t="n">
        <v>19821214</v>
      </c>
      <c r="L225" s="8">
        <f>HYPERLINK("https://test.ictv.global/id/TN19811128","TN19811128@TEST")</f>
        <v/>
      </c>
      <c r="M225" s="8">
        <f>HYPERLINK("https://test.ictv.global/id/ICTV19950542","ICTV19950542@TEST")</f>
        <v/>
      </c>
      <c r="N225" s="8">
        <f>HYPERLINK("https://ictv.global/id/TN19811128","TN19811128@prod")</f>
        <v/>
      </c>
      <c r="O225" s="8">
        <f>HYPERLINK("https://ictv.global/id/ICTV19950542","ICTV19950542@prod")</f>
        <v/>
      </c>
    </row>
    <row r="226">
      <c r="A226" t="n">
        <v>7</v>
      </c>
      <c r="B226" t="n">
        <v>19811129</v>
      </c>
      <c r="C226" t="n">
        <v>19760689</v>
      </c>
      <c r="D226" t="inlineStr">
        <is>
          <t>species</t>
        </is>
      </c>
      <c r="E226" t="inlineStr">
        <is>
          <t>Black raspberry latent virus</t>
        </is>
      </c>
      <c r="G226" t="inlineStr">
        <is>
          <t>Merged,Assigned as Type Species,</t>
        </is>
      </c>
      <c r="H226" t="inlineStr">
        <is>
          <t>Tobacco streak virus</t>
        </is>
      </c>
      <c r="I226" t="inlineStr">
        <is>
          <t>species</t>
        </is>
      </c>
      <c r="J226" t="n">
        <v>19821223</v>
      </c>
      <c r="K226" t="n">
        <v>19821223</v>
      </c>
      <c r="L226" s="8">
        <f>HYPERLINK("https://test.ictv.global/id/TN19811129","TN19811129@TEST")</f>
        <v/>
      </c>
      <c r="M226" s="8">
        <f>HYPERLINK("https://test.ictv.global/id/ICTV19760689","ICTV19760689@TEST")</f>
        <v/>
      </c>
      <c r="N226" s="8">
        <f>HYPERLINK("https://ictv.global/id/TN19811129","TN19811129@prod")</f>
        <v/>
      </c>
      <c r="O226" s="8">
        <f>HYPERLINK("https://ictv.global/id/ICTV19760689","ICTV19760689@prod")</f>
        <v/>
      </c>
    </row>
    <row r="227">
      <c r="A227" t="n">
        <v>7</v>
      </c>
      <c r="B227" t="n">
        <v>19811130</v>
      </c>
      <c r="C227" t="n">
        <v>19760690</v>
      </c>
      <c r="D227" t="inlineStr">
        <is>
          <t>species</t>
        </is>
      </c>
      <c r="E227" t="inlineStr">
        <is>
          <t>Cherry rugose mosaic virus</t>
        </is>
      </c>
      <c r="G227" t="inlineStr">
        <is>
          <t>Merged,</t>
        </is>
      </c>
      <c r="H227" t="inlineStr">
        <is>
          <t>Prunus necrotic ringspot virus</t>
        </is>
      </c>
      <c r="I227" t="inlineStr">
        <is>
          <t>species</t>
        </is>
      </c>
      <c r="J227" t="n">
        <v>19950553</v>
      </c>
      <c r="K227" t="n">
        <v>19821221</v>
      </c>
      <c r="L227" s="8">
        <f>HYPERLINK("https://test.ictv.global/id/TN19811130","TN19811130@TEST")</f>
        <v/>
      </c>
      <c r="M227" s="8">
        <f>HYPERLINK("https://test.ictv.global/id/ICTV19760690","ICTV19760690@TEST")</f>
        <v/>
      </c>
      <c r="N227" s="8">
        <f>HYPERLINK("https://ictv.global/id/TN19811130","TN19811130@prod")</f>
        <v/>
      </c>
      <c r="O227" s="8">
        <f>HYPERLINK("https://ictv.global/id/ICTV19760690","ICTV19760690@prod")</f>
        <v/>
      </c>
    </row>
    <row r="228">
      <c r="A228" t="n">
        <v>7</v>
      </c>
      <c r="B228" t="n">
        <v>19811133</v>
      </c>
      <c r="C228" t="n">
        <v>19760693</v>
      </c>
      <c r="D228" t="inlineStr">
        <is>
          <t>species</t>
        </is>
      </c>
      <c r="E228" t="inlineStr">
        <is>
          <t>Danish plum line pattern virus</t>
        </is>
      </c>
      <c r="G228" t="inlineStr">
        <is>
          <t>Merged,</t>
        </is>
      </c>
      <c r="H228" t="inlineStr">
        <is>
          <t>Apple mosaic virus</t>
        </is>
      </c>
      <c r="I228" t="inlineStr">
        <is>
          <t>species</t>
        </is>
      </c>
      <c r="J228" t="n">
        <v>19950542</v>
      </c>
      <c r="K228" t="n">
        <v>19821214</v>
      </c>
      <c r="L228" s="8">
        <f>HYPERLINK("https://test.ictv.global/id/TN19811133","TN19811133@TEST")</f>
        <v/>
      </c>
      <c r="M228" s="8">
        <f>HYPERLINK("https://test.ictv.global/id/ICTV19760693","ICTV19760693@TEST")</f>
        <v/>
      </c>
      <c r="N228" s="8">
        <f>HYPERLINK("https://ictv.global/id/TN19811133","TN19811133@prod")</f>
        <v/>
      </c>
      <c r="O228" s="8">
        <f>HYPERLINK("https://ictv.global/id/ICTV19760693","ICTV19760693@prod")</f>
        <v/>
      </c>
    </row>
    <row r="229">
      <c r="A229" t="n">
        <v>7</v>
      </c>
      <c r="B229" t="n">
        <v>19811135</v>
      </c>
      <c r="C229" t="n">
        <v>19760695</v>
      </c>
      <c r="D229" t="inlineStr">
        <is>
          <t>species</t>
        </is>
      </c>
      <c r="E229" t="inlineStr">
        <is>
          <t>Hop virus A</t>
        </is>
      </c>
      <c r="G229" t="inlineStr">
        <is>
          <t>Merged,</t>
        </is>
      </c>
      <c r="H229" t="inlineStr">
        <is>
          <t>Apple mosaic virus</t>
        </is>
      </c>
      <c r="I229" t="inlineStr">
        <is>
          <t>species</t>
        </is>
      </c>
      <c r="J229" t="n">
        <v>19950542</v>
      </c>
      <c r="K229" t="n">
        <v>19821214</v>
      </c>
      <c r="L229" s="8">
        <f>HYPERLINK("https://test.ictv.global/id/TN19811135","TN19811135@TEST")</f>
        <v/>
      </c>
      <c r="M229" s="8">
        <f>HYPERLINK("https://test.ictv.global/id/ICTV19760695","ICTV19760695@TEST")</f>
        <v/>
      </c>
      <c r="N229" s="8">
        <f>HYPERLINK("https://ictv.global/id/TN19811135","TN19811135@prod")</f>
        <v/>
      </c>
      <c r="O229" s="8">
        <f>HYPERLINK("https://ictv.global/id/ICTV19760695","ICTV19760695@prod")</f>
        <v/>
      </c>
    </row>
    <row r="230">
      <c r="A230" t="n">
        <v>7</v>
      </c>
      <c r="B230" t="n">
        <v>19811136</v>
      </c>
      <c r="C230" t="n">
        <v>19760696</v>
      </c>
      <c r="D230" t="inlineStr">
        <is>
          <t>species</t>
        </is>
      </c>
      <c r="E230" t="inlineStr">
        <is>
          <t>Hop virus C</t>
        </is>
      </c>
      <c r="G230" t="inlineStr">
        <is>
          <t>Merged,</t>
        </is>
      </c>
      <c r="H230" t="inlineStr">
        <is>
          <t>Prunus necrotic ringspot virus</t>
        </is>
      </c>
      <c r="I230" t="inlineStr">
        <is>
          <t>species</t>
        </is>
      </c>
      <c r="J230" t="n">
        <v>19950553</v>
      </c>
      <c r="K230" t="n">
        <v>19821221</v>
      </c>
      <c r="L230" s="8">
        <f>HYPERLINK("https://test.ictv.global/id/TN19811136","TN19811136@TEST")</f>
        <v/>
      </c>
      <c r="M230" s="8">
        <f>HYPERLINK("https://test.ictv.global/id/ICTV19760696","ICTV19760696@TEST")</f>
        <v/>
      </c>
      <c r="N230" s="8">
        <f>HYPERLINK("https://ictv.global/id/TN19811136","TN19811136@prod")</f>
        <v/>
      </c>
      <c r="O230" s="8">
        <f>HYPERLINK("https://ictv.global/id/ICTV19760696","ICTV19760696@prod")</f>
        <v/>
      </c>
    </row>
    <row r="231">
      <c r="A231" t="n">
        <v>7</v>
      </c>
      <c r="B231" t="n">
        <v>19811138</v>
      </c>
      <c r="C231" t="n">
        <v>19950553</v>
      </c>
      <c r="D231" t="inlineStr">
        <is>
          <t>species</t>
        </is>
      </c>
      <c r="E231" t="inlineStr">
        <is>
          <t>Prunus necrotic ringspot virus</t>
        </is>
      </c>
      <c r="F231" t="inlineStr">
        <is>
          <t>RNA1: JN416771; RNA2: JN416772; RNA3: JN416773</t>
        </is>
      </c>
      <c r="G231" t="inlineStr">
        <is>
          <t>Merged,</t>
        </is>
      </c>
      <c r="H231" t="inlineStr">
        <is>
          <t>Prunus necrotic ringspot virus</t>
        </is>
      </c>
      <c r="I231" t="inlineStr">
        <is>
          <t>species</t>
        </is>
      </c>
      <c r="J231" t="n">
        <v>19950553</v>
      </c>
      <c r="K231" t="n">
        <v>19821221</v>
      </c>
      <c r="L231" s="8">
        <f>HYPERLINK("https://test.ictv.global/id/TN19811138","TN19811138@TEST")</f>
        <v/>
      </c>
      <c r="M231" s="8">
        <f>HYPERLINK("https://test.ictv.global/id/ICTV19950553","ICTV19950553@TEST")</f>
        <v/>
      </c>
      <c r="N231" s="8">
        <f>HYPERLINK("https://ictv.global/id/TN19811138","TN19811138@prod")</f>
        <v/>
      </c>
      <c r="O231" s="8">
        <f>HYPERLINK("https://ictv.global/id/ICTV19950553","ICTV19950553@prod")</f>
        <v/>
      </c>
    </row>
    <row r="232">
      <c r="A232" t="n">
        <v>7</v>
      </c>
      <c r="B232" t="n">
        <v>19811139</v>
      </c>
      <c r="C232" t="n">
        <v>19760698</v>
      </c>
      <c r="D232" t="inlineStr">
        <is>
          <t>species</t>
        </is>
      </c>
      <c r="E232" t="inlineStr">
        <is>
          <t>Rose mosaic virus</t>
        </is>
      </c>
      <c r="G232" t="inlineStr">
        <is>
          <t>Merged,</t>
        </is>
      </c>
      <c r="H232" t="inlineStr">
        <is>
          <t>Apple mosaic virus</t>
        </is>
      </c>
      <c r="I232" t="inlineStr">
        <is>
          <t>species</t>
        </is>
      </c>
      <c r="J232" t="n">
        <v>19950542</v>
      </c>
      <c r="K232" t="n">
        <v>19821214</v>
      </c>
      <c r="L232" s="8">
        <f>HYPERLINK("https://test.ictv.global/id/TN19811139","TN19811139@TEST")</f>
        <v/>
      </c>
      <c r="M232" s="8">
        <f>HYPERLINK("https://test.ictv.global/id/ICTV19760698","ICTV19760698@TEST")</f>
        <v/>
      </c>
      <c r="N232" s="8">
        <f>HYPERLINK("https://ictv.global/id/TN19811139","TN19811139@prod")</f>
        <v/>
      </c>
      <c r="O232" s="8">
        <f>HYPERLINK("https://ictv.global/id/ICTV19760698","ICTV19760698@prod")</f>
        <v/>
      </c>
    </row>
    <row r="233">
      <c r="A233" t="n">
        <v>7</v>
      </c>
      <c r="B233" t="n">
        <v>19811140</v>
      </c>
      <c r="C233" t="n">
        <v>19821223</v>
      </c>
      <c r="D233" t="inlineStr">
        <is>
          <t>species</t>
        </is>
      </c>
      <c r="E233" t="inlineStr">
        <is>
          <t>Tobacco streak virus</t>
        </is>
      </c>
      <c r="F233" t="inlineStr">
        <is>
          <t>RNA1: U80934; RNA2: U75538; RNA3: X00435</t>
        </is>
      </c>
      <c r="G233" t="inlineStr">
        <is>
          <t>Merged,</t>
        </is>
      </c>
      <c r="H233" t="inlineStr">
        <is>
          <t>Tobacco streak virus</t>
        </is>
      </c>
      <c r="I233" t="inlineStr">
        <is>
          <t>species</t>
        </is>
      </c>
      <c r="J233" t="n">
        <v>19821223</v>
      </c>
      <c r="K233" t="n">
        <v>19821223</v>
      </c>
      <c r="L233" s="8">
        <f>HYPERLINK("https://test.ictv.global/id/TN19811140","TN19811140@TEST")</f>
        <v/>
      </c>
      <c r="M233" s="8">
        <f>HYPERLINK("https://test.ictv.global/id/ICTV19821223","ICTV19821223@TEST")</f>
        <v/>
      </c>
      <c r="N233" s="8">
        <f>HYPERLINK("https://ictv.global/id/TN19811140","TN19811140@prod")</f>
        <v/>
      </c>
      <c r="O233" s="8">
        <f>HYPERLINK("https://ictv.global/id/ICTV19821223","ICTV19821223@prod")</f>
        <v/>
      </c>
    </row>
    <row r="234">
      <c r="A234" t="n">
        <v>7</v>
      </c>
      <c r="B234" t="n">
        <v>19811194</v>
      </c>
      <c r="C234" t="n">
        <v>19951873</v>
      </c>
      <c r="D234" t="inlineStr">
        <is>
          <t>species</t>
        </is>
      </c>
      <c r="E234" t="inlineStr">
        <is>
          <t>Clover yellow vein virus</t>
        </is>
      </c>
      <c r="F234" t="inlineStr">
        <is>
          <t>AB011819</t>
        </is>
      </c>
      <c r="G234" t="inlineStr">
        <is>
          <t>Merged,</t>
        </is>
      </c>
      <c r="H234" t="inlineStr">
        <is>
          <t>Clover yellow vein virus</t>
        </is>
      </c>
      <c r="I234" t="inlineStr">
        <is>
          <t>species</t>
        </is>
      </c>
      <c r="J234" t="n">
        <v>19951873</v>
      </c>
      <c r="K234" t="n">
        <v>19821299</v>
      </c>
      <c r="L234" s="8">
        <f>HYPERLINK("https://test.ictv.global/id/TN19811194","TN19811194@TEST")</f>
        <v/>
      </c>
      <c r="M234" s="8">
        <f>HYPERLINK("https://test.ictv.global/id/ICTV19951873","ICTV19951873@TEST")</f>
        <v/>
      </c>
      <c r="N234" s="8">
        <f>HYPERLINK("https://ictv.global/id/TN19811194","TN19811194@prod")</f>
        <v/>
      </c>
      <c r="O234" s="8">
        <f>HYPERLINK("https://ictv.global/id/ICTV19951873","ICTV19951873@prod")</f>
        <v/>
      </c>
    </row>
    <row r="235">
      <c r="A235" t="n">
        <v>7</v>
      </c>
      <c r="B235" t="n">
        <v>19811208</v>
      </c>
      <c r="C235" t="n">
        <v>19760773</v>
      </c>
      <c r="D235" t="inlineStr">
        <is>
          <t>species</t>
        </is>
      </c>
      <c r="E235" t="inlineStr">
        <is>
          <t>Pea necrosis virus</t>
        </is>
      </c>
      <c r="G235" t="inlineStr">
        <is>
          <t>Merged,</t>
        </is>
      </c>
      <c r="H235" t="inlineStr">
        <is>
          <t>Clover yellow vein virus</t>
        </is>
      </c>
      <c r="I235" t="inlineStr">
        <is>
          <t>species</t>
        </is>
      </c>
      <c r="J235" t="n">
        <v>19951873</v>
      </c>
      <c r="K235" t="n">
        <v>19821299</v>
      </c>
      <c r="L235" s="8">
        <f>HYPERLINK("https://test.ictv.global/id/TN19811208","TN19811208@TEST")</f>
        <v/>
      </c>
      <c r="M235" s="8">
        <f>HYPERLINK("https://test.ictv.global/id/ICTV19760773","ICTV19760773@TEST")</f>
        <v/>
      </c>
      <c r="N235" s="8">
        <f>HYPERLINK("https://ictv.global/id/TN19811208","TN19811208@prod")</f>
        <v/>
      </c>
      <c r="O235" s="8">
        <f>HYPERLINK("https://ictv.global/id/ICTV19760773","ICTV19760773@prod")</f>
        <v/>
      </c>
    </row>
    <row r="236">
      <c r="A236" t="n">
        <v>8</v>
      </c>
      <c r="B236" t="n">
        <v>19820149</v>
      </c>
      <c r="C236" t="n">
        <v>19820149</v>
      </c>
      <c r="D236" t="inlineStr">
        <is>
          <t>genus</t>
        </is>
      </c>
      <c r="E236" t="inlineStr">
        <is>
          <t>Gaeumannomyces graminis virus group I</t>
        </is>
      </c>
      <c r="G236" t="inlineStr">
        <is>
          <t>Merged,Moved,</t>
        </is>
      </c>
      <c r="H236" t="inlineStr">
        <is>
          <t>Partitivirus</t>
        </is>
      </c>
      <c r="I236" t="inlineStr">
        <is>
          <t>genus</t>
        </is>
      </c>
      <c r="J236" t="n">
        <v>19840118</v>
      </c>
      <c r="K236" t="n">
        <v>19840118</v>
      </c>
      <c r="L236" s="8">
        <f>HYPERLINK("https://test.ictv.global/id/TN19820149","TN19820149@TEST")</f>
        <v/>
      </c>
      <c r="M236" s="8">
        <f>HYPERLINK("https://test.ictv.global/id/ICTV19820149","ICTV19820149@TEST")</f>
        <v/>
      </c>
      <c r="N236" s="8">
        <f>HYPERLINK("https://ictv.global/id/TN19820149","TN19820149@prod")</f>
        <v/>
      </c>
      <c r="O236" s="8">
        <f>HYPERLINK("https://ictv.global/id/ICTV19820149","ICTV19820149@prod")</f>
        <v/>
      </c>
    </row>
    <row r="237">
      <c r="A237" t="n">
        <v>8</v>
      </c>
      <c r="B237" t="n">
        <v>19820150</v>
      </c>
      <c r="C237" t="n">
        <v>19820150</v>
      </c>
      <c r="D237" t="inlineStr">
        <is>
          <t>genus</t>
        </is>
      </c>
      <c r="E237" t="inlineStr">
        <is>
          <t>Gaeumannomyces graminis virus group II</t>
        </is>
      </c>
      <c r="G237" t="inlineStr">
        <is>
          <t>Merged,Moved,</t>
        </is>
      </c>
      <c r="H237" t="inlineStr">
        <is>
          <t>Partitivirus</t>
        </is>
      </c>
      <c r="I237" t="inlineStr">
        <is>
          <t>genus</t>
        </is>
      </c>
      <c r="J237" t="n">
        <v>19840118</v>
      </c>
      <c r="K237" t="n">
        <v>19840118</v>
      </c>
      <c r="L237" s="8">
        <f>HYPERLINK("https://test.ictv.global/id/TN19820150","TN19820150@TEST")</f>
        <v/>
      </c>
      <c r="M237" s="8">
        <f>HYPERLINK("https://test.ictv.global/id/ICTV19820150","ICTV19820150@TEST")</f>
        <v/>
      </c>
      <c r="N237" s="8">
        <f>HYPERLINK("https://ictv.global/id/TN19820150","TN19820150@prod")</f>
        <v/>
      </c>
      <c r="O237" s="8">
        <f>HYPERLINK("https://ictv.global/id/ICTV19820150","ICTV19820150@prod")</f>
        <v/>
      </c>
    </row>
    <row r="238">
      <c r="A238" t="n">
        <v>9</v>
      </c>
      <c r="B238" t="n">
        <v>19840169</v>
      </c>
      <c r="C238" t="n">
        <v>19780121</v>
      </c>
      <c r="D238" t="inlineStr">
        <is>
          <t>genus</t>
        </is>
      </c>
      <c r="E238" t="inlineStr">
        <is>
          <t>Geminivirus group</t>
        </is>
      </c>
      <c r="G238" t="inlineStr">
        <is>
          <t>Split,</t>
        </is>
      </c>
      <c r="H238" t="inlineStr">
        <is>
          <t>Geminivirus subgroup A</t>
        </is>
      </c>
      <c r="I238" t="inlineStr">
        <is>
          <t>genus</t>
        </is>
      </c>
      <c r="J238" t="n">
        <v>19870182</v>
      </c>
      <c r="K238" t="n">
        <v>19870182</v>
      </c>
      <c r="L238" s="8">
        <f>HYPERLINK("https://test.ictv.global/id/TN19840169","TN19840169@TEST")</f>
        <v/>
      </c>
      <c r="M238" s="8">
        <f>HYPERLINK("https://test.ictv.global/id/ICTV19780121","ICTV19780121@TEST")</f>
        <v/>
      </c>
      <c r="N238" s="8">
        <f>HYPERLINK("https://ictv.global/id/TN19840169","TN19840169@prod")</f>
        <v/>
      </c>
      <c r="O238" s="8">
        <f>HYPERLINK("https://ictv.global/id/ICTV19780121","ICTV19780121@prod")</f>
        <v/>
      </c>
    </row>
    <row r="239">
      <c r="A239" t="n">
        <v>9</v>
      </c>
      <c r="B239" t="n">
        <v>19840169</v>
      </c>
      <c r="C239" t="n">
        <v>19780121</v>
      </c>
      <c r="D239" t="inlineStr">
        <is>
          <t>genus</t>
        </is>
      </c>
      <c r="E239" t="inlineStr">
        <is>
          <t>Geminivirus group</t>
        </is>
      </c>
      <c r="G239" t="inlineStr">
        <is>
          <t>Split,</t>
        </is>
      </c>
      <c r="H239" t="inlineStr">
        <is>
          <t>Geminivirus subgroup B</t>
        </is>
      </c>
      <c r="I239" t="inlineStr">
        <is>
          <t>genus</t>
        </is>
      </c>
      <c r="J239" t="n">
        <v>19870183</v>
      </c>
      <c r="K239" t="n">
        <v>19870183</v>
      </c>
      <c r="L239" s="8">
        <f>HYPERLINK("https://test.ictv.global/id/TN19840169","TN19840169@TEST")</f>
        <v/>
      </c>
      <c r="M239" s="8">
        <f>HYPERLINK("https://test.ictv.global/id/ICTV19780121","ICTV19780121@TEST")</f>
        <v/>
      </c>
      <c r="N239" s="8">
        <f>HYPERLINK("https://ictv.global/id/TN19840169","TN19840169@prod")</f>
        <v/>
      </c>
      <c r="O239" s="8">
        <f>HYPERLINK("https://ictv.global/id/ICTV19780121","ICTV19780121@prod")</f>
        <v/>
      </c>
    </row>
    <row r="240">
      <c r="A240" t="n">
        <v>10</v>
      </c>
      <c r="B240" t="n">
        <v>19870072</v>
      </c>
      <c r="C240" t="n">
        <v>19760034</v>
      </c>
      <c r="D240" t="inlineStr">
        <is>
          <t>subfamily</t>
        </is>
      </c>
      <c r="E240" t="inlineStr">
        <is>
          <t>Lentivirinae</t>
        </is>
      </c>
      <c r="G240" t="inlineStr">
        <is>
          <t>Abolished,</t>
        </is>
      </c>
      <c r="L240" s="8">
        <f>HYPERLINK("https://test.ictv.global/id/TN19870072","TN19870072@TEST")</f>
        <v/>
      </c>
      <c r="M240" s="8">
        <f>HYPERLINK("https://test.ictv.global/id/ICTV19760034","ICTV19760034@TEST")</f>
        <v/>
      </c>
      <c r="N240" s="8">
        <f>HYPERLINK("https://ictv.global/id/TN19870072","TN19870072@prod")</f>
        <v/>
      </c>
      <c r="O240" s="8">
        <f>HYPERLINK("https://ictv.global/id/ICTV19760034","ICTV19760034@prod")</f>
        <v/>
      </c>
    </row>
    <row r="241">
      <c r="A241" t="n">
        <v>10</v>
      </c>
      <c r="B241" t="n">
        <v>19870073</v>
      </c>
      <c r="C241" t="n">
        <v>19750034</v>
      </c>
      <c r="D241" t="inlineStr">
        <is>
          <t>subfamily</t>
        </is>
      </c>
      <c r="E241" t="inlineStr">
        <is>
          <t>Oncovirinae</t>
        </is>
      </c>
      <c r="G241" t="inlineStr">
        <is>
          <t>Abolished,</t>
        </is>
      </c>
      <c r="L241" s="8">
        <f>HYPERLINK("https://test.ictv.global/id/TN19870073","TN19870073@TEST")</f>
        <v/>
      </c>
      <c r="M241" s="8">
        <f>HYPERLINK("https://test.ictv.global/id/ICTV19750034","ICTV19750034@TEST")</f>
        <v/>
      </c>
      <c r="N241" s="8">
        <f>HYPERLINK("https://ictv.global/id/TN19870073","TN19870073@prod")</f>
        <v/>
      </c>
      <c r="O241" s="8">
        <f>HYPERLINK("https://ictv.global/id/ICTV19750034","ICTV19750034@prod")</f>
        <v/>
      </c>
    </row>
    <row r="242">
      <c r="A242" t="n">
        <v>10</v>
      </c>
      <c r="B242" t="n">
        <v>19870074</v>
      </c>
      <c r="C242" t="n">
        <v>19760036</v>
      </c>
      <c r="D242" t="inlineStr">
        <is>
          <t>subfamily</t>
        </is>
      </c>
      <c r="E242" t="inlineStr">
        <is>
          <t>Spumavirinae</t>
        </is>
      </c>
      <c r="G242" t="inlineStr">
        <is>
          <t>Abolished,</t>
        </is>
      </c>
      <c r="L242" s="8">
        <f>HYPERLINK("https://test.ictv.global/id/TN19870074","TN19870074@TEST")</f>
        <v/>
      </c>
      <c r="M242" s="8">
        <f>HYPERLINK("https://test.ictv.global/id/ICTV19760036","ICTV19760036@TEST")</f>
        <v/>
      </c>
      <c r="N242" s="8">
        <f>HYPERLINK("https://ictv.global/id/TN19870074","TN19870074@prod")</f>
        <v/>
      </c>
      <c r="O242" s="8">
        <f>HYPERLINK("https://ictv.global/id/ICTV19760036","ICTV19760036@prod")</f>
        <v/>
      </c>
    </row>
    <row r="243">
      <c r="A243" t="n">
        <v>10</v>
      </c>
      <c r="B243" t="n">
        <v>19870086</v>
      </c>
      <c r="C243" t="n">
        <v>19710018</v>
      </c>
      <c r="D243" t="inlineStr">
        <is>
          <t>genus</t>
        </is>
      </c>
      <c r="E243" t="inlineStr">
        <is>
          <t>Baculovirus</t>
        </is>
      </c>
      <c r="G243" t="inlineStr">
        <is>
          <t>Split,Moved,</t>
        </is>
      </c>
      <c r="H243" t="inlineStr">
        <is>
          <t>Granulosis viruses</t>
        </is>
      </c>
      <c r="I243" t="inlineStr">
        <is>
          <t>genus</t>
        </is>
      </c>
      <c r="J243" t="n">
        <v>19900100</v>
      </c>
      <c r="K243" t="n">
        <v>19900100</v>
      </c>
      <c r="L243" s="8">
        <f>HYPERLINK("https://test.ictv.global/id/TN19870086","TN19870086@TEST")</f>
        <v/>
      </c>
      <c r="M243" s="8">
        <f>HYPERLINK("https://test.ictv.global/id/ICTV19710018","ICTV19710018@TEST")</f>
        <v/>
      </c>
      <c r="N243" s="8">
        <f>HYPERLINK("https://ictv.global/id/TN19870086","TN19870086@prod")</f>
        <v/>
      </c>
      <c r="O243" s="8">
        <f>HYPERLINK("https://ictv.global/id/ICTV19710018","ICTV19710018@prod")</f>
        <v/>
      </c>
    </row>
    <row r="244">
      <c r="A244" t="n">
        <v>10</v>
      </c>
      <c r="B244" t="n">
        <v>19870086</v>
      </c>
      <c r="C244" t="n">
        <v>19710018</v>
      </c>
      <c r="D244" t="inlineStr">
        <is>
          <t>genus</t>
        </is>
      </c>
      <c r="E244" t="inlineStr">
        <is>
          <t>Baculovirus</t>
        </is>
      </c>
      <c r="G244" t="inlineStr">
        <is>
          <t>Split,Moved,</t>
        </is>
      </c>
      <c r="H244" t="inlineStr">
        <is>
          <t>Nuclear polyhedrosis viruses MNPV subgenus</t>
        </is>
      </c>
      <c r="I244" t="inlineStr">
        <is>
          <t>genus</t>
        </is>
      </c>
      <c r="J244" t="n">
        <v>19900101</v>
      </c>
      <c r="K244" t="n">
        <v>19900101</v>
      </c>
      <c r="L244" s="8">
        <f>HYPERLINK("https://test.ictv.global/id/TN19870086","TN19870086@TEST")</f>
        <v/>
      </c>
      <c r="M244" s="8">
        <f>HYPERLINK("https://test.ictv.global/id/ICTV19710018","ICTV19710018@TEST")</f>
        <v/>
      </c>
      <c r="N244" s="8">
        <f>HYPERLINK("https://ictv.global/id/TN19870086","TN19870086@prod")</f>
        <v/>
      </c>
      <c r="O244" s="8">
        <f>HYPERLINK("https://ictv.global/id/ICTV19710018","ICTV19710018@prod")</f>
        <v/>
      </c>
    </row>
    <row r="245">
      <c r="A245" t="n">
        <v>10</v>
      </c>
      <c r="B245" t="n">
        <v>19870086</v>
      </c>
      <c r="C245" t="n">
        <v>19710018</v>
      </c>
      <c r="D245" t="inlineStr">
        <is>
          <t>genus</t>
        </is>
      </c>
      <c r="E245" t="inlineStr">
        <is>
          <t>Baculovirus</t>
        </is>
      </c>
      <c r="G245" t="inlineStr">
        <is>
          <t>Split,Moved,</t>
        </is>
      </c>
      <c r="H245" t="inlineStr">
        <is>
          <t>Nuclear polyhedrosis viruses SNPV subgenus</t>
        </is>
      </c>
      <c r="I245" t="inlineStr">
        <is>
          <t>genus</t>
        </is>
      </c>
      <c r="J245" t="n">
        <v>19900102</v>
      </c>
      <c r="K245" t="n">
        <v>19900102</v>
      </c>
      <c r="L245" s="8">
        <f>HYPERLINK("https://test.ictv.global/id/TN19870086","TN19870086@TEST")</f>
        <v/>
      </c>
      <c r="M245" s="8">
        <f>HYPERLINK("https://test.ictv.global/id/ICTV19710018","ICTV19710018@TEST")</f>
        <v/>
      </c>
      <c r="N245" s="8">
        <f>HYPERLINK("https://ictv.global/id/TN19870086","TN19870086@prod")</f>
        <v/>
      </c>
      <c r="O245" s="8">
        <f>HYPERLINK("https://ictv.global/id/ICTV19710018","ICTV19710018@prod")</f>
        <v/>
      </c>
    </row>
    <row r="246">
      <c r="A246" t="n">
        <v>10</v>
      </c>
      <c r="B246" t="n">
        <v>19870086</v>
      </c>
      <c r="C246" t="n">
        <v>19710018</v>
      </c>
      <c r="D246" t="inlineStr">
        <is>
          <t>genus</t>
        </is>
      </c>
      <c r="E246" t="inlineStr">
        <is>
          <t>Baculovirus</t>
        </is>
      </c>
      <c r="G246" t="inlineStr">
        <is>
          <t>Split,Moved,</t>
        </is>
      </c>
      <c r="H246" t="inlineStr">
        <is>
          <t>Non-occluded baculoviruses</t>
        </is>
      </c>
      <c r="I246" t="inlineStr">
        <is>
          <t>genus</t>
        </is>
      </c>
      <c r="J246" t="n">
        <v>19900103</v>
      </c>
      <c r="K246" t="n">
        <v>19900103</v>
      </c>
      <c r="L246" s="8">
        <f>HYPERLINK("https://test.ictv.global/id/TN19870086","TN19870086@TEST")</f>
        <v/>
      </c>
      <c r="M246" s="8">
        <f>HYPERLINK("https://test.ictv.global/id/ICTV19710018","ICTV19710018@TEST")</f>
        <v/>
      </c>
      <c r="N246" s="8">
        <f>HYPERLINK("https://ictv.global/id/TN19870086","TN19870086@prod")</f>
        <v/>
      </c>
      <c r="O246" s="8">
        <f>HYPERLINK("https://ictv.global/id/ICTV19710018","ICTV19710018@prod")</f>
        <v/>
      </c>
    </row>
    <row r="247">
      <c r="A247" t="n">
        <v>10</v>
      </c>
      <c r="B247" t="n">
        <v>19870134</v>
      </c>
      <c r="C247" t="n">
        <v>19840129</v>
      </c>
      <c r="D247" t="inlineStr">
        <is>
          <t>genus</t>
        </is>
      </c>
      <c r="E247" t="inlineStr">
        <is>
          <t>Polydnavirus</t>
        </is>
      </c>
      <c r="G247" t="inlineStr">
        <is>
          <t>Split,</t>
        </is>
      </c>
      <c r="H247" t="inlineStr">
        <is>
          <t>Bracovirus</t>
        </is>
      </c>
      <c r="I247" t="inlineStr">
        <is>
          <t>genus</t>
        </is>
      </c>
      <c r="J247" t="n">
        <v>19900153</v>
      </c>
      <c r="K247" t="n">
        <v>19900153</v>
      </c>
      <c r="L247" s="8">
        <f>HYPERLINK("https://test.ictv.global/id/TN19870134","TN19870134@TEST")</f>
        <v/>
      </c>
      <c r="M247" s="8">
        <f>HYPERLINK("https://test.ictv.global/id/ICTV19840129","ICTV19840129@TEST")</f>
        <v/>
      </c>
      <c r="N247" s="8">
        <f>HYPERLINK("https://ictv.global/id/TN19870134","TN19870134@prod")</f>
        <v/>
      </c>
      <c r="O247" s="8">
        <f>HYPERLINK("https://ictv.global/id/ICTV19840129","ICTV19840129@prod")</f>
        <v/>
      </c>
    </row>
    <row r="248">
      <c r="A248" t="n">
        <v>10</v>
      </c>
      <c r="B248" t="n">
        <v>19870134</v>
      </c>
      <c r="C248" t="n">
        <v>19840129</v>
      </c>
      <c r="D248" t="inlineStr">
        <is>
          <t>genus</t>
        </is>
      </c>
      <c r="E248" t="inlineStr">
        <is>
          <t>Polydnavirus</t>
        </is>
      </c>
      <c r="G248" t="inlineStr">
        <is>
          <t>Split,</t>
        </is>
      </c>
      <c r="H248" t="inlineStr">
        <is>
          <t>Ichnovirus</t>
        </is>
      </c>
      <c r="I248" t="inlineStr">
        <is>
          <t>genus</t>
        </is>
      </c>
      <c r="J248" t="n">
        <v>19900154</v>
      </c>
      <c r="K248" t="n">
        <v>19900154</v>
      </c>
      <c r="L248" s="8">
        <f>HYPERLINK("https://test.ictv.global/id/TN19870134","TN19870134@TEST")</f>
        <v/>
      </c>
      <c r="M248" s="8">
        <f>HYPERLINK("https://test.ictv.global/id/ICTV19840129","ICTV19840129@TEST")</f>
        <v/>
      </c>
      <c r="N248" s="8">
        <f>HYPERLINK("https://ictv.global/id/TN19870134","TN19870134@prod")</f>
        <v/>
      </c>
      <c r="O248" s="8">
        <f>HYPERLINK("https://ictv.global/id/ICTV19840129","ICTV19840129@prod")</f>
        <v/>
      </c>
    </row>
    <row r="249">
      <c r="A249" t="n">
        <v>10</v>
      </c>
      <c r="B249" t="n">
        <v>19870151</v>
      </c>
      <c r="C249" t="n">
        <v>19750069</v>
      </c>
      <c r="D249" t="inlineStr">
        <is>
          <t>genus</t>
        </is>
      </c>
      <c r="E249" t="inlineStr">
        <is>
          <t>Type C oncovirus group</t>
        </is>
      </c>
      <c r="G249" t="inlineStr">
        <is>
          <t>Split,Moved,</t>
        </is>
      </c>
      <c r="H249" t="inlineStr">
        <is>
          <t>Avian retrovirus group</t>
        </is>
      </c>
      <c r="I249" t="inlineStr">
        <is>
          <t>genus</t>
        </is>
      </c>
      <c r="J249" t="n">
        <v>19900173</v>
      </c>
      <c r="K249" t="n">
        <v>19900173</v>
      </c>
      <c r="L249" s="8">
        <f>HYPERLINK("https://test.ictv.global/id/TN19870151","TN19870151@TEST")</f>
        <v/>
      </c>
      <c r="M249" s="8">
        <f>HYPERLINK("https://test.ictv.global/id/ICTV19750069","ICTV19750069@TEST")</f>
        <v/>
      </c>
      <c r="N249" s="8">
        <f>HYPERLINK("https://ictv.global/id/TN19870151","TN19870151@prod")</f>
        <v/>
      </c>
      <c r="O249" s="8">
        <f>HYPERLINK("https://ictv.global/id/ICTV19750069","ICTV19750069@prod")</f>
        <v/>
      </c>
    </row>
    <row r="250">
      <c r="A250" t="n">
        <v>10</v>
      </c>
      <c r="B250" t="n">
        <v>19870151</v>
      </c>
      <c r="C250" t="n">
        <v>19750069</v>
      </c>
      <c r="D250" t="inlineStr">
        <is>
          <t>genus</t>
        </is>
      </c>
      <c r="E250" t="inlineStr">
        <is>
          <t>Type C oncovirus group</t>
        </is>
      </c>
      <c r="G250" t="inlineStr">
        <is>
          <t>Split,Moved,</t>
        </is>
      </c>
      <c r="H250" t="inlineStr">
        <is>
          <t>Mammalian type C retrovirus group</t>
        </is>
      </c>
      <c r="I250" t="inlineStr">
        <is>
          <t>genus</t>
        </is>
      </c>
      <c r="J250" t="n">
        <v>19900176</v>
      </c>
      <c r="K250" t="n">
        <v>19900176</v>
      </c>
      <c r="L250" s="8">
        <f>HYPERLINK("https://test.ictv.global/id/TN19870151","TN19870151@TEST")</f>
        <v/>
      </c>
      <c r="M250" s="8">
        <f>HYPERLINK("https://test.ictv.global/id/ICTV19750069","ICTV19750069@TEST")</f>
        <v/>
      </c>
      <c r="N250" s="8">
        <f>HYPERLINK("https://ictv.global/id/TN19870151","TN19870151@prod")</f>
        <v/>
      </c>
      <c r="O250" s="8">
        <f>HYPERLINK("https://ictv.global/id/ICTV19750069","ICTV19750069@prod")</f>
        <v/>
      </c>
    </row>
    <row r="251">
      <c r="A251" t="n">
        <v>10</v>
      </c>
      <c r="B251" t="n">
        <v>19871000</v>
      </c>
      <c r="C251" t="n">
        <v>19840978</v>
      </c>
      <c r="D251" t="inlineStr">
        <is>
          <t>species</t>
        </is>
      </c>
      <c r="E251" t="inlineStr">
        <is>
          <t>Polydnavirus type 1</t>
        </is>
      </c>
      <c r="G251" t="inlineStr">
        <is>
          <t>Abolished,</t>
        </is>
      </c>
      <c r="L251" s="8">
        <f>HYPERLINK("https://test.ictv.global/id/TN19871000","TN19871000@TEST")</f>
        <v/>
      </c>
      <c r="M251" s="8">
        <f>HYPERLINK("https://test.ictv.global/id/ICTV19840978","ICTV19840978@TEST")</f>
        <v/>
      </c>
      <c r="N251" s="8">
        <f>HYPERLINK("https://ictv.global/id/TN19871000","TN19871000@prod")</f>
        <v/>
      </c>
      <c r="O251" s="8">
        <f>HYPERLINK("https://ictv.global/id/ICTV19840978","ICTV19840978@prod")</f>
        <v/>
      </c>
    </row>
    <row r="252">
      <c r="A252" t="n">
        <v>11</v>
      </c>
      <c r="B252" t="n">
        <v>19900108</v>
      </c>
      <c r="C252" t="n">
        <v>19910109</v>
      </c>
      <c r="D252" t="inlineStr">
        <is>
          <t>genus</t>
        </is>
      </c>
      <c r="E252" t="inlineStr">
        <is>
          <t>Phlebovirus</t>
        </is>
      </c>
      <c r="G252" t="inlineStr">
        <is>
          <t>Merged,</t>
        </is>
      </c>
      <c r="H252" t="inlineStr">
        <is>
          <t>Phlebovirus</t>
        </is>
      </c>
      <c r="I252" t="inlineStr">
        <is>
          <t>genus</t>
        </is>
      </c>
      <c r="J252" t="n">
        <v>19910109</v>
      </c>
      <c r="K252" t="n">
        <v>19910109</v>
      </c>
      <c r="L252" s="8">
        <f>HYPERLINK("https://test.ictv.global/id/TN19900108","TN19900108@TEST")</f>
        <v/>
      </c>
      <c r="M252" s="8">
        <f>HYPERLINK("https://test.ictv.global/id/ICTV19910109","ICTV19910109@TEST")</f>
        <v/>
      </c>
      <c r="N252" s="8">
        <f>HYPERLINK("https://ictv.global/id/TN19900108","TN19900108@prod")</f>
        <v/>
      </c>
      <c r="O252" s="8">
        <f>HYPERLINK("https://ictv.global/id/ICTV19910109","ICTV19910109@prod")</f>
        <v/>
      </c>
    </row>
    <row r="253">
      <c r="A253" t="n">
        <v>11</v>
      </c>
      <c r="B253" t="n">
        <v>19900110</v>
      </c>
      <c r="C253" t="n">
        <v>19810075</v>
      </c>
      <c r="D253" t="inlineStr">
        <is>
          <t>genus</t>
        </is>
      </c>
      <c r="E253" t="inlineStr">
        <is>
          <t>Uukuvirus</t>
        </is>
      </c>
      <c r="G253" t="inlineStr">
        <is>
          <t>Merged,</t>
        </is>
      </c>
      <c r="H253" t="inlineStr">
        <is>
          <t>Phlebovirus</t>
        </is>
      </c>
      <c r="I253" t="inlineStr">
        <is>
          <t>genus</t>
        </is>
      </c>
      <c r="J253" t="n">
        <v>19910109</v>
      </c>
      <c r="K253" t="n">
        <v>19910109</v>
      </c>
      <c r="L253" s="8">
        <f>HYPERLINK("https://test.ictv.global/id/TN19900110","TN19900110@TEST")</f>
        <v/>
      </c>
      <c r="M253" s="8">
        <f>HYPERLINK("https://test.ictv.global/id/ICTV19810075","ICTV19810075@TEST")</f>
        <v/>
      </c>
      <c r="N253" s="8">
        <f>HYPERLINK("https://ictv.global/id/TN19900110","TN19900110@prod")</f>
        <v/>
      </c>
      <c r="O253" s="8">
        <f>HYPERLINK("https://ictv.global/id/ICTV19810075","ICTV19810075@prod")</f>
        <v/>
      </c>
    </row>
    <row r="254">
      <c r="A254" t="n">
        <v>11</v>
      </c>
      <c r="B254" t="n">
        <v>19900123</v>
      </c>
      <c r="C254" t="n">
        <v>19840099</v>
      </c>
      <c r="D254" t="inlineStr">
        <is>
          <t>genus</t>
        </is>
      </c>
      <c r="E254" t="inlineStr">
        <is>
          <t>Thetalymphocryptovirus</t>
        </is>
      </c>
      <c r="G254" t="inlineStr">
        <is>
          <t>Abolished,</t>
        </is>
      </c>
      <c r="L254" s="8">
        <f>HYPERLINK("https://test.ictv.global/id/TN19900123","TN19900123@TEST")</f>
        <v/>
      </c>
      <c r="M254" s="8">
        <f>HYPERLINK("https://test.ictv.global/id/ICTV19840099","ICTV19840099@TEST")</f>
        <v/>
      </c>
      <c r="N254" s="8">
        <f>HYPERLINK("https://ictv.global/id/TN19900123","TN19900123@prod")</f>
        <v/>
      </c>
      <c r="O254" s="8">
        <f>HYPERLINK("https://ictv.global/id/ICTV19840099","ICTV19840099@prod")</f>
        <v/>
      </c>
    </row>
    <row r="255">
      <c r="A255" t="n">
        <v>11</v>
      </c>
      <c r="B255" t="n">
        <v>19900164</v>
      </c>
      <c r="C255" t="n">
        <v>19740021</v>
      </c>
      <c r="D255" t="inlineStr">
        <is>
          <t>genus</t>
        </is>
      </c>
      <c r="E255" t="inlineStr">
        <is>
          <t>Entomopoxvirus</t>
        </is>
      </c>
      <c r="G255" t="inlineStr">
        <is>
          <t>Split,</t>
        </is>
      </c>
      <c r="H255" t="inlineStr">
        <is>
          <t>Entomopoxvirus A</t>
        </is>
      </c>
      <c r="I255" t="inlineStr">
        <is>
          <t>genus</t>
        </is>
      </c>
      <c r="J255" t="n">
        <v>19910168</v>
      </c>
      <c r="K255" t="n">
        <v>19910168</v>
      </c>
      <c r="L255" s="8">
        <f>HYPERLINK("https://test.ictv.global/id/TN19900164","TN19900164@TEST")</f>
        <v/>
      </c>
      <c r="M255" s="8">
        <f>HYPERLINK("https://test.ictv.global/id/ICTV19740021","ICTV19740021@TEST")</f>
        <v/>
      </c>
      <c r="N255" s="8">
        <f>HYPERLINK("https://ictv.global/id/TN19900164","TN19900164@prod")</f>
        <v/>
      </c>
      <c r="O255" s="8">
        <f>HYPERLINK("https://ictv.global/id/ICTV19740021","ICTV19740021@prod")</f>
        <v/>
      </c>
    </row>
    <row r="256">
      <c r="A256" t="n">
        <v>11</v>
      </c>
      <c r="B256" t="n">
        <v>19900164</v>
      </c>
      <c r="C256" t="n">
        <v>19740021</v>
      </c>
      <c r="D256" t="inlineStr">
        <is>
          <t>genus</t>
        </is>
      </c>
      <c r="E256" t="inlineStr">
        <is>
          <t>Entomopoxvirus</t>
        </is>
      </c>
      <c r="G256" t="inlineStr">
        <is>
          <t>Split,</t>
        </is>
      </c>
      <c r="H256" t="inlineStr">
        <is>
          <t>Entomopoxvirus B</t>
        </is>
      </c>
      <c r="I256" t="inlineStr">
        <is>
          <t>genus</t>
        </is>
      </c>
      <c r="J256" t="n">
        <v>19910169</v>
      </c>
      <c r="K256" t="n">
        <v>19910169</v>
      </c>
      <c r="L256" s="8">
        <f>HYPERLINK("https://test.ictv.global/id/TN19900164","TN19900164@TEST")</f>
        <v/>
      </c>
      <c r="M256" s="8">
        <f>HYPERLINK("https://test.ictv.global/id/ICTV19740021","ICTV19740021@TEST")</f>
        <v/>
      </c>
      <c r="N256" s="8">
        <f>HYPERLINK("https://ictv.global/id/TN19900164","TN19900164@prod")</f>
        <v/>
      </c>
      <c r="O256" s="8">
        <f>HYPERLINK("https://ictv.global/id/ICTV19740021","ICTV19740021@prod")</f>
        <v/>
      </c>
    </row>
    <row r="257">
      <c r="A257" t="n">
        <v>11</v>
      </c>
      <c r="B257" t="n">
        <v>19900164</v>
      </c>
      <c r="C257" t="n">
        <v>19740021</v>
      </c>
      <c r="D257" t="inlineStr">
        <is>
          <t>genus</t>
        </is>
      </c>
      <c r="E257" t="inlineStr">
        <is>
          <t>Entomopoxvirus</t>
        </is>
      </c>
      <c r="G257" t="inlineStr">
        <is>
          <t>Split,</t>
        </is>
      </c>
      <c r="H257" t="inlineStr">
        <is>
          <t>Entomopoxvirus C</t>
        </is>
      </c>
      <c r="I257" t="inlineStr">
        <is>
          <t>genus</t>
        </is>
      </c>
      <c r="J257" t="n">
        <v>19910170</v>
      </c>
      <c r="K257" t="n">
        <v>19910170</v>
      </c>
      <c r="L257" s="8">
        <f>HYPERLINK("https://test.ictv.global/id/TN19900164","TN19900164@TEST")</f>
        <v/>
      </c>
      <c r="M257" s="8">
        <f>HYPERLINK("https://test.ictv.global/id/ICTV19740021","ICTV19740021@TEST")</f>
        <v/>
      </c>
      <c r="N257" s="8">
        <f>HYPERLINK("https://ictv.global/id/TN19900164","TN19900164@prod")</f>
        <v/>
      </c>
      <c r="O257" s="8">
        <f>HYPERLINK("https://ictv.global/id/ICTV19740021","ICTV19740021@prod")</f>
        <v/>
      </c>
    </row>
    <row r="258">
      <c r="A258" t="n">
        <v>11</v>
      </c>
      <c r="B258" t="n">
        <v>19900218</v>
      </c>
      <c r="C258" t="n">
        <v>19790137</v>
      </c>
      <c r="D258" t="inlineStr">
        <is>
          <t>genus</t>
        </is>
      </c>
      <c r="E258" t="inlineStr">
        <is>
          <t>Penicillium stoloniferum PsV-S group</t>
        </is>
      </c>
      <c r="G258" t="inlineStr">
        <is>
          <t>Abolished,</t>
        </is>
      </c>
      <c r="L258" s="8">
        <f>HYPERLINK("https://test.ictv.global/id/TN19900218","TN19900218@TEST")</f>
        <v/>
      </c>
      <c r="M258" s="8">
        <f>HYPERLINK("https://test.ictv.global/id/ICTV19790137","ICTV19790137@TEST")</f>
        <v/>
      </c>
      <c r="N258" s="8">
        <f>HYPERLINK("https://ictv.global/id/TN19900218","TN19900218@prod")</f>
        <v/>
      </c>
      <c r="O258" s="8">
        <f>HYPERLINK("https://ictv.global/id/ICTV19790137","ICTV19790137@prod")</f>
        <v/>
      </c>
    </row>
    <row r="259">
      <c r="A259" t="n">
        <v>11</v>
      </c>
      <c r="B259" t="n">
        <v>19900235</v>
      </c>
      <c r="C259" t="n">
        <v>19760286</v>
      </c>
      <c r="D259" t="inlineStr">
        <is>
          <t>species</t>
        </is>
      </c>
      <c r="E259" t="inlineStr">
        <is>
          <t>Finch paramyxovirus</t>
        </is>
      </c>
      <c r="G259" t="inlineStr">
        <is>
          <t>Abolished,</t>
        </is>
      </c>
      <c r="L259" s="8">
        <f>HYPERLINK("https://test.ictv.global/id/TN19900235","TN19900235@TEST")</f>
        <v/>
      </c>
      <c r="M259" s="8">
        <f>HYPERLINK("https://test.ictv.global/id/ICTV19760286","ICTV19760286@TEST")</f>
        <v/>
      </c>
      <c r="N259" s="8">
        <f>HYPERLINK("https://ictv.global/id/TN19900235","TN19900235@prod")</f>
        <v/>
      </c>
      <c r="O259" s="8">
        <f>HYPERLINK("https://ictv.global/id/ICTV19760286","ICTV19760286@prod")</f>
        <v/>
      </c>
    </row>
    <row r="260">
      <c r="A260" t="n">
        <v>11</v>
      </c>
      <c r="B260" t="n">
        <v>19900237</v>
      </c>
      <c r="C260" t="n">
        <v>19790450</v>
      </c>
      <c r="D260" t="inlineStr">
        <is>
          <t>species</t>
        </is>
      </c>
      <c r="E260" t="inlineStr">
        <is>
          <t>Nariva virus</t>
        </is>
      </c>
      <c r="G260" t="inlineStr">
        <is>
          <t>Abolished,</t>
        </is>
      </c>
      <c r="L260" s="8">
        <f>HYPERLINK("https://test.ictv.global/id/TN19900237","TN19900237@TEST")</f>
        <v/>
      </c>
      <c r="M260" s="8">
        <f>HYPERLINK("https://test.ictv.global/id/ICTV19790450","ICTV19790450@TEST")</f>
        <v/>
      </c>
      <c r="N260" s="8">
        <f>HYPERLINK("https://ictv.global/id/TN19900237","TN19900237@prod")</f>
        <v/>
      </c>
      <c r="O260" s="8">
        <f>HYPERLINK("https://ictv.global/id/ICTV19790450","ICTV19790450@prod")</f>
        <v/>
      </c>
    </row>
    <row r="261">
      <c r="A261" t="n">
        <v>11</v>
      </c>
      <c r="B261" t="n">
        <v>19900243</v>
      </c>
      <c r="C261" t="n">
        <v>19790456</v>
      </c>
      <c r="D261" t="inlineStr">
        <is>
          <t>species</t>
        </is>
      </c>
      <c r="E261" t="inlineStr">
        <is>
          <t>Parainfluenza virus 5</t>
        </is>
      </c>
      <c r="F261" t="inlineStr"/>
      <c r="G261" t="inlineStr">
        <is>
          <t>Abolished,</t>
        </is>
      </c>
      <c r="L261" s="8">
        <f>HYPERLINK("https://test.ictv.global/id/TN19900243","TN19900243@TEST")</f>
        <v/>
      </c>
      <c r="M261" s="8">
        <f>HYPERLINK("https://test.ictv.global/id/ICTV19790456","ICTV19790456@TEST")</f>
        <v/>
      </c>
      <c r="N261" s="8">
        <f>HYPERLINK("https://ictv.global/id/TN19900243","TN19900243@prod")</f>
        <v/>
      </c>
      <c r="O261" s="8">
        <f>HYPERLINK("https://ictv.global/id/ICTV19790456","ICTV19790456@prod")</f>
        <v/>
      </c>
    </row>
    <row r="262">
      <c r="A262" t="n">
        <v>11</v>
      </c>
      <c r="B262" t="n">
        <v>19900244</v>
      </c>
      <c r="C262" t="n">
        <v>19760293</v>
      </c>
      <c r="D262" t="inlineStr">
        <is>
          <t>species</t>
        </is>
      </c>
      <c r="E262" t="inlineStr">
        <is>
          <t>Parrot paramyxovirus</t>
        </is>
      </c>
      <c r="G262" t="inlineStr">
        <is>
          <t>Abolished,</t>
        </is>
      </c>
      <c r="L262" s="8">
        <f>HYPERLINK("https://test.ictv.global/id/TN19900244","TN19900244@TEST")</f>
        <v/>
      </c>
      <c r="M262" s="8">
        <f>HYPERLINK("https://test.ictv.global/id/ICTV19760293","ICTV19760293@TEST")</f>
        <v/>
      </c>
      <c r="N262" s="8">
        <f>HYPERLINK("https://ictv.global/id/TN19900244","TN19900244@prod")</f>
        <v/>
      </c>
      <c r="O262" s="8">
        <f>HYPERLINK("https://ictv.global/id/ICTV19760293","ICTV19760293@prod")</f>
        <v/>
      </c>
    </row>
    <row r="263">
      <c r="A263" t="n">
        <v>11</v>
      </c>
      <c r="B263" t="n">
        <v>19900245</v>
      </c>
      <c r="C263" t="n">
        <v>19760294</v>
      </c>
      <c r="D263" t="inlineStr">
        <is>
          <t>species</t>
        </is>
      </c>
      <c r="E263" t="inlineStr">
        <is>
          <t>Turkey parainfluenza virus</t>
        </is>
      </c>
      <c r="G263" t="inlineStr">
        <is>
          <t>Abolished,</t>
        </is>
      </c>
      <c r="L263" s="8">
        <f>HYPERLINK("https://test.ictv.global/id/TN19900245","TN19900245@TEST")</f>
        <v/>
      </c>
      <c r="M263" s="8">
        <f>HYPERLINK("https://test.ictv.global/id/ICTV19760294","ICTV19760294@TEST")</f>
        <v/>
      </c>
      <c r="N263" s="8">
        <f>HYPERLINK("https://ictv.global/id/TN19900245","TN19900245@prod")</f>
        <v/>
      </c>
      <c r="O263" s="8">
        <f>HYPERLINK("https://ictv.global/id/ICTV19760294","ICTV19760294@prod")</f>
        <v/>
      </c>
    </row>
    <row r="264">
      <c r="A264" t="n">
        <v>11</v>
      </c>
      <c r="B264" t="n">
        <v>19900267</v>
      </c>
      <c r="C264" t="n">
        <v>19760560</v>
      </c>
      <c r="D264" t="inlineStr">
        <is>
          <t>species</t>
        </is>
      </c>
      <c r="E264" t="inlineStr">
        <is>
          <t>Vesicular stomatitis virus Argentina</t>
        </is>
      </c>
      <c r="G264" t="inlineStr">
        <is>
          <t>Abolished,</t>
        </is>
      </c>
      <c r="L264" s="8">
        <f>HYPERLINK("https://test.ictv.global/id/TN19900267","TN19900267@TEST")</f>
        <v/>
      </c>
      <c r="M264" s="8">
        <f>HYPERLINK("https://test.ictv.global/id/ICTV19760560","ICTV19760560@TEST")</f>
        <v/>
      </c>
      <c r="N264" s="8">
        <f>HYPERLINK("https://ictv.global/id/TN19900267","TN19900267@prod")</f>
        <v/>
      </c>
      <c r="O264" s="8">
        <f>HYPERLINK("https://ictv.global/id/ICTV19760560","ICTV19760560@prod")</f>
        <v/>
      </c>
    </row>
    <row r="265">
      <c r="A265" t="n">
        <v>11</v>
      </c>
      <c r="B265" t="n">
        <v>19900274</v>
      </c>
      <c r="C265" t="n">
        <v>19810172</v>
      </c>
      <c r="D265" t="inlineStr">
        <is>
          <t>species</t>
        </is>
      </c>
      <c r="E265" t="inlineStr">
        <is>
          <t>Fowl adenovirus 3</t>
        </is>
      </c>
      <c r="G265" t="inlineStr">
        <is>
          <t>Abolished,</t>
        </is>
      </c>
      <c r="L265" s="8">
        <f>HYPERLINK("https://test.ictv.global/id/TN19900274","TN19900274@TEST")</f>
        <v/>
      </c>
      <c r="M265" s="8">
        <f>HYPERLINK("https://test.ictv.global/id/ICTV19810172","ICTV19810172@TEST")</f>
        <v/>
      </c>
      <c r="N265" s="8">
        <f>HYPERLINK("https://ictv.global/id/TN19900274","TN19900274@prod")</f>
        <v/>
      </c>
      <c r="O265" s="8">
        <f>HYPERLINK("https://ictv.global/id/ICTV19810172","ICTV19810172@prod")</f>
        <v/>
      </c>
    </row>
    <row r="266">
      <c r="A266" t="n">
        <v>11</v>
      </c>
      <c r="B266" t="n">
        <v>19900275</v>
      </c>
      <c r="C266" t="n">
        <v>19810173</v>
      </c>
      <c r="D266" t="inlineStr">
        <is>
          <t>species</t>
        </is>
      </c>
      <c r="E266" t="inlineStr">
        <is>
          <t>Fowl adenovirus 4</t>
        </is>
      </c>
      <c r="G266" t="inlineStr">
        <is>
          <t>Abolished,</t>
        </is>
      </c>
      <c r="L266" s="8">
        <f>HYPERLINK("https://test.ictv.global/id/TN19900275","TN19900275@TEST")</f>
        <v/>
      </c>
      <c r="M266" s="8">
        <f>HYPERLINK("https://test.ictv.global/id/ICTV19810173","ICTV19810173@TEST")</f>
        <v/>
      </c>
      <c r="N266" s="8">
        <f>HYPERLINK("https://ictv.global/id/TN19900275","TN19900275@prod")</f>
        <v/>
      </c>
      <c r="O266" s="8">
        <f>HYPERLINK("https://ictv.global/id/ICTV19810173","ICTV19810173@prod")</f>
        <v/>
      </c>
    </row>
    <row r="267">
      <c r="A267" t="n">
        <v>11</v>
      </c>
      <c r="B267" t="n">
        <v>19900276</v>
      </c>
      <c r="C267" t="n">
        <v>19810174</v>
      </c>
      <c r="D267" t="inlineStr">
        <is>
          <t>species</t>
        </is>
      </c>
      <c r="E267" t="inlineStr">
        <is>
          <t>Fowl adenovirus 5</t>
        </is>
      </c>
      <c r="G267" t="inlineStr">
        <is>
          <t>Abolished,</t>
        </is>
      </c>
      <c r="L267" s="8">
        <f>HYPERLINK("https://test.ictv.global/id/TN19900276","TN19900276@TEST")</f>
        <v/>
      </c>
      <c r="M267" s="8">
        <f>HYPERLINK("https://test.ictv.global/id/ICTV19810174","ICTV19810174@TEST")</f>
        <v/>
      </c>
      <c r="N267" s="8">
        <f>HYPERLINK("https://ictv.global/id/TN19900276","TN19900276@prod")</f>
        <v/>
      </c>
      <c r="O267" s="8">
        <f>HYPERLINK("https://ictv.global/id/ICTV19810174","ICTV19810174@prod")</f>
        <v/>
      </c>
    </row>
    <row r="268">
      <c r="A268" t="n">
        <v>11</v>
      </c>
      <c r="B268" t="n">
        <v>19900277</v>
      </c>
      <c r="C268" t="n">
        <v>19810175</v>
      </c>
      <c r="D268" t="inlineStr">
        <is>
          <t>species</t>
        </is>
      </c>
      <c r="E268" t="inlineStr">
        <is>
          <t>Fowl adenovirus 6</t>
        </is>
      </c>
      <c r="G268" t="inlineStr">
        <is>
          <t>Abolished,</t>
        </is>
      </c>
      <c r="L268" s="8">
        <f>HYPERLINK("https://test.ictv.global/id/TN19900277","TN19900277@TEST")</f>
        <v/>
      </c>
      <c r="M268" s="8">
        <f>HYPERLINK("https://test.ictv.global/id/ICTV19810175","ICTV19810175@TEST")</f>
        <v/>
      </c>
      <c r="N268" s="8">
        <f>HYPERLINK("https://ictv.global/id/TN19900277","TN19900277@prod")</f>
        <v/>
      </c>
      <c r="O268" s="8">
        <f>HYPERLINK("https://ictv.global/id/ICTV19810175","ICTV19810175@prod")</f>
        <v/>
      </c>
    </row>
    <row r="269">
      <c r="A269" t="n">
        <v>11</v>
      </c>
      <c r="B269" t="n">
        <v>19900278</v>
      </c>
      <c r="C269" t="n">
        <v>19810176</v>
      </c>
      <c r="D269" t="inlineStr">
        <is>
          <t>species</t>
        </is>
      </c>
      <c r="E269" t="inlineStr">
        <is>
          <t>Fowl adenovirus 7</t>
        </is>
      </c>
      <c r="G269" t="inlineStr">
        <is>
          <t>Abolished,</t>
        </is>
      </c>
      <c r="L269" s="8">
        <f>HYPERLINK("https://test.ictv.global/id/TN19900278","TN19900278@TEST")</f>
        <v/>
      </c>
      <c r="M269" s="8">
        <f>HYPERLINK("https://test.ictv.global/id/ICTV19810176","ICTV19810176@TEST")</f>
        <v/>
      </c>
      <c r="N269" s="8">
        <f>HYPERLINK("https://ictv.global/id/TN19900278","TN19900278@prod")</f>
        <v/>
      </c>
      <c r="O269" s="8">
        <f>HYPERLINK("https://ictv.global/id/ICTV19810176","ICTV19810176@prod")</f>
        <v/>
      </c>
    </row>
    <row r="270">
      <c r="A270" t="n">
        <v>11</v>
      </c>
      <c r="B270" t="n">
        <v>19900279</v>
      </c>
      <c r="C270" t="n">
        <v>19810177</v>
      </c>
      <c r="D270" t="inlineStr">
        <is>
          <t>species</t>
        </is>
      </c>
      <c r="E270" t="inlineStr">
        <is>
          <t>Fowl adenovirus 8</t>
        </is>
      </c>
      <c r="G270" t="inlineStr">
        <is>
          <t>Abolished,</t>
        </is>
      </c>
      <c r="L270" s="8">
        <f>HYPERLINK("https://test.ictv.global/id/TN19900279","TN19900279@TEST")</f>
        <v/>
      </c>
      <c r="M270" s="8">
        <f>HYPERLINK("https://test.ictv.global/id/ICTV19810177","ICTV19810177@TEST")</f>
        <v/>
      </c>
      <c r="N270" s="8">
        <f>HYPERLINK("https://ictv.global/id/TN19900279","TN19900279@prod")</f>
        <v/>
      </c>
      <c r="O270" s="8">
        <f>HYPERLINK("https://ictv.global/id/ICTV19810177","ICTV19810177@prod")</f>
        <v/>
      </c>
    </row>
    <row r="271">
      <c r="A271" t="n">
        <v>11</v>
      </c>
      <c r="B271" t="n">
        <v>19900280</v>
      </c>
      <c r="C271" t="n">
        <v>19810178</v>
      </c>
      <c r="D271" t="inlineStr">
        <is>
          <t>species</t>
        </is>
      </c>
      <c r="E271" t="inlineStr">
        <is>
          <t>Fowl adenovirus 9</t>
        </is>
      </c>
      <c r="G271" t="inlineStr">
        <is>
          <t>Abolished,</t>
        </is>
      </c>
      <c r="L271" s="8">
        <f>HYPERLINK("https://test.ictv.global/id/TN19900280","TN19900280@TEST")</f>
        <v/>
      </c>
      <c r="M271" s="8">
        <f>HYPERLINK("https://test.ictv.global/id/ICTV19810178","ICTV19810178@TEST")</f>
        <v/>
      </c>
      <c r="N271" s="8">
        <f>HYPERLINK("https://ictv.global/id/TN19900280","TN19900280@prod")</f>
        <v/>
      </c>
      <c r="O271" s="8">
        <f>HYPERLINK("https://ictv.global/id/ICTV19810178","ICTV19810178@prod")</f>
        <v/>
      </c>
    </row>
    <row r="272">
      <c r="A272" t="n">
        <v>11</v>
      </c>
      <c r="B272" t="n">
        <v>19900355</v>
      </c>
      <c r="C272" t="n">
        <v>19820251</v>
      </c>
      <c r="D272" t="inlineStr">
        <is>
          <t>species</t>
        </is>
      </c>
      <c r="E272" t="inlineStr">
        <is>
          <t>Apanteles melanoscelus virus</t>
        </is>
      </c>
      <c r="G272" t="inlineStr">
        <is>
          <t>Abolished,</t>
        </is>
      </c>
      <c r="L272" s="8">
        <f>HYPERLINK("https://test.ictv.global/id/TN19900355","TN19900355@TEST")</f>
        <v/>
      </c>
      <c r="M272" s="8">
        <f>HYPERLINK("https://test.ictv.global/id/ICTV19820251","ICTV19820251@TEST")</f>
        <v/>
      </c>
      <c r="N272" s="8">
        <f>HYPERLINK("https://ictv.global/id/TN19900355","TN19900355@prod")</f>
        <v/>
      </c>
      <c r="O272" s="8">
        <f>HYPERLINK("https://ictv.global/id/ICTV19820251","ICTV19820251@prod")</f>
        <v/>
      </c>
    </row>
    <row r="273">
      <c r="A273" t="n">
        <v>11</v>
      </c>
      <c r="B273" t="n">
        <v>19900357</v>
      </c>
      <c r="C273" t="n">
        <v>19820254</v>
      </c>
      <c r="D273" t="inlineStr">
        <is>
          <t>species</t>
        </is>
      </c>
      <c r="E273" t="inlineStr">
        <is>
          <t>Hyposoter exiguae virus</t>
        </is>
      </c>
      <c r="G273" t="inlineStr">
        <is>
          <t>Abolished,</t>
        </is>
      </c>
      <c r="L273" s="8">
        <f>HYPERLINK("https://test.ictv.global/id/TN19900357","TN19900357@TEST")</f>
        <v/>
      </c>
      <c r="M273" s="8">
        <f>HYPERLINK("https://test.ictv.global/id/ICTV19820254","ICTV19820254@TEST")</f>
        <v/>
      </c>
      <c r="N273" s="8">
        <f>HYPERLINK("https://ictv.global/id/TN19900357","TN19900357@prod")</f>
        <v/>
      </c>
      <c r="O273" s="8">
        <f>HYPERLINK("https://ictv.global/id/ICTV19820254","ICTV19820254@prod")</f>
        <v/>
      </c>
    </row>
    <row r="274">
      <c r="A274" t="n">
        <v>11</v>
      </c>
      <c r="B274" t="n">
        <v>19900386</v>
      </c>
      <c r="C274" t="n">
        <v>19760156</v>
      </c>
      <c r="D274" t="inlineStr">
        <is>
          <t>species</t>
        </is>
      </c>
      <c r="E274" t="inlineStr">
        <is>
          <t>Calovo virus</t>
        </is>
      </c>
      <c r="G274" t="inlineStr">
        <is>
          <t>Abolished,</t>
        </is>
      </c>
      <c r="L274" s="8">
        <f>HYPERLINK("https://test.ictv.global/id/TN19900386","TN19900386@TEST")</f>
        <v/>
      </c>
      <c r="M274" s="8">
        <f>HYPERLINK("https://test.ictv.global/id/ICTV19760156","ICTV19760156@TEST")</f>
        <v/>
      </c>
      <c r="N274" s="8">
        <f>HYPERLINK("https://ictv.global/id/TN19900386","TN19900386@prod")</f>
        <v/>
      </c>
      <c r="O274" s="8">
        <f>HYPERLINK("https://ictv.global/id/ICTV19760156","ICTV19760156@prod")</f>
        <v/>
      </c>
    </row>
    <row r="275">
      <c r="A275" t="n">
        <v>11</v>
      </c>
      <c r="B275" t="n">
        <v>19900405</v>
      </c>
      <c r="C275" t="n">
        <v>19760172</v>
      </c>
      <c r="D275" t="inlineStr">
        <is>
          <t>species</t>
        </is>
      </c>
      <c r="E275" t="inlineStr">
        <is>
          <t>Jerry Slough virus</t>
        </is>
      </c>
      <c r="G275" t="inlineStr">
        <is>
          <t>Abolished,</t>
        </is>
      </c>
      <c r="L275" s="8">
        <f>HYPERLINK("https://test.ictv.global/id/TN19900405","TN19900405@TEST")</f>
        <v/>
      </c>
      <c r="M275" s="8">
        <f>HYPERLINK("https://test.ictv.global/id/ICTV19760172","ICTV19760172@TEST")</f>
        <v/>
      </c>
      <c r="N275" s="8">
        <f>HYPERLINK("https://ictv.global/id/TN19900405","TN19900405@prod")</f>
        <v/>
      </c>
      <c r="O275" s="8">
        <f>HYPERLINK("https://ictv.global/id/ICTV19760172","ICTV19760172@prod")</f>
        <v/>
      </c>
    </row>
    <row r="276">
      <c r="A276" t="n">
        <v>11</v>
      </c>
      <c r="B276" t="n">
        <v>19900428</v>
      </c>
      <c r="C276" t="n">
        <v>19790299</v>
      </c>
      <c r="D276" t="inlineStr">
        <is>
          <t>species</t>
        </is>
      </c>
      <c r="E276" t="inlineStr">
        <is>
          <t>M'Poko virus</t>
        </is>
      </c>
      <c r="F276" t="inlineStr"/>
      <c r="G276" t="inlineStr">
        <is>
          <t>Abolished,</t>
        </is>
      </c>
      <c r="L276" s="8">
        <f>HYPERLINK("https://test.ictv.global/id/TN19900428","TN19900428@TEST")</f>
        <v/>
      </c>
      <c r="M276" s="8">
        <f>HYPERLINK("https://test.ictv.global/id/ICTV19790299","ICTV19790299@TEST")</f>
        <v/>
      </c>
      <c r="N276" s="8">
        <f>HYPERLINK("https://ictv.global/id/TN19900428","TN19900428@prod")</f>
        <v/>
      </c>
      <c r="O276" s="8">
        <f>HYPERLINK("https://ictv.global/id/ICTV19790299","ICTV19790299@prod")</f>
        <v/>
      </c>
    </row>
    <row r="277">
      <c r="A277" t="n">
        <v>11</v>
      </c>
      <c r="B277" t="n">
        <v>19900475</v>
      </c>
      <c r="C277" t="n">
        <v>19870408</v>
      </c>
      <c r="D277" t="inlineStr">
        <is>
          <t>species</t>
        </is>
      </c>
      <c r="E277" t="inlineStr">
        <is>
          <t>Girard Point virus</t>
        </is>
      </c>
      <c r="G277" t="inlineStr">
        <is>
          <t>Abolished,</t>
        </is>
      </c>
      <c r="L277" s="8">
        <f>HYPERLINK("https://test.ictv.global/id/TN19900475","TN19900475@TEST")</f>
        <v/>
      </c>
      <c r="M277" s="8">
        <f>HYPERLINK("https://test.ictv.global/id/ICTV19870408","ICTV19870408@TEST")</f>
        <v/>
      </c>
      <c r="N277" s="8">
        <f>HYPERLINK("https://ictv.global/id/TN19900475","TN19900475@prod")</f>
        <v/>
      </c>
      <c r="O277" s="8">
        <f>HYPERLINK("https://ictv.global/id/ICTV19870408","ICTV19870408@prod")</f>
        <v/>
      </c>
    </row>
    <row r="278">
      <c r="A278" t="n">
        <v>11</v>
      </c>
      <c r="B278" t="n">
        <v>19900477</v>
      </c>
      <c r="C278" t="n">
        <v>19870410</v>
      </c>
      <c r="D278" t="inlineStr">
        <is>
          <t>species</t>
        </is>
      </c>
      <c r="E278" t="inlineStr">
        <is>
          <t>Lee virus</t>
        </is>
      </c>
      <c r="G278" t="inlineStr">
        <is>
          <t>Abolished,</t>
        </is>
      </c>
      <c r="L278" s="8">
        <f>HYPERLINK("https://test.ictv.global/id/TN19900477","TN19900477@TEST")</f>
        <v/>
      </c>
      <c r="M278" s="8">
        <f>HYPERLINK("https://test.ictv.global/id/ICTV19870410","ICTV19870410@TEST")</f>
        <v/>
      </c>
      <c r="N278" s="8">
        <f>HYPERLINK("https://ictv.global/id/TN19900477","TN19900477@prod")</f>
        <v/>
      </c>
      <c r="O278" s="8">
        <f>HYPERLINK("https://ictv.global/id/ICTV19870410","ICTV19870410@prod")</f>
        <v/>
      </c>
    </row>
    <row r="279">
      <c r="A279" t="n">
        <v>11</v>
      </c>
      <c r="B279" t="n">
        <v>19900480</v>
      </c>
      <c r="C279" t="n">
        <v>19870413</v>
      </c>
      <c r="D279" t="inlineStr">
        <is>
          <t>species</t>
        </is>
      </c>
      <c r="E279" t="inlineStr">
        <is>
          <t>Sapporo rat virus</t>
        </is>
      </c>
      <c r="G279" t="inlineStr">
        <is>
          <t>Abolished,</t>
        </is>
      </c>
      <c r="L279" s="8">
        <f>HYPERLINK("https://test.ictv.global/id/TN19900480","TN19900480@TEST")</f>
        <v/>
      </c>
      <c r="M279" s="8">
        <f>HYPERLINK("https://test.ictv.global/id/ICTV19870413","ICTV19870413@TEST")</f>
        <v/>
      </c>
      <c r="N279" s="8">
        <f>HYPERLINK("https://ictv.global/id/TN19900480","TN19900480@prod")</f>
        <v/>
      </c>
      <c r="O279" s="8">
        <f>HYPERLINK("https://ictv.global/id/ICTV19870413","ICTV19870413@prod")</f>
        <v/>
      </c>
    </row>
    <row r="280">
      <c r="A280" t="n">
        <v>11</v>
      </c>
      <c r="B280" t="n">
        <v>19900482</v>
      </c>
      <c r="C280" t="n">
        <v>19870415</v>
      </c>
      <c r="D280" t="inlineStr">
        <is>
          <t>species</t>
        </is>
      </c>
      <c r="E280" t="inlineStr">
        <is>
          <t>Tchoupitoulas virus</t>
        </is>
      </c>
      <c r="G280" t="inlineStr">
        <is>
          <t>Abolished,</t>
        </is>
      </c>
      <c r="L280" s="8">
        <f>HYPERLINK("https://test.ictv.global/id/TN19900482","TN19900482@TEST")</f>
        <v/>
      </c>
      <c r="M280" s="8">
        <f>HYPERLINK("https://test.ictv.global/id/ICTV19870415","ICTV19870415@TEST")</f>
        <v/>
      </c>
      <c r="N280" s="8">
        <f>HYPERLINK("https://ictv.global/id/TN19900482","TN19900482@prod")</f>
        <v/>
      </c>
      <c r="O280" s="8">
        <f>HYPERLINK("https://ictv.global/id/ICTV19870415","ICTV19870415@prod")</f>
        <v/>
      </c>
    </row>
    <row r="281">
      <c r="A281" t="n">
        <v>11</v>
      </c>
      <c r="B281" t="n">
        <v>19900492</v>
      </c>
      <c r="C281" t="n">
        <v>19790284</v>
      </c>
      <c r="D281" t="inlineStr">
        <is>
          <t>species</t>
        </is>
      </c>
      <c r="E281" t="inlineStr">
        <is>
          <t>Ganjam virus</t>
        </is>
      </c>
      <c r="G281" t="inlineStr">
        <is>
          <t>Abolished,</t>
        </is>
      </c>
      <c r="L281" s="8">
        <f>HYPERLINK("https://test.ictv.global/id/TN19900492","TN19900492@TEST")</f>
        <v/>
      </c>
      <c r="M281" s="8">
        <f>HYPERLINK("https://test.ictv.global/id/ICTV19790284","ICTV19790284@TEST")</f>
        <v/>
      </c>
      <c r="N281" s="8">
        <f>HYPERLINK("https://ictv.global/id/TN19900492","TN19900492@prod")</f>
        <v/>
      </c>
      <c r="O281" s="8">
        <f>HYPERLINK("https://ictv.global/id/ICTV19790284","ICTV19790284@prod")</f>
        <v/>
      </c>
    </row>
    <row r="282">
      <c r="A282" t="n">
        <v>11</v>
      </c>
      <c r="B282" t="n">
        <v>19900549</v>
      </c>
      <c r="C282" t="n">
        <v>19820438</v>
      </c>
      <c r="D282" t="inlineStr">
        <is>
          <t>species</t>
        </is>
      </c>
      <c r="E282" t="inlineStr">
        <is>
          <t>Phage 06N 58P</t>
        </is>
      </c>
      <c r="G282" t="inlineStr">
        <is>
          <t>Abolished,</t>
        </is>
      </c>
      <c r="L282" s="8">
        <f>HYPERLINK("https://test.ictv.global/id/TN19900549","TN19900549@TEST")</f>
        <v/>
      </c>
      <c r="M282" s="8">
        <f>HYPERLINK("https://test.ictv.global/id/ICTV19820438","ICTV19820438@TEST")</f>
        <v/>
      </c>
      <c r="N282" s="8">
        <f>HYPERLINK("https://ictv.global/id/TN19900549","TN19900549@prod")</f>
        <v/>
      </c>
      <c r="O282" s="8">
        <f>HYPERLINK("https://ictv.global/id/ICTV19820438","ICTV19820438@prod")</f>
        <v/>
      </c>
    </row>
    <row r="283">
      <c r="A283" t="n">
        <v>11</v>
      </c>
      <c r="B283" t="n">
        <v>19900556</v>
      </c>
      <c r="C283" t="n">
        <v>19760588</v>
      </c>
      <c r="D283" t="inlineStr">
        <is>
          <t>species</t>
        </is>
      </c>
      <c r="E283" t="inlineStr">
        <is>
          <t>Batu Cave virus</t>
        </is>
      </c>
      <c r="G283" t="inlineStr">
        <is>
          <t>Abolished,</t>
        </is>
      </c>
      <c r="L283" s="8">
        <f>HYPERLINK("https://test.ictv.global/id/TN19900556","TN19900556@TEST")</f>
        <v/>
      </c>
      <c r="M283" s="8">
        <f>HYPERLINK("https://test.ictv.global/id/ICTV19760588","ICTV19760588@TEST")</f>
        <v/>
      </c>
      <c r="N283" s="8">
        <f>HYPERLINK("https://ictv.global/id/TN19900556","TN19900556@prod")</f>
        <v/>
      </c>
      <c r="O283" s="8">
        <f>HYPERLINK("https://ictv.global/id/ICTV19760588","ICTV19760588@prod")</f>
        <v/>
      </c>
    </row>
    <row r="284">
      <c r="A284" t="n">
        <v>11</v>
      </c>
      <c r="B284" t="n">
        <v>19900627</v>
      </c>
      <c r="C284" t="n">
        <v>19840530</v>
      </c>
      <c r="D284" t="inlineStr">
        <is>
          <t>species</t>
        </is>
      </c>
      <c r="E284" t="inlineStr">
        <is>
          <t>Gallid herpesvirus 2</t>
        </is>
      </c>
      <c r="F284" t="inlineStr"/>
      <c r="G284" t="inlineStr">
        <is>
          <t>Abolished,</t>
        </is>
      </c>
      <c r="L284" s="8">
        <f>HYPERLINK("https://test.ictv.global/id/TN19900627","TN19900627@TEST")</f>
        <v/>
      </c>
      <c r="M284" s="8">
        <f>HYPERLINK("https://test.ictv.global/id/ICTV19840530","ICTV19840530@TEST")</f>
        <v/>
      </c>
      <c r="N284" s="8">
        <f>HYPERLINK("https://ictv.global/id/TN19900627","TN19900627@prod")</f>
        <v/>
      </c>
      <c r="O284" s="8">
        <f>HYPERLINK("https://ictv.global/id/ICTV19840530","ICTV19840530@prod")</f>
        <v/>
      </c>
    </row>
    <row r="285">
      <c r="A285" t="n">
        <v>11</v>
      </c>
      <c r="B285" t="n">
        <v>19900628</v>
      </c>
      <c r="C285" t="n">
        <v>19840531</v>
      </c>
      <c r="D285" t="inlineStr">
        <is>
          <t>species</t>
        </is>
      </c>
      <c r="E285" t="inlineStr">
        <is>
          <t>Meleagrid herpesvirus</t>
        </is>
      </c>
      <c r="G285" t="inlineStr">
        <is>
          <t>Abolished,</t>
        </is>
      </c>
      <c r="L285" s="8">
        <f>HYPERLINK("https://test.ictv.global/id/TN19900628","TN19900628@TEST")</f>
        <v/>
      </c>
      <c r="M285" s="8">
        <f>HYPERLINK("https://test.ictv.global/id/ICTV19840531","ICTV19840531@TEST")</f>
        <v/>
      </c>
      <c r="N285" s="8">
        <f>HYPERLINK("https://ictv.global/id/TN19900628","TN19900628@prod")</f>
        <v/>
      </c>
      <c r="O285" s="8">
        <f>HYPERLINK("https://ictv.global/id/ICTV19840531","ICTV19840531@prod")</f>
        <v/>
      </c>
    </row>
    <row r="286">
      <c r="A286" t="n">
        <v>11</v>
      </c>
      <c r="B286" t="n">
        <v>19900808</v>
      </c>
      <c r="C286" t="n">
        <v>19710239</v>
      </c>
      <c r="D286" t="inlineStr">
        <is>
          <t>species</t>
        </is>
      </c>
      <c r="E286" t="inlineStr">
        <is>
          <t>Parvovirus r-1</t>
        </is>
      </c>
      <c r="G286" t="inlineStr">
        <is>
          <t>Abolished,</t>
        </is>
      </c>
      <c r="L286" s="8">
        <f>HYPERLINK("https://test.ictv.global/id/TN19900808","TN19900808@TEST")</f>
        <v/>
      </c>
      <c r="M286" s="8">
        <f>HYPERLINK("https://test.ictv.global/id/ICTV19710239","ICTV19710239@TEST")</f>
        <v/>
      </c>
      <c r="N286" s="8">
        <f>HYPERLINK("https://ictv.global/id/TN19900808","TN19900808@prod")</f>
        <v/>
      </c>
      <c r="O286" s="8">
        <f>HYPERLINK("https://ictv.global/id/ICTV19710239","ICTV19710239@prod")</f>
        <v/>
      </c>
    </row>
    <row r="287">
      <c r="A287" t="n">
        <v>11</v>
      </c>
      <c r="B287" t="n">
        <v>19900925</v>
      </c>
      <c r="C287" t="n">
        <v>19760334</v>
      </c>
      <c r="D287" t="inlineStr">
        <is>
          <t>species</t>
        </is>
      </c>
      <c r="E287" t="inlineStr">
        <is>
          <t>Human rhinovirus 101</t>
        </is>
      </c>
      <c r="G287" t="inlineStr">
        <is>
          <t>Abolished,</t>
        </is>
      </c>
      <c r="L287" s="8">
        <f>HYPERLINK("https://test.ictv.global/id/TN19900925","TN19900925@TEST")</f>
        <v/>
      </c>
      <c r="M287" s="8">
        <f>HYPERLINK("https://test.ictv.global/id/ICTV19760334","ICTV19760334@TEST")</f>
        <v/>
      </c>
      <c r="N287" s="8">
        <f>HYPERLINK("https://ictv.global/id/TN19900925","TN19900925@prod")</f>
        <v/>
      </c>
      <c r="O287" s="8">
        <f>HYPERLINK("https://ictv.global/id/ICTV19760334","ICTV19760334@prod")</f>
        <v/>
      </c>
    </row>
    <row r="288">
      <c r="A288" t="n">
        <v>11</v>
      </c>
      <c r="B288" t="n">
        <v>19900926</v>
      </c>
      <c r="C288" t="n">
        <v>19760335</v>
      </c>
      <c r="D288" t="inlineStr">
        <is>
          <t>species</t>
        </is>
      </c>
      <c r="E288" t="inlineStr">
        <is>
          <t>Human rhinovirus 102</t>
        </is>
      </c>
      <c r="G288" t="inlineStr">
        <is>
          <t>Abolished,</t>
        </is>
      </c>
      <c r="L288" s="8">
        <f>HYPERLINK("https://test.ictv.global/id/TN19900926","TN19900926@TEST")</f>
        <v/>
      </c>
      <c r="M288" s="8">
        <f>HYPERLINK("https://test.ictv.global/id/ICTV19760335","ICTV19760335@TEST")</f>
        <v/>
      </c>
      <c r="N288" s="8">
        <f>HYPERLINK("https://ictv.global/id/TN19900926","TN19900926@prod")</f>
        <v/>
      </c>
      <c r="O288" s="8">
        <f>HYPERLINK("https://ictv.global/id/ICTV19760335","ICTV19760335@prod")</f>
        <v/>
      </c>
    </row>
    <row r="289">
      <c r="A289" t="n">
        <v>11</v>
      </c>
      <c r="B289" t="n">
        <v>19900927</v>
      </c>
      <c r="C289" t="n">
        <v>19760336</v>
      </c>
      <c r="D289" t="inlineStr">
        <is>
          <t>species</t>
        </is>
      </c>
      <c r="E289" t="inlineStr">
        <is>
          <t>Human rhinovirus 103</t>
        </is>
      </c>
      <c r="G289" t="inlineStr">
        <is>
          <t>Abolished,</t>
        </is>
      </c>
      <c r="L289" s="8">
        <f>HYPERLINK("https://test.ictv.global/id/TN19900927","TN19900927@TEST")</f>
        <v/>
      </c>
      <c r="M289" s="8">
        <f>HYPERLINK("https://test.ictv.global/id/ICTV19760336","ICTV19760336@TEST")</f>
        <v/>
      </c>
      <c r="N289" s="8">
        <f>HYPERLINK("https://ictv.global/id/TN19900927","TN19900927@prod")</f>
        <v/>
      </c>
      <c r="O289" s="8">
        <f>HYPERLINK("https://ictv.global/id/ICTV19760336","ICTV19760336@prod")</f>
        <v/>
      </c>
    </row>
    <row r="290">
      <c r="A290" t="n">
        <v>11</v>
      </c>
      <c r="B290" t="n">
        <v>19900928</v>
      </c>
      <c r="C290" t="n">
        <v>19760337</v>
      </c>
      <c r="D290" t="inlineStr">
        <is>
          <t>species</t>
        </is>
      </c>
      <c r="E290" t="inlineStr">
        <is>
          <t>Human rhinovirus 104</t>
        </is>
      </c>
      <c r="G290" t="inlineStr">
        <is>
          <t>Abolished,</t>
        </is>
      </c>
      <c r="L290" s="8">
        <f>HYPERLINK("https://test.ictv.global/id/TN19900928","TN19900928@TEST")</f>
        <v/>
      </c>
      <c r="M290" s="8">
        <f>HYPERLINK("https://test.ictv.global/id/ICTV19760337","ICTV19760337@TEST")</f>
        <v/>
      </c>
      <c r="N290" s="8">
        <f>HYPERLINK("https://ictv.global/id/TN19900928","TN19900928@prod")</f>
        <v/>
      </c>
      <c r="O290" s="8">
        <f>HYPERLINK("https://ictv.global/id/ICTV19760337","ICTV19760337@prod")</f>
        <v/>
      </c>
    </row>
    <row r="291">
      <c r="A291" t="n">
        <v>11</v>
      </c>
      <c r="B291" t="n">
        <v>19900929</v>
      </c>
      <c r="C291" t="n">
        <v>19760338</v>
      </c>
      <c r="D291" t="inlineStr">
        <is>
          <t>species</t>
        </is>
      </c>
      <c r="E291" t="inlineStr">
        <is>
          <t>Human rhinovirus 105</t>
        </is>
      </c>
      <c r="G291" t="inlineStr">
        <is>
          <t>Abolished,</t>
        </is>
      </c>
      <c r="L291" s="8">
        <f>HYPERLINK("https://test.ictv.global/id/TN19900929","TN19900929@TEST")</f>
        <v/>
      </c>
      <c r="M291" s="8">
        <f>HYPERLINK("https://test.ictv.global/id/ICTV19760338","ICTV19760338@TEST")</f>
        <v/>
      </c>
      <c r="N291" s="8">
        <f>HYPERLINK("https://ictv.global/id/TN19900929","TN19900929@prod")</f>
        <v/>
      </c>
      <c r="O291" s="8">
        <f>HYPERLINK("https://ictv.global/id/ICTV19760338","ICTV19760338@prod")</f>
        <v/>
      </c>
    </row>
    <row r="292">
      <c r="A292" t="n">
        <v>11</v>
      </c>
      <c r="B292" t="n">
        <v>19900930</v>
      </c>
      <c r="C292" t="n">
        <v>19760339</v>
      </c>
      <c r="D292" t="inlineStr">
        <is>
          <t>species</t>
        </is>
      </c>
      <c r="E292" t="inlineStr">
        <is>
          <t>Human rhinovirus 106</t>
        </is>
      </c>
      <c r="G292" t="inlineStr">
        <is>
          <t>Abolished,</t>
        </is>
      </c>
      <c r="L292" s="8">
        <f>HYPERLINK("https://test.ictv.global/id/TN19900930","TN19900930@TEST")</f>
        <v/>
      </c>
      <c r="M292" s="8">
        <f>HYPERLINK("https://test.ictv.global/id/ICTV19760339","ICTV19760339@TEST")</f>
        <v/>
      </c>
      <c r="N292" s="8">
        <f>HYPERLINK("https://ictv.global/id/TN19900930","TN19900930@prod")</f>
        <v/>
      </c>
      <c r="O292" s="8">
        <f>HYPERLINK("https://ictv.global/id/ICTV19760339","ICTV19760339@prod")</f>
        <v/>
      </c>
    </row>
    <row r="293">
      <c r="A293" t="n">
        <v>11</v>
      </c>
      <c r="B293" t="n">
        <v>19900931</v>
      </c>
      <c r="C293" t="n">
        <v>19760340</v>
      </c>
      <c r="D293" t="inlineStr">
        <is>
          <t>species</t>
        </is>
      </c>
      <c r="E293" t="inlineStr">
        <is>
          <t>Human rhinovirus 107</t>
        </is>
      </c>
      <c r="G293" t="inlineStr">
        <is>
          <t>Abolished,</t>
        </is>
      </c>
      <c r="L293" s="8">
        <f>HYPERLINK("https://test.ictv.global/id/TN19900931","TN19900931@TEST")</f>
        <v/>
      </c>
      <c r="M293" s="8">
        <f>HYPERLINK("https://test.ictv.global/id/ICTV19760340","ICTV19760340@TEST")</f>
        <v/>
      </c>
      <c r="N293" s="8">
        <f>HYPERLINK("https://ictv.global/id/TN19900931","TN19900931@prod")</f>
        <v/>
      </c>
      <c r="O293" s="8">
        <f>HYPERLINK("https://ictv.global/id/ICTV19760340","ICTV19760340@prod")</f>
        <v/>
      </c>
    </row>
    <row r="294">
      <c r="A294" t="n">
        <v>11</v>
      </c>
      <c r="B294" t="n">
        <v>19900932</v>
      </c>
      <c r="C294" t="n">
        <v>19760341</v>
      </c>
      <c r="D294" t="inlineStr">
        <is>
          <t>species</t>
        </is>
      </c>
      <c r="E294" t="inlineStr">
        <is>
          <t>Human rhinovirus 108</t>
        </is>
      </c>
      <c r="G294" t="inlineStr">
        <is>
          <t>Abolished,</t>
        </is>
      </c>
      <c r="L294" s="8">
        <f>HYPERLINK("https://test.ictv.global/id/TN19900932","TN19900932@TEST")</f>
        <v/>
      </c>
      <c r="M294" s="8">
        <f>HYPERLINK("https://test.ictv.global/id/ICTV19760341","ICTV19760341@TEST")</f>
        <v/>
      </c>
      <c r="N294" s="8">
        <f>HYPERLINK("https://ictv.global/id/TN19900932","TN19900932@prod")</f>
        <v/>
      </c>
      <c r="O294" s="8">
        <f>HYPERLINK("https://ictv.global/id/ICTV19760341","ICTV19760341@prod")</f>
        <v/>
      </c>
    </row>
    <row r="295">
      <c r="A295" t="n">
        <v>11</v>
      </c>
      <c r="B295" t="n">
        <v>19900933</v>
      </c>
      <c r="C295" t="n">
        <v>19760342</v>
      </c>
      <c r="D295" t="inlineStr">
        <is>
          <t>species</t>
        </is>
      </c>
      <c r="E295" t="inlineStr">
        <is>
          <t>Human rhinovirus 109</t>
        </is>
      </c>
      <c r="G295" t="inlineStr">
        <is>
          <t>Abolished,</t>
        </is>
      </c>
      <c r="L295" s="8">
        <f>HYPERLINK("https://test.ictv.global/id/TN19900933","TN19900933@TEST")</f>
        <v/>
      </c>
      <c r="M295" s="8">
        <f>HYPERLINK("https://test.ictv.global/id/ICTV19760342","ICTV19760342@TEST")</f>
        <v/>
      </c>
      <c r="N295" s="8">
        <f>HYPERLINK("https://ictv.global/id/TN19900933","TN19900933@prod")</f>
        <v/>
      </c>
      <c r="O295" s="8">
        <f>HYPERLINK("https://ictv.global/id/ICTV19760342","ICTV19760342@prod")</f>
        <v/>
      </c>
    </row>
    <row r="296">
      <c r="A296" t="n">
        <v>11</v>
      </c>
      <c r="B296" t="n">
        <v>19900935</v>
      </c>
      <c r="C296" t="n">
        <v>19760344</v>
      </c>
      <c r="D296" t="inlineStr">
        <is>
          <t>species</t>
        </is>
      </c>
      <c r="E296" t="inlineStr">
        <is>
          <t>Human rhinovirus 110</t>
        </is>
      </c>
      <c r="G296" t="inlineStr">
        <is>
          <t>Abolished,</t>
        </is>
      </c>
      <c r="L296" s="8">
        <f>HYPERLINK("https://test.ictv.global/id/TN19900935","TN19900935@TEST")</f>
        <v/>
      </c>
      <c r="M296" s="8">
        <f>HYPERLINK("https://test.ictv.global/id/ICTV19760344","ICTV19760344@TEST")</f>
        <v/>
      </c>
      <c r="N296" s="8">
        <f>HYPERLINK("https://ictv.global/id/TN19900935","TN19900935@prod")</f>
        <v/>
      </c>
      <c r="O296" s="8">
        <f>HYPERLINK("https://ictv.global/id/ICTV19760344","ICTV19760344@prod")</f>
        <v/>
      </c>
    </row>
    <row r="297">
      <c r="A297" t="n">
        <v>11</v>
      </c>
      <c r="B297" t="n">
        <v>19900936</v>
      </c>
      <c r="C297" t="n">
        <v>19760345</v>
      </c>
      <c r="D297" t="inlineStr">
        <is>
          <t>species</t>
        </is>
      </c>
      <c r="E297" t="inlineStr">
        <is>
          <t>Human rhinovirus 111</t>
        </is>
      </c>
      <c r="G297" t="inlineStr">
        <is>
          <t>Abolished,</t>
        </is>
      </c>
      <c r="L297" s="8">
        <f>HYPERLINK("https://test.ictv.global/id/TN19900936","TN19900936@TEST")</f>
        <v/>
      </c>
      <c r="M297" s="8">
        <f>HYPERLINK("https://test.ictv.global/id/ICTV19760345","ICTV19760345@TEST")</f>
        <v/>
      </c>
      <c r="N297" s="8">
        <f>HYPERLINK("https://ictv.global/id/TN19900936","TN19900936@prod")</f>
        <v/>
      </c>
      <c r="O297" s="8">
        <f>HYPERLINK("https://ictv.global/id/ICTV19760345","ICTV19760345@prod")</f>
        <v/>
      </c>
    </row>
    <row r="298">
      <c r="A298" t="n">
        <v>11</v>
      </c>
      <c r="B298" t="n">
        <v>19900937</v>
      </c>
      <c r="C298" t="n">
        <v>19760346</v>
      </c>
      <c r="D298" t="inlineStr">
        <is>
          <t>species</t>
        </is>
      </c>
      <c r="E298" t="inlineStr">
        <is>
          <t>Human rhinovirus 112</t>
        </is>
      </c>
      <c r="G298" t="inlineStr">
        <is>
          <t>Abolished,</t>
        </is>
      </c>
      <c r="L298" s="8">
        <f>HYPERLINK("https://test.ictv.global/id/TN19900937","TN19900937@TEST")</f>
        <v/>
      </c>
      <c r="M298" s="8">
        <f>HYPERLINK("https://test.ictv.global/id/ICTV19760346","ICTV19760346@TEST")</f>
        <v/>
      </c>
      <c r="N298" s="8">
        <f>HYPERLINK("https://ictv.global/id/TN19900937","TN19900937@prod")</f>
        <v/>
      </c>
      <c r="O298" s="8">
        <f>HYPERLINK("https://ictv.global/id/ICTV19760346","ICTV19760346@prod")</f>
        <v/>
      </c>
    </row>
    <row r="299">
      <c r="A299" t="n">
        <v>11</v>
      </c>
      <c r="B299" t="n">
        <v>19900938</v>
      </c>
      <c r="C299" t="n">
        <v>19760347</v>
      </c>
      <c r="D299" t="inlineStr">
        <is>
          <t>species</t>
        </is>
      </c>
      <c r="E299" t="inlineStr">
        <is>
          <t>Human rhinovirus 113</t>
        </is>
      </c>
      <c r="G299" t="inlineStr">
        <is>
          <t>Abolished,</t>
        </is>
      </c>
      <c r="L299" s="8">
        <f>HYPERLINK("https://test.ictv.global/id/TN19900938","TN19900938@TEST")</f>
        <v/>
      </c>
      <c r="M299" s="8">
        <f>HYPERLINK("https://test.ictv.global/id/ICTV19760347","ICTV19760347@TEST")</f>
        <v/>
      </c>
      <c r="N299" s="8">
        <f>HYPERLINK("https://ictv.global/id/TN19900938","TN19900938@prod")</f>
        <v/>
      </c>
      <c r="O299" s="8">
        <f>HYPERLINK("https://ictv.global/id/ICTV19760347","ICTV19760347@prod")</f>
        <v/>
      </c>
    </row>
    <row r="300">
      <c r="A300" t="n">
        <v>11</v>
      </c>
      <c r="B300" t="n">
        <v>19901052</v>
      </c>
      <c r="C300" t="n">
        <v>19760812</v>
      </c>
      <c r="D300" t="inlineStr">
        <is>
          <t>species</t>
        </is>
      </c>
      <c r="E300" t="inlineStr">
        <is>
          <t>Phage Y</t>
        </is>
      </c>
      <c r="G300" t="inlineStr">
        <is>
          <t>Abolished,</t>
        </is>
      </c>
      <c r="L300" s="8">
        <f>HYPERLINK("https://test.ictv.global/id/TN19901052","TN19901052@TEST")</f>
        <v/>
      </c>
      <c r="M300" s="8">
        <f>HYPERLINK("https://test.ictv.global/id/ICTV19760812","ICTV19760812@TEST")</f>
        <v/>
      </c>
      <c r="N300" s="8">
        <f>HYPERLINK("https://ictv.global/id/TN19901052","TN19901052@prod")</f>
        <v/>
      </c>
      <c r="O300" s="8">
        <f>HYPERLINK("https://ictv.global/id/ICTV19760812","ICTV19760812@prod")</f>
        <v/>
      </c>
    </row>
    <row r="301">
      <c r="A301" t="n">
        <v>11</v>
      </c>
      <c r="B301" t="n">
        <v>19901071</v>
      </c>
      <c r="C301" t="n">
        <v>19710264</v>
      </c>
      <c r="D301" t="inlineStr">
        <is>
          <t>species</t>
        </is>
      </c>
      <c r="E301" t="inlineStr">
        <is>
          <t>Buffalopox virus</t>
        </is>
      </c>
      <c r="G301" t="inlineStr">
        <is>
          <t>Merged,Assigned as Type Species,</t>
        </is>
      </c>
      <c r="H301" t="inlineStr">
        <is>
          <t>Vaccinia virus</t>
        </is>
      </c>
      <c r="I301" t="inlineStr">
        <is>
          <t>species</t>
        </is>
      </c>
      <c r="J301" t="n">
        <v>19911346</v>
      </c>
      <c r="K301" t="n">
        <v>19911346</v>
      </c>
      <c r="L301" s="8">
        <f>HYPERLINK("https://test.ictv.global/id/TN19901071","TN19901071@TEST")</f>
        <v/>
      </c>
      <c r="M301" s="8">
        <f>HYPERLINK("https://test.ictv.global/id/ICTV19710264","ICTV19710264@TEST")</f>
        <v/>
      </c>
      <c r="N301" s="8">
        <f>HYPERLINK("https://ictv.global/id/TN19901071","TN19901071@prod")</f>
        <v/>
      </c>
      <c r="O301" s="8">
        <f>HYPERLINK("https://ictv.global/id/ICTV19710264","ICTV19710264@prod")</f>
        <v/>
      </c>
    </row>
    <row r="302">
      <c r="A302" t="n">
        <v>11</v>
      </c>
      <c r="B302" t="n">
        <v>19901076</v>
      </c>
      <c r="C302" t="n">
        <v>19710284</v>
      </c>
      <c r="D302" t="inlineStr">
        <is>
          <t>species</t>
        </is>
      </c>
      <c r="E302" t="inlineStr">
        <is>
          <t>Rabbitpox virus</t>
        </is>
      </c>
      <c r="G302" t="inlineStr">
        <is>
          <t>Merged,Assigned as Type Species,</t>
        </is>
      </c>
      <c r="H302" t="inlineStr">
        <is>
          <t>Vaccinia virus</t>
        </is>
      </c>
      <c r="I302" t="inlineStr">
        <is>
          <t>species</t>
        </is>
      </c>
      <c r="J302" t="n">
        <v>19911346</v>
      </c>
      <c r="K302" t="n">
        <v>19911346</v>
      </c>
      <c r="L302" s="8">
        <f>HYPERLINK("https://test.ictv.global/id/TN19901076","TN19901076@TEST")</f>
        <v/>
      </c>
      <c r="M302" s="8">
        <f>HYPERLINK("https://test.ictv.global/id/ICTV19710284","ICTV19710284@TEST")</f>
        <v/>
      </c>
      <c r="N302" s="8">
        <f>HYPERLINK("https://ictv.global/id/TN19901076","TN19901076@prod")</f>
        <v/>
      </c>
      <c r="O302" s="8">
        <f>HYPERLINK("https://ictv.global/id/ICTV19710284","ICTV19710284@prod")</f>
        <v/>
      </c>
    </row>
    <row r="303">
      <c r="A303" t="n">
        <v>11</v>
      </c>
      <c r="B303" t="n">
        <v>19901077</v>
      </c>
      <c r="C303" t="n">
        <v>19911346</v>
      </c>
      <c r="D303" t="inlineStr">
        <is>
          <t>species</t>
        </is>
      </c>
      <c r="E303" t="inlineStr">
        <is>
          <t>Vaccinia virus</t>
        </is>
      </c>
      <c r="F303" t="inlineStr"/>
      <c r="G303" t="inlineStr">
        <is>
          <t>Merged,</t>
        </is>
      </c>
      <c r="H303" t="inlineStr">
        <is>
          <t>Vaccinia virus</t>
        </is>
      </c>
      <c r="I303" t="inlineStr">
        <is>
          <t>species</t>
        </is>
      </c>
      <c r="J303" t="n">
        <v>19911346</v>
      </c>
      <c r="K303" t="n">
        <v>19911346</v>
      </c>
      <c r="L303" s="8">
        <f>HYPERLINK("https://test.ictv.global/id/TN19901077","TN19901077@TEST")</f>
        <v/>
      </c>
      <c r="M303" s="8">
        <f>HYPERLINK("https://test.ictv.global/id/ICTV19911346","ICTV19911346@TEST")</f>
        <v/>
      </c>
      <c r="N303" s="8">
        <f>HYPERLINK("https://ictv.global/id/TN19901077","TN19901077@prod")</f>
        <v/>
      </c>
      <c r="O303" s="8">
        <f>HYPERLINK("https://ictv.global/id/ICTV19911346","ICTV19911346@prod")</f>
        <v/>
      </c>
    </row>
    <row r="304">
      <c r="A304" t="n">
        <v>11</v>
      </c>
      <c r="B304" t="n">
        <v>19901080</v>
      </c>
      <c r="C304" t="n">
        <v>19710268</v>
      </c>
      <c r="D304" t="inlineStr">
        <is>
          <t>species</t>
        </is>
      </c>
      <c r="E304" t="inlineStr">
        <is>
          <t>Chamois contagious echthyma virus</t>
        </is>
      </c>
      <c r="G304" t="inlineStr">
        <is>
          <t>Abolished,</t>
        </is>
      </c>
      <c r="L304" s="8">
        <f>HYPERLINK("https://test.ictv.global/id/TN19901080","TN19901080@TEST")</f>
        <v/>
      </c>
      <c r="M304" s="8">
        <f>HYPERLINK("https://test.ictv.global/id/ICTV19710268","ICTV19710268@TEST")</f>
        <v/>
      </c>
      <c r="N304" s="8">
        <f>HYPERLINK("https://ictv.global/id/TN19901080","TN19901080@prod")</f>
        <v/>
      </c>
      <c r="O304" s="8">
        <f>HYPERLINK("https://ictv.global/id/ICTV19710268","ICTV19710268@prod")</f>
        <v/>
      </c>
    </row>
    <row r="305">
      <c r="A305" t="n">
        <v>11</v>
      </c>
      <c r="B305" t="n">
        <v>19901084</v>
      </c>
      <c r="C305" t="n">
        <v>19790733</v>
      </c>
      <c r="D305" t="inlineStr">
        <is>
          <t>species</t>
        </is>
      </c>
      <c r="E305" t="inlineStr">
        <is>
          <t>Carnivorepox virus</t>
        </is>
      </c>
      <c r="G305" t="inlineStr">
        <is>
          <t>Abolished,</t>
        </is>
      </c>
      <c r="L305" s="8">
        <f>HYPERLINK("https://test.ictv.global/id/TN19901084","TN19901084@TEST")</f>
        <v/>
      </c>
      <c r="M305" s="8">
        <f>HYPERLINK("https://test.ictv.global/id/ICTV19790733","ICTV19790733@TEST")</f>
        <v/>
      </c>
      <c r="N305" s="8">
        <f>HYPERLINK("https://ictv.global/id/TN19901084","TN19901084@prod")</f>
        <v/>
      </c>
      <c r="O305" s="8">
        <f>HYPERLINK("https://ictv.global/id/ICTV19790733","ICTV19790733@prod")</f>
        <v/>
      </c>
    </row>
    <row r="306">
      <c r="A306" t="n">
        <v>11</v>
      </c>
      <c r="B306" t="n">
        <v>19901085</v>
      </c>
      <c r="C306" t="n">
        <v>19790734</v>
      </c>
      <c r="D306" t="inlineStr">
        <is>
          <t>species</t>
        </is>
      </c>
      <c r="E306" t="inlineStr">
        <is>
          <t>Elephantpox virus</t>
        </is>
      </c>
      <c r="G306" t="inlineStr">
        <is>
          <t>Abolished,</t>
        </is>
      </c>
      <c r="L306" s="8">
        <f>HYPERLINK("https://test.ictv.global/id/TN19901085","TN19901085@TEST")</f>
        <v/>
      </c>
      <c r="M306" s="8">
        <f>HYPERLINK("https://test.ictv.global/id/ICTV19790734","ICTV19790734@TEST")</f>
        <v/>
      </c>
      <c r="N306" s="8">
        <f>HYPERLINK("https://ictv.global/id/TN19901085","TN19901085@prod")</f>
        <v/>
      </c>
      <c r="O306" s="8">
        <f>HYPERLINK("https://ictv.global/id/ICTV19790734","ICTV19790734@prod")</f>
        <v/>
      </c>
    </row>
    <row r="307">
      <c r="A307" t="n">
        <v>11</v>
      </c>
      <c r="B307" t="n">
        <v>19901110</v>
      </c>
      <c r="C307" t="n">
        <v>19760478</v>
      </c>
      <c r="D307" t="inlineStr">
        <is>
          <t>species</t>
        </is>
      </c>
      <c r="E307" t="inlineStr">
        <is>
          <t>Oreopsyche angustella entomopoxvirus</t>
        </is>
      </c>
      <c r="G307" t="inlineStr">
        <is>
          <t>Abolished,</t>
        </is>
      </c>
      <c r="L307" s="8">
        <f>HYPERLINK("https://test.ictv.global/id/TN19901110","TN19901110@TEST")</f>
        <v/>
      </c>
      <c r="M307" s="8">
        <f>HYPERLINK("https://test.ictv.global/id/ICTV19760478","ICTV19760478@TEST")</f>
        <v/>
      </c>
      <c r="N307" s="8">
        <f>HYPERLINK("https://ictv.global/id/TN19901110","TN19901110@prod")</f>
        <v/>
      </c>
      <c r="O307" s="8">
        <f>HYPERLINK("https://ictv.global/id/ICTV19760478","ICTV19760478@prod")</f>
        <v/>
      </c>
    </row>
    <row r="308">
      <c r="A308" t="n">
        <v>11</v>
      </c>
      <c r="B308" t="n">
        <v>19901111</v>
      </c>
      <c r="C308" t="n">
        <v>19760479</v>
      </c>
      <c r="D308" t="inlineStr">
        <is>
          <t>species</t>
        </is>
      </c>
      <c r="E308" t="inlineStr">
        <is>
          <t>Orthmonius batesi entomopoxvirus</t>
        </is>
      </c>
      <c r="G308" t="inlineStr">
        <is>
          <t>Abolished,</t>
        </is>
      </c>
      <c r="L308" s="8">
        <f>HYPERLINK("https://test.ictv.global/id/TN19901111","TN19901111@TEST")</f>
        <v/>
      </c>
      <c r="M308" s="8">
        <f>HYPERLINK("https://test.ictv.global/id/ICTV19760479","ICTV19760479@TEST")</f>
        <v/>
      </c>
      <c r="N308" s="8">
        <f>HYPERLINK("https://ictv.global/id/TN19901111","TN19901111@prod")</f>
        <v/>
      </c>
      <c r="O308" s="8">
        <f>HYPERLINK("https://ictv.global/id/ICTV19760479","ICTV19760479@prod")</f>
        <v/>
      </c>
    </row>
    <row r="309">
      <c r="A309" t="n">
        <v>11</v>
      </c>
      <c r="B309" t="n">
        <v>19901112</v>
      </c>
      <c r="C309" t="n">
        <v>19760480</v>
      </c>
      <c r="D309" t="inlineStr">
        <is>
          <t>species</t>
        </is>
      </c>
      <c r="E309" t="inlineStr">
        <is>
          <t>Phyllopertha horticola entomopoxvirus</t>
        </is>
      </c>
      <c r="G309" t="inlineStr">
        <is>
          <t>Abolished,</t>
        </is>
      </c>
      <c r="L309" s="8">
        <f>HYPERLINK("https://test.ictv.global/id/TN19901112","TN19901112@TEST")</f>
        <v/>
      </c>
      <c r="M309" s="8">
        <f>HYPERLINK("https://test.ictv.global/id/ICTV19760480","ICTV19760480@TEST")</f>
        <v/>
      </c>
      <c r="N309" s="8">
        <f>HYPERLINK("https://ictv.global/id/TN19901112","TN19901112@prod")</f>
        <v/>
      </c>
      <c r="O309" s="8">
        <f>HYPERLINK("https://ictv.global/id/ICTV19760480","ICTV19760480@prod")</f>
        <v/>
      </c>
    </row>
    <row r="310">
      <c r="A310" t="n">
        <v>11</v>
      </c>
      <c r="B310" t="n">
        <v>19901117</v>
      </c>
      <c r="C310" t="n">
        <v>19901117</v>
      </c>
      <c r="D310" t="inlineStr">
        <is>
          <t>species</t>
        </is>
      </c>
      <c r="E310" t="inlineStr">
        <is>
          <t>Turbot reovirus</t>
        </is>
      </c>
      <c r="G310" t="inlineStr">
        <is>
          <t>Abolished,</t>
        </is>
      </c>
      <c r="L310" s="8">
        <f>HYPERLINK("https://test.ictv.global/id/TN19901117","TN19901117@TEST")</f>
        <v/>
      </c>
      <c r="M310" s="8">
        <f>HYPERLINK("https://test.ictv.global/id/ICTV19901117","ICTV19901117@TEST")</f>
        <v/>
      </c>
      <c r="N310" s="8">
        <f>HYPERLINK("https://ictv.global/id/TN19901117","TN19901117@prod")</f>
        <v/>
      </c>
      <c r="O310" s="8">
        <f>HYPERLINK("https://ictv.global/id/ICTV19901117","ICTV19901117@prod")</f>
        <v/>
      </c>
    </row>
    <row r="311">
      <c r="A311" t="n">
        <v>11</v>
      </c>
      <c r="B311" t="n">
        <v>19901131</v>
      </c>
      <c r="C311" t="n">
        <v>19790775</v>
      </c>
      <c r="D311" t="inlineStr">
        <is>
          <t>species</t>
        </is>
      </c>
      <c r="E311" t="inlineStr">
        <is>
          <t>Arrhenatherum blue dwarf virus</t>
        </is>
      </c>
      <c r="G311" t="inlineStr">
        <is>
          <t>Merged,</t>
        </is>
      </c>
      <c r="H311" t="inlineStr">
        <is>
          <t>Oat sterile dwarf virus</t>
        </is>
      </c>
      <c r="I311" t="inlineStr">
        <is>
          <t>species</t>
        </is>
      </c>
      <c r="J311" t="n">
        <v>19911399</v>
      </c>
      <c r="K311" t="n">
        <v>19911399</v>
      </c>
      <c r="L311" s="8">
        <f>HYPERLINK("https://test.ictv.global/id/TN19901131","TN19901131@TEST")</f>
        <v/>
      </c>
      <c r="M311" s="8">
        <f>HYPERLINK("https://test.ictv.global/id/ICTV19790775","ICTV19790775@TEST")</f>
        <v/>
      </c>
      <c r="N311" s="8">
        <f>HYPERLINK("https://ictv.global/id/TN19901131","TN19901131@prod")</f>
        <v/>
      </c>
      <c r="O311" s="8">
        <f>HYPERLINK("https://ictv.global/id/ICTV19790775","ICTV19790775@prod")</f>
        <v/>
      </c>
    </row>
    <row r="312">
      <c r="A312" t="n">
        <v>11</v>
      </c>
      <c r="B312" t="n">
        <v>19901132</v>
      </c>
      <c r="C312" t="n">
        <v>19790776</v>
      </c>
      <c r="D312" t="inlineStr">
        <is>
          <t>species</t>
        </is>
      </c>
      <c r="E312" t="inlineStr">
        <is>
          <t>Cereal tillering disease virus</t>
        </is>
      </c>
      <c r="G312" t="inlineStr">
        <is>
          <t>Merged,</t>
        </is>
      </c>
      <c r="H312" t="inlineStr">
        <is>
          <t>Maize rough dwarf virus</t>
        </is>
      </c>
      <c r="I312" t="inlineStr">
        <is>
          <t>species</t>
        </is>
      </c>
      <c r="J312" t="n">
        <v>19911398</v>
      </c>
      <c r="K312" t="n">
        <v>19911398</v>
      </c>
      <c r="L312" s="8">
        <f>HYPERLINK("https://test.ictv.global/id/TN19901132","TN19901132@TEST")</f>
        <v/>
      </c>
      <c r="M312" s="8">
        <f>HYPERLINK("https://test.ictv.global/id/ICTV19790776","ICTV19790776@TEST")</f>
        <v/>
      </c>
      <c r="N312" s="8">
        <f>HYPERLINK("https://ictv.global/id/TN19901132","TN19901132@prod")</f>
        <v/>
      </c>
      <c r="O312" s="8">
        <f>HYPERLINK("https://ictv.global/id/ICTV19790776","ICTV19790776@prod")</f>
        <v/>
      </c>
    </row>
    <row r="313">
      <c r="A313" t="n">
        <v>11</v>
      </c>
      <c r="B313" t="n">
        <v>19901134</v>
      </c>
      <c r="C313" t="n">
        <v>19790778</v>
      </c>
      <c r="D313" t="inlineStr">
        <is>
          <t>species</t>
        </is>
      </c>
      <c r="E313" t="inlineStr">
        <is>
          <t>Lolium enation virus</t>
        </is>
      </c>
      <c r="G313" t="inlineStr">
        <is>
          <t>Merged,</t>
        </is>
      </c>
      <c r="H313" t="inlineStr">
        <is>
          <t>Oat sterile dwarf virus</t>
        </is>
      </c>
      <c r="I313" t="inlineStr">
        <is>
          <t>species</t>
        </is>
      </c>
      <c r="J313" t="n">
        <v>19911399</v>
      </c>
      <c r="K313" t="n">
        <v>19911399</v>
      </c>
      <c r="L313" s="8">
        <f>HYPERLINK("https://test.ictv.global/id/TN19901134","TN19901134@TEST")</f>
        <v/>
      </c>
      <c r="M313" s="8">
        <f>HYPERLINK("https://test.ictv.global/id/ICTV19790778","ICTV19790778@TEST")</f>
        <v/>
      </c>
      <c r="N313" s="8">
        <f>HYPERLINK("https://ictv.global/id/TN19901134","TN19901134@prod")</f>
        <v/>
      </c>
      <c r="O313" s="8">
        <f>HYPERLINK("https://ictv.global/id/ICTV19790778","ICTV19790778@prod")</f>
        <v/>
      </c>
    </row>
    <row r="314">
      <c r="A314" t="n">
        <v>11</v>
      </c>
      <c r="B314" t="n">
        <v>19901135</v>
      </c>
      <c r="C314" t="n">
        <v>19911398</v>
      </c>
      <c r="D314" t="inlineStr">
        <is>
          <t>species</t>
        </is>
      </c>
      <c r="E314" t="inlineStr">
        <is>
          <t>Maize rough dwarf virus</t>
        </is>
      </c>
      <c r="F314" t="inlineStr">
        <is>
          <t>S6: X55701; S7: L76562; S8: L76561; S10: L76560</t>
        </is>
      </c>
      <c r="G314" t="inlineStr">
        <is>
          <t>Merged,</t>
        </is>
      </c>
      <c r="H314" t="inlineStr">
        <is>
          <t>Maize rough dwarf virus</t>
        </is>
      </c>
      <c r="I314" t="inlineStr">
        <is>
          <t>species</t>
        </is>
      </c>
      <c r="J314" t="n">
        <v>19911398</v>
      </c>
      <c r="K314" t="n">
        <v>19911398</v>
      </c>
      <c r="L314" s="8">
        <f>HYPERLINK("https://test.ictv.global/id/TN19901135","TN19901135@TEST")</f>
        <v/>
      </c>
      <c r="M314" s="8">
        <f>HYPERLINK("https://test.ictv.global/id/ICTV19911398","ICTV19911398@TEST")</f>
        <v/>
      </c>
      <c r="N314" s="8">
        <f>HYPERLINK("https://ictv.global/id/TN19901135","TN19901135@prod")</f>
        <v/>
      </c>
      <c r="O314" s="8">
        <f>HYPERLINK("https://ictv.global/id/ICTV19911398","ICTV19911398@prod")</f>
        <v/>
      </c>
    </row>
    <row r="315">
      <c r="A315" t="n">
        <v>11</v>
      </c>
      <c r="B315" t="n">
        <v>19901136</v>
      </c>
      <c r="C315" t="n">
        <v>19911399</v>
      </c>
      <c r="D315" t="inlineStr">
        <is>
          <t>species</t>
        </is>
      </c>
      <c r="E315" t="inlineStr">
        <is>
          <t>Oat sterile dwarf virus</t>
        </is>
      </c>
      <c r="F315" t="inlineStr">
        <is>
          <t>S7: AB011024; S8: AB011025; S9: AB011026; S10: AB011027</t>
        </is>
      </c>
      <c r="G315" t="inlineStr">
        <is>
          <t>Merged,</t>
        </is>
      </c>
      <c r="H315" t="inlineStr">
        <is>
          <t>Oat sterile dwarf virus</t>
        </is>
      </c>
      <c r="I315" t="inlineStr">
        <is>
          <t>species</t>
        </is>
      </c>
      <c r="J315" t="n">
        <v>19911399</v>
      </c>
      <c r="K315" t="n">
        <v>19911399</v>
      </c>
      <c r="L315" s="8">
        <f>HYPERLINK("https://test.ictv.global/id/TN19901136","TN19901136@TEST")</f>
        <v/>
      </c>
      <c r="M315" s="8">
        <f>HYPERLINK("https://test.ictv.global/id/ICTV19911399","ICTV19911399@TEST")</f>
        <v/>
      </c>
      <c r="N315" s="8">
        <f>HYPERLINK("https://ictv.global/id/TN19901136","TN19901136@prod")</f>
        <v/>
      </c>
      <c r="O315" s="8">
        <f>HYPERLINK("https://ictv.global/id/ICTV19911399","ICTV19911399@prod")</f>
        <v/>
      </c>
    </row>
    <row r="316">
      <c r="A316" t="n">
        <v>11</v>
      </c>
      <c r="B316" t="n">
        <v>19901137</v>
      </c>
      <c r="C316" t="n">
        <v>19790781</v>
      </c>
      <c r="D316" t="inlineStr">
        <is>
          <t>species</t>
        </is>
      </c>
      <c r="E316" t="inlineStr">
        <is>
          <t>Pangola stunt virus</t>
        </is>
      </c>
      <c r="F316" t="inlineStr"/>
      <c r="G316" t="inlineStr">
        <is>
          <t>Merged,</t>
        </is>
      </c>
      <c r="H316" t="inlineStr">
        <is>
          <t>Maize rough dwarf virus</t>
        </is>
      </c>
      <c r="I316" t="inlineStr">
        <is>
          <t>species</t>
        </is>
      </c>
      <c r="J316" t="n">
        <v>19911398</v>
      </c>
      <c r="K316" t="n">
        <v>19911398</v>
      </c>
      <c r="L316" s="8">
        <f>HYPERLINK("https://test.ictv.global/id/TN19901137","TN19901137@TEST")</f>
        <v/>
      </c>
      <c r="M316" s="8">
        <f>HYPERLINK("https://test.ictv.global/id/ICTV19790781","ICTV19790781@TEST")</f>
        <v/>
      </c>
      <c r="N316" s="8">
        <f>HYPERLINK("https://ictv.global/id/TN19901137","TN19901137@prod")</f>
        <v/>
      </c>
      <c r="O316" s="8">
        <f>HYPERLINK("https://ictv.global/id/ICTV19790781","ICTV19790781@prod")</f>
        <v/>
      </c>
    </row>
    <row r="317">
      <c r="A317" t="n">
        <v>11</v>
      </c>
      <c r="B317" t="n">
        <v>19901138</v>
      </c>
      <c r="C317" t="n">
        <v>19760512</v>
      </c>
      <c r="D317" t="inlineStr">
        <is>
          <t>species</t>
        </is>
      </c>
      <c r="E317" t="inlineStr">
        <is>
          <t>Rice black-streaked dwarf virus</t>
        </is>
      </c>
      <c r="G317" t="inlineStr">
        <is>
          <t>Merged,</t>
        </is>
      </c>
      <c r="H317" t="inlineStr">
        <is>
          <t>Maize rough dwarf virus</t>
        </is>
      </c>
      <c r="I317" t="inlineStr">
        <is>
          <t>species</t>
        </is>
      </c>
      <c r="J317" t="n">
        <v>19911398</v>
      </c>
      <c r="K317" t="n">
        <v>19911398</v>
      </c>
      <c r="L317" s="8">
        <f>HYPERLINK("https://test.ictv.global/id/TN19901138","TN19901138@TEST")</f>
        <v/>
      </c>
      <c r="M317" s="8">
        <f>HYPERLINK("https://test.ictv.global/id/ICTV19760512","ICTV19760512@TEST")</f>
        <v/>
      </c>
      <c r="N317" s="8">
        <f>HYPERLINK("https://ictv.global/id/TN19901138","TN19901138@prod")</f>
        <v/>
      </c>
      <c r="O317" s="8">
        <f>HYPERLINK("https://ictv.global/id/ICTV19760512","ICTV19760512@prod")</f>
        <v/>
      </c>
    </row>
    <row r="318">
      <c r="A318" t="n">
        <v>11</v>
      </c>
      <c r="B318" t="n">
        <v>19901146</v>
      </c>
      <c r="C318" t="n">
        <v>19820979</v>
      </c>
      <c r="D318" t="inlineStr">
        <is>
          <t>species</t>
        </is>
      </c>
      <c r="E318" t="inlineStr">
        <is>
          <t>Ife virus</t>
        </is>
      </c>
      <c r="G318" t="inlineStr">
        <is>
          <t>Abolished,</t>
        </is>
      </c>
      <c r="L318" s="8">
        <f>HYPERLINK("https://test.ictv.global/id/TN19901146","TN19901146@TEST")</f>
        <v/>
      </c>
      <c r="M318" s="8">
        <f>HYPERLINK("https://test.ictv.global/id/ICTV19820979","ICTV19820979@TEST")</f>
        <v/>
      </c>
      <c r="N318" s="8">
        <f>HYPERLINK("https://ictv.global/id/TN19901146","TN19901146@prod")</f>
        <v/>
      </c>
      <c r="O318" s="8">
        <f>HYPERLINK("https://ictv.global/id/ICTV19820979","ICTV19820979@prod")</f>
        <v/>
      </c>
    </row>
    <row r="319">
      <c r="A319" t="n">
        <v>11</v>
      </c>
      <c r="B319" t="n">
        <v>19901147</v>
      </c>
      <c r="C319" t="n">
        <v>19820980</v>
      </c>
      <c r="D319" t="inlineStr">
        <is>
          <t>species</t>
        </is>
      </c>
      <c r="E319" t="inlineStr">
        <is>
          <t>Japanant virus</t>
        </is>
      </c>
      <c r="G319" t="inlineStr">
        <is>
          <t>Abolished,</t>
        </is>
      </c>
      <c r="L319" s="8">
        <f>HYPERLINK("https://test.ictv.global/id/TN19901147","TN19901147@TEST")</f>
        <v/>
      </c>
      <c r="M319" s="8">
        <f>HYPERLINK("https://test.ictv.global/id/ICTV19820980","ICTV19820980@TEST")</f>
        <v/>
      </c>
      <c r="N319" s="8">
        <f>HYPERLINK("https://ictv.global/id/TN19901147","TN19901147@prod")</f>
        <v/>
      </c>
      <c r="O319" s="8">
        <f>HYPERLINK("https://ictv.global/id/ICTV19820980","ICTV19820980@prod")</f>
        <v/>
      </c>
    </row>
    <row r="320">
      <c r="A320" t="n">
        <v>11</v>
      </c>
      <c r="B320" t="n">
        <v>19901150</v>
      </c>
      <c r="C320" t="n">
        <v>19820983</v>
      </c>
      <c r="D320" t="inlineStr">
        <is>
          <t>species</t>
        </is>
      </c>
      <c r="E320" t="inlineStr">
        <is>
          <t>Llano Seco virus</t>
        </is>
      </c>
      <c r="G320" t="inlineStr">
        <is>
          <t>Abolished,</t>
        </is>
      </c>
      <c r="L320" s="8">
        <f>HYPERLINK("https://test.ictv.global/id/TN19901150","TN19901150@TEST")</f>
        <v/>
      </c>
      <c r="M320" s="8">
        <f>HYPERLINK("https://test.ictv.global/id/ICTV19820983","ICTV19820983@TEST")</f>
        <v/>
      </c>
      <c r="N320" s="8">
        <f>HYPERLINK("https://ictv.global/id/TN19901150","TN19901150@prod")</f>
        <v/>
      </c>
      <c r="O320" s="8">
        <f>HYPERLINK("https://ictv.global/id/ICTV19820983","ICTV19820983@prod")</f>
        <v/>
      </c>
    </row>
    <row r="321">
      <c r="A321" t="n">
        <v>11</v>
      </c>
      <c r="B321" t="n">
        <v>19901151</v>
      </c>
      <c r="C321" t="n">
        <v>19820984</v>
      </c>
      <c r="D321" t="inlineStr">
        <is>
          <t>species</t>
        </is>
      </c>
      <c r="E321" t="inlineStr">
        <is>
          <t>Orunga virus</t>
        </is>
      </c>
      <c r="G321" t="inlineStr">
        <is>
          <t>Abolished,</t>
        </is>
      </c>
      <c r="L321" s="8">
        <f>HYPERLINK("https://test.ictv.global/id/TN19901151","TN19901151@TEST")</f>
        <v/>
      </c>
      <c r="M321" s="8">
        <f>HYPERLINK("https://test.ictv.global/id/ICTV19820984","ICTV19820984@TEST")</f>
        <v/>
      </c>
      <c r="N321" s="8">
        <f>HYPERLINK("https://ictv.global/id/TN19901151","TN19901151@prod")</f>
        <v/>
      </c>
      <c r="O321" s="8">
        <f>HYPERLINK("https://ictv.global/id/ICTV19820984","ICTV19820984@prod")</f>
        <v/>
      </c>
    </row>
    <row r="322">
      <c r="A322" t="n">
        <v>11</v>
      </c>
      <c r="B322" t="n">
        <v>19901153</v>
      </c>
      <c r="C322" t="n">
        <v>19820986</v>
      </c>
      <c r="D322" t="inlineStr">
        <is>
          <t>species</t>
        </is>
      </c>
      <c r="E322" t="inlineStr">
        <is>
          <t>Paroo River virus</t>
        </is>
      </c>
      <c r="G322" t="inlineStr">
        <is>
          <t>Abolished,</t>
        </is>
      </c>
      <c r="L322" s="8">
        <f>HYPERLINK("https://test.ictv.global/id/TN19901153","TN19901153@TEST")</f>
        <v/>
      </c>
      <c r="M322" s="8">
        <f>HYPERLINK("https://test.ictv.global/id/ICTV19820986","ICTV19820986@TEST")</f>
        <v/>
      </c>
      <c r="N322" s="8">
        <f>HYPERLINK("https://ictv.global/id/TN19901153","TN19901153@prod")</f>
        <v/>
      </c>
      <c r="O322" s="8">
        <f>HYPERLINK("https://ictv.global/id/ICTV19820986","ICTV19820986@prod")</f>
        <v/>
      </c>
    </row>
    <row r="323">
      <c r="A323" t="n">
        <v>11</v>
      </c>
      <c r="B323" t="n">
        <v>19901154</v>
      </c>
      <c r="C323" t="n">
        <v>19820987</v>
      </c>
      <c r="D323" t="inlineStr">
        <is>
          <t>species</t>
        </is>
      </c>
      <c r="E323" t="inlineStr">
        <is>
          <t>T-50616 virus</t>
        </is>
      </c>
      <c r="G323" t="inlineStr">
        <is>
          <t>Abolished,</t>
        </is>
      </c>
      <c r="L323" s="8">
        <f>HYPERLINK("https://test.ictv.global/id/TN19901154","TN19901154@TEST")</f>
        <v/>
      </c>
      <c r="M323" s="8">
        <f>HYPERLINK("https://test.ictv.global/id/ICTV19820987","ICTV19820987@TEST")</f>
        <v/>
      </c>
      <c r="N323" s="8">
        <f>HYPERLINK("https://ictv.global/id/TN19901154","TN19901154@prod")</f>
        <v/>
      </c>
      <c r="O323" s="8">
        <f>HYPERLINK("https://ictv.global/id/ICTV19820987","ICTV19820987@prod")</f>
        <v/>
      </c>
    </row>
    <row r="324">
      <c r="A324" t="n">
        <v>11</v>
      </c>
      <c r="B324" t="n">
        <v>19901155</v>
      </c>
      <c r="C324" t="n">
        <v>19820988</v>
      </c>
      <c r="D324" t="inlineStr">
        <is>
          <t>species</t>
        </is>
      </c>
      <c r="E324" t="inlineStr">
        <is>
          <t>Umatilla virus</t>
        </is>
      </c>
      <c r="F324" t="inlineStr"/>
      <c r="G324" t="inlineStr">
        <is>
          <t>Abolished,</t>
        </is>
      </c>
      <c r="L324" s="8">
        <f>HYPERLINK("https://test.ictv.global/id/TN19901155","TN19901155@TEST")</f>
        <v/>
      </c>
      <c r="M324" s="8">
        <f>HYPERLINK("https://test.ictv.global/id/ICTV19820988","ICTV19820988@TEST")</f>
        <v/>
      </c>
      <c r="N324" s="8">
        <f>HYPERLINK("https://ictv.global/id/TN19901155","TN19901155@prod")</f>
        <v/>
      </c>
      <c r="O324" s="8">
        <f>HYPERLINK("https://ictv.global/id/ICTV19820988","ICTV19820988@prod")</f>
        <v/>
      </c>
    </row>
    <row r="325">
      <c r="A325" t="n">
        <v>11</v>
      </c>
      <c r="B325" t="n">
        <v>19901165</v>
      </c>
      <c r="C325" t="n">
        <v>19710301</v>
      </c>
      <c r="D325" t="inlineStr">
        <is>
          <t>species</t>
        </is>
      </c>
      <c r="E325" t="inlineStr">
        <is>
          <t>Canine reovirus</t>
        </is>
      </c>
      <c r="G325" t="inlineStr">
        <is>
          <t>Abolished,</t>
        </is>
      </c>
      <c r="L325" s="8">
        <f>HYPERLINK("https://test.ictv.global/id/TN19901165","TN19901165@TEST")</f>
        <v/>
      </c>
      <c r="M325" s="8">
        <f>HYPERLINK("https://test.ictv.global/id/ICTV19710301","ICTV19710301@TEST")</f>
        <v/>
      </c>
      <c r="N325" s="8">
        <f>HYPERLINK("https://ictv.global/id/TN19901165","TN19901165@prod")</f>
        <v/>
      </c>
      <c r="O325" s="8">
        <f>HYPERLINK("https://ictv.global/id/ICTV19710301","ICTV19710301@prod")</f>
        <v/>
      </c>
    </row>
    <row r="326">
      <c r="A326" t="n">
        <v>11</v>
      </c>
      <c r="B326" t="n">
        <v>19901169</v>
      </c>
      <c r="C326" t="n">
        <v>19710306</v>
      </c>
      <c r="D326" t="inlineStr">
        <is>
          <t>species</t>
        </is>
      </c>
      <c r="E326" t="inlineStr">
        <is>
          <t>Simian reovirus</t>
        </is>
      </c>
      <c r="G326" t="inlineStr">
        <is>
          <t>Abolished,</t>
        </is>
      </c>
      <c r="L326" s="8">
        <f>HYPERLINK("https://test.ictv.global/id/TN19901169","TN19901169@TEST")</f>
        <v/>
      </c>
      <c r="M326" s="8">
        <f>HYPERLINK("https://test.ictv.global/id/ICTV19710306","ICTV19710306@TEST")</f>
        <v/>
      </c>
      <c r="N326" s="8">
        <f>HYPERLINK("https://ictv.global/id/TN19901169","TN19901169@prod")</f>
        <v/>
      </c>
      <c r="O326" s="8">
        <f>HYPERLINK("https://ictv.global/id/ICTV19710306","ICTV19710306@prod")</f>
        <v/>
      </c>
    </row>
    <row r="327">
      <c r="A327" t="n">
        <v>11</v>
      </c>
      <c r="B327" t="n">
        <v>19901173</v>
      </c>
      <c r="C327" t="n">
        <v>19790824</v>
      </c>
      <c r="D327" t="inlineStr">
        <is>
          <t>species</t>
        </is>
      </c>
      <c r="E327" t="inlineStr">
        <is>
          <t>Pheasant type C oncoviruses</t>
        </is>
      </c>
      <c r="G327" t="inlineStr">
        <is>
          <t>Abolished,</t>
        </is>
      </c>
      <c r="L327" s="8">
        <f>HYPERLINK("https://test.ictv.global/id/TN19901173","TN19901173@TEST")</f>
        <v/>
      </c>
      <c r="M327" s="8">
        <f>HYPERLINK("https://test.ictv.global/id/ICTV19790824","ICTV19790824@TEST")</f>
        <v/>
      </c>
      <c r="N327" s="8">
        <f>HYPERLINK("https://ictv.global/id/TN19901173","TN19901173@prod")</f>
        <v/>
      </c>
      <c r="O327" s="8">
        <f>HYPERLINK("https://ictv.global/id/ICTV19790824","ICTV19790824@prod")</f>
        <v/>
      </c>
    </row>
    <row r="328">
      <c r="A328" t="n">
        <v>11</v>
      </c>
      <c r="B328" t="n">
        <v>19901175</v>
      </c>
      <c r="C328" t="n">
        <v>19901175</v>
      </c>
      <c r="D328" t="inlineStr">
        <is>
          <t>species</t>
        </is>
      </c>
      <c r="E328" t="inlineStr">
        <is>
          <t>Human T-lymphotropic viruses</t>
        </is>
      </c>
      <c r="G328" t="inlineStr">
        <is>
          <t>Split,Assigned as Type Species,</t>
        </is>
      </c>
      <c r="H328" t="inlineStr">
        <is>
          <t>Human T-cell lymphotropic virus 1</t>
        </is>
      </c>
      <c r="I328" t="inlineStr">
        <is>
          <t>species</t>
        </is>
      </c>
      <c r="J328" t="n">
        <v>19911434</v>
      </c>
      <c r="K328" t="n">
        <v>19911434</v>
      </c>
      <c r="L328" s="8">
        <f>HYPERLINK("https://test.ictv.global/id/TN19901175","TN19901175@TEST")</f>
        <v/>
      </c>
      <c r="M328" s="8">
        <f>HYPERLINK("https://test.ictv.global/id/ICTV19901175","ICTV19901175@TEST")</f>
        <v/>
      </c>
      <c r="N328" s="8">
        <f>HYPERLINK("https://ictv.global/id/TN19901175","TN19901175@prod")</f>
        <v/>
      </c>
      <c r="O328" s="8">
        <f>HYPERLINK("https://ictv.global/id/ICTV19901175","ICTV19901175@prod")</f>
        <v/>
      </c>
    </row>
    <row r="329">
      <c r="A329" t="n">
        <v>11</v>
      </c>
      <c r="B329" t="n">
        <v>19901175</v>
      </c>
      <c r="C329" t="n">
        <v>19901175</v>
      </c>
      <c r="D329" t="inlineStr">
        <is>
          <t>species</t>
        </is>
      </c>
      <c r="E329" t="inlineStr">
        <is>
          <t>Human T-lymphotropic viruses</t>
        </is>
      </c>
      <c r="G329" t="inlineStr">
        <is>
          <t>Split,</t>
        </is>
      </c>
      <c r="H329" t="inlineStr">
        <is>
          <t>Human T-cell lymphotropic virus 2</t>
        </is>
      </c>
      <c r="I329" t="inlineStr">
        <is>
          <t>species</t>
        </is>
      </c>
      <c r="J329" t="n">
        <v>19911435</v>
      </c>
      <c r="K329" t="n">
        <v>19911435</v>
      </c>
      <c r="L329" s="8">
        <f>HYPERLINK("https://test.ictv.global/id/TN19901175","TN19901175@TEST")</f>
        <v/>
      </c>
      <c r="M329" s="8">
        <f>HYPERLINK("https://test.ictv.global/id/ICTV19901175","ICTV19901175@TEST")</f>
        <v/>
      </c>
      <c r="N329" s="8">
        <f>HYPERLINK("https://ictv.global/id/TN19901175","TN19901175@prod")</f>
        <v/>
      </c>
      <c r="O329" s="8">
        <f>HYPERLINK("https://ictv.global/id/ICTV19901175","ICTV19901175@prod")</f>
        <v/>
      </c>
    </row>
    <row r="330">
      <c r="A330" t="n">
        <v>11</v>
      </c>
      <c r="B330" t="n">
        <v>19901176</v>
      </c>
      <c r="C330" t="n">
        <v>19821004</v>
      </c>
      <c r="D330" t="inlineStr">
        <is>
          <t>species</t>
        </is>
      </c>
      <c r="E330" t="inlineStr">
        <is>
          <t>Maedi virus</t>
        </is>
      </c>
      <c r="G330" t="inlineStr">
        <is>
          <t>Merged,</t>
        </is>
      </c>
      <c r="H330" t="inlineStr">
        <is>
          <t>Visna/Maedi virus</t>
        </is>
      </c>
      <c r="I330" t="inlineStr">
        <is>
          <t>species</t>
        </is>
      </c>
      <c r="J330" t="n">
        <v>19911444</v>
      </c>
      <c r="K330" t="n">
        <v>19911444</v>
      </c>
      <c r="L330" s="8">
        <f>HYPERLINK("https://test.ictv.global/id/TN19901176","TN19901176@TEST")</f>
        <v/>
      </c>
      <c r="M330" s="8">
        <f>HYPERLINK("https://test.ictv.global/id/ICTV19821004","ICTV19821004@TEST")</f>
        <v/>
      </c>
      <c r="N330" s="8">
        <f>HYPERLINK("https://ictv.global/id/TN19901176","TN19901176@prod")</f>
        <v/>
      </c>
      <c r="O330" s="8">
        <f>HYPERLINK("https://ictv.global/id/ICTV19821004","ICTV19821004@prod")</f>
        <v/>
      </c>
    </row>
    <row r="331">
      <c r="A331" t="n">
        <v>11</v>
      </c>
      <c r="B331" t="n">
        <v>19901177</v>
      </c>
      <c r="C331" t="n">
        <v>19821005</v>
      </c>
      <c r="D331" t="inlineStr">
        <is>
          <t>species</t>
        </is>
      </c>
      <c r="E331" t="inlineStr">
        <is>
          <t>Progressive pneumonia virus</t>
        </is>
      </c>
      <c r="G331" t="inlineStr">
        <is>
          <t>Abolished,</t>
        </is>
      </c>
      <c r="L331" s="8">
        <f>HYPERLINK("https://test.ictv.global/id/TN19901177","TN19901177@TEST")</f>
        <v/>
      </c>
      <c r="M331" s="8">
        <f>HYPERLINK("https://test.ictv.global/id/ICTV19821005","ICTV19821005@TEST")</f>
        <v/>
      </c>
      <c r="N331" s="8">
        <f>HYPERLINK("https://ictv.global/id/TN19901177","TN19901177@prod")</f>
        <v/>
      </c>
      <c r="O331" s="8">
        <f>HYPERLINK("https://ictv.global/id/ICTV19821005","ICTV19821005@prod")</f>
        <v/>
      </c>
    </row>
    <row r="332">
      <c r="A332" t="n">
        <v>11</v>
      </c>
      <c r="B332" t="n">
        <v>19901178</v>
      </c>
      <c r="C332" t="n">
        <v>19760526</v>
      </c>
      <c r="D332" t="inlineStr">
        <is>
          <t>species</t>
        </is>
      </c>
      <c r="E332" t="inlineStr">
        <is>
          <t>Visna virus</t>
        </is>
      </c>
      <c r="G332" t="inlineStr">
        <is>
          <t>Merged,</t>
        </is>
      </c>
      <c r="H332" t="inlineStr">
        <is>
          <t>Visna/Maedi virus</t>
        </is>
      </c>
      <c r="I332" t="inlineStr">
        <is>
          <t>species</t>
        </is>
      </c>
      <c r="J332" t="n">
        <v>19911444</v>
      </c>
      <c r="K332" t="n">
        <v>19911444</v>
      </c>
      <c r="L332" s="8">
        <f>HYPERLINK("https://test.ictv.global/id/TN19901178","TN19901178@TEST")</f>
        <v/>
      </c>
      <c r="M332" s="8">
        <f>HYPERLINK("https://test.ictv.global/id/ICTV19760526","ICTV19760526@TEST")</f>
        <v/>
      </c>
      <c r="N332" s="8">
        <f>HYPERLINK("https://ictv.global/id/TN19901178","TN19901178@prod")</f>
        <v/>
      </c>
      <c r="O332" s="8">
        <f>HYPERLINK("https://ictv.global/id/ICTV19760526","ICTV19760526@prod")</f>
        <v/>
      </c>
    </row>
    <row r="333">
      <c r="A333" t="n">
        <v>11</v>
      </c>
      <c r="B333" t="n">
        <v>19901179</v>
      </c>
      <c r="C333" t="n">
        <v>19821007</v>
      </c>
      <c r="D333" t="inlineStr">
        <is>
          <t>species</t>
        </is>
      </c>
      <c r="E333" t="inlineStr">
        <is>
          <t>Zwogerziekte virus</t>
        </is>
      </c>
      <c r="G333" t="inlineStr">
        <is>
          <t>Abolished,</t>
        </is>
      </c>
      <c r="L333" s="8">
        <f>HYPERLINK("https://test.ictv.global/id/TN19901179","TN19901179@TEST")</f>
        <v/>
      </c>
      <c r="M333" s="8">
        <f>HYPERLINK("https://test.ictv.global/id/ICTV19821007","ICTV19821007@TEST")</f>
        <v/>
      </c>
      <c r="N333" s="8">
        <f>HYPERLINK("https://ictv.global/id/TN19901179","TN19901179@prod")</f>
        <v/>
      </c>
      <c r="O333" s="8">
        <f>HYPERLINK("https://ictv.global/id/ICTV19821007","ICTV19821007@prod")</f>
        <v/>
      </c>
    </row>
    <row r="334">
      <c r="A334" t="n">
        <v>11</v>
      </c>
      <c r="B334" t="n">
        <v>19901180</v>
      </c>
      <c r="C334" t="n">
        <v>19760529</v>
      </c>
      <c r="D334" t="inlineStr">
        <is>
          <t>species</t>
        </is>
      </c>
      <c r="E334" t="inlineStr">
        <is>
          <t>Baboon type C oncovirus</t>
        </is>
      </c>
      <c r="G334" t="inlineStr">
        <is>
          <t>Abolished,</t>
        </is>
      </c>
      <c r="L334" s="8">
        <f>HYPERLINK("https://test.ictv.global/id/TN19901180","TN19901180@TEST")</f>
        <v/>
      </c>
      <c r="M334" s="8">
        <f>HYPERLINK("https://test.ictv.global/id/ICTV19760529","ICTV19760529@TEST")</f>
        <v/>
      </c>
      <c r="N334" s="8">
        <f>HYPERLINK("https://ictv.global/id/TN19901180","TN19901180@prod")</f>
        <v/>
      </c>
      <c r="O334" s="8">
        <f>HYPERLINK("https://ictv.global/id/ICTV19760529","ICTV19760529@prod")</f>
        <v/>
      </c>
    </row>
    <row r="335">
      <c r="A335" t="n">
        <v>11</v>
      </c>
      <c r="B335" t="n">
        <v>19901186</v>
      </c>
      <c r="C335" t="n">
        <v>19760538</v>
      </c>
      <c r="D335" t="inlineStr">
        <is>
          <t>species</t>
        </is>
      </c>
      <c r="E335" t="inlineStr">
        <is>
          <t>Rat type C oncovirus</t>
        </is>
      </c>
      <c r="G335" t="inlineStr">
        <is>
          <t>Abolished,</t>
        </is>
      </c>
      <c r="L335" s="8">
        <f>HYPERLINK("https://test.ictv.global/id/TN19901186","TN19901186@TEST")</f>
        <v/>
      </c>
      <c r="M335" s="8">
        <f>HYPERLINK("https://test.ictv.global/id/ICTV19760538","ICTV19760538@TEST")</f>
        <v/>
      </c>
      <c r="N335" s="8">
        <f>HYPERLINK("https://ictv.global/id/TN19901186","TN19901186@prod")</f>
        <v/>
      </c>
      <c r="O335" s="8">
        <f>HYPERLINK("https://ictv.global/id/ICTV19760538","ICTV19760538@prod")</f>
        <v/>
      </c>
    </row>
    <row r="336">
      <c r="A336" t="n">
        <v>11</v>
      </c>
      <c r="B336" t="n">
        <v>19901209</v>
      </c>
      <c r="C336" t="n">
        <v>19820588</v>
      </c>
      <c r="D336" t="inlineStr">
        <is>
          <t>species</t>
        </is>
      </c>
      <c r="E336" t="inlineStr">
        <is>
          <t>Antheraea beta virus</t>
        </is>
      </c>
      <c r="G336" t="inlineStr">
        <is>
          <t>Abolished,</t>
        </is>
      </c>
      <c r="L336" s="8">
        <f>HYPERLINK("https://test.ictv.global/id/TN19901209","TN19901209@TEST")</f>
        <v/>
      </c>
      <c r="M336" s="8">
        <f>HYPERLINK("https://test.ictv.global/id/ICTV19820588","ICTV19820588@TEST")</f>
        <v/>
      </c>
      <c r="N336" s="8">
        <f>HYPERLINK("https://ictv.global/id/TN19901209","TN19901209@prod")</f>
        <v/>
      </c>
      <c r="O336" s="8">
        <f>HYPERLINK("https://ictv.global/id/ICTV19820588","ICTV19820588@prod")</f>
        <v/>
      </c>
    </row>
    <row r="337">
      <c r="A337" t="n">
        <v>11</v>
      </c>
      <c r="B337" t="n">
        <v>19901210</v>
      </c>
      <c r="C337" t="n">
        <v>19820589</v>
      </c>
      <c r="D337" t="inlineStr">
        <is>
          <t>species</t>
        </is>
      </c>
      <c r="E337" t="inlineStr">
        <is>
          <t>Darna beta virus</t>
        </is>
      </c>
      <c r="G337" t="inlineStr">
        <is>
          <t>Abolished,</t>
        </is>
      </c>
      <c r="L337" s="8">
        <f>HYPERLINK("https://test.ictv.global/id/TN19901210","TN19901210@TEST")</f>
        <v/>
      </c>
      <c r="M337" s="8">
        <f>HYPERLINK("https://test.ictv.global/id/ICTV19820589","ICTV19820589@TEST")</f>
        <v/>
      </c>
      <c r="N337" s="8">
        <f>HYPERLINK("https://ictv.global/id/TN19901210","TN19901210@prod")</f>
        <v/>
      </c>
      <c r="O337" s="8">
        <f>HYPERLINK("https://ictv.global/id/ICTV19820589","ICTV19820589@prod")</f>
        <v/>
      </c>
    </row>
    <row r="338">
      <c r="A338" t="n">
        <v>11</v>
      </c>
      <c r="B338" t="n">
        <v>19901212</v>
      </c>
      <c r="C338" t="n">
        <v>19820591</v>
      </c>
      <c r="D338" t="inlineStr">
        <is>
          <t>species</t>
        </is>
      </c>
      <c r="E338" t="inlineStr">
        <is>
          <t>Philosamia beta virus</t>
        </is>
      </c>
      <c r="G338" t="inlineStr">
        <is>
          <t>Abolished,</t>
        </is>
      </c>
      <c r="L338" s="8">
        <f>HYPERLINK("https://test.ictv.global/id/TN19901212","TN19901212@TEST")</f>
        <v/>
      </c>
      <c r="M338" s="8">
        <f>HYPERLINK("https://test.ictv.global/id/ICTV19820591","ICTV19820591@TEST")</f>
        <v/>
      </c>
      <c r="N338" s="8">
        <f>HYPERLINK("https://ictv.global/id/TN19901212","TN19901212@prod")</f>
        <v/>
      </c>
      <c r="O338" s="8">
        <f>HYPERLINK("https://ictv.global/id/ICTV19820591","ICTV19820591@prod")</f>
        <v/>
      </c>
    </row>
    <row r="339">
      <c r="A339" t="n">
        <v>11</v>
      </c>
      <c r="B339" t="n">
        <v>19901213</v>
      </c>
      <c r="C339" t="n">
        <v>19820592</v>
      </c>
      <c r="D339" t="inlineStr">
        <is>
          <t>species</t>
        </is>
      </c>
      <c r="E339" t="inlineStr">
        <is>
          <t>Thosea beta virus</t>
        </is>
      </c>
      <c r="G339" t="inlineStr">
        <is>
          <t>Abolished,</t>
        </is>
      </c>
      <c r="L339" s="8">
        <f>HYPERLINK("https://test.ictv.global/id/TN19901213","TN19901213@TEST")</f>
        <v/>
      </c>
      <c r="M339" s="8">
        <f>HYPERLINK("https://test.ictv.global/id/ICTV19820592","ICTV19820592@TEST")</f>
        <v/>
      </c>
      <c r="N339" s="8">
        <f>HYPERLINK("https://ictv.global/id/TN19901213","TN19901213@prod")</f>
        <v/>
      </c>
      <c r="O339" s="8">
        <f>HYPERLINK("https://ictv.global/id/ICTV19820592","ICTV19820592@prod")</f>
        <v/>
      </c>
    </row>
    <row r="340">
      <c r="A340" t="n">
        <v>11</v>
      </c>
      <c r="B340" t="n">
        <v>19901214</v>
      </c>
      <c r="C340" t="n">
        <v>19820593</v>
      </c>
      <c r="D340" t="inlineStr">
        <is>
          <t>species</t>
        </is>
      </c>
      <c r="E340" t="inlineStr">
        <is>
          <t>Trichoplusia beta virus</t>
        </is>
      </c>
      <c r="G340" t="inlineStr">
        <is>
          <t>Abolished,</t>
        </is>
      </c>
      <c r="L340" s="8">
        <f>HYPERLINK("https://test.ictv.global/id/TN19901214","TN19901214@TEST")</f>
        <v/>
      </c>
      <c r="M340" s="8">
        <f>HYPERLINK("https://test.ictv.global/id/ICTV19820593","ICTV19820593@TEST")</f>
        <v/>
      </c>
      <c r="N340" s="8">
        <f>HYPERLINK("https://ictv.global/id/TN19901214","TN19901214@prod")</f>
        <v/>
      </c>
      <c r="O340" s="8">
        <f>HYPERLINK("https://ictv.global/id/ICTV19820593","ICTV19820593@prod")</f>
        <v/>
      </c>
    </row>
    <row r="341">
      <c r="A341" t="n">
        <v>11</v>
      </c>
      <c r="B341" t="n">
        <v>19901217</v>
      </c>
      <c r="C341" t="n">
        <v>19821059</v>
      </c>
      <c r="D341" t="inlineStr">
        <is>
          <t>species</t>
        </is>
      </c>
      <c r="E341" t="inlineStr">
        <is>
          <t>Bijou Bridge virus</t>
        </is>
      </c>
      <c r="G341" t="inlineStr">
        <is>
          <t>Abolished,</t>
        </is>
      </c>
      <c r="L341" s="8">
        <f>HYPERLINK("https://test.ictv.global/id/TN19901217","TN19901217@TEST")</f>
        <v/>
      </c>
      <c r="M341" s="8">
        <f>HYPERLINK("https://test.ictv.global/id/ICTV19821059","ICTV19821059@TEST")</f>
        <v/>
      </c>
      <c r="N341" s="8">
        <f>HYPERLINK("https://ictv.global/id/TN19901217","TN19901217@prod")</f>
        <v/>
      </c>
      <c r="O341" s="8">
        <f>HYPERLINK("https://ictv.global/id/ICTV19821059","ICTV19821059@prod")</f>
        <v/>
      </c>
    </row>
    <row r="342">
      <c r="A342" t="n">
        <v>11</v>
      </c>
      <c r="B342" t="n">
        <v>19901218</v>
      </c>
      <c r="C342" t="n">
        <v>19821060</v>
      </c>
      <c r="D342" t="inlineStr">
        <is>
          <t>species</t>
        </is>
      </c>
      <c r="E342" t="inlineStr">
        <is>
          <t>Cabassou virus</t>
        </is>
      </c>
      <c r="F342" t="inlineStr"/>
      <c r="G342" t="inlineStr">
        <is>
          <t>Abolished,</t>
        </is>
      </c>
      <c r="L342" s="8">
        <f>HYPERLINK("https://test.ictv.global/id/TN19901218","TN19901218@TEST")</f>
        <v/>
      </c>
      <c r="M342" s="8">
        <f>HYPERLINK("https://test.ictv.global/id/ICTV19821060","ICTV19821060@TEST")</f>
        <v/>
      </c>
      <c r="N342" s="8">
        <f>HYPERLINK("https://ictv.global/id/TN19901218","TN19901218@prod")</f>
        <v/>
      </c>
      <c r="O342" s="8">
        <f>HYPERLINK("https://ictv.global/id/ICTV19821060","ICTV19821060@prod")</f>
        <v/>
      </c>
    </row>
    <row r="343">
      <c r="A343" t="n">
        <v>11</v>
      </c>
      <c r="B343" t="n">
        <v>19901235</v>
      </c>
      <c r="C343" t="n">
        <v>19821077</v>
      </c>
      <c r="D343" t="inlineStr">
        <is>
          <t>species</t>
        </is>
      </c>
      <c r="E343" t="inlineStr">
        <is>
          <t>Tonate virus</t>
        </is>
      </c>
      <c r="F343" t="inlineStr"/>
      <c r="G343" t="inlineStr">
        <is>
          <t>Abolished,</t>
        </is>
      </c>
      <c r="L343" s="8">
        <f>HYPERLINK("https://test.ictv.global/id/TN19901235","TN19901235@TEST")</f>
        <v/>
      </c>
      <c r="M343" s="8">
        <f>HYPERLINK("https://test.ictv.global/id/ICTV19821077","ICTV19821077@TEST")</f>
        <v/>
      </c>
      <c r="N343" s="8">
        <f>HYPERLINK("https://ictv.global/id/TN19901235","TN19901235@prod")</f>
        <v/>
      </c>
      <c r="O343" s="8">
        <f>HYPERLINK("https://ictv.global/id/ICTV19821077","ICTV19821077@prod")</f>
        <v/>
      </c>
    </row>
    <row r="344">
      <c r="A344" t="n">
        <v>11</v>
      </c>
      <c r="B344" t="n">
        <v>19901243</v>
      </c>
      <c r="C344" t="n">
        <v>19821338</v>
      </c>
      <c r="D344" t="inlineStr">
        <is>
          <t>species</t>
        </is>
      </c>
      <c r="E344" t="inlineStr">
        <is>
          <t>Saccharomyces cerevisiae virus ScV2</t>
        </is>
      </c>
      <c r="G344" t="inlineStr">
        <is>
          <t>Abolished,</t>
        </is>
      </c>
      <c r="L344" s="8">
        <f>HYPERLINK("https://test.ictv.global/id/TN19901243","TN19901243@TEST")</f>
        <v/>
      </c>
      <c r="M344" s="8">
        <f>HYPERLINK("https://test.ictv.global/id/ICTV19821338","ICTV19821338@TEST")</f>
        <v/>
      </c>
      <c r="N344" s="8">
        <f>HYPERLINK("https://ictv.global/id/TN19901243","TN19901243@prod")</f>
        <v/>
      </c>
      <c r="O344" s="8">
        <f>HYPERLINK("https://ictv.global/id/ICTV19821338","ICTV19821338@prod")</f>
        <v/>
      </c>
    </row>
    <row r="345">
      <c r="A345" t="n">
        <v>11</v>
      </c>
      <c r="B345" t="n">
        <v>19901244</v>
      </c>
      <c r="C345" t="n">
        <v>19821339</v>
      </c>
      <c r="D345" t="inlineStr">
        <is>
          <t>species</t>
        </is>
      </c>
      <c r="E345" t="inlineStr">
        <is>
          <t>Ustilago maydis virus</t>
        </is>
      </c>
      <c r="G345" t="inlineStr">
        <is>
          <t>Split,</t>
        </is>
      </c>
      <c r="H345" t="inlineStr">
        <is>
          <t>Ustilago maydis virus 1</t>
        </is>
      </c>
      <c r="I345" t="inlineStr">
        <is>
          <t>species</t>
        </is>
      </c>
      <c r="J345" t="n">
        <v>19911509</v>
      </c>
      <c r="K345" t="n">
        <v>19911509</v>
      </c>
      <c r="L345" s="8">
        <f>HYPERLINK("https://test.ictv.global/id/TN19901244","TN19901244@TEST")</f>
        <v/>
      </c>
      <c r="M345" s="8">
        <f>HYPERLINK("https://test.ictv.global/id/ICTV19821339","ICTV19821339@TEST")</f>
        <v/>
      </c>
      <c r="N345" s="8">
        <f>HYPERLINK("https://ictv.global/id/TN19901244","TN19901244@prod")</f>
        <v/>
      </c>
      <c r="O345" s="8">
        <f>HYPERLINK("https://ictv.global/id/ICTV19821339","ICTV19821339@prod")</f>
        <v/>
      </c>
    </row>
    <row r="346">
      <c r="A346" t="n">
        <v>11</v>
      </c>
      <c r="B346" t="n">
        <v>19901244</v>
      </c>
      <c r="C346" t="n">
        <v>19821339</v>
      </c>
      <c r="D346" t="inlineStr">
        <is>
          <t>species</t>
        </is>
      </c>
      <c r="E346" t="inlineStr">
        <is>
          <t>Ustilago maydis virus</t>
        </is>
      </c>
      <c r="G346" t="inlineStr">
        <is>
          <t>Split,</t>
        </is>
      </c>
      <c r="H346" t="inlineStr">
        <is>
          <t>Ustilago maydis virus 4</t>
        </is>
      </c>
      <c r="I346" t="inlineStr">
        <is>
          <t>species</t>
        </is>
      </c>
      <c r="J346" t="n">
        <v>19911510</v>
      </c>
      <c r="K346" t="n">
        <v>19911510</v>
      </c>
      <c r="L346" s="8">
        <f>HYPERLINK("https://test.ictv.global/id/TN19901244","TN19901244@TEST")</f>
        <v/>
      </c>
      <c r="M346" s="8">
        <f>HYPERLINK("https://test.ictv.global/id/ICTV19821339","ICTV19821339@TEST")</f>
        <v/>
      </c>
      <c r="N346" s="8">
        <f>HYPERLINK("https://ictv.global/id/TN19901244","TN19901244@prod")</f>
        <v/>
      </c>
      <c r="O346" s="8">
        <f>HYPERLINK("https://ictv.global/id/ICTV19821339","ICTV19821339@prod")</f>
        <v/>
      </c>
    </row>
    <row r="347">
      <c r="A347" t="n">
        <v>11</v>
      </c>
      <c r="B347" t="n">
        <v>19901244</v>
      </c>
      <c r="C347" t="n">
        <v>19821339</v>
      </c>
      <c r="D347" t="inlineStr">
        <is>
          <t>species</t>
        </is>
      </c>
      <c r="E347" t="inlineStr">
        <is>
          <t>Ustilago maydis virus</t>
        </is>
      </c>
      <c r="G347" t="inlineStr">
        <is>
          <t>Split,</t>
        </is>
      </c>
      <c r="H347" t="inlineStr">
        <is>
          <t>Ustilago maydis virus 6</t>
        </is>
      </c>
      <c r="I347" t="inlineStr">
        <is>
          <t>species</t>
        </is>
      </c>
      <c r="J347" t="n">
        <v>19911511</v>
      </c>
      <c r="K347" t="n">
        <v>19911511</v>
      </c>
      <c r="L347" s="8">
        <f>HYPERLINK("https://test.ictv.global/id/TN19901244","TN19901244@TEST")</f>
        <v/>
      </c>
      <c r="M347" s="8">
        <f>HYPERLINK("https://test.ictv.global/id/ICTV19821339","ICTV19821339@TEST")</f>
        <v/>
      </c>
      <c r="N347" s="8">
        <f>HYPERLINK("https://ictv.global/id/TN19901244","TN19901244@prod")</f>
        <v/>
      </c>
      <c r="O347" s="8">
        <f>HYPERLINK("https://ictv.global/id/ICTV19821339","ICTV19821339@prod")</f>
        <v/>
      </c>
    </row>
    <row r="348">
      <c r="A348" t="n">
        <v>11</v>
      </c>
      <c r="B348" t="n">
        <v>19901268</v>
      </c>
      <c r="C348" t="n">
        <v>19821163</v>
      </c>
      <c r="D348" t="inlineStr">
        <is>
          <t>species</t>
        </is>
      </c>
      <c r="E348" t="inlineStr">
        <is>
          <t>Pepino latent virus</t>
        </is>
      </c>
      <c r="G348" t="inlineStr">
        <is>
          <t>Merged,</t>
        </is>
      </c>
      <c r="H348" t="inlineStr">
        <is>
          <t>Potato virus S</t>
        </is>
      </c>
      <c r="I348" t="inlineStr">
        <is>
          <t>species</t>
        </is>
      </c>
      <c r="J348" t="n">
        <v>19911545</v>
      </c>
      <c r="K348" t="n">
        <v>19911545</v>
      </c>
      <c r="L348" s="8">
        <f>HYPERLINK("https://test.ictv.global/id/TN19901268","TN19901268@TEST")</f>
        <v/>
      </c>
      <c r="M348" s="8">
        <f>HYPERLINK("https://test.ictv.global/id/ICTV19821163","ICTV19821163@TEST")</f>
        <v/>
      </c>
      <c r="N348" s="8">
        <f>HYPERLINK("https://ictv.global/id/TN19901268","TN19901268@prod")</f>
        <v/>
      </c>
      <c r="O348" s="8">
        <f>HYPERLINK("https://ictv.global/id/ICTV19821163","ICTV19821163@prod")</f>
        <v/>
      </c>
    </row>
    <row r="349">
      <c r="A349" t="n">
        <v>11</v>
      </c>
      <c r="B349" t="n">
        <v>19901271</v>
      </c>
      <c r="C349" t="n">
        <v>19911545</v>
      </c>
      <c r="D349" t="inlineStr">
        <is>
          <t>species</t>
        </is>
      </c>
      <c r="E349" t="inlineStr">
        <is>
          <t>Potato virus S</t>
        </is>
      </c>
      <c r="F349" t="inlineStr">
        <is>
          <t>AJ863509</t>
        </is>
      </c>
      <c r="G349" t="inlineStr">
        <is>
          <t>Merged,</t>
        </is>
      </c>
      <c r="H349" t="inlineStr">
        <is>
          <t>Potato virus S</t>
        </is>
      </c>
      <c r="I349" t="inlineStr">
        <is>
          <t>species</t>
        </is>
      </c>
      <c r="J349" t="n">
        <v>19911545</v>
      </c>
      <c r="K349" t="n">
        <v>19911545</v>
      </c>
      <c r="L349" s="8">
        <f>HYPERLINK("https://test.ictv.global/id/TN19901271","TN19901271@TEST")</f>
        <v/>
      </c>
      <c r="M349" s="8">
        <f>HYPERLINK("https://test.ictv.global/id/ICTV19911545","ICTV19911545@TEST")</f>
        <v/>
      </c>
      <c r="N349" s="8">
        <f>HYPERLINK("https://ictv.global/id/TN19901271","TN19901271@prod")</f>
        <v/>
      </c>
      <c r="O349" s="8">
        <f>HYPERLINK("https://ictv.global/id/ICTV19911545","ICTV19911545@prod")</f>
        <v/>
      </c>
    </row>
    <row r="350">
      <c r="A350" t="n">
        <v>11</v>
      </c>
      <c r="B350" t="n">
        <v>19901276</v>
      </c>
      <c r="C350" t="n">
        <v>19871240</v>
      </c>
      <c r="D350" t="inlineStr">
        <is>
          <t>species</t>
        </is>
      </c>
      <c r="E350" t="inlineStr">
        <is>
          <t>Glycine mottle virus</t>
        </is>
      </c>
      <c r="G350" t="inlineStr">
        <is>
          <t>Abolished,</t>
        </is>
      </c>
      <c r="L350" s="8">
        <f>HYPERLINK("https://test.ictv.global/id/TN19901276","TN19901276@TEST")</f>
        <v/>
      </c>
      <c r="M350" s="8">
        <f>HYPERLINK("https://test.ictv.global/id/ICTV19871240","ICTV19871240@TEST")</f>
        <v/>
      </c>
      <c r="N350" s="8">
        <f>HYPERLINK("https://ictv.global/id/TN19901276","TN19901276@prod")</f>
        <v/>
      </c>
      <c r="O350" s="8">
        <f>HYPERLINK("https://ictv.global/id/ICTV19871240","ICTV19871240@prod")</f>
        <v/>
      </c>
    </row>
    <row r="351">
      <c r="A351" t="n">
        <v>11</v>
      </c>
      <c r="B351" t="n">
        <v>19901294</v>
      </c>
      <c r="C351" t="n">
        <v>19821182</v>
      </c>
      <c r="D351" t="inlineStr">
        <is>
          <t>species</t>
        </is>
      </c>
      <c r="E351" t="inlineStr">
        <is>
          <t>Grapevine stem-pitting associated virus</t>
        </is>
      </c>
      <c r="G351" t="inlineStr">
        <is>
          <t>Abolished,</t>
        </is>
      </c>
      <c r="L351" s="8">
        <f>HYPERLINK("https://test.ictv.global/id/TN19901294","TN19901294@TEST")</f>
        <v/>
      </c>
      <c r="M351" s="8">
        <f>HYPERLINK("https://test.ictv.global/id/ICTV19821182","ICTV19821182@TEST")</f>
        <v/>
      </c>
      <c r="N351" s="8">
        <f>HYPERLINK("https://ictv.global/id/TN19901294","TN19901294@prod")</f>
        <v/>
      </c>
      <c r="O351" s="8">
        <f>HYPERLINK("https://ictv.global/id/ICTV19821182","ICTV19821182@prod")</f>
        <v/>
      </c>
    </row>
    <row r="352">
      <c r="A352" t="n">
        <v>11</v>
      </c>
      <c r="B352" t="n">
        <v>19901295</v>
      </c>
      <c r="C352" t="n">
        <v>19790976</v>
      </c>
      <c r="D352" t="inlineStr">
        <is>
          <t>species</t>
        </is>
      </c>
      <c r="E352" t="inlineStr">
        <is>
          <t>Lilac chlorotic leafspot virus</t>
        </is>
      </c>
      <c r="G352" t="inlineStr">
        <is>
          <t>Abolished,</t>
        </is>
      </c>
      <c r="L352" s="8">
        <f>HYPERLINK("https://test.ictv.global/id/TN19901295","TN19901295@TEST")</f>
        <v/>
      </c>
      <c r="M352" s="8">
        <f>HYPERLINK("https://test.ictv.global/id/ICTV19790976","ICTV19790976@TEST")</f>
        <v/>
      </c>
      <c r="N352" s="8">
        <f>HYPERLINK("https://ictv.global/id/TN19901295","TN19901295@prod")</f>
        <v/>
      </c>
      <c r="O352" s="8">
        <f>HYPERLINK("https://ictv.global/id/ICTV19790976","ICTV19790976@prod")</f>
        <v/>
      </c>
    </row>
    <row r="353">
      <c r="A353" t="n">
        <v>11</v>
      </c>
      <c r="B353" t="n">
        <v>19901363</v>
      </c>
      <c r="C353" t="n">
        <v>19911689</v>
      </c>
      <c r="D353" t="inlineStr">
        <is>
          <t>species</t>
        </is>
      </c>
      <c r="E353" t="inlineStr">
        <is>
          <t>Barley yellow dwarf virus</t>
        </is>
      </c>
      <c r="G353" t="inlineStr">
        <is>
          <t>Merged,</t>
        </is>
      </c>
      <c r="H353" t="inlineStr">
        <is>
          <t>Barley yellow dwarf virus</t>
        </is>
      </c>
      <c r="I353" t="inlineStr">
        <is>
          <t>species</t>
        </is>
      </c>
      <c r="J353" t="n">
        <v>19911689</v>
      </c>
      <c r="K353" t="n">
        <v>19911689</v>
      </c>
      <c r="L353" s="8">
        <f>HYPERLINK("https://test.ictv.global/id/TN19901363","TN19901363@TEST")</f>
        <v/>
      </c>
      <c r="M353" s="8">
        <f>HYPERLINK("https://test.ictv.global/id/ICTV19911689","ICTV19911689@TEST")</f>
        <v/>
      </c>
      <c r="N353" s="8">
        <f>HYPERLINK("https://ictv.global/id/TN19901363","TN19901363@prod")</f>
        <v/>
      </c>
      <c r="O353" s="8">
        <f>HYPERLINK("https://ictv.global/id/ICTV19911689","ICTV19911689@prod")</f>
        <v/>
      </c>
    </row>
    <row r="354">
      <c r="A354" t="n">
        <v>11</v>
      </c>
      <c r="B354" t="n">
        <v>19901364</v>
      </c>
      <c r="C354" t="n">
        <v>19791019</v>
      </c>
      <c r="D354" t="inlineStr">
        <is>
          <t>species</t>
        </is>
      </c>
      <c r="E354" t="inlineStr">
        <is>
          <t>Beet mild yellowing virus</t>
        </is>
      </c>
      <c r="F354" t="inlineStr">
        <is>
          <t>X83110</t>
        </is>
      </c>
      <c r="G354" t="inlineStr">
        <is>
          <t>Merged,</t>
        </is>
      </c>
      <c r="H354" t="inlineStr">
        <is>
          <t>Beet western yellows virus</t>
        </is>
      </c>
      <c r="I354" t="inlineStr">
        <is>
          <t>species</t>
        </is>
      </c>
      <c r="J354" t="n">
        <v>19911691</v>
      </c>
      <c r="K354" t="n">
        <v>19911691</v>
      </c>
      <c r="L354" s="8">
        <f>HYPERLINK("https://test.ictv.global/id/TN19901364","TN19901364@TEST")</f>
        <v/>
      </c>
      <c r="M354" s="8">
        <f>HYPERLINK("https://test.ictv.global/id/ICTV19791019","ICTV19791019@TEST")</f>
        <v/>
      </c>
      <c r="N354" s="8">
        <f>HYPERLINK("https://ictv.global/id/TN19901364","TN19901364@prod")</f>
        <v/>
      </c>
      <c r="O354" s="8">
        <f>HYPERLINK("https://ictv.global/id/ICTV19791019","ICTV19791019@prod")</f>
        <v/>
      </c>
    </row>
    <row r="355">
      <c r="A355" t="n">
        <v>11</v>
      </c>
      <c r="B355" t="n">
        <v>19901365</v>
      </c>
      <c r="C355" t="n">
        <v>19911691</v>
      </c>
      <c r="D355" t="inlineStr">
        <is>
          <t>species</t>
        </is>
      </c>
      <c r="E355" t="inlineStr">
        <is>
          <t>Beet western yellows virus</t>
        </is>
      </c>
      <c r="F355" t="inlineStr">
        <is>
          <t>AF473561</t>
        </is>
      </c>
      <c r="G355" t="inlineStr">
        <is>
          <t>Merged,</t>
        </is>
      </c>
      <c r="H355" t="inlineStr">
        <is>
          <t>Beet western yellows virus</t>
        </is>
      </c>
      <c r="I355" t="inlineStr">
        <is>
          <t>species</t>
        </is>
      </c>
      <c r="J355" t="n">
        <v>19911691</v>
      </c>
      <c r="K355" t="n">
        <v>19911691</v>
      </c>
      <c r="L355" s="8">
        <f>HYPERLINK("https://test.ictv.global/id/TN19901365","TN19901365@TEST")</f>
        <v/>
      </c>
      <c r="M355" s="8">
        <f>HYPERLINK("https://test.ictv.global/id/ICTV19911691","ICTV19911691@TEST")</f>
        <v/>
      </c>
      <c r="N355" s="8">
        <f>HYPERLINK("https://ictv.global/id/TN19901365","TN19901365@prod")</f>
        <v/>
      </c>
      <c r="O355" s="8">
        <f>HYPERLINK("https://ictv.global/id/ICTV19911691","ICTV19911691@prod")</f>
        <v/>
      </c>
    </row>
    <row r="356">
      <c r="A356" t="n">
        <v>11</v>
      </c>
      <c r="B356" t="n">
        <v>19901368</v>
      </c>
      <c r="C356" t="n">
        <v>19791021</v>
      </c>
      <c r="D356" t="inlineStr">
        <is>
          <t>species</t>
        </is>
      </c>
      <c r="E356" t="inlineStr">
        <is>
          <t>Legume yellows virus</t>
        </is>
      </c>
      <c r="G356" t="inlineStr">
        <is>
          <t>Merged,</t>
        </is>
      </c>
      <c r="H356" t="inlineStr">
        <is>
          <t>Bean leaf roll virus</t>
        </is>
      </c>
      <c r="I356" t="inlineStr">
        <is>
          <t>species</t>
        </is>
      </c>
      <c r="J356" t="n">
        <v>19911690</v>
      </c>
      <c r="K356" t="n">
        <v>19911690</v>
      </c>
      <c r="L356" s="8">
        <f>HYPERLINK("https://test.ictv.global/id/TN19901368","TN19901368@TEST")</f>
        <v/>
      </c>
      <c r="M356" s="8">
        <f>HYPERLINK("https://test.ictv.global/id/ICTV19791021","ICTV19791021@TEST")</f>
        <v/>
      </c>
      <c r="N356" s="8">
        <f>HYPERLINK("https://ictv.global/id/TN19901368","TN19901368@prod")</f>
        <v/>
      </c>
      <c r="O356" s="8">
        <f>HYPERLINK("https://ictv.global/id/ICTV19791021","ICTV19791021@prod")</f>
        <v/>
      </c>
    </row>
    <row r="357">
      <c r="A357" t="n">
        <v>11</v>
      </c>
      <c r="B357" t="n">
        <v>19901369</v>
      </c>
      <c r="C357" t="n">
        <v>19791022</v>
      </c>
      <c r="D357" t="inlineStr">
        <is>
          <t>species</t>
        </is>
      </c>
      <c r="E357" t="inlineStr">
        <is>
          <t>Malva yellows virus</t>
        </is>
      </c>
      <c r="G357" t="inlineStr">
        <is>
          <t>Merged,</t>
        </is>
      </c>
      <c r="H357" t="inlineStr">
        <is>
          <t>Beet western yellows virus</t>
        </is>
      </c>
      <c r="I357" t="inlineStr">
        <is>
          <t>species</t>
        </is>
      </c>
      <c r="J357" t="n">
        <v>19911691</v>
      </c>
      <c r="K357" t="n">
        <v>19911691</v>
      </c>
      <c r="L357" s="8">
        <f>HYPERLINK("https://test.ictv.global/id/TN19901369","TN19901369@TEST")</f>
        <v/>
      </c>
      <c r="M357" s="8">
        <f>HYPERLINK("https://test.ictv.global/id/ICTV19791022","ICTV19791022@TEST")</f>
        <v/>
      </c>
      <c r="N357" s="8">
        <f>HYPERLINK("https://ictv.global/id/TN19901369","TN19901369@prod")</f>
        <v/>
      </c>
      <c r="O357" s="8">
        <f>HYPERLINK("https://ictv.global/id/ICTV19791022","ICTV19791022@prod")</f>
        <v/>
      </c>
    </row>
    <row r="358">
      <c r="A358" t="n">
        <v>11</v>
      </c>
      <c r="B358" t="n">
        <v>19901370</v>
      </c>
      <c r="C358" t="n">
        <v>19791023</v>
      </c>
      <c r="D358" t="inlineStr">
        <is>
          <t>species</t>
        </is>
      </c>
      <c r="E358" t="inlineStr">
        <is>
          <t>Pea leaf roll virus</t>
        </is>
      </c>
      <c r="G358" t="inlineStr">
        <is>
          <t>Merged,</t>
        </is>
      </c>
      <c r="H358" t="inlineStr">
        <is>
          <t>Bean leaf roll virus</t>
        </is>
      </c>
      <c r="I358" t="inlineStr">
        <is>
          <t>species</t>
        </is>
      </c>
      <c r="J358" t="n">
        <v>19911690</v>
      </c>
      <c r="K358" t="n">
        <v>19911690</v>
      </c>
      <c r="L358" s="8">
        <f>HYPERLINK("https://test.ictv.global/id/TN19901370","TN19901370@TEST")</f>
        <v/>
      </c>
      <c r="M358" s="8">
        <f>HYPERLINK("https://test.ictv.global/id/ICTV19791023","ICTV19791023@TEST")</f>
        <v/>
      </c>
      <c r="N358" s="8">
        <f>HYPERLINK("https://ictv.global/id/TN19901370","TN19901370@prod")</f>
        <v/>
      </c>
      <c r="O358" s="8">
        <f>HYPERLINK("https://ictv.global/id/ICTV19791023","ICTV19791023@prod")</f>
        <v/>
      </c>
    </row>
    <row r="359">
      <c r="A359" t="n">
        <v>11</v>
      </c>
      <c r="B359" t="n">
        <v>19901371</v>
      </c>
      <c r="C359" t="n">
        <v>19991080</v>
      </c>
      <c r="D359" t="inlineStr">
        <is>
          <t>species</t>
        </is>
      </c>
      <c r="E359" t="inlineStr">
        <is>
          <t>Potato leaf roll virus</t>
        </is>
      </c>
      <c r="G359" t="inlineStr">
        <is>
          <t>Merged,</t>
        </is>
      </c>
      <c r="H359" t="inlineStr">
        <is>
          <t>Potato leaf roll virus</t>
        </is>
      </c>
      <c r="I359" t="inlineStr">
        <is>
          <t>species</t>
        </is>
      </c>
      <c r="J359" t="n">
        <v>19991080</v>
      </c>
      <c r="K359" t="n">
        <v>19911695</v>
      </c>
      <c r="L359" s="8">
        <f>HYPERLINK("https://test.ictv.global/id/TN19901371","TN19901371@TEST")</f>
        <v/>
      </c>
      <c r="M359" s="8">
        <f>HYPERLINK("https://test.ictv.global/id/ICTV19991080","ICTV19991080@TEST")</f>
        <v/>
      </c>
      <c r="N359" s="8">
        <f>HYPERLINK("https://ictv.global/id/TN19901371","TN19901371@prod")</f>
        <v/>
      </c>
      <c r="O359" s="8">
        <f>HYPERLINK("https://ictv.global/id/ICTV19991080","ICTV19991080@prod")</f>
        <v/>
      </c>
    </row>
    <row r="360">
      <c r="A360" t="n">
        <v>11</v>
      </c>
      <c r="B360" t="n">
        <v>19901372</v>
      </c>
      <c r="C360" t="n">
        <v>19791024</v>
      </c>
      <c r="D360" t="inlineStr">
        <is>
          <t>species</t>
        </is>
      </c>
      <c r="E360" t="inlineStr">
        <is>
          <t>Rice giallume virus</t>
        </is>
      </c>
      <c r="G360" t="inlineStr">
        <is>
          <t>Merged,Assigned as Type Species,</t>
        </is>
      </c>
      <c r="H360" t="inlineStr">
        <is>
          <t>Barley yellow dwarf virus</t>
        </is>
      </c>
      <c r="I360" t="inlineStr">
        <is>
          <t>species</t>
        </is>
      </c>
      <c r="J360" t="n">
        <v>19911689</v>
      </c>
      <c r="K360" t="n">
        <v>19911689</v>
      </c>
      <c r="L360" s="8">
        <f>HYPERLINK("https://test.ictv.global/id/TN19901372","TN19901372@TEST")</f>
        <v/>
      </c>
      <c r="M360" s="8">
        <f>HYPERLINK("https://test.ictv.global/id/ICTV19791024","ICTV19791024@TEST")</f>
        <v/>
      </c>
      <c r="N360" s="8">
        <f>HYPERLINK("https://ictv.global/id/TN19901372","TN19901372@prod")</f>
        <v/>
      </c>
      <c r="O360" s="8">
        <f>HYPERLINK("https://ictv.global/id/ICTV19791024","ICTV19791024@prod")</f>
        <v/>
      </c>
    </row>
    <row r="361">
      <c r="A361" t="n">
        <v>11</v>
      </c>
      <c r="B361" t="n">
        <v>19901373</v>
      </c>
      <c r="C361" t="n">
        <v>19821239</v>
      </c>
      <c r="D361" t="inlineStr">
        <is>
          <t>species</t>
        </is>
      </c>
      <c r="E361" t="inlineStr">
        <is>
          <t>Solanum yellows virus</t>
        </is>
      </c>
      <c r="G361" t="inlineStr">
        <is>
          <t>Merged,</t>
        </is>
      </c>
      <c r="H361" t="inlineStr">
        <is>
          <t>Potato leaf roll virus</t>
        </is>
      </c>
      <c r="I361" t="inlineStr">
        <is>
          <t>species</t>
        </is>
      </c>
      <c r="J361" t="n">
        <v>19991080</v>
      </c>
      <c r="K361" t="n">
        <v>19911695</v>
      </c>
      <c r="L361" s="8">
        <f>HYPERLINK("https://test.ictv.global/id/TN19901373","TN19901373@TEST")</f>
        <v/>
      </c>
      <c r="M361" s="8">
        <f>HYPERLINK("https://test.ictv.global/id/ICTV19821239","ICTV19821239@TEST")</f>
        <v/>
      </c>
      <c r="N361" s="8">
        <f>HYPERLINK("https://ictv.global/id/TN19901373","TN19901373@prod")</f>
        <v/>
      </c>
      <c r="O361" s="8">
        <f>HYPERLINK("https://ictv.global/id/ICTV19821239","ICTV19821239@prod")</f>
        <v/>
      </c>
    </row>
    <row r="362">
      <c r="A362" t="n">
        <v>11</v>
      </c>
      <c r="B362" t="n">
        <v>19901374</v>
      </c>
      <c r="C362" t="n">
        <v>19911696</v>
      </c>
      <c r="D362" t="inlineStr">
        <is>
          <t>species</t>
        </is>
      </c>
      <c r="E362" t="inlineStr">
        <is>
          <t>Soybean dwarf virus</t>
        </is>
      </c>
      <c r="F362" t="inlineStr">
        <is>
          <t>AB038147</t>
        </is>
      </c>
      <c r="G362" t="inlineStr">
        <is>
          <t>Merged,</t>
        </is>
      </c>
      <c r="H362" t="inlineStr">
        <is>
          <t>Soybean dwarf virus</t>
        </is>
      </c>
      <c r="I362" t="inlineStr">
        <is>
          <t>species</t>
        </is>
      </c>
      <c r="J362" t="n">
        <v>19911696</v>
      </c>
      <c r="K362" t="n">
        <v>19911696</v>
      </c>
      <c r="L362" s="8">
        <f>HYPERLINK("https://test.ictv.global/id/TN19901374","TN19901374@TEST")</f>
        <v/>
      </c>
      <c r="M362" s="8">
        <f>HYPERLINK("https://test.ictv.global/id/ICTV19911696","ICTV19911696@TEST")</f>
        <v/>
      </c>
      <c r="N362" s="8">
        <f>HYPERLINK("https://ictv.global/id/TN19901374","TN19901374@prod")</f>
        <v/>
      </c>
      <c r="O362" s="8">
        <f>HYPERLINK("https://ictv.global/id/ICTV19911696","ICTV19911696@prod")</f>
        <v/>
      </c>
    </row>
    <row r="363">
      <c r="A363" t="n">
        <v>11</v>
      </c>
      <c r="B363" t="n">
        <v>19901375</v>
      </c>
      <c r="C363" t="n">
        <v>19821241</v>
      </c>
      <c r="D363" t="inlineStr">
        <is>
          <t>species</t>
        </is>
      </c>
      <c r="E363" t="inlineStr">
        <is>
          <t>Subterranean clover red leaf virus</t>
        </is>
      </c>
      <c r="G363" t="inlineStr">
        <is>
          <t>Merged,</t>
        </is>
      </c>
      <c r="H363" t="inlineStr">
        <is>
          <t>Soybean dwarf virus</t>
        </is>
      </c>
      <c r="I363" t="inlineStr">
        <is>
          <t>species</t>
        </is>
      </c>
      <c r="J363" t="n">
        <v>19911696</v>
      </c>
      <c r="K363" t="n">
        <v>19911696</v>
      </c>
      <c r="L363" s="8">
        <f>HYPERLINK("https://test.ictv.global/id/TN19901375","TN19901375@TEST")</f>
        <v/>
      </c>
      <c r="M363" s="8">
        <f>HYPERLINK("https://test.ictv.global/id/ICTV19821241","ICTV19821241@TEST")</f>
        <v/>
      </c>
      <c r="N363" s="8">
        <f>HYPERLINK("https://ictv.global/id/TN19901375","TN19901375@prod")</f>
        <v/>
      </c>
      <c r="O363" s="8">
        <f>HYPERLINK("https://ictv.global/id/ICTV19821241","ICTV19821241@prod")</f>
        <v/>
      </c>
    </row>
    <row r="364">
      <c r="A364" t="n">
        <v>11</v>
      </c>
      <c r="B364" t="n">
        <v>19901377</v>
      </c>
      <c r="C364" t="n">
        <v>19791027</v>
      </c>
      <c r="D364" t="inlineStr">
        <is>
          <t>species</t>
        </is>
      </c>
      <c r="E364" t="inlineStr">
        <is>
          <t>Turnip yellows virus</t>
        </is>
      </c>
      <c r="F364" t="inlineStr">
        <is>
          <t>X13063</t>
        </is>
      </c>
      <c r="G364" t="inlineStr">
        <is>
          <t>Merged,</t>
        </is>
      </c>
      <c r="H364" t="inlineStr">
        <is>
          <t>Beet western yellows virus</t>
        </is>
      </c>
      <c r="I364" t="inlineStr">
        <is>
          <t>species</t>
        </is>
      </c>
      <c r="J364" t="n">
        <v>19911691</v>
      </c>
      <c r="K364" t="n">
        <v>19911691</v>
      </c>
      <c r="L364" s="8">
        <f>HYPERLINK("https://test.ictv.global/id/TN19901377","TN19901377@TEST")</f>
        <v/>
      </c>
      <c r="M364" s="8">
        <f>HYPERLINK("https://test.ictv.global/id/ICTV19791027","ICTV19791027@TEST")</f>
        <v/>
      </c>
      <c r="N364" s="8">
        <f>HYPERLINK("https://ictv.global/id/TN19901377","TN19901377@prod")</f>
        <v/>
      </c>
      <c r="O364" s="8">
        <f>HYPERLINK("https://ictv.global/id/ICTV19791027","ICTV19791027@prod")</f>
        <v/>
      </c>
    </row>
    <row r="365">
      <c r="A365" t="n">
        <v>11</v>
      </c>
      <c r="B365" t="n">
        <v>19901410</v>
      </c>
      <c r="C365" t="n">
        <v>19821272</v>
      </c>
      <c r="D365" t="inlineStr">
        <is>
          <t>species</t>
        </is>
      </c>
      <c r="E365" t="inlineStr">
        <is>
          <t>Boussingaultia mosaic virus</t>
        </is>
      </c>
      <c r="G365" t="inlineStr">
        <is>
          <t>Abolished,</t>
        </is>
      </c>
      <c r="L365" s="8">
        <f>HYPERLINK("https://test.ictv.global/id/TN19901410","TN19901410@TEST")</f>
        <v/>
      </c>
      <c r="M365" s="8">
        <f>HYPERLINK("https://test.ictv.global/id/ICTV19821272","ICTV19821272@TEST")</f>
        <v/>
      </c>
      <c r="N365" s="8">
        <f>HYPERLINK("https://ictv.global/id/TN19901410","TN19901410@prod")</f>
        <v/>
      </c>
      <c r="O365" s="8">
        <f>HYPERLINK("https://ictv.global/id/ICTV19821272","ICTV19821272@prod")</f>
        <v/>
      </c>
    </row>
    <row r="366">
      <c r="A366" t="n">
        <v>11</v>
      </c>
      <c r="B366" t="n">
        <v>19901412</v>
      </c>
      <c r="C366" t="n">
        <v>19760745</v>
      </c>
      <c r="D366" t="inlineStr">
        <is>
          <t>species</t>
        </is>
      </c>
      <c r="E366" t="inlineStr">
        <is>
          <t>Cassava common mosaic virus</t>
        </is>
      </c>
      <c r="F366" t="inlineStr">
        <is>
          <t>U23414</t>
        </is>
      </c>
      <c r="G366" t="inlineStr">
        <is>
          <t>Abolished,</t>
        </is>
      </c>
      <c r="L366" s="8">
        <f>HYPERLINK("https://test.ictv.global/id/TN19901412","TN19901412@TEST")</f>
        <v/>
      </c>
      <c r="M366" s="8">
        <f>HYPERLINK("https://test.ictv.global/id/ICTV19760745","ICTV19760745@TEST")</f>
        <v/>
      </c>
      <c r="N366" s="8">
        <f>HYPERLINK("https://ictv.global/id/TN19901412","TN19901412@prod")</f>
        <v/>
      </c>
      <c r="O366" s="8">
        <f>HYPERLINK("https://ictv.global/id/ICTV19760745","ICTV19760745@prod")</f>
        <v/>
      </c>
    </row>
    <row r="367">
      <c r="A367" t="n">
        <v>11</v>
      </c>
      <c r="B367" t="n">
        <v>19901431</v>
      </c>
      <c r="C367" t="n">
        <v>19821293</v>
      </c>
      <c r="D367" t="inlineStr">
        <is>
          <t>species</t>
        </is>
      </c>
      <c r="E367" t="inlineStr">
        <is>
          <t>Bearded iris mosaic virus</t>
        </is>
      </c>
      <c r="G367" t="inlineStr">
        <is>
          <t>Merged,</t>
        </is>
      </c>
      <c r="H367" t="inlineStr">
        <is>
          <t>Iris severe mosaic virus</t>
        </is>
      </c>
      <c r="I367" t="inlineStr">
        <is>
          <t>species</t>
        </is>
      </c>
      <c r="J367" t="n">
        <v>19911785</v>
      </c>
      <c r="K367" t="n">
        <v>19911785</v>
      </c>
      <c r="L367" s="8">
        <f>HYPERLINK("https://test.ictv.global/id/TN19901431","TN19901431@TEST")</f>
        <v/>
      </c>
      <c r="M367" s="8">
        <f>HYPERLINK("https://test.ictv.global/id/ICTV19821293","ICTV19821293@TEST")</f>
        <v/>
      </c>
      <c r="N367" s="8">
        <f>HYPERLINK("https://ictv.global/id/TN19901431","TN19901431@prod")</f>
        <v/>
      </c>
      <c r="O367" s="8">
        <f>HYPERLINK("https://ictv.global/id/ICTV19821293","ICTV19821293@prod")</f>
        <v/>
      </c>
    </row>
    <row r="368">
      <c r="A368" t="n">
        <v>11</v>
      </c>
      <c r="B368" t="n">
        <v>19901448</v>
      </c>
      <c r="C368" t="n">
        <v>19911785</v>
      </c>
      <c r="D368" t="inlineStr">
        <is>
          <t>species</t>
        </is>
      </c>
      <c r="E368" t="inlineStr">
        <is>
          <t>Iris severe mosaic virus</t>
        </is>
      </c>
      <c r="F368" t="inlineStr"/>
      <c r="G368" t="inlineStr">
        <is>
          <t>Merged,</t>
        </is>
      </c>
      <c r="H368" t="inlineStr">
        <is>
          <t>Iris severe mosaic virus</t>
        </is>
      </c>
      <c r="I368" t="inlineStr">
        <is>
          <t>species</t>
        </is>
      </c>
      <c r="J368" t="n">
        <v>19911785</v>
      </c>
      <c r="K368" t="n">
        <v>19911785</v>
      </c>
      <c r="L368" s="8">
        <f>HYPERLINK("https://test.ictv.global/id/TN19901448","TN19901448@TEST")</f>
        <v/>
      </c>
      <c r="M368" s="8">
        <f>HYPERLINK("https://test.ictv.global/id/ICTV19911785","ICTV19911785@TEST")</f>
        <v/>
      </c>
      <c r="N368" s="8">
        <f>HYPERLINK("https://ictv.global/id/TN19901448","TN19901448@prod")</f>
        <v/>
      </c>
      <c r="O368" s="8">
        <f>HYPERLINK("https://ictv.global/id/ICTV19911785","ICTV19911785@prod")</f>
        <v/>
      </c>
    </row>
    <row r="369">
      <c r="A369" t="n">
        <v>11</v>
      </c>
      <c r="B369" t="n">
        <v>19901454</v>
      </c>
      <c r="C369" t="n">
        <v>19911795</v>
      </c>
      <c r="D369" t="inlineStr">
        <is>
          <t>species</t>
        </is>
      </c>
      <c r="E369" t="inlineStr">
        <is>
          <t>Papaya ringspot virus</t>
        </is>
      </c>
      <c r="F369" t="inlineStr">
        <is>
          <t>AY010722</t>
        </is>
      </c>
      <c r="G369" t="inlineStr">
        <is>
          <t>Merged,</t>
        </is>
      </c>
      <c r="H369" t="inlineStr">
        <is>
          <t>Papaya ringspot virus</t>
        </is>
      </c>
      <c r="I369" t="inlineStr">
        <is>
          <t>species</t>
        </is>
      </c>
      <c r="J369" t="n">
        <v>19911795</v>
      </c>
      <c r="K369" t="n">
        <v>19911795</v>
      </c>
      <c r="L369" s="8">
        <f>HYPERLINK("https://test.ictv.global/id/TN19901454","TN19901454@TEST")</f>
        <v/>
      </c>
      <c r="M369" s="8">
        <f>HYPERLINK("https://test.ictv.global/id/ICTV19911795","ICTV19911795@TEST")</f>
        <v/>
      </c>
      <c r="N369" s="8">
        <f>HYPERLINK("https://ictv.global/id/TN19901454","TN19901454@prod")</f>
        <v/>
      </c>
      <c r="O369" s="8">
        <f>HYPERLINK("https://ictv.global/id/ICTV19911795","ICTV19911795@prod")</f>
        <v/>
      </c>
    </row>
    <row r="370">
      <c r="A370" t="n">
        <v>11</v>
      </c>
      <c r="B370" t="n">
        <v>19901472</v>
      </c>
      <c r="C370" t="n">
        <v>19821334</v>
      </c>
      <c r="D370" t="inlineStr">
        <is>
          <t>species</t>
        </is>
      </c>
      <c r="E370" t="inlineStr">
        <is>
          <t>Watermelon mosaic virus 1</t>
        </is>
      </c>
      <c r="G370" t="inlineStr">
        <is>
          <t>Merged,</t>
        </is>
      </c>
      <c r="H370" t="inlineStr">
        <is>
          <t>Papaya ringspot virus</t>
        </is>
      </c>
      <c r="I370" t="inlineStr">
        <is>
          <t>species</t>
        </is>
      </c>
      <c r="J370" t="n">
        <v>19911795</v>
      </c>
      <c r="K370" t="n">
        <v>19911795</v>
      </c>
      <c r="L370" s="8">
        <f>HYPERLINK("https://test.ictv.global/id/TN19901472","TN19901472@TEST")</f>
        <v/>
      </c>
      <c r="M370" s="8">
        <f>HYPERLINK("https://test.ictv.global/id/ICTV19821334","ICTV19821334@TEST")</f>
        <v/>
      </c>
      <c r="N370" s="8">
        <f>HYPERLINK("https://ictv.global/id/TN19901472","TN19901472@prod")</f>
        <v/>
      </c>
      <c r="O370" s="8">
        <f>HYPERLINK("https://ictv.global/id/ICTV19821334","ICTV19821334@prod")</f>
        <v/>
      </c>
    </row>
    <row r="371">
      <c r="A371" t="n">
        <v>11</v>
      </c>
      <c r="B371" t="n">
        <v>19901479</v>
      </c>
      <c r="C371" t="n">
        <v>19911841</v>
      </c>
      <c r="D371" t="inlineStr">
        <is>
          <t>species</t>
        </is>
      </c>
      <c r="E371" t="inlineStr">
        <is>
          <t>Cucumber green mottle mosaic virus</t>
        </is>
      </c>
      <c r="F371" t="inlineStr">
        <is>
          <t>D12505</t>
        </is>
      </c>
      <c r="G371" t="inlineStr">
        <is>
          <t>Merged,</t>
        </is>
      </c>
      <c r="H371" t="inlineStr">
        <is>
          <t>Cucumber green mottle mosaic virus</t>
        </is>
      </c>
      <c r="I371" t="inlineStr">
        <is>
          <t>species</t>
        </is>
      </c>
      <c r="J371" t="n">
        <v>19911841</v>
      </c>
      <c r="K371" t="n">
        <v>19911841</v>
      </c>
      <c r="L371" s="8">
        <f>HYPERLINK("https://test.ictv.global/id/TN19901479","TN19901479@TEST")</f>
        <v/>
      </c>
      <c r="M371" s="8">
        <f>HYPERLINK("https://test.ictv.global/id/ICTV19911841","ICTV19911841@TEST")</f>
        <v/>
      </c>
      <c r="N371" s="8">
        <f>HYPERLINK("https://ictv.global/id/TN19901479","TN19901479@prod")</f>
        <v/>
      </c>
      <c r="O371" s="8">
        <f>HYPERLINK("https://ictv.global/id/ICTV19911841","ICTV19911841@prod")</f>
        <v/>
      </c>
    </row>
    <row r="372">
      <c r="A372" t="n">
        <v>11</v>
      </c>
      <c r="B372" t="n">
        <v>19901480</v>
      </c>
      <c r="C372" t="n">
        <v>19760835</v>
      </c>
      <c r="D372" t="inlineStr">
        <is>
          <t>species</t>
        </is>
      </c>
      <c r="E372" t="inlineStr">
        <is>
          <t>Cucumber virus 4</t>
        </is>
      </c>
      <c r="G372" t="inlineStr">
        <is>
          <t>Merged,</t>
        </is>
      </c>
      <c r="H372" t="inlineStr">
        <is>
          <t>Cucumber green mottle mosaic virus</t>
        </is>
      </c>
      <c r="I372" t="inlineStr">
        <is>
          <t>species</t>
        </is>
      </c>
      <c r="J372" t="n">
        <v>19911841</v>
      </c>
      <c r="K372" t="n">
        <v>19911841</v>
      </c>
      <c r="L372" s="8">
        <f>HYPERLINK("https://test.ictv.global/id/TN19901480","TN19901480@TEST")</f>
        <v/>
      </c>
      <c r="M372" s="8">
        <f>HYPERLINK("https://test.ictv.global/id/ICTV19760835","ICTV19760835@TEST")</f>
        <v/>
      </c>
      <c r="N372" s="8">
        <f>HYPERLINK("https://ictv.global/id/TN19901480","TN19901480@prod")</f>
        <v/>
      </c>
      <c r="O372" s="8">
        <f>HYPERLINK("https://ictv.global/id/ICTV19760835","ICTV19760835@prod")</f>
        <v/>
      </c>
    </row>
    <row r="373">
      <c r="A373" t="n">
        <v>11</v>
      </c>
      <c r="B373" t="n">
        <v>19901502</v>
      </c>
      <c r="C373" t="n">
        <v>19710333</v>
      </c>
      <c r="D373" t="inlineStr">
        <is>
          <t>species</t>
        </is>
      </c>
      <c r="E373" t="inlineStr">
        <is>
          <t>Andean potato latent virus</t>
        </is>
      </c>
      <c r="F373" t="inlineStr"/>
      <c r="G373" t="inlineStr">
        <is>
          <t>Abolished,</t>
        </is>
      </c>
      <c r="L373" s="8">
        <f>HYPERLINK("https://test.ictv.global/id/TN19901502","TN19901502@TEST")</f>
        <v/>
      </c>
      <c r="M373" s="8">
        <f>HYPERLINK("https://test.ictv.global/id/ICTV19710333","ICTV19710333@TEST")</f>
        <v/>
      </c>
      <c r="N373" s="8">
        <f>HYPERLINK("https://ictv.global/id/TN19901502","TN19901502@prod")</f>
        <v/>
      </c>
      <c r="O373" s="8">
        <f>HYPERLINK("https://ictv.global/id/ICTV19710333","ICTV19710333@prod")</f>
        <v/>
      </c>
    </row>
    <row r="374">
      <c r="A374" t="n">
        <v>12</v>
      </c>
      <c r="B374" t="n">
        <v>19910050</v>
      </c>
      <c r="C374" t="n">
        <v>19900050</v>
      </c>
      <c r="D374" t="inlineStr">
        <is>
          <t>subfamily</t>
        </is>
      </c>
      <c r="E374" t="inlineStr">
        <is>
          <t>Eubaculovirinae</t>
        </is>
      </c>
      <c r="G374" t="inlineStr">
        <is>
          <t>Abolished,</t>
        </is>
      </c>
      <c r="L374" s="8">
        <f>HYPERLINK("https://test.ictv.global/id/TN19910050","TN19910050@TEST")</f>
        <v/>
      </c>
      <c r="M374" s="8">
        <f>HYPERLINK("https://test.ictv.global/id/ICTV19900050","ICTV19900050@TEST")</f>
        <v/>
      </c>
      <c r="N374" s="8">
        <f>HYPERLINK("https://ictv.global/id/TN19910050","TN19910050@prod")</f>
        <v/>
      </c>
      <c r="O374" s="8">
        <f>HYPERLINK("https://ictv.global/id/ICTV19900050","ICTV19900050@prod")</f>
        <v/>
      </c>
    </row>
    <row r="375">
      <c r="A375" t="n">
        <v>12</v>
      </c>
      <c r="B375" t="n">
        <v>19910051</v>
      </c>
      <c r="C375" t="n">
        <v>19900051</v>
      </c>
      <c r="D375" t="inlineStr">
        <is>
          <t>subfamily</t>
        </is>
      </c>
      <c r="E375" t="inlineStr">
        <is>
          <t>Nudibaculovirinae</t>
        </is>
      </c>
      <c r="G375" t="inlineStr">
        <is>
          <t>Abolished,</t>
        </is>
      </c>
      <c r="L375" s="8">
        <f>HYPERLINK("https://test.ictv.global/id/TN19910051","TN19910051@TEST")</f>
        <v/>
      </c>
      <c r="M375" s="8">
        <f>HYPERLINK("https://test.ictv.global/id/ICTV19900051","ICTV19900051@TEST")</f>
        <v/>
      </c>
      <c r="N375" s="8">
        <f>HYPERLINK("https://ictv.global/id/TN19910051","TN19910051@prod")</f>
        <v/>
      </c>
      <c r="O375" s="8">
        <f>HYPERLINK("https://ictv.global/id/ICTV19900051","ICTV19900051@prod")</f>
        <v/>
      </c>
    </row>
    <row r="376">
      <c r="A376" t="n">
        <v>12</v>
      </c>
      <c r="B376" t="n">
        <v>19910102</v>
      </c>
      <c r="C376" t="n">
        <v>19900101</v>
      </c>
      <c r="D376" t="inlineStr">
        <is>
          <t>genus</t>
        </is>
      </c>
      <c r="E376" t="inlineStr">
        <is>
          <t>Nuclear polyhedrosis viruses MNPV subgenus</t>
        </is>
      </c>
      <c r="G376" t="inlineStr">
        <is>
          <t>Merged,Moved,</t>
        </is>
      </c>
      <c r="H376" t="inlineStr">
        <is>
          <t>Nucleopolyhedrovirus</t>
        </is>
      </c>
      <c r="I376" t="inlineStr">
        <is>
          <t>genus</t>
        </is>
      </c>
      <c r="J376" t="n">
        <v>19930121</v>
      </c>
      <c r="K376" t="n">
        <v>19930121</v>
      </c>
      <c r="L376" s="8">
        <f>HYPERLINK("https://test.ictv.global/id/TN19910102","TN19910102@TEST")</f>
        <v/>
      </c>
      <c r="M376" s="8">
        <f>HYPERLINK("https://test.ictv.global/id/ICTV19900101","ICTV19900101@TEST")</f>
        <v/>
      </c>
      <c r="N376" s="8">
        <f>HYPERLINK("https://ictv.global/id/TN19910102","TN19910102@prod")</f>
        <v/>
      </c>
      <c r="O376" s="8">
        <f>HYPERLINK("https://ictv.global/id/ICTV19900101","ICTV19900101@prod")</f>
        <v/>
      </c>
    </row>
    <row r="377">
      <c r="A377" t="n">
        <v>12</v>
      </c>
      <c r="B377" t="n">
        <v>19910103</v>
      </c>
      <c r="C377" t="n">
        <v>19900102</v>
      </c>
      <c r="D377" t="inlineStr">
        <is>
          <t>genus</t>
        </is>
      </c>
      <c r="E377" t="inlineStr">
        <is>
          <t>Nuclear polyhedrosis viruses SNPV subgenus</t>
        </is>
      </c>
      <c r="G377" t="inlineStr">
        <is>
          <t>Merged,Moved,</t>
        </is>
      </c>
      <c r="H377" t="inlineStr">
        <is>
          <t>Nucleopolyhedrovirus</t>
        </is>
      </c>
      <c r="I377" t="inlineStr">
        <is>
          <t>genus</t>
        </is>
      </c>
      <c r="J377" t="n">
        <v>19930121</v>
      </c>
      <c r="K377" t="n">
        <v>19930121</v>
      </c>
      <c r="L377" s="8">
        <f>HYPERLINK("https://test.ictv.global/id/TN19910103","TN19910103@TEST")</f>
        <v/>
      </c>
      <c r="M377" s="8">
        <f>HYPERLINK("https://test.ictv.global/id/ICTV19900102","ICTV19900102@TEST")</f>
        <v/>
      </c>
      <c r="N377" s="8">
        <f>HYPERLINK("https://ictv.global/id/TN19910103","TN19910103@prod")</f>
        <v/>
      </c>
      <c r="O377" s="8">
        <f>HYPERLINK("https://ictv.global/id/ICTV19900102","ICTV19900102@prod")</f>
        <v/>
      </c>
    </row>
    <row r="378">
      <c r="A378" t="n">
        <v>12</v>
      </c>
      <c r="B378" t="n">
        <v>19910104</v>
      </c>
      <c r="C378" t="n">
        <v>19900103</v>
      </c>
      <c r="D378" t="inlineStr">
        <is>
          <t>genus</t>
        </is>
      </c>
      <c r="E378" t="inlineStr">
        <is>
          <t>Non-occluded baculoviruses</t>
        </is>
      </c>
      <c r="G378" t="inlineStr">
        <is>
          <t>Abolished,</t>
        </is>
      </c>
      <c r="L378" s="8">
        <f>HYPERLINK("https://test.ictv.global/id/TN19910104","TN19910104@TEST")</f>
        <v/>
      </c>
      <c r="M378" s="8">
        <f>HYPERLINK("https://test.ictv.global/id/ICTV19900103","ICTV19900103@TEST")</f>
        <v/>
      </c>
      <c r="N378" s="8">
        <f>HYPERLINK("https://ictv.global/id/TN19910104","TN19910104@prod")</f>
        <v/>
      </c>
      <c r="O378" s="8">
        <f>HYPERLINK("https://ictv.global/id/ICTV19900103","ICTV19900103@prod")</f>
        <v/>
      </c>
    </row>
    <row r="379">
      <c r="A379" t="n">
        <v>12</v>
      </c>
      <c r="B379" t="n">
        <v>19910105</v>
      </c>
      <c r="C379" t="n">
        <v>19840083</v>
      </c>
      <c r="D379" t="inlineStr">
        <is>
          <t>genus</t>
        </is>
      </c>
      <c r="E379" t="inlineStr">
        <is>
          <t>Birnavirus</t>
        </is>
      </c>
      <c r="G379" t="inlineStr">
        <is>
          <t>Split,</t>
        </is>
      </c>
      <c r="H379" t="inlineStr">
        <is>
          <t>Aquabirnavirus</t>
        </is>
      </c>
      <c r="I379" t="inlineStr">
        <is>
          <t>genus</t>
        </is>
      </c>
      <c r="J379" t="n">
        <v>19930123</v>
      </c>
      <c r="K379" t="n">
        <v>19930123</v>
      </c>
      <c r="L379" s="8">
        <f>HYPERLINK("https://test.ictv.global/id/TN19910105","TN19910105@TEST")</f>
        <v/>
      </c>
      <c r="M379" s="8">
        <f>HYPERLINK("https://test.ictv.global/id/ICTV19840083","ICTV19840083@TEST")</f>
        <v/>
      </c>
      <c r="N379" s="8">
        <f>HYPERLINK("https://ictv.global/id/TN19910105","TN19910105@prod")</f>
        <v/>
      </c>
      <c r="O379" s="8">
        <f>HYPERLINK("https://ictv.global/id/ICTV19840083","ICTV19840083@prod")</f>
        <v/>
      </c>
    </row>
    <row r="380">
      <c r="A380" t="n">
        <v>12</v>
      </c>
      <c r="B380" t="n">
        <v>19910105</v>
      </c>
      <c r="C380" t="n">
        <v>19840083</v>
      </c>
      <c r="D380" t="inlineStr">
        <is>
          <t>genus</t>
        </is>
      </c>
      <c r="E380" t="inlineStr">
        <is>
          <t>Birnavirus</t>
        </is>
      </c>
      <c r="G380" t="inlineStr">
        <is>
          <t>Split,</t>
        </is>
      </c>
      <c r="H380" t="inlineStr">
        <is>
          <t>Avibirnavirus</t>
        </is>
      </c>
      <c r="I380" t="inlineStr">
        <is>
          <t>genus</t>
        </is>
      </c>
      <c r="J380" t="n">
        <v>19930124</v>
      </c>
      <c r="K380" t="n">
        <v>19930124</v>
      </c>
      <c r="L380" s="8">
        <f>HYPERLINK("https://test.ictv.global/id/TN19910105","TN19910105@TEST")</f>
        <v/>
      </c>
      <c r="M380" s="8">
        <f>HYPERLINK("https://test.ictv.global/id/ICTV19840083","ICTV19840083@TEST")</f>
        <v/>
      </c>
      <c r="N380" s="8">
        <f>HYPERLINK("https://ictv.global/id/TN19910105","TN19910105@prod")</f>
        <v/>
      </c>
      <c r="O380" s="8">
        <f>HYPERLINK("https://ictv.global/id/ICTV19840083","ICTV19840083@prod")</f>
        <v/>
      </c>
    </row>
    <row r="381">
      <c r="A381" t="n">
        <v>12</v>
      </c>
      <c r="B381" t="n">
        <v>19910105</v>
      </c>
      <c r="C381" t="n">
        <v>19840083</v>
      </c>
      <c r="D381" t="inlineStr">
        <is>
          <t>genus</t>
        </is>
      </c>
      <c r="E381" t="inlineStr">
        <is>
          <t>Birnavirus</t>
        </is>
      </c>
      <c r="G381" t="inlineStr">
        <is>
          <t>Split,</t>
        </is>
      </c>
      <c r="H381" t="inlineStr">
        <is>
          <t>Entomobirnavirus</t>
        </is>
      </c>
      <c r="I381" t="inlineStr">
        <is>
          <t>genus</t>
        </is>
      </c>
      <c r="J381" t="n">
        <v>19930125</v>
      </c>
      <c r="K381" t="n">
        <v>19930125</v>
      </c>
      <c r="L381" s="8">
        <f>HYPERLINK("https://test.ictv.global/id/TN19910105","TN19910105@TEST")</f>
        <v/>
      </c>
      <c r="M381" s="8">
        <f>HYPERLINK("https://test.ictv.global/id/ICTV19840083","ICTV19840083@TEST")</f>
        <v/>
      </c>
      <c r="N381" s="8">
        <f>HYPERLINK("https://ictv.global/id/TN19910105","TN19910105@prod")</f>
        <v/>
      </c>
      <c r="O381" s="8">
        <f>HYPERLINK("https://ictv.global/id/ICTV19840083","ICTV19840083@prod")</f>
        <v/>
      </c>
    </row>
    <row r="382">
      <c r="A382" t="n">
        <v>12</v>
      </c>
      <c r="B382" t="n">
        <v>19910430</v>
      </c>
      <c r="C382" t="n">
        <v>19900356</v>
      </c>
      <c r="D382" t="inlineStr">
        <is>
          <t>species</t>
        </is>
      </c>
      <c r="E382" t="inlineStr">
        <is>
          <t>Heliothis zea non-occluded baculovirus</t>
        </is>
      </c>
      <c r="G382" t="inlineStr">
        <is>
          <t>Abolished,</t>
        </is>
      </c>
      <c r="L382" s="8">
        <f>HYPERLINK("https://test.ictv.global/id/TN19910430","TN19910430@TEST")</f>
        <v/>
      </c>
      <c r="M382" s="8">
        <f>HYPERLINK("https://test.ictv.global/id/ICTV19900356","ICTV19900356@TEST")</f>
        <v/>
      </c>
      <c r="N382" s="8">
        <f>HYPERLINK("https://ictv.global/id/TN19910430","TN19910430@prod")</f>
        <v/>
      </c>
      <c r="O382" s="8">
        <f>HYPERLINK("https://ictv.global/id/ICTV19900356","ICTV19900356@prod")</f>
        <v/>
      </c>
    </row>
    <row r="383">
      <c r="A383" t="n">
        <v>12</v>
      </c>
      <c r="B383" t="n">
        <v>19910431</v>
      </c>
      <c r="C383" t="n">
        <v>19760137</v>
      </c>
      <c r="D383" t="inlineStr">
        <is>
          <t>species</t>
        </is>
      </c>
      <c r="E383" t="inlineStr">
        <is>
          <t>Oryctes rhinoceros virus</t>
        </is>
      </c>
      <c r="G383" t="inlineStr">
        <is>
          <t>Abolished,</t>
        </is>
      </c>
      <c r="L383" s="8">
        <f>HYPERLINK("https://test.ictv.global/id/TN19910431","TN19910431@TEST")</f>
        <v/>
      </c>
      <c r="M383" s="8">
        <f>HYPERLINK("https://test.ictv.global/id/ICTV19760137","ICTV19760137@TEST")</f>
        <v/>
      </c>
      <c r="N383" s="8">
        <f>HYPERLINK("https://ictv.global/id/TN19910431","TN19910431@prod")</f>
        <v/>
      </c>
      <c r="O383" s="8">
        <f>HYPERLINK("https://ictv.global/id/ICTV19760137","ICTV19760137@prod")</f>
        <v/>
      </c>
    </row>
    <row r="384">
      <c r="A384" t="n">
        <v>12</v>
      </c>
      <c r="B384" t="n">
        <v>19910435</v>
      </c>
      <c r="C384" t="n">
        <v>19910435</v>
      </c>
      <c r="D384" t="inlineStr">
        <is>
          <t>species</t>
        </is>
      </c>
      <c r="E384" t="inlineStr">
        <is>
          <t>Oyster virus</t>
        </is>
      </c>
      <c r="G384" t="inlineStr">
        <is>
          <t>Abolished,</t>
        </is>
      </c>
      <c r="L384" s="8">
        <f>HYPERLINK("https://test.ictv.global/id/TN19910435","TN19910435@TEST")</f>
        <v/>
      </c>
      <c r="M384" s="8">
        <f>HYPERLINK("https://test.ictv.global/id/ICTV19910435","ICTV19910435@TEST")</f>
        <v/>
      </c>
      <c r="N384" s="8">
        <f>HYPERLINK("https://ictv.global/id/TN19910435","TN19910435@prod")</f>
        <v/>
      </c>
      <c r="O384" s="8">
        <f>HYPERLINK("https://ictv.global/id/ICTV19910435","ICTV19910435@prod")</f>
        <v/>
      </c>
    </row>
    <row r="385">
      <c r="A385" t="n">
        <v>12</v>
      </c>
      <c r="B385" t="n">
        <v>19910436</v>
      </c>
      <c r="C385" t="n">
        <v>19910436</v>
      </c>
      <c r="D385" t="inlineStr">
        <is>
          <t>species</t>
        </is>
      </c>
      <c r="E385" t="inlineStr">
        <is>
          <t>Tellina virus</t>
        </is>
      </c>
      <c r="F385" t="inlineStr"/>
      <c r="G385" t="inlineStr">
        <is>
          <t>Abolished,</t>
        </is>
      </c>
      <c r="L385" s="8">
        <f>HYPERLINK("https://test.ictv.global/id/TN19910436","TN19910436@TEST")</f>
        <v/>
      </c>
      <c r="M385" s="8">
        <f>HYPERLINK("https://test.ictv.global/id/ICTV19910436","ICTV19910436@TEST")</f>
        <v/>
      </c>
      <c r="N385" s="8">
        <f>HYPERLINK("https://ictv.global/id/TN19910436","TN19910436@prod")</f>
        <v/>
      </c>
      <c r="O385" s="8">
        <f>HYPERLINK("https://ictv.global/id/ICTV19910436","ICTV19910436@prod")</f>
        <v/>
      </c>
    </row>
    <row r="386">
      <c r="A386" t="n">
        <v>13</v>
      </c>
      <c r="B386" t="n">
        <v>19930271</v>
      </c>
      <c r="C386" t="n">
        <v>19870484</v>
      </c>
      <c r="D386" t="inlineStr">
        <is>
          <t>species</t>
        </is>
      </c>
      <c r="E386" t="inlineStr">
        <is>
          <t>Ebola virus</t>
        </is>
      </c>
      <c r="G386" t="inlineStr">
        <is>
          <t>Split,</t>
        </is>
      </c>
      <c r="H386" t="inlineStr">
        <is>
          <t>Ebola virus Reston</t>
        </is>
      </c>
      <c r="I386" t="inlineStr">
        <is>
          <t>species</t>
        </is>
      </c>
      <c r="J386" t="n">
        <v>19950285</v>
      </c>
      <c r="K386" t="n">
        <v>19950285</v>
      </c>
      <c r="L386" s="8">
        <f>HYPERLINK("https://test.ictv.global/id/TN19930271","TN19930271@TEST")</f>
        <v/>
      </c>
      <c r="M386" s="8">
        <f>HYPERLINK("https://test.ictv.global/id/ICTV19870484","ICTV19870484@TEST")</f>
        <v/>
      </c>
      <c r="N386" s="8">
        <f>HYPERLINK("https://ictv.global/id/TN19930271","TN19930271@prod")</f>
        <v/>
      </c>
      <c r="O386" s="8">
        <f>HYPERLINK("https://ictv.global/id/ICTV19870484","ICTV19870484@prod")</f>
        <v/>
      </c>
    </row>
    <row r="387">
      <c r="A387" t="n">
        <v>13</v>
      </c>
      <c r="B387" t="n">
        <v>19930271</v>
      </c>
      <c r="C387" t="n">
        <v>19870484</v>
      </c>
      <c r="D387" t="inlineStr">
        <is>
          <t>species</t>
        </is>
      </c>
      <c r="E387" t="inlineStr">
        <is>
          <t>Ebola virus</t>
        </is>
      </c>
      <c r="G387" t="inlineStr">
        <is>
          <t>Split,</t>
        </is>
      </c>
      <c r="H387" t="inlineStr">
        <is>
          <t>Ebola virus Sudan</t>
        </is>
      </c>
      <c r="I387" t="inlineStr">
        <is>
          <t>species</t>
        </is>
      </c>
      <c r="J387" t="n">
        <v>19950286</v>
      </c>
      <c r="K387" t="n">
        <v>19950286</v>
      </c>
      <c r="L387" s="8">
        <f>HYPERLINK("https://test.ictv.global/id/TN19930271","TN19930271@TEST")</f>
        <v/>
      </c>
      <c r="M387" s="8">
        <f>HYPERLINK("https://test.ictv.global/id/ICTV19870484","ICTV19870484@TEST")</f>
        <v/>
      </c>
      <c r="N387" s="8">
        <f>HYPERLINK("https://ictv.global/id/TN19930271","TN19930271@prod")</f>
        <v/>
      </c>
      <c r="O387" s="8">
        <f>HYPERLINK("https://ictv.global/id/ICTV19870484","ICTV19870484@prod")</f>
        <v/>
      </c>
    </row>
    <row r="388">
      <c r="A388" t="n">
        <v>13</v>
      </c>
      <c r="B388" t="n">
        <v>19930271</v>
      </c>
      <c r="C388" t="n">
        <v>19870484</v>
      </c>
      <c r="D388" t="inlineStr">
        <is>
          <t>species</t>
        </is>
      </c>
      <c r="E388" t="inlineStr">
        <is>
          <t>Ebola virus</t>
        </is>
      </c>
      <c r="G388" t="inlineStr">
        <is>
          <t>Split,</t>
        </is>
      </c>
      <c r="H388" t="inlineStr">
        <is>
          <t>Ebola virus Zaire</t>
        </is>
      </c>
      <c r="I388" t="inlineStr">
        <is>
          <t>species</t>
        </is>
      </c>
      <c r="J388" t="n">
        <v>19950287</v>
      </c>
      <c r="K388" t="n">
        <v>19950287</v>
      </c>
      <c r="L388" s="8">
        <f>HYPERLINK("https://test.ictv.global/id/TN19930271","TN19930271@TEST")</f>
        <v/>
      </c>
      <c r="M388" s="8">
        <f>HYPERLINK("https://test.ictv.global/id/ICTV19870484","ICTV19870484@TEST")</f>
        <v/>
      </c>
      <c r="N388" s="8">
        <f>HYPERLINK("https://ictv.global/id/TN19930271","TN19930271@prod")</f>
        <v/>
      </c>
      <c r="O388" s="8">
        <f>HYPERLINK("https://ictv.global/id/ICTV19870484","ICTV19870484@prod")</f>
        <v/>
      </c>
    </row>
    <row r="389">
      <c r="A389" t="n">
        <v>13</v>
      </c>
      <c r="B389" t="n">
        <v>19930291</v>
      </c>
      <c r="C389" t="n">
        <v>19710232</v>
      </c>
      <c r="D389" t="inlineStr">
        <is>
          <t>species</t>
        </is>
      </c>
      <c r="E389" t="inlineStr">
        <is>
          <t>Parainfluenza virus 4</t>
        </is>
      </c>
      <c r="G389" t="inlineStr">
        <is>
          <t>Split,Moved,</t>
        </is>
      </c>
      <c r="H389" t="inlineStr">
        <is>
          <t>Human parainfluenza virus 4a</t>
        </is>
      </c>
      <c r="I389" t="inlineStr">
        <is>
          <t>species</t>
        </is>
      </c>
      <c r="J389" t="n">
        <v>19950310</v>
      </c>
      <c r="K389" t="n">
        <v>19950310</v>
      </c>
      <c r="L389" s="8">
        <f>HYPERLINK("https://test.ictv.global/id/TN19930291","TN19930291@TEST")</f>
        <v/>
      </c>
      <c r="M389" s="8">
        <f>HYPERLINK("https://test.ictv.global/id/ICTV19710232","ICTV19710232@TEST")</f>
        <v/>
      </c>
      <c r="N389" s="8">
        <f>HYPERLINK("https://ictv.global/id/TN19930291","TN19930291@prod")</f>
        <v/>
      </c>
      <c r="O389" s="8">
        <f>HYPERLINK("https://ictv.global/id/ICTV19710232","ICTV19710232@prod")</f>
        <v/>
      </c>
    </row>
    <row r="390">
      <c r="A390" t="n">
        <v>13</v>
      </c>
      <c r="B390" t="n">
        <v>19930291</v>
      </c>
      <c r="C390" t="n">
        <v>19710232</v>
      </c>
      <c r="D390" t="inlineStr">
        <is>
          <t>species</t>
        </is>
      </c>
      <c r="E390" t="inlineStr">
        <is>
          <t>Parainfluenza virus 4</t>
        </is>
      </c>
      <c r="G390" t="inlineStr">
        <is>
          <t>Split,Moved,</t>
        </is>
      </c>
      <c r="H390" t="inlineStr">
        <is>
          <t>Human parainfluenza virus 4b</t>
        </is>
      </c>
      <c r="I390" t="inlineStr">
        <is>
          <t>species</t>
        </is>
      </c>
      <c r="J390" t="n">
        <v>19950311</v>
      </c>
      <c r="K390" t="n">
        <v>19950311</v>
      </c>
      <c r="L390" s="8">
        <f>HYPERLINK("https://test.ictv.global/id/TN19930291","TN19930291@TEST")</f>
        <v/>
      </c>
      <c r="M390" s="8">
        <f>HYPERLINK("https://test.ictv.global/id/ICTV19710232","ICTV19710232@TEST")</f>
        <v/>
      </c>
      <c r="N390" s="8">
        <f>HYPERLINK("https://ictv.global/id/TN19930291","TN19930291@prod")</f>
        <v/>
      </c>
      <c r="O390" s="8">
        <f>HYPERLINK("https://ictv.global/id/ICTV19710232","ICTV19710232@prod")</f>
        <v/>
      </c>
    </row>
    <row r="391">
      <c r="A391" t="n">
        <v>13</v>
      </c>
      <c r="B391" t="n">
        <v>19930312</v>
      </c>
      <c r="C391" t="n">
        <v>19760547</v>
      </c>
      <c r="D391" t="inlineStr">
        <is>
          <t>species</t>
        </is>
      </c>
      <c r="E391" t="inlineStr">
        <is>
          <t>Kotonkan virus</t>
        </is>
      </c>
      <c r="F391" t="inlineStr"/>
      <c r="G391" t="inlineStr">
        <is>
          <t>Abolished,</t>
        </is>
      </c>
      <c r="L391" s="8">
        <f>HYPERLINK("https://test.ictv.global/id/TN19930312","TN19930312@TEST")</f>
        <v/>
      </c>
      <c r="M391" s="8">
        <f>HYPERLINK("https://test.ictv.global/id/ICTV19760547","ICTV19760547@TEST")</f>
        <v/>
      </c>
      <c r="N391" s="8">
        <f>HYPERLINK("https://ictv.global/id/TN19930312","TN19930312@prod")</f>
        <v/>
      </c>
      <c r="O391" s="8">
        <f>HYPERLINK("https://ictv.global/id/ICTV19760547","ICTV19760547@prod")</f>
        <v/>
      </c>
    </row>
    <row r="392">
      <c r="A392" t="n">
        <v>13</v>
      </c>
      <c r="B392" t="n">
        <v>19930315</v>
      </c>
      <c r="C392" t="n">
        <v>19760550</v>
      </c>
      <c r="D392" t="inlineStr">
        <is>
          <t>species</t>
        </is>
      </c>
      <c r="E392" t="inlineStr">
        <is>
          <t>Obodhiang virus</t>
        </is>
      </c>
      <c r="F392" t="inlineStr"/>
      <c r="G392" t="inlineStr">
        <is>
          <t>Abolished,</t>
        </is>
      </c>
      <c r="L392" s="8">
        <f>HYPERLINK("https://test.ictv.global/id/TN19930315","TN19930315@TEST")</f>
        <v/>
      </c>
      <c r="M392" s="8">
        <f>HYPERLINK("https://test.ictv.global/id/ICTV19760550","ICTV19760550@TEST")</f>
        <v/>
      </c>
      <c r="N392" s="8">
        <f>HYPERLINK("https://ictv.global/id/TN19930315","TN19930315@prod")</f>
        <v/>
      </c>
      <c r="O392" s="8">
        <f>HYPERLINK("https://ictv.global/id/ICTV19760550","ICTV19760550@prod")</f>
        <v/>
      </c>
    </row>
    <row r="393">
      <c r="A393" t="n">
        <v>13</v>
      </c>
      <c r="B393" t="n">
        <v>19930341</v>
      </c>
      <c r="C393" t="n">
        <v>19910305</v>
      </c>
      <c r="D393" t="inlineStr">
        <is>
          <t>species</t>
        </is>
      </c>
      <c r="E393" t="inlineStr">
        <is>
          <t>Bovine adenovirus 10</t>
        </is>
      </c>
      <c r="G393" t="inlineStr">
        <is>
          <t>Abolished,</t>
        </is>
      </c>
      <c r="L393" s="8">
        <f>HYPERLINK("https://test.ictv.global/id/TN19930341","TN19930341@TEST")</f>
        <v/>
      </c>
      <c r="M393" s="8">
        <f>HYPERLINK("https://test.ictv.global/id/ICTV19910305","ICTV19910305@TEST")</f>
        <v/>
      </c>
      <c r="N393" s="8">
        <f>HYPERLINK("https://ictv.global/id/TN19930341","TN19930341@prod")</f>
        <v/>
      </c>
      <c r="O393" s="8">
        <f>HYPERLINK("https://ictv.global/id/ICTV19910305","ICTV19910305@prod")</f>
        <v/>
      </c>
    </row>
    <row r="394">
      <c r="A394" t="n">
        <v>13</v>
      </c>
      <c r="B394" t="n">
        <v>19930481</v>
      </c>
      <c r="C394" t="n">
        <v>19950542</v>
      </c>
      <c r="D394" t="inlineStr">
        <is>
          <t>species</t>
        </is>
      </c>
      <c r="E394" t="inlineStr">
        <is>
          <t>Apple mosaic virus</t>
        </is>
      </c>
      <c r="F394" t="inlineStr">
        <is>
          <t>RNA1: AF174584; RNA2: AF174585; RNA3: U15608</t>
        </is>
      </c>
      <c r="G394" t="inlineStr">
        <is>
          <t>Merged,</t>
        </is>
      </c>
      <c r="H394" t="inlineStr">
        <is>
          <t>Apple mosaic virus</t>
        </is>
      </c>
      <c r="I394" t="inlineStr">
        <is>
          <t>species</t>
        </is>
      </c>
      <c r="J394" t="n">
        <v>19950542</v>
      </c>
      <c r="K394" t="n">
        <v>19950542</v>
      </c>
      <c r="L394" s="8">
        <f>HYPERLINK("https://test.ictv.global/id/TN19930481","TN19930481@TEST")</f>
        <v/>
      </c>
      <c r="M394" s="8">
        <f>HYPERLINK("https://test.ictv.global/id/ICTV19950542","ICTV19950542@TEST")</f>
        <v/>
      </c>
      <c r="N394" s="8">
        <f>HYPERLINK("https://ictv.global/id/TN19930481","TN19930481@prod")</f>
        <v/>
      </c>
      <c r="O394" s="8">
        <f>HYPERLINK("https://ictv.global/id/ICTV19950542","ICTV19950542@prod")</f>
        <v/>
      </c>
    </row>
    <row r="395">
      <c r="A395" t="n">
        <v>13</v>
      </c>
      <c r="B395" t="n">
        <v>19930484</v>
      </c>
      <c r="C395" t="n">
        <v>19911673</v>
      </c>
      <c r="D395" t="inlineStr">
        <is>
          <t>species</t>
        </is>
      </c>
      <c r="E395" t="inlineStr">
        <is>
          <t>Cherry rugose virus</t>
        </is>
      </c>
      <c r="G395" t="inlineStr">
        <is>
          <t>Merged,</t>
        </is>
      </c>
      <c r="H395" t="inlineStr">
        <is>
          <t>Prunus necrotic ringspot virus</t>
        </is>
      </c>
      <c r="I395" t="inlineStr">
        <is>
          <t>species</t>
        </is>
      </c>
      <c r="J395" t="n">
        <v>19950553</v>
      </c>
      <c r="K395" t="n">
        <v>19950553</v>
      </c>
      <c r="L395" s="8">
        <f>HYPERLINK("https://test.ictv.global/id/TN19930484","TN19930484@TEST")</f>
        <v/>
      </c>
      <c r="M395" s="8">
        <f>HYPERLINK("https://test.ictv.global/id/ICTV19911673","ICTV19911673@TEST")</f>
        <v/>
      </c>
      <c r="N395" s="8">
        <f>HYPERLINK("https://ictv.global/id/TN19930484","TN19930484@prod")</f>
        <v/>
      </c>
      <c r="O395" s="8">
        <f>HYPERLINK("https://ictv.global/id/ICTV19911673","ICTV19911673@prod")</f>
        <v/>
      </c>
    </row>
    <row r="396">
      <c r="A396" t="n">
        <v>13</v>
      </c>
      <c r="B396" t="n">
        <v>19930487</v>
      </c>
      <c r="C396" t="n">
        <v>19911676</v>
      </c>
      <c r="D396" t="inlineStr">
        <is>
          <t>species</t>
        </is>
      </c>
      <c r="E396" t="inlineStr">
        <is>
          <t>Danish plum line pattern virus</t>
        </is>
      </c>
      <c r="G396" t="inlineStr">
        <is>
          <t>Merged,</t>
        </is>
      </c>
      <c r="H396" t="inlineStr">
        <is>
          <t>Prunus necrotic ringspot virus</t>
        </is>
      </c>
      <c r="I396" t="inlineStr">
        <is>
          <t>species</t>
        </is>
      </c>
      <c r="J396" t="n">
        <v>19950553</v>
      </c>
      <c r="K396" t="n">
        <v>19950553</v>
      </c>
      <c r="L396" s="8">
        <f>HYPERLINK("https://test.ictv.global/id/TN19930487","TN19930487@TEST")</f>
        <v/>
      </c>
      <c r="M396" s="8">
        <f>HYPERLINK("https://test.ictv.global/id/ICTV19911676","ICTV19911676@TEST")</f>
        <v/>
      </c>
      <c r="N396" s="8">
        <f>HYPERLINK("https://ictv.global/id/TN19930487","TN19930487@prod")</f>
        <v/>
      </c>
      <c r="O396" s="8">
        <f>HYPERLINK("https://ictv.global/id/ICTV19911676","ICTV19911676@prod")</f>
        <v/>
      </c>
    </row>
    <row r="397">
      <c r="A397" t="n">
        <v>13</v>
      </c>
      <c r="B397" t="n">
        <v>19930489</v>
      </c>
      <c r="C397" t="n">
        <v>19911678</v>
      </c>
      <c r="D397" t="inlineStr">
        <is>
          <t>species</t>
        </is>
      </c>
      <c r="E397" t="inlineStr">
        <is>
          <t>Hop virus A</t>
        </is>
      </c>
      <c r="G397" t="inlineStr">
        <is>
          <t>Merged,</t>
        </is>
      </c>
      <c r="H397" t="inlineStr">
        <is>
          <t>Apple mosaic virus</t>
        </is>
      </c>
      <c r="I397" t="inlineStr">
        <is>
          <t>species</t>
        </is>
      </c>
      <c r="J397" t="n">
        <v>19950542</v>
      </c>
      <c r="K397" t="n">
        <v>19950542</v>
      </c>
      <c r="L397" s="8">
        <f>HYPERLINK("https://test.ictv.global/id/TN19930489","TN19930489@TEST")</f>
        <v/>
      </c>
      <c r="M397" s="8">
        <f>HYPERLINK("https://test.ictv.global/id/ICTV19911678","ICTV19911678@TEST")</f>
        <v/>
      </c>
      <c r="N397" s="8">
        <f>HYPERLINK("https://ictv.global/id/TN19930489","TN19930489@prod")</f>
        <v/>
      </c>
      <c r="O397" s="8">
        <f>HYPERLINK("https://ictv.global/id/ICTV19911678","ICTV19911678@prod")</f>
        <v/>
      </c>
    </row>
    <row r="398">
      <c r="A398" t="n">
        <v>13</v>
      </c>
      <c r="B398" t="n">
        <v>19930490</v>
      </c>
      <c r="C398" t="n">
        <v>19911679</v>
      </c>
      <c r="D398" t="inlineStr">
        <is>
          <t>species</t>
        </is>
      </c>
      <c r="E398" t="inlineStr">
        <is>
          <t>Hop virus C</t>
        </is>
      </c>
      <c r="G398" t="inlineStr">
        <is>
          <t>Merged,</t>
        </is>
      </c>
      <c r="H398" t="inlineStr">
        <is>
          <t>Prunus necrotic ringspot virus</t>
        </is>
      </c>
      <c r="I398" t="inlineStr">
        <is>
          <t>species</t>
        </is>
      </c>
      <c r="J398" t="n">
        <v>19950553</v>
      </c>
      <c r="K398" t="n">
        <v>19950553</v>
      </c>
      <c r="L398" s="8">
        <f>HYPERLINK("https://test.ictv.global/id/TN19930490","TN19930490@TEST")</f>
        <v/>
      </c>
      <c r="M398" s="8">
        <f>HYPERLINK("https://test.ictv.global/id/ICTV19911679","ICTV19911679@TEST")</f>
        <v/>
      </c>
      <c r="N398" s="8">
        <f>HYPERLINK("https://ictv.global/id/TN19930490","TN19930490@prod")</f>
        <v/>
      </c>
      <c r="O398" s="8">
        <f>HYPERLINK("https://ictv.global/id/ICTV19911679","ICTV19911679@prod")</f>
        <v/>
      </c>
    </row>
    <row r="399">
      <c r="A399" t="n">
        <v>13</v>
      </c>
      <c r="B399" t="n">
        <v>19930496</v>
      </c>
      <c r="C399" t="n">
        <v>19950553</v>
      </c>
      <c r="D399" t="inlineStr">
        <is>
          <t>species</t>
        </is>
      </c>
      <c r="E399" t="inlineStr">
        <is>
          <t>Prunus necrotic ringspot virus</t>
        </is>
      </c>
      <c r="F399" t="inlineStr">
        <is>
          <t>RNA1: JN416771; RNA2: JN416772; RNA3: JN416773</t>
        </is>
      </c>
      <c r="G399" t="inlineStr">
        <is>
          <t>Merged,</t>
        </is>
      </c>
      <c r="H399" t="inlineStr">
        <is>
          <t>Prunus necrotic ringspot virus</t>
        </is>
      </c>
      <c r="I399" t="inlineStr">
        <is>
          <t>species</t>
        </is>
      </c>
      <c r="J399" t="n">
        <v>19950553</v>
      </c>
      <c r="K399" t="n">
        <v>19950553</v>
      </c>
      <c r="L399" s="8">
        <f>HYPERLINK("https://test.ictv.global/id/TN19930496","TN19930496@TEST")</f>
        <v/>
      </c>
      <c r="M399" s="8">
        <f>HYPERLINK("https://test.ictv.global/id/ICTV19950553","ICTV19950553@TEST")</f>
        <v/>
      </c>
      <c r="N399" s="8">
        <f>HYPERLINK("https://ictv.global/id/TN19930496","TN19930496@prod")</f>
        <v/>
      </c>
      <c r="O399" s="8">
        <f>HYPERLINK("https://ictv.global/id/ICTV19950553","ICTV19950553@prod")</f>
        <v/>
      </c>
    </row>
    <row r="400">
      <c r="A400" t="n">
        <v>13</v>
      </c>
      <c r="B400" t="n">
        <v>19930573</v>
      </c>
      <c r="C400" t="n">
        <v>19760175</v>
      </c>
      <c r="D400" t="inlineStr">
        <is>
          <t>species</t>
        </is>
      </c>
      <c r="E400" t="inlineStr">
        <is>
          <t>Kaeng Khoi virus</t>
        </is>
      </c>
      <c r="F400" t="inlineStr"/>
      <c r="G400" t="inlineStr">
        <is>
          <t>Abolished,</t>
        </is>
      </c>
      <c r="L400" s="8">
        <f>HYPERLINK("https://test.ictv.global/id/TN19930573","TN19930573@TEST")</f>
        <v/>
      </c>
      <c r="M400" s="8">
        <f>HYPERLINK("https://test.ictv.global/id/ICTV19760175","ICTV19760175@TEST")</f>
        <v/>
      </c>
      <c r="N400" s="8">
        <f>HYPERLINK("https://ictv.global/id/TN19930573","TN19930573@prod")</f>
        <v/>
      </c>
      <c r="O400" s="8">
        <f>HYPERLINK("https://ictv.global/id/ICTV19760175","ICTV19760175@prod")</f>
        <v/>
      </c>
    </row>
    <row r="401">
      <c r="A401" t="n">
        <v>13</v>
      </c>
      <c r="B401" t="n">
        <v>19930581</v>
      </c>
      <c r="C401" t="n">
        <v>19910518</v>
      </c>
      <c r="D401" t="inlineStr">
        <is>
          <t>species</t>
        </is>
      </c>
      <c r="E401" t="inlineStr">
        <is>
          <t>Leanyer virus</t>
        </is>
      </c>
      <c r="G401" t="inlineStr">
        <is>
          <t>Abolished,</t>
        </is>
      </c>
      <c r="L401" s="8">
        <f>HYPERLINK("https://test.ictv.global/id/TN19930581","TN19930581@TEST")</f>
        <v/>
      </c>
      <c r="M401" s="8">
        <f>HYPERLINK("https://test.ictv.global/id/ICTV19910518","ICTV19910518@TEST")</f>
        <v/>
      </c>
      <c r="N401" s="8">
        <f>HYPERLINK("https://ictv.global/id/TN19930581","TN19930581@prod")</f>
        <v/>
      </c>
      <c r="O401" s="8">
        <f>HYPERLINK("https://ictv.global/id/ICTV19910518","ICTV19910518@prod")</f>
        <v/>
      </c>
    </row>
    <row r="402">
      <c r="A402" t="n">
        <v>13</v>
      </c>
      <c r="B402" t="n">
        <v>19930599</v>
      </c>
      <c r="C402" t="n">
        <v>19910536</v>
      </c>
      <c r="D402" t="inlineStr">
        <is>
          <t>species</t>
        </is>
      </c>
      <c r="E402" t="inlineStr">
        <is>
          <t>Mojui dos Campos virus</t>
        </is>
      </c>
      <c r="G402" t="inlineStr">
        <is>
          <t>Abolished,</t>
        </is>
      </c>
      <c r="L402" s="8">
        <f>HYPERLINK("https://test.ictv.global/id/TN19930599","TN19930599@TEST")</f>
        <v/>
      </c>
      <c r="M402" s="8">
        <f>HYPERLINK("https://test.ictv.global/id/ICTV19910536","ICTV19910536@TEST")</f>
        <v/>
      </c>
      <c r="N402" s="8">
        <f>HYPERLINK("https://ictv.global/id/TN19930599","TN19930599@prod")</f>
        <v/>
      </c>
      <c r="O402" s="8">
        <f>HYPERLINK("https://ictv.global/id/ICTV19910536","ICTV19910536@prod")</f>
        <v/>
      </c>
    </row>
    <row r="403">
      <c r="A403" t="n">
        <v>13</v>
      </c>
      <c r="B403" t="n">
        <v>19930643</v>
      </c>
      <c r="C403" t="n">
        <v>19910580</v>
      </c>
      <c r="D403" t="inlineStr">
        <is>
          <t>species</t>
        </is>
      </c>
      <c r="E403" t="inlineStr">
        <is>
          <t>Termeil virus</t>
        </is>
      </c>
      <c r="G403" t="inlineStr">
        <is>
          <t>Abolished,</t>
        </is>
      </c>
      <c r="L403" s="8">
        <f>HYPERLINK("https://test.ictv.global/id/TN19930643","TN19930643@TEST")</f>
        <v/>
      </c>
      <c r="M403" s="8">
        <f>HYPERLINK("https://test.ictv.global/id/ICTV19910580","ICTV19910580@TEST")</f>
        <v/>
      </c>
      <c r="N403" s="8">
        <f>HYPERLINK("https://ictv.global/id/TN19930643","TN19930643@prod")</f>
        <v/>
      </c>
      <c r="O403" s="8">
        <f>HYPERLINK("https://ictv.global/id/ICTV19910580","ICTV19910580@prod")</f>
        <v/>
      </c>
    </row>
    <row r="404">
      <c r="A404" t="n">
        <v>13</v>
      </c>
      <c r="B404" t="n">
        <v>19930667</v>
      </c>
      <c r="C404" t="n">
        <v>19910604</v>
      </c>
      <c r="D404" t="inlineStr">
        <is>
          <t>species</t>
        </is>
      </c>
      <c r="E404" t="inlineStr">
        <is>
          <t>Leaky virus</t>
        </is>
      </c>
      <c r="G404" t="inlineStr">
        <is>
          <t>Abolished,</t>
        </is>
      </c>
      <c r="L404" s="8">
        <f>HYPERLINK("https://test.ictv.global/id/TN19930667","TN19930667@TEST")</f>
        <v/>
      </c>
      <c r="M404" s="8">
        <f>HYPERLINK("https://test.ictv.global/id/ICTV19910604","ICTV19910604@TEST")</f>
        <v/>
      </c>
      <c r="N404" s="8">
        <f>HYPERLINK("https://ictv.global/id/TN19930667","TN19930667@prod")</f>
        <v/>
      </c>
      <c r="O404" s="8">
        <f>HYPERLINK("https://ictv.global/id/ICTV19910604","ICTV19910604@prod")</f>
        <v/>
      </c>
    </row>
    <row r="405">
      <c r="A405" t="n">
        <v>13</v>
      </c>
      <c r="B405" t="n">
        <v>19930811</v>
      </c>
      <c r="C405" t="n">
        <v>19710156</v>
      </c>
      <c r="D405" t="inlineStr">
        <is>
          <t>species</t>
        </is>
      </c>
      <c r="E405" t="inlineStr">
        <is>
          <t>Human coronavirus</t>
        </is>
      </c>
      <c r="G405" t="inlineStr">
        <is>
          <t>Split,</t>
        </is>
      </c>
      <c r="H405" t="inlineStr">
        <is>
          <t>Human coronavirus 229E</t>
        </is>
      </c>
      <c r="I405" t="inlineStr">
        <is>
          <t>species</t>
        </is>
      </c>
      <c r="J405" t="n">
        <v>19950874</v>
      </c>
      <c r="K405" t="n">
        <v>19950874</v>
      </c>
      <c r="L405" s="8">
        <f>HYPERLINK("https://test.ictv.global/id/TN19930811","TN19930811@TEST")</f>
        <v/>
      </c>
      <c r="M405" s="8">
        <f>HYPERLINK("https://test.ictv.global/id/ICTV19710156","ICTV19710156@TEST")</f>
        <v/>
      </c>
      <c r="N405" s="8">
        <f>HYPERLINK("https://ictv.global/id/TN19930811","TN19930811@prod")</f>
        <v/>
      </c>
      <c r="O405" s="8">
        <f>HYPERLINK("https://ictv.global/id/ICTV19710156","ICTV19710156@prod")</f>
        <v/>
      </c>
    </row>
    <row r="406">
      <c r="A406" t="n">
        <v>13</v>
      </c>
      <c r="B406" t="n">
        <v>19930811</v>
      </c>
      <c r="C406" t="n">
        <v>19710156</v>
      </c>
      <c r="D406" t="inlineStr">
        <is>
          <t>species</t>
        </is>
      </c>
      <c r="E406" t="inlineStr">
        <is>
          <t>Human coronavirus</t>
        </is>
      </c>
      <c r="G406" t="inlineStr">
        <is>
          <t>Split,</t>
        </is>
      </c>
      <c r="H406" t="inlineStr">
        <is>
          <t>Human coronavirus OC43</t>
        </is>
      </c>
      <c r="I406" t="inlineStr">
        <is>
          <t>species</t>
        </is>
      </c>
      <c r="J406" t="n">
        <v>19950875</v>
      </c>
      <c r="K406" t="n">
        <v>19950875</v>
      </c>
      <c r="L406" s="8">
        <f>HYPERLINK("https://test.ictv.global/id/TN19930811","TN19930811@TEST")</f>
        <v/>
      </c>
      <c r="M406" s="8">
        <f>HYPERLINK("https://test.ictv.global/id/ICTV19710156","ICTV19710156@TEST")</f>
        <v/>
      </c>
      <c r="N406" s="8">
        <f>HYPERLINK("https://ictv.global/id/TN19930811","TN19930811@prod")</f>
        <v/>
      </c>
      <c r="O406" s="8">
        <f>HYPERLINK("https://ictv.global/id/ICTV19710156","ICTV19710156@prod")</f>
        <v/>
      </c>
    </row>
    <row r="407">
      <c r="A407" t="n">
        <v>13</v>
      </c>
      <c r="B407" t="n">
        <v>19930820</v>
      </c>
      <c r="C407" t="n">
        <v>19910711</v>
      </c>
      <c r="D407" t="inlineStr">
        <is>
          <t>species</t>
        </is>
      </c>
      <c r="E407" t="inlineStr">
        <is>
          <t>Aroa virus</t>
        </is>
      </c>
      <c r="F407" t="inlineStr"/>
      <c r="G407" t="inlineStr">
        <is>
          <t>Abolished,</t>
        </is>
      </c>
      <c r="L407" s="8">
        <f>HYPERLINK("https://test.ictv.global/id/TN19930820","TN19930820@TEST")</f>
        <v/>
      </c>
      <c r="M407" s="8">
        <f>HYPERLINK("https://test.ictv.global/id/ICTV19910711","ICTV19910711@TEST")</f>
        <v/>
      </c>
      <c r="N407" s="8">
        <f>HYPERLINK("https://ictv.global/id/TN19930820","TN19930820@prod")</f>
        <v/>
      </c>
      <c r="O407" s="8">
        <f>HYPERLINK("https://ictv.global/id/ICTV19910711","ICTV19910711@prod")</f>
        <v/>
      </c>
    </row>
    <row r="408">
      <c r="A408" t="n">
        <v>13</v>
      </c>
      <c r="B408" t="n">
        <v>19930825</v>
      </c>
      <c r="C408" t="n">
        <v>19710092</v>
      </c>
      <c r="D408" t="inlineStr">
        <is>
          <t>species</t>
        </is>
      </c>
      <c r="E408" t="inlineStr">
        <is>
          <t>Bussuquara virus</t>
        </is>
      </c>
      <c r="G408" t="inlineStr">
        <is>
          <t>Abolished,</t>
        </is>
      </c>
      <c r="L408" s="8">
        <f>HYPERLINK("https://test.ictv.global/id/TN19930825","TN19930825@TEST")</f>
        <v/>
      </c>
      <c r="M408" s="8">
        <f>HYPERLINK("https://test.ictv.global/id/ICTV19710092","ICTV19710092@TEST")</f>
        <v/>
      </c>
      <c r="N408" s="8">
        <f>HYPERLINK("https://ictv.global/id/TN19930825","TN19930825@prod")</f>
        <v/>
      </c>
      <c r="O408" s="8">
        <f>HYPERLINK("https://ictv.global/id/ICTV19710092","ICTV19710092@prod")</f>
        <v/>
      </c>
    </row>
    <row r="409">
      <c r="A409" t="n">
        <v>13</v>
      </c>
      <c r="B409" t="n">
        <v>19930826</v>
      </c>
      <c r="C409" t="n">
        <v>19910717</v>
      </c>
      <c r="D409" t="inlineStr">
        <is>
          <t>species</t>
        </is>
      </c>
      <c r="E409" t="inlineStr">
        <is>
          <t>Cacipacore virus</t>
        </is>
      </c>
      <c r="F409" t="inlineStr"/>
      <c r="G409" t="inlineStr">
        <is>
          <t>Abolished,</t>
        </is>
      </c>
      <c r="L409" s="8">
        <f>HYPERLINK("https://test.ictv.global/id/TN19930826","TN19930826@TEST")</f>
        <v/>
      </c>
      <c r="M409" s="8">
        <f>HYPERLINK("https://test.ictv.global/id/ICTV19910717","ICTV19910717@TEST")</f>
        <v/>
      </c>
      <c r="N409" s="8">
        <f>HYPERLINK("https://ictv.global/id/TN19930826","TN19930826@prod")</f>
        <v/>
      </c>
      <c r="O409" s="8">
        <f>HYPERLINK("https://ictv.global/id/ICTV19910717","ICTV19910717@prod")</f>
        <v/>
      </c>
    </row>
    <row r="410">
      <c r="A410" t="n">
        <v>13</v>
      </c>
      <c r="B410" t="n">
        <v>19930836</v>
      </c>
      <c r="C410" t="n">
        <v>19910727</v>
      </c>
      <c r="D410" t="inlineStr">
        <is>
          <t>species</t>
        </is>
      </c>
      <c r="E410" t="inlineStr">
        <is>
          <t>Gadget's Gully virus</t>
        </is>
      </c>
      <c r="G410" t="inlineStr">
        <is>
          <t>Abolished,</t>
        </is>
      </c>
      <c r="L410" s="8">
        <f>HYPERLINK("https://test.ictv.global/id/TN19930836","TN19930836@TEST")</f>
        <v/>
      </c>
      <c r="M410" s="8">
        <f>HYPERLINK("https://test.ictv.global/id/ICTV19910727","ICTV19910727@TEST")</f>
        <v/>
      </c>
      <c r="N410" s="8">
        <f>HYPERLINK("https://ictv.global/id/TN19930836","TN19930836@prod")</f>
        <v/>
      </c>
      <c r="O410" s="8">
        <f>HYPERLINK("https://ictv.global/id/ICTV19910727","ICTV19910727@prod")</f>
        <v/>
      </c>
    </row>
    <row r="411">
      <c r="A411" t="n">
        <v>13</v>
      </c>
      <c r="B411" t="n">
        <v>19930837</v>
      </c>
      <c r="C411" t="n">
        <v>19710101</v>
      </c>
      <c r="D411" t="inlineStr">
        <is>
          <t>species</t>
        </is>
      </c>
      <c r="E411" t="inlineStr">
        <is>
          <t>Ilheus virus</t>
        </is>
      </c>
      <c r="F411" t="inlineStr"/>
      <c r="G411" t="inlineStr">
        <is>
          <t>Abolished,</t>
        </is>
      </c>
      <c r="L411" s="8">
        <f>HYPERLINK("https://test.ictv.global/id/TN19930837","TN19930837@TEST")</f>
        <v/>
      </c>
      <c r="M411" s="8">
        <f>HYPERLINK("https://test.ictv.global/id/ICTV19710101","ICTV19710101@TEST")</f>
        <v/>
      </c>
      <c r="N411" s="8">
        <f>HYPERLINK("https://ictv.global/id/TN19930837","TN19930837@prod")</f>
        <v/>
      </c>
      <c r="O411" s="8">
        <f>HYPERLINK("https://ictv.global/id/ICTV19710101","ICTV19710101@prod")</f>
        <v/>
      </c>
    </row>
    <row r="412">
      <c r="A412" t="n">
        <v>13</v>
      </c>
      <c r="B412" t="n">
        <v>19930840</v>
      </c>
      <c r="C412" t="n">
        <v>19760606</v>
      </c>
      <c r="D412" t="inlineStr">
        <is>
          <t>species</t>
        </is>
      </c>
      <c r="E412" t="inlineStr">
        <is>
          <t>Jugra virus</t>
        </is>
      </c>
      <c r="F412" t="inlineStr"/>
      <c r="G412" t="inlineStr">
        <is>
          <t>Abolished,</t>
        </is>
      </c>
      <c r="L412" s="8">
        <f>HYPERLINK("https://test.ictv.global/id/TN19930840","TN19930840@TEST")</f>
        <v/>
      </c>
      <c r="M412" s="8">
        <f>HYPERLINK("https://test.ictv.global/id/ICTV19760606","ICTV19760606@TEST")</f>
        <v/>
      </c>
      <c r="N412" s="8">
        <f>HYPERLINK("https://ictv.global/id/TN19930840","TN19930840@prod")</f>
        <v/>
      </c>
      <c r="O412" s="8">
        <f>HYPERLINK("https://ictv.global/id/ICTV19760606","ICTV19760606@prod")</f>
        <v/>
      </c>
    </row>
    <row r="413">
      <c r="A413" t="n">
        <v>13</v>
      </c>
      <c r="B413" t="n">
        <v>19930842</v>
      </c>
      <c r="C413" t="n">
        <v>19760608</v>
      </c>
      <c r="D413" t="inlineStr">
        <is>
          <t>species</t>
        </is>
      </c>
      <c r="E413" t="inlineStr">
        <is>
          <t>Kadam virus</t>
        </is>
      </c>
      <c r="F413" t="inlineStr"/>
      <c r="G413" t="inlineStr">
        <is>
          <t>Abolished,</t>
        </is>
      </c>
      <c r="L413" s="8">
        <f>HYPERLINK("https://test.ictv.global/id/TN19930842","TN19930842@TEST")</f>
        <v/>
      </c>
      <c r="M413" s="8">
        <f>HYPERLINK("https://test.ictv.global/id/ICTV19760608","ICTV19760608@TEST")</f>
        <v/>
      </c>
      <c r="N413" s="8">
        <f>HYPERLINK("https://ictv.global/id/TN19930842","TN19930842@prod")</f>
        <v/>
      </c>
      <c r="O413" s="8">
        <f>HYPERLINK("https://ictv.global/id/ICTV19760608","ICTV19760608@prod")</f>
        <v/>
      </c>
    </row>
    <row r="414">
      <c r="A414" t="n">
        <v>13</v>
      </c>
      <c r="B414" t="n">
        <v>19930852</v>
      </c>
      <c r="C414" t="n">
        <v>19710110</v>
      </c>
      <c r="D414" t="inlineStr">
        <is>
          <t>species</t>
        </is>
      </c>
      <c r="E414" t="inlineStr">
        <is>
          <t>Montana myotis leukoencephalitis virus</t>
        </is>
      </c>
      <c r="F414" t="inlineStr"/>
      <c r="G414" t="inlineStr">
        <is>
          <t>Abolished,</t>
        </is>
      </c>
      <c r="L414" s="8">
        <f>HYPERLINK("https://test.ictv.global/id/TN19930852","TN19930852@TEST")</f>
        <v/>
      </c>
      <c r="M414" s="8">
        <f>HYPERLINK("https://test.ictv.global/id/ICTV19710110","ICTV19710110@TEST")</f>
        <v/>
      </c>
      <c r="N414" s="8">
        <f>HYPERLINK("https://ictv.global/id/TN19930852","TN19930852@prod")</f>
        <v/>
      </c>
      <c r="O414" s="8">
        <f>HYPERLINK("https://ictv.global/id/ICTV19710110","ICTV19710110@prod")</f>
        <v/>
      </c>
    </row>
    <row r="415">
      <c r="A415" t="n">
        <v>13</v>
      </c>
      <c r="B415" t="n">
        <v>19930854</v>
      </c>
      <c r="C415" t="n">
        <v>19910745</v>
      </c>
      <c r="D415" t="inlineStr">
        <is>
          <t>species</t>
        </is>
      </c>
      <c r="E415" t="inlineStr">
        <is>
          <t>Naranjal virus</t>
        </is>
      </c>
      <c r="G415" t="inlineStr">
        <is>
          <t>Abolished,</t>
        </is>
      </c>
      <c r="L415" s="8">
        <f>HYPERLINK("https://test.ictv.global/id/TN19930854","TN19930854@TEST")</f>
        <v/>
      </c>
      <c r="M415" s="8">
        <f>HYPERLINK("https://test.ictv.global/id/ICTV19910745","ICTV19910745@TEST")</f>
        <v/>
      </c>
      <c r="N415" s="8">
        <f>HYPERLINK("https://ictv.global/id/TN19930854","TN19930854@prod")</f>
        <v/>
      </c>
      <c r="O415" s="8">
        <f>HYPERLINK("https://ictv.global/id/ICTV19910745","ICTV19910745@prod")</f>
        <v/>
      </c>
    </row>
    <row r="416">
      <c r="A416" t="n">
        <v>13</v>
      </c>
      <c r="B416" t="n">
        <v>19930861</v>
      </c>
      <c r="C416" t="n">
        <v>19790924</v>
      </c>
      <c r="D416" t="inlineStr">
        <is>
          <t>species</t>
        </is>
      </c>
      <c r="E416" t="inlineStr">
        <is>
          <t>Rocio virus</t>
        </is>
      </c>
      <c r="G416" t="inlineStr">
        <is>
          <t>Abolished,</t>
        </is>
      </c>
      <c r="L416" s="8">
        <f>HYPERLINK("https://test.ictv.global/id/TN19930861","TN19930861@TEST")</f>
        <v/>
      </c>
      <c r="M416" s="8">
        <f>HYPERLINK("https://test.ictv.global/id/ICTV19790924","ICTV19790924@TEST")</f>
        <v/>
      </c>
      <c r="N416" s="8">
        <f>HYPERLINK("https://ictv.global/id/TN19930861","TN19930861@prod")</f>
        <v/>
      </c>
      <c r="O416" s="8">
        <f>HYPERLINK("https://ictv.global/id/ICTV19790924","ICTV19790924@prod")</f>
        <v/>
      </c>
    </row>
    <row r="417">
      <c r="A417" t="n">
        <v>13</v>
      </c>
      <c r="B417" t="n">
        <v>19930867</v>
      </c>
      <c r="C417" t="n">
        <v>19760629</v>
      </c>
      <c r="D417" t="inlineStr">
        <is>
          <t>species</t>
        </is>
      </c>
      <c r="E417" t="inlineStr">
        <is>
          <t>Sepik virus</t>
        </is>
      </c>
      <c r="F417" t="inlineStr"/>
      <c r="G417" t="inlineStr">
        <is>
          <t>Abolished,</t>
        </is>
      </c>
      <c r="L417" s="8">
        <f>HYPERLINK("https://test.ictv.global/id/TN19930867","TN19930867@TEST")</f>
        <v/>
      </c>
      <c r="M417" s="8">
        <f>HYPERLINK("https://test.ictv.global/id/ICTV19760629","ICTV19760629@TEST")</f>
        <v/>
      </c>
      <c r="N417" s="8">
        <f>HYPERLINK("https://ictv.global/id/TN19930867","TN19930867@prod")</f>
        <v/>
      </c>
      <c r="O417" s="8">
        <f>HYPERLINK("https://ictv.global/id/ICTV19760629","ICTV19760629@prod")</f>
        <v/>
      </c>
    </row>
    <row r="418">
      <c r="A418" t="n">
        <v>13</v>
      </c>
      <c r="B418" t="n">
        <v>19930868</v>
      </c>
      <c r="C418" t="n">
        <v>19760630</v>
      </c>
      <c r="D418" t="inlineStr">
        <is>
          <t>species</t>
        </is>
      </c>
      <c r="E418" t="inlineStr">
        <is>
          <t>Sokoluk virus</t>
        </is>
      </c>
      <c r="G418" t="inlineStr">
        <is>
          <t>Abolished,</t>
        </is>
      </c>
      <c r="L418" s="8">
        <f>HYPERLINK("https://test.ictv.global/id/TN19930868","TN19930868@TEST")</f>
        <v/>
      </c>
      <c r="M418" s="8">
        <f>HYPERLINK("https://test.ictv.global/id/ICTV19760630","ICTV19760630@TEST")</f>
        <v/>
      </c>
      <c r="N418" s="8">
        <f>HYPERLINK("https://ictv.global/id/TN19930868","TN19930868@prod")</f>
        <v/>
      </c>
      <c r="O418" s="8">
        <f>HYPERLINK("https://ictv.global/id/ICTV19760630","ICTV19760630@prod")</f>
        <v/>
      </c>
    </row>
    <row r="419">
      <c r="A419" t="n">
        <v>13</v>
      </c>
      <c r="B419" t="n">
        <v>19930869</v>
      </c>
      <c r="C419" t="n">
        <v>19710116</v>
      </c>
      <c r="D419" t="inlineStr">
        <is>
          <t>species</t>
        </is>
      </c>
      <c r="E419" t="inlineStr">
        <is>
          <t>Spondweni virus</t>
        </is>
      </c>
      <c r="G419" t="inlineStr">
        <is>
          <t>Abolished,</t>
        </is>
      </c>
      <c r="L419" s="8">
        <f>HYPERLINK("https://test.ictv.global/id/TN19930869","TN19930869@TEST")</f>
        <v/>
      </c>
      <c r="M419" s="8">
        <f>HYPERLINK("https://test.ictv.global/id/ICTV19710116","ICTV19710116@TEST")</f>
        <v/>
      </c>
      <c r="N419" s="8">
        <f>HYPERLINK("https://ictv.global/id/TN19930869","TN19930869@prod")</f>
        <v/>
      </c>
      <c r="O419" s="8">
        <f>HYPERLINK("https://ictv.global/id/ICTV19710116","ICTV19710116@prod")</f>
        <v/>
      </c>
    </row>
    <row r="420">
      <c r="A420" t="n">
        <v>13</v>
      </c>
      <c r="B420" t="n">
        <v>19930872</v>
      </c>
      <c r="C420" t="n">
        <v>19910763</v>
      </c>
      <c r="D420" t="inlineStr">
        <is>
          <t>species</t>
        </is>
      </c>
      <c r="E420" t="inlineStr">
        <is>
          <t>Tamana bat virus</t>
        </is>
      </c>
      <c r="G420" t="inlineStr">
        <is>
          <t>Abolished,</t>
        </is>
      </c>
      <c r="L420" s="8">
        <f>HYPERLINK("https://test.ictv.global/id/TN19930872","TN19930872@TEST")</f>
        <v/>
      </c>
      <c r="M420" s="8">
        <f>HYPERLINK("https://test.ictv.global/id/ICTV19910763","ICTV19910763@TEST")</f>
        <v/>
      </c>
      <c r="N420" s="8">
        <f>HYPERLINK("https://ictv.global/id/TN19930872","TN19930872@prod")</f>
        <v/>
      </c>
      <c r="O420" s="8">
        <f>HYPERLINK("https://ictv.global/id/ICTV19910763","ICTV19910763@prod")</f>
        <v/>
      </c>
    </row>
    <row r="421">
      <c r="A421" t="n">
        <v>13</v>
      </c>
      <c r="B421" t="n">
        <v>19930878</v>
      </c>
      <c r="C421" t="n">
        <v>19710123</v>
      </c>
      <c r="D421" t="inlineStr">
        <is>
          <t>species</t>
        </is>
      </c>
      <c r="E421" t="inlineStr">
        <is>
          <t>Wesselsbron virus</t>
        </is>
      </c>
      <c r="F421" t="inlineStr"/>
      <c r="G421" t="inlineStr">
        <is>
          <t>Abolished,</t>
        </is>
      </c>
      <c r="L421" s="8">
        <f>HYPERLINK("https://test.ictv.global/id/TN19930878","TN19930878@TEST")</f>
        <v/>
      </c>
      <c r="M421" s="8">
        <f>HYPERLINK("https://test.ictv.global/id/ICTV19710123","ICTV19710123@TEST")</f>
        <v/>
      </c>
      <c r="N421" s="8">
        <f>HYPERLINK("https://ictv.global/id/TN19930878","TN19930878@prod")</f>
        <v/>
      </c>
      <c r="O421" s="8">
        <f>HYPERLINK("https://ictv.global/id/ICTV19710123","ICTV19710123@prod")</f>
        <v/>
      </c>
    </row>
    <row r="422">
      <c r="A422" t="n">
        <v>13</v>
      </c>
      <c r="B422" t="n">
        <v>19930882</v>
      </c>
      <c r="C422" t="n">
        <v>19710126</v>
      </c>
      <c r="D422" t="inlineStr">
        <is>
          <t>species</t>
        </is>
      </c>
      <c r="E422" t="inlineStr">
        <is>
          <t>Zika virus</t>
        </is>
      </c>
      <c r="F422" t="inlineStr"/>
      <c r="G422" t="inlineStr">
        <is>
          <t>Abolished,</t>
        </is>
      </c>
      <c r="L422" s="8">
        <f>HYPERLINK("https://test.ictv.global/id/TN19930882","TN19930882@TEST")</f>
        <v/>
      </c>
      <c r="M422" s="8">
        <f>HYPERLINK("https://test.ictv.global/id/ICTV19710126","ICTV19710126@TEST")</f>
        <v/>
      </c>
      <c r="N422" s="8">
        <f>HYPERLINK("https://ictv.global/id/TN19930882","TN19930882@prod")</f>
        <v/>
      </c>
      <c r="O422" s="8">
        <f>HYPERLINK("https://ictv.global/id/ICTV19710126","ICTV19710126@prod")</f>
        <v/>
      </c>
    </row>
    <row r="423">
      <c r="A423" t="n">
        <v>13</v>
      </c>
      <c r="B423" t="n">
        <v>19930893</v>
      </c>
      <c r="C423" t="n">
        <v>19911634</v>
      </c>
      <c r="D423" t="inlineStr">
        <is>
          <t>species</t>
        </is>
      </c>
      <c r="E423" t="inlineStr">
        <is>
          <t>Bean sudden death virus</t>
        </is>
      </c>
      <c r="G423" t="inlineStr">
        <is>
          <t>Abolished,</t>
        </is>
      </c>
      <c r="L423" s="8">
        <f>HYPERLINK("https://test.ictv.global/id/TN19930893","TN19930893@TEST")</f>
        <v/>
      </c>
      <c r="M423" s="8">
        <f>HYPERLINK("https://test.ictv.global/id/ICTV19911634","ICTV19911634@TEST")</f>
        <v/>
      </c>
      <c r="N423" s="8">
        <f>HYPERLINK("https://ictv.global/id/TN19930893","TN19930893@prod")</f>
        <v/>
      </c>
      <c r="O423" s="8">
        <f>HYPERLINK("https://ictv.global/id/ICTV19911634","ICTV19911634@prod")</f>
        <v/>
      </c>
    </row>
    <row r="424">
      <c r="A424" t="n">
        <v>13</v>
      </c>
      <c r="B424" t="n">
        <v>19930917</v>
      </c>
      <c r="C424" t="n">
        <v>19911658</v>
      </c>
      <c r="D424" t="inlineStr">
        <is>
          <t>species</t>
        </is>
      </c>
      <c r="E424" t="inlineStr">
        <is>
          <t>Tomato leaf curl virus</t>
        </is>
      </c>
      <c r="F424" t="inlineStr"/>
      <c r="G424" t="inlineStr">
        <is>
          <t>Split,</t>
        </is>
      </c>
      <c r="H424" t="inlineStr">
        <is>
          <t>Tomato leaf curl virus - Au</t>
        </is>
      </c>
      <c r="I424" t="inlineStr">
        <is>
          <t>species</t>
        </is>
      </c>
      <c r="J424" t="n">
        <v>19950998</v>
      </c>
      <c r="K424" t="n">
        <v>19950998</v>
      </c>
      <c r="L424" s="8">
        <f>HYPERLINK("https://test.ictv.global/id/TN19930917","TN19930917@TEST")</f>
        <v/>
      </c>
      <c r="M424" s="8">
        <f>HYPERLINK("https://test.ictv.global/id/ICTV19911658","ICTV19911658@TEST")</f>
        <v/>
      </c>
      <c r="N424" s="8">
        <f>HYPERLINK("https://ictv.global/id/TN19930917","TN19930917@prod")</f>
        <v/>
      </c>
      <c r="O424" s="8">
        <f>HYPERLINK("https://ictv.global/id/ICTV19911658","ICTV19911658@prod")</f>
        <v/>
      </c>
    </row>
    <row r="425">
      <c r="A425" t="n">
        <v>13</v>
      </c>
      <c r="B425" t="n">
        <v>19930917</v>
      </c>
      <c r="C425" t="n">
        <v>19911658</v>
      </c>
      <c r="D425" t="inlineStr">
        <is>
          <t>species</t>
        </is>
      </c>
      <c r="E425" t="inlineStr">
        <is>
          <t>Tomato leaf curl virus</t>
        </is>
      </c>
      <c r="F425" t="inlineStr"/>
      <c r="G425" t="inlineStr">
        <is>
          <t>Split,</t>
        </is>
      </c>
      <c r="H425" t="inlineStr">
        <is>
          <t>Tomato leaf curl virus - In</t>
        </is>
      </c>
      <c r="I425" t="inlineStr">
        <is>
          <t>species</t>
        </is>
      </c>
      <c r="J425" t="n">
        <v>19950999</v>
      </c>
      <c r="K425" t="n">
        <v>19950999</v>
      </c>
      <c r="L425" s="8">
        <f>HYPERLINK("https://test.ictv.global/id/TN19930917","TN19930917@TEST")</f>
        <v/>
      </c>
      <c r="M425" s="8">
        <f>HYPERLINK("https://test.ictv.global/id/ICTV19911658","ICTV19911658@TEST")</f>
        <v/>
      </c>
      <c r="N425" s="8">
        <f>HYPERLINK("https://ictv.global/id/TN19930917","TN19930917@prod")</f>
        <v/>
      </c>
      <c r="O425" s="8">
        <f>HYPERLINK("https://ictv.global/id/ICTV19911658","ICTV19911658@prod")</f>
        <v/>
      </c>
    </row>
    <row r="426">
      <c r="A426" t="n">
        <v>13</v>
      </c>
      <c r="B426" t="n">
        <v>19931044</v>
      </c>
      <c r="C426" t="n">
        <v>19760791</v>
      </c>
      <c r="D426" t="inlineStr">
        <is>
          <t>species</t>
        </is>
      </c>
      <c r="E426" t="inlineStr">
        <is>
          <t>Phage FH5</t>
        </is>
      </c>
      <c r="G426" t="inlineStr">
        <is>
          <t>Abolished,</t>
        </is>
      </c>
      <c r="L426" s="8">
        <f>HYPERLINK("https://test.ictv.global/id/TN19931044","TN19931044@TEST")</f>
        <v/>
      </c>
      <c r="M426" s="8">
        <f>HYPERLINK("https://test.ictv.global/id/ICTV19760791","ICTV19760791@TEST")</f>
        <v/>
      </c>
      <c r="N426" s="8">
        <f>HYPERLINK("https://ictv.global/id/TN19931044","TN19931044@prod")</f>
        <v/>
      </c>
      <c r="O426" s="8">
        <f>HYPERLINK("https://ictv.global/id/ICTV19760791","ICTV19760791@prod")</f>
        <v/>
      </c>
    </row>
    <row r="427">
      <c r="A427" t="n">
        <v>13</v>
      </c>
      <c r="B427" t="n">
        <v>19931046</v>
      </c>
      <c r="C427" t="n">
        <v>19910899</v>
      </c>
      <c r="D427" t="inlineStr">
        <is>
          <t>species</t>
        </is>
      </c>
      <c r="E427" t="inlineStr">
        <is>
          <t>Phage GA</t>
        </is>
      </c>
      <c r="G427" t="inlineStr">
        <is>
          <t>Abolished,</t>
        </is>
      </c>
      <c r="L427" s="8">
        <f>HYPERLINK("https://test.ictv.global/id/TN19931046","TN19931046@TEST")</f>
        <v/>
      </c>
      <c r="M427" s="8">
        <f>HYPERLINK("https://test.ictv.global/id/ICTV19910899","ICTV19910899@TEST")</f>
        <v/>
      </c>
      <c r="N427" s="8">
        <f>HYPERLINK("https://ictv.global/id/TN19931046","TN19931046@prod")</f>
        <v/>
      </c>
      <c r="O427" s="8">
        <f>HYPERLINK("https://ictv.global/id/ICTV19910899","ICTV19910899@prod")</f>
        <v/>
      </c>
    </row>
    <row r="428">
      <c r="A428" t="n">
        <v>13</v>
      </c>
      <c r="B428" t="n">
        <v>19931149</v>
      </c>
      <c r="C428" t="n">
        <v>19710051</v>
      </c>
      <c r="D428" t="inlineStr">
        <is>
          <t>species</t>
        </is>
      </c>
      <c r="E428" t="inlineStr">
        <is>
          <t>Bovine papilloma virus</t>
        </is>
      </c>
      <c r="G428" t="inlineStr">
        <is>
          <t>Split,</t>
        </is>
      </c>
      <c r="H428" t="inlineStr">
        <is>
          <t>Bovine papillomavirus 1</t>
        </is>
      </c>
      <c r="I428" t="inlineStr">
        <is>
          <t>species</t>
        </is>
      </c>
      <c r="J428" t="n">
        <v>19951381</v>
      </c>
      <c r="K428" t="n">
        <v>19951381</v>
      </c>
      <c r="L428" s="8">
        <f>HYPERLINK("https://test.ictv.global/id/TN19931149","TN19931149@TEST")</f>
        <v/>
      </c>
      <c r="M428" s="8">
        <f>HYPERLINK("https://test.ictv.global/id/ICTV19710051","ICTV19710051@TEST")</f>
        <v/>
      </c>
      <c r="N428" s="8">
        <f>HYPERLINK("https://ictv.global/id/TN19931149","TN19931149@prod")</f>
        <v/>
      </c>
      <c r="O428" s="8">
        <f>HYPERLINK("https://ictv.global/id/ICTV19710051","ICTV19710051@prod")</f>
        <v/>
      </c>
    </row>
    <row r="429">
      <c r="A429" t="n">
        <v>13</v>
      </c>
      <c r="B429" t="n">
        <v>19931149</v>
      </c>
      <c r="C429" t="n">
        <v>19710051</v>
      </c>
      <c r="D429" t="inlineStr">
        <is>
          <t>species</t>
        </is>
      </c>
      <c r="E429" t="inlineStr">
        <is>
          <t>Bovine papilloma virus</t>
        </is>
      </c>
      <c r="G429" t="inlineStr">
        <is>
          <t>Split,</t>
        </is>
      </c>
      <c r="H429" t="inlineStr">
        <is>
          <t>Bovine papillomavirus 2</t>
        </is>
      </c>
      <c r="I429" t="inlineStr">
        <is>
          <t>species</t>
        </is>
      </c>
      <c r="J429" t="n">
        <v>19951382</v>
      </c>
      <c r="K429" t="n">
        <v>19951382</v>
      </c>
      <c r="L429" s="8">
        <f>HYPERLINK("https://test.ictv.global/id/TN19931149","TN19931149@TEST")</f>
        <v/>
      </c>
      <c r="M429" s="8">
        <f>HYPERLINK("https://test.ictv.global/id/ICTV19710051","ICTV19710051@TEST")</f>
        <v/>
      </c>
      <c r="N429" s="8">
        <f>HYPERLINK("https://ictv.global/id/TN19931149","TN19931149@prod")</f>
        <v/>
      </c>
      <c r="O429" s="8">
        <f>HYPERLINK("https://ictv.global/id/ICTV19710051","ICTV19710051@prod")</f>
        <v/>
      </c>
    </row>
    <row r="430">
      <c r="A430" t="n">
        <v>13</v>
      </c>
      <c r="B430" t="n">
        <v>19931149</v>
      </c>
      <c r="C430" t="n">
        <v>19710051</v>
      </c>
      <c r="D430" t="inlineStr">
        <is>
          <t>species</t>
        </is>
      </c>
      <c r="E430" t="inlineStr">
        <is>
          <t>Bovine papilloma virus</t>
        </is>
      </c>
      <c r="G430" t="inlineStr">
        <is>
          <t>Split,</t>
        </is>
      </c>
      <c r="H430" t="inlineStr">
        <is>
          <t>Bovine papillomavirus 4</t>
        </is>
      </c>
      <c r="I430" t="inlineStr">
        <is>
          <t>species</t>
        </is>
      </c>
      <c r="J430" t="n">
        <v>19951383</v>
      </c>
      <c r="K430" t="n">
        <v>19951383</v>
      </c>
      <c r="L430" s="8">
        <f>HYPERLINK("https://test.ictv.global/id/TN19931149","TN19931149@TEST")</f>
        <v/>
      </c>
      <c r="M430" s="8">
        <f>HYPERLINK("https://test.ictv.global/id/ICTV19710051","ICTV19710051@TEST")</f>
        <v/>
      </c>
      <c r="N430" s="8">
        <f>HYPERLINK("https://ictv.global/id/TN19931149","TN19931149@prod")</f>
        <v/>
      </c>
      <c r="O430" s="8">
        <f>HYPERLINK("https://ictv.global/id/ICTV19710051","ICTV19710051@prod")</f>
        <v/>
      </c>
    </row>
    <row r="431">
      <c r="A431" t="n">
        <v>13</v>
      </c>
      <c r="B431" t="n">
        <v>19931153</v>
      </c>
      <c r="C431" t="n">
        <v>19760271</v>
      </c>
      <c r="D431" t="inlineStr">
        <is>
          <t>species</t>
        </is>
      </c>
      <c r="E431" t="inlineStr">
        <is>
          <t>Goat papilloma virus</t>
        </is>
      </c>
      <c r="G431" t="inlineStr">
        <is>
          <t>Abolished,</t>
        </is>
      </c>
      <c r="L431" s="8">
        <f>HYPERLINK("https://test.ictv.global/id/TN19931153","TN19931153@TEST")</f>
        <v/>
      </c>
      <c r="M431" s="8">
        <f>HYPERLINK("https://test.ictv.global/id/ICTV19760271","ICTV19760271@TEST")</f>
        <v/>
      </c>
      <c r="N431" s="8">
        <f>HYPERLINK("https://ictv.global/id/TN19931153","TN19931153@prod")</f>
        <v/>
      </c>
      <c r="O431" s="8">
        <f>HYPERLINK("https://ictv.global/id/ICTV19760271","ICTV19760271@prod")</f>
        <v/>
      </c>
    </row>
    <row r="432">
      <c r="A432" t="n">
        <v>13</v>
      </c>
      <c r="B432" t="n">
        <v>19931154</v>
      </c>
      <c r="C432" t="n">
        <v>19710054</v>
      </c>
      <c r="D432" t="inlineStr">
        <is>
          <t>species</t>
        </is>
      </c>
      <c r="E432" t="inlineStr">
        <is>
          <t>Human papilloma virus</t>
        </is>
      </c>
      <c r="G432" t="inlineStr">
        <is>
          <t>Split,</t>
        </is>
      </c>
      <c r="H432" t="inlineStr">
        <is>
          <t>Human papillomavirus 11</t>
        </is>
      </c>
      <c r="I432" t="inlineStr">
        <is>
          <t>species</t>
        </is>
      </c>
      <c r="J432" t="n">
        <v>19951391</v>
      </c>
      <c r="K432" t="n">
        <v>19951391</v>
      </c>
      <c r="L432" s="8">
        <f>HYPERLINK("https://test.ictv.global/id/TN19931154","TN19931154@TEST")</f>
        <v/>
      </c>
      <c r="M432" s="8">
        <f>HYPERLINK("https://test.ictv.global/id/ICTV19710054","ICTV19710054@TEST")</f>
        <v/>
      </c>
      <c r="N432" s="8">
        <f>HYPERLINK("https://ictv.global/id/TN19931154","TN19931154@prod")</f>
        <v/>
      </c>
      <c r="O432" s="8">
        <f>HYPERLINK("https://ictv.global/id/ICTV19710054","ICTV19710054@prod")</f>
        <v/>
      </c>
    </row>
    <row r="433">
      <c r="A433" t="n">
        <v>13</v>
      </c>
      <c r="B433" t="n">
        <v>19931154</v>
      </c>
      <c r="C433" t="n">
        <v>19710054</v>
      </c>
      <c r="D433" t="inlineStr">
        <is>
          <t>species</t>
        </is>
      </c>
      <c r="E433" t="inlineStr">
        <is>
          <t>Human papilloma virus</t>
        </is>
      </c>
      <c r="G433" t="inlineStr">
        <is>
          <t>Split,</t>
        </is>
      </c>
      <c r="H433" t="inlineStr">
        <is>
          <t>Human papillomavirus 16</t>
        </is>
      </c>
      <c r="I433" t="inlineStr">
        <is>
          <t>species</t>
        </is>
      </c>
      <c r="J433" t="n">
        <v>19951392</v>
      </c>
      <c r="K433" t="n">
        <v>19951392</v>
      </c>
      <c r="L433" s="8">
        <f>HYPERLINK("https://test.ictv.global/id/TN19931154","TN19931154@TEST")</f>
        <v/>
      </c>
      <c r="M433" s="8">
        <f>HYPERLINK("https://test.ictv.global/id/ICTV19710054","ICTV19710054@TEST")</f>
        <v/>
      </c>
      <c r="N433" s="8">
        <f>HYPERLINK("https://ictv.global/id/TN19931154","TN19931154@prod")</f>
        <v/>
      </c>
      <c r="O433" s="8">
        <f>HYPERLINK("https://ictv.global/id/ICTV19710054","ICTV19710054@prod")</f>
        <v/>
      </c>
    </row>
    <row r="434">
      <c r="A434" t="n">
        <v>13</v>
      </c>
      <c r="B434" t="n">
        <v>19931154</v>
      </c>
      <c r="C434" t="n">
        <v>19710054</v>
      </c>
      <c r="D434" t="inlineStr">
        <is>
          <t>species</t>
        </is>
      </c>
      <c r="E434" t="inlineStr">
        <is>
          <t>Human papilloma virus</t>
        </is>
      </c>
      <c r="G434" t="inlineStr">
        <is>
          <t>Split,</t>
        </is>
      </c>
      <c r="H434" t="inlineStr">
        <is>
          <t>Human papillomavirus 18</t>
        </is>
      </c>
      <c r="I434" t="inlineStr">
        <is>
          <t>species</t>
        </is>
      </c>
      <c r="J434" t="n">
        <v>19951393</v>
      </c>
      <c r="K434" t="n">
        <v>19951393</v>
      </c>
      <c r="L434" s="8">
        <f>HYPERLINK("https://test.ictv.global/id/TN19931154","TN19931154@TEST")</f>
        <v/>
      </c>
      <c r="M434" s="8">
        <f>HYPERLINK("https://test.ictv.global/id/ICTV19710054","ICTV19710054@TEST")</f>
        <v/>
      </c>
      <c r="N434" s="8">
        <f>HYPERLINK("https://ictv.global/id/TN19931154","TN19931154@prod")</f>
        <v/>
      </c>
      <c r="O434" s="8">
        <f>HYPERLINK("https://ictv.global/id/ICTV19710054","ICTV19710054@prod")</f>
        <v/>
      </c>
    </row>
    <row r="435">
      <c r="A435" t="n">
        <v>13</v>
      </c>
      <c r="B435" t="n">
        <v>19931154</v>
      </c>
      <c r="C435" t="n">
        <v>19710054</v>
      </c>
      <c r="D435" t="inlineStr">
        <is>
          <t>species</t>
        </is>
      </c>
      <c r="E435" t="inlineStr">
        <is>
          <t>Human papilloma virus</t>
        </is>
      </c>
      <c r="G435" t="inlineStr">
        <is>
          <t>Split,</t>
        </is>
      </c>
      <c r="H435" t="inlineStr">
        <is>
          <t>Human papillomavirus 1a</t>
        </is>
      </c>
      <c r="I435" t="inlineStr">
        <is>
          <t>species</t>
        </is>
      </c>
      <c r="J435" t="n">
        <v>19951394</v>
      </c>
      <c r="K435" t="n">
        <v>19951394</v>
      </c>
      <c r="L435" s="8">
        <f>HYPERLINK("https://test.ictv.global/id/TN19931154","TN19931154@TEST")</f>
        <v/>
      </c>
      <c r="M435" s="8">
        <f>HYPERLINK("https://test.ictv.global/id/ICTV19710054","ICTV19710054@TEST")</f>
        <v/>
      </c>
      <c r="N435" s="8">
        <f>HYPERLINK("https://ictv.global/id/TN19931154","TN19931154@prod")</f>
        <v/>
      </c>
      <c r="O435" s="8">
        <f>HYPERLINK("https://ictv.global/id/ICTV19710054","ICTV19710054@prod")</f>
        <v/>
      </c>
    </row>
    <row r="436">
      <c r="A436" t="n">
        <v>13</v>
      </c>
      <c r="B436" t="n">
        <v>19931154</v>
      </c>
      <c r="C436" t="n">
        <v>19710054</v>
      </c>
      <c r="D436" t="inlineStr">
        <is>
          <t>species</t>
        </is>
      </c>
      <c r="E436" t="inlineStr">
        <is>
          <t>Human papilloma virus</t>
        </is>
      </c>
      <c r="G436" t="inlineStr">
        <is>
          <t>Split,</t>
        </is>
      </c>
      <c r="H436" t="inlineStr">
        <is>
          <t>Human papillomavirus 31</t>
        </is>
      </c>
      <c r="I436" t="inlineStr">
        <is>
          <t>species</t>
        </is>
      </c>
      <c r="J436" t="n">
        <v>19951395</v>
      </c>
      <c r="K436" t="n">
        <v>19951395</v>
      </c>
      <c r="L436" s="8">
        <f>HYPERLINK("https://test.ictv.global/id/TN19931154","TN19931154@TEST")</f>
        <v/>
      </c>
      <c r="M436" s="8">
        <f>HYPERLINK("https://test.ictv.global/id/ICTV19710054","ICTV19710054@TEST")</f>
        <v/>
      </c>
      <c r="N436" s="8">
        <f>HYPERLINK("https://ictv.global/id/TN19931154","TN19931154@prod")</f>
        <v/>
      </c>
      <c r="O436" s="8">
        <f>HYPERLINK("https://ictv.global/id/ICTV19710054","ICTV19710054@prod")</f>
        <v/>
      </c>
    </row>
    <row r="437">
      <c r="A437" t="n">
        <v>13</v>
      </c>
      <c r="B437" t="n">
        <v>19931154</v>
      </c>
      <c r="C437" t="n">
        <v>19710054</v>
      </c>
      <c r="D437" t="inlineStr">
        <is>
          <t>species</t>
        </is>
      </c>
      <c r="E437" t="inlineStr">
        <is>
          <t>Human papilloma virus</t>
        </is>
      </c>
      <c r="G437" t="inlineStr">
        <is>
          <t>Split,</t>
        </is>
      </c>
      <c r="H437" t="inlineStr">
        <is>
          <t>Human papillomavirus 33</t>
        </is>
      </c>
      <c r="I437" t="inlineStr">
        <is>
          <t>species</t>
        </is>
      </c>
      <c r="J437" t="n">
        <v>19951396</v>
      </c>
      <c r="K437" t="n">
        <v>19951396</v>
      </c>
      <c r="L437" s="8">
        <f>HYPERLINK("https://test.ictv.global/id/TN19931154","TN19931154@TEST")</f>
        <v/>
      </c>
      <c r="M437" s="8">
        <f>HYPERLINK("https://test.ictv.global/id/ICTV19710054","ICTV19710054@TEST")</f>
        <v/>
      </c>
      <c r="N437" s="8">
        <f>HYPERLINK("https://ictv.global/id/TN19931154","TN19931154@prod")</f>
        <v/>
      </c>
      <c r="O437" s="8">
        <f>HYPERLINK("https://ictv.global/id/ICTV19710054","ICTV19710054@prod")</f>
        <v/>
      </c>
    </row>
    <row r="438">
      <c r="A438" t="n">
        <v>13</v>
      </c>
      <c r="B438" t="n">
        <v>19931154</v>
      </c>
      <c r="C438" t="n">
        <v>19710054</v>
      </c>
      <c r="D438" t="inlineStr">
        <is>
          <t>species</t>
        </is>
      </c>
      <c r="E438" t="inlineStr">
        <is>
          <t>Human papilloma virus</t>
        </is>
      </c>
      <c r="G438" t="inlineStr">
        <is>
          <t>Split,</t>
        </is>
      </c>
      <c r="H438" t="inlineStr">
        <is>
          <t>Human papillomavirus 5</t>
        </is>
      </c>
      <c r="I438" t="inlineStr">
        <is>
          <t>species</t>
        </is>
      </c>
      <c r="J438" t="n">
        <v>19951397</v>
      </c>
      <c r="K438" t="n">
        <v>19951397</v>
      </c>
      <c r="L438" s="8">
        <f>HYPERLINK("https://test.ictv.global/id/TN19931154","TN19931154@TEST")</f>
        <v/>
      </c>
      <c r="M438" s="8">
        <f>HYPERLINK("https://test.ictv.global/id/ICTV19710054","ICTV19710054@TEST")</f>
        <v/>
      </c>
      <c r="N438" s="8">
        <f>HYPERLINK("https://ictv.global/id/TN19931154","TN19931154@prod")</f>
        <v/>
      </c>
      <c r="O438" s="8">
        <f>HYPERLINK("https://ictv.global/id/ICTV19710054","ICTV19710054@prod")</f>
        <v/>
      </c>
    </row>
    <row r="439">
      <c r="A439" t="n">
        <v>13</v>
      </c>
      <c r="B439" t="n">
        <v>19931154</v>
      </c>
      <c r="C439" t="n">
        <v>19710054</v>
      </c>
      <c r="D439" t="inlineStr">
        <is>
          <t>species</t>
        </is>
      </c>
      <c r="E439" t="inlineStr">
        <is>
          <t>Human papilloma virus</t>
        </is>
      </c>
      <c r="G439" t="inlineStr">
        <is>
          <t>Split,</t>
        </is>
      </c>
      <c r="H439" t="inlineStr">
        <is>
          <t>Human papillomavirus 6b</t>
        </is>
      </c>
      <c r="I439" t="inlineStr">
        <is>
          <t>species</t>
        </is>
      </c>
      <c r="J439" t="n">
        <v>19951398</v>
      </c>
      <c r="K439" t="n">
        <v>19951398</v>
      </c>
      <c r="L439" s="8">
        <f>HYPERLINK("https://test.ictv.global/id/TN19931154","TN19931154@TEST")</f>
        <v/>
      </c>
      <c r="M439" s="8">
        <f>HYPERLINK("https://test.ictv.global/id/ICTV19710054","ICTV19710054@TEST")</f>
        <v/>
      </c>
      <c r="N439" s="8">
        <f>HYPERLINK("https://ictv.global/id/TN19931154","TN19931154@prod")</f>
        <v/>
      </c>
      <c r="O439" s="8">
        <f>HYPERLINK("https://ictv.global/id/ICTV19710054","ICTV19710054@prod")</f>
        <v/>
      </c>
    </row>
    <row r="440">
      <c r="A440" t="n">
        <v>13</v>
      </c>
      <c r="B440" t="n">
        <v>19931154</v>
      </c>
      <c r="C440" t="n">
        <v>19710054</v>
      </c>
      <c r="D440" t="inlineStr">
        <is>
          <t>species</t>
        </is>
      </c>
      <c r="E440" t="inlineStr">
        <is>
          <t>Human papilloma virus</t>
        </is>
      </c>
      <c r="G440" t="inlineStr">
        <is>
          <t>Split,</t>
        </is>
      </c>
      <c r="H440" t="inlineStr">
        <is>
          <t>Human papillomavirus 8</t>
        </is>
      </c>
      <c r="I440" t="inlineStr">
        <is>
          <t>species</t>
        </is>
      </c>
      <c r="J440" t="n">
        <v>19951399</v>
      </c>
      <c r="K440" t="n">
        <v>19951399</v>
      </c>
      <c r="L440" s="8">
        <f>HYPERLINK("https://test.ictv.global/id/TN19931154","TN19931154@TEST")</f>
        <v/>
      </c>
      <c r="M440" s="8">
        <f>HYPERLINK("https://test.ictv.global/id/ICTV19710054","ICTV19710054@TEST")</f>
        <v/>
      </c>
      <c r="N440" s="8">
        <f>HYPERLINK("https://ictv.global/id/TN19931154","TN19931154@prod")</f>
        <v/>
      </c>
      <c r="O440" s="8">
        <f>HYPERLINK("https://ictv.global/id/ICTV19710054","ICTV19710054@prod")</f>
        <v/>
      </c>
    </row>
    <row r="441">
      <c r="A441" t="n">
        <v>13</v>
      </c>
      <c r="B441" t="n">
        <v>19931157</v>
      </c>
      <c r="C441" t="n">
        <v>19760272</v>
      </c>
      <c r="D441" t="inlineStr">
        <is>
          <t>species</t>
        </is>
      </c>
      <c r="E441" t="inlineStr">
        <is>
          <t>Rat papilloma virus</t>
        </is>
      </c>
      <c r="G441" t="inlineStr">
        <is>
          <t>Abolished,</t>
        </is>
      </c>
      <c r="L441" s="8">
        <f>HYPERLINK("https://test.ictv.global/id/TN19931157","TN19931157@TEST")</f>
        <v/>
      </c>
      <c r="M441" s="8">
        <f>HYPERLINK("https://test.ictv.global/id/ICTV19760272","ICTV19760272@TEST")</f>
        <v/>
      </c>
      <c r="N441" s="8">
        <f>HYPERLINK("https://ictv.global/id/TN19931157","TN19931157@prod")</f>
        <v/>
      </c>
      <c r="O441" s="8">
        <f>HYPERLINK("https://ictv.global/id/ICTV19760272","ICTV19760272@prod")</f>
        <v/>
      </c>
    </row>
    <row r="442">
      <c r="A442" t="n">
        <v>13</v>
      </c>
      <c r="B442" t="n">
        <v>19931273</v>
      </c>
      <c r="C442" t="n">
        <v>19911097</v>
      </c>
      <c r="D442" t="inlineStr">
        <is>
          <t>species</t>
        </is>
      </c>
      <c r="E442" t="inlineStr">
        <is>
          <t>Columbia SK virus</t>
        </is>
      </c>
      <c r="G442" t="inlineStr">
        <is>
          <t>Merged,Assigned as Type Species,</t>
        </is>
      </c>
      <c r="H442" t="inlineStr">
        <is>
          <t>Encephalomyocarditis virus</t>
        </is>
      </c>
      <c r="I442" t="inlineStr">
        <is>
          <t>species</t>
        </is>
      </c>
      <c r="J442" t="n">
        <v>19951533</v>
      </c>
      <c r="K442" t="n">
        <v>19951533</v>
      </c>
      <c r="L442" s="8">
        <f>HYPERLINK("https://test.ictv.global/id/TN19931273","TN19931273@TEST")</f>
        <v/>
      </c>
      <c r="M442" s="8">
        <f>HYPERLINK("https://test.ictv.global/id/ICTV19911097","ICTV19911097@TEST")</f>
        <v/>
      </c>
      <c r="N442" s="8">
        <f>HYPERLINK("https://ictv.global/id/TN19931273","TN19931273@prod")</f>
        <v/>
      </c>
      <c r="O442" s="8">
        <f>HYPERLINK("https://ictv.global/id/ICTV19911097","ICTV19911097@prod")</f>
        <v/>
      </c>
    </row>
    <row r="443">
      <c r="A443" t="n">
        <v>13</v>
      </c>
      <c r="B443" t="n">
        <v>19931274</v>
      </c>
      <c r="C443" t="n">
        <v>19951533</v>
      </c>
      <c r="D443" t="inlineStr">
        <is>
          <t>species</t>
        </is>
      </c>
      <c r="E443" t="inlineStr">
        <is>
          <t>Encephalomyocarditis virus</t>
        </is>
      </c>
      <c r="G443" t="inlineStr">
        <is>
          <t>Merged,</t>
        </is>
      </c>
      <c r="H443" t="inlineStr">
        <is>
          <t>Encephalomyocarditis virus</t>
        </is>
      </c>
      <c r="I443" t="inlineStr">
        <is>
          <t>species</t>
        </is>
      </c>
      <c r="J443" t="n">
        <v>19951533</v>
      </c>
      <c r="K443" t="n">
        <v>19951533</v>
      </c>
      <c r="L443" s="8">
        <f>HYPERLINK("https://test.ictv.global/id/TN19931274","TN19931274@TEST")</f>
        <v/>
      </c>
      <c r="M443" s="8">
        <f>HYPERLINK("https://test.ictv.global/id/ICTV19951533","ICTV19951533@TEST")</f>
        <v/>
      </c>
      <c r="N443" s="8">
        <f>HYPERLINK("https://ictv.global/id/TN19931274","TN19931274@prod")</f>
        <v/>
      </c>
      <c r="O443" s="8">
        <f>HYPERLINK("https://ictv.global/id/ICTV19951533","ICTV19951533@prod")</f>
        <v/>
      </c>
    </row>
    <row r="444">
      <c r="A444" t="n">
        <v>13</v>
      </c>
      <c r="B444" t="n">
        <v>19931275</v>
      </c>
      <c r="C444" t="n">
        <v>19820661</v>
      </c>
      <c r="D444" t="inlineStr">
        <is>
          <t>species</t>
        </is>
      </c>
      <c r="E444" t="inlineStr">
        <is>
          <t>Mengovirus</t>
        </is>
      </c>
      <c r="G444" t="inlineStr">
        <is>
          <t>Merged,Assigned as Type Species,</t>
        </is>
      </c>
      <c r="H444" t="inlineStr">
        <is>
          <t>Encephalomyocarditis virus</t>
        </is>
      </c>
      <c r="I444" t="inlineStr">
        <is>
          <t>species</t>
        </is>
      </c>
      <c r="J444" t="n">
        <v>19951533</v>
      </c>
      <c r="K444" t="n">
        <v>19951533</v>
      </c>
      <c r="L444" s="8">
        <f>HYPERLINK("https://test.ictv.global/id/TN19931275","TN19931275@TEST")</f>
        <v/>
      </c>
      <c r="M444" s="8">
        <f>HYPERLINK("https://test.ictv.global/id/ICTV19820661","ICTV19820661@TEST")</f>
        <v/>
      </c>
      <c r="N444" s="8">
        <f>HYPERLINK("https://ictv.global/id/TN19931275","TN19931275@prod")</f>
        <v/>
      </c>
      <c r="O444" s="8">
        <f>HYPERLINK("https://ictv.global/id/ICTV19820661","ICTV19820661@prod")</f>
        <v/>
      </c>
    </row>
    <row r="445">
      <c r="A445" t="n">
        <v>13</v>
      </c>
      <c r="B445" t="n">
        <v>19931276</v>
      </c>
      <c r="C445" t="n">
        <v>19911100</v>
      </c>
      <c r="D445" t="inlineStr">
        <is>
          <t>species</t>
        </is>
      </c>
      <c r="E445" t="inlineStr">
        <is>
          <t>MM virus</t>
        </is>
      </c>
      <c r="G445" t="inlineStr">
        <is>
          <t>Merged,Assigned as Type Species,</t>
        </is>
      </c>
      <c r="H445" t="inlineStr">
        <is>
          <t>Encephalomyocarditis virus</t>
        </is>
      </c>
      <c r="I445" t="inlineStr">
        <is>
          <t>species</t>
        </is>
      </c>
      <c r="J445" t="n">
        <v>19951533</v>
      </c>
      <c r="K445" t="n">
        <v>19951533</v>
      </c>
      <c r="L445" s="8">
        <f>HYPERLINK("https://test.ictv.global/id/TN19931276","TN19931276@TEST")</f>
        <v/>
      </c>
      <c r="M445" s="8">
        <f>HYPERLINK("https://test.ictv.global/id/ICTV19911100","ICTV19911100@TEST")</f>
        <v/>
      </c>
      <c r="N445" s="8">
        <f>HYPERLINK("https://ictv.global/id/TN19931276","TN19931276@prod")</f>
        <v/>
      </c>
      <c r="O445" s="8">
        <f>HYPERLINK("https://ictv.global/id/ICTV19911100","ICTV19911100@prod")</f>
        <v/>
      </c>
    </row>
    <row r="446">
      <c r="A446" t="n">
        <v>13</v>
      </c>
      <c r="B446" t="n">
        <v>19931277</v>
      </c>
      <c r="C446" t="n">
        <v>19951534</v>
      </c>
      <c r="D446" t="inlineStr">
        <is>
          <t>species</t>
        </is>
      </c>
      <c r="E446" t="inlineStr">
        <is>
          <t>Murine encephalomyelitis virus</t>
        </is>
      </c>
      <c r="G446" t="inlineStr">
        <is>
          <t>Merged,</t>
        </is>
      </c>
      <c r="H446" t="inlineStr">
        <is>
          <t>Theiler's murine encephalomyelitis virus</t>
        </is>
      </c>
      <c r="I446" t="inlineStr">
        <is>
          <t>species</t>
        </is>
      </c>
      <c r="J446" t="n">
        <v>19951534</v>
      </c>
      <c r="K446" t="n">
        <v>19951534</v>
      </c>
      <c r="L446" s="8">
        <f>HYPERLINK("https://test.ictv.global/id/TN19931277","TN19931277@TEST")</f>
        <v/>
      </c>
      <c r="M446" s="8">
        <f>HYPERLINK("https://test.ictv.global/id/ICTV19951534","ICTV19951534@TEST")</f>
        <v/>
      </c>
      <c r="N446" s="8">
        <f>HYPERLINK("https://ictv.global/id/TN19931277","TN19931277@prod")</f>
        <v/>
      </c>
      <c r="O446" s="8">
        <f>HYPERLINK("https://ictv.global/id/ICTV19951534","ICTV19951534@prod")</f>
        <v/>
      </c>
    </row>
    <row r="447">
      <c r="A447" t="n">
        <v>13</v>
      </c>
      <c r="B447" t="n">
        <v>19931334</v>
      </c>
      <c r="C447" t="n">
        <v>19790544</v>
      </c>
      <c r="D447" t="inlineStr">
        <is>
          <t>species</t>
        </is>
      </c>
      <c r="E447" t="inlineStr">
        <is>
          <t>Human echovirus 34</t>
        </is>
      </c>
      <c r="G447" t="inlineStr">
        <is>
          <t>Abolished,</t>
        </is>
      </c>
      <c r="L447" s="8">
        <f>HYPERLINK("https://test.ictv.global/id/TN19931334","TN19931334@TEST")</f>
        <v/>
      </c>
      <c r="M447" s="8">
        <f>HYPERLINK("https://test.ictv.global/id/ICTV19790544","ICTV19790544@TEST")</f>
        <v/>
      </c>
      <c r="N447" s="8">
        <f>HYPERLINK("https://ictv.global/id/TN19931334","TN19931334@prod")</f>
        <v/>
      </c>
      <c r="O447" s="8">
        <f>HYPERLINK("https://ictv.global/id/ICTV19790544","ICTV19790544@prod")</f>
        <v/>
      </c>
    </row>
    <row r="448">
      <c r="A448" t="n">
        <v>13</v>
      </c>
      <c r="B448" t="n">
        <v>19931339</v>
      </c>
      <c r="C448" t="n">
        <v>19790549</v>
      </c>
      <c r="D448" t="inlineStr">
        <is>
          <t>species</t>
        </is>
      </c>
      <c r="E448" t="inlineStr">
        <is>
          <t>Human echovirus 8</t>
        </is>
      </c>
      <c r="G448" t="inlineStr">
        <is>
          <t>Abolished,</t>
        </is>
      </c>
      <c r="L448" s="8">
        <f>HYPERLINK("https://test.ictv.global/id/TN19931339","TN19931339@TEST")</f>
        <v/>
      </c>
      <c r="M448" s="8">
        <f>HYPERLINK("https://test.ictv.global/id/ICTV19790549","ICTV19790549@TEST")</f>
        <v/>
      </c>
      <c r="N448" s="8">
        <f>HYPERLINK("https://ictv.global/id/TN19931339","TN19931339@prod")</f>
        <v/>
      </c>
      <c r="O448" s="8">
        <f>HYPERLINK("https://ictv.global/id/ICTV19790549","ICTV19790549@prod")</f>
        <v/>
      </c>
    </row>
    <row r="449">
      <c r="A449" t="n">
        <v>13</v>
      </c>
      <c r="B449" t="n">
        <v>19931349</v>
      </c>
      <c r="C449" t="n">
        <v>19790558</v>
      </c>
      <c r="D449" t="inlineStr">
        <is>
          <t>species</t>
        </is>
      </c>
      <c r="E449" t="inlineStr">
        <is>
          <t>Murine poliovirus</t>
        </is>
      </c>
      <c r="G449" t="inlineStr">
        <is>
          <t>Merged,Moved,</t>
        </is>
      </c>
      <c r="H449" t="inlineStr">
        <is>
          <t>Theiler's murine encephalomyelitis virus</t>
        </is>
      </c>
      <c r="I449" t="inlineStr">
        <is>
          <t>species</t>
        </is>
      </c>
      <c r="J449" t="n">
        <v>19951534</v>
      </c>
      <c r="K449" t="n">
        <v>19951534</v>
      </c>
      <c r="L449" s="8">
        <f>HYPERLINK("https://test.ictv.global/id/TN19931349","TN19931349@TEST")</f>
        <v/>
      </c>
      <c r="M449" s="8">
        <f>HYPERLINK("https://test.ictv.global/id/ICTV19790558","ICTV19790558@TEST")</f>
        <v/>
      </c>
      <c r="N449" s="8">
        <f>HYPERLINK("https://ictv.global/id/TN19931349","TN19931349@prod")</f>
        <v/>
      </c>
      <c r="O449" s="8">
        <f>HYPERLINK("https://ictv.global/id/ICTV19790558","ICTV19790558@prod")</f>
        <v/>
      </c>
    </row>
    <row r="450">
      <c r="A450" t="n">
        <v>13</v>
      </c>
      <c r="B450" t="n">
        <v>19931488</v>
      </c>
      <c r="C450" t="n">
        <v>19790703</v>
      </c>
      <c r="D450" t="inlineStr">
        <is>
          <t>species</t>
        </is>
      </c>
      <c r="E450" t="inlineStr">
        <is>
          <t>Phage 1307</t>
        </is>
      </c>
      <c r="G450" t="inlineStr">
        <is>
          <t>Abolished,</t>
        </is>
      </c>
      <c r="L450" s="8">
        <f>HYPERLINK("https://test.ictv.global/id/TN19931488","TN19931488@TEST")</f>
        <v/>
      </c>
      <c r="M450" s="8">
        <f>HYPERLINK("https://test.ictv.global/id/ICTV19790703","ICTV19790703@TEST")</f>
        <v/>
      </c>
      <c r="N450" s="8">
        <f>HYPERLINK("https://ictv.global/id/TN19931488","TN19931488@prod")</f>
        <v/>
      </c>
      <c r="O450" s="8">
        <f>HYPERLINK("https://ictv.global/id/ICTV19790703","ICTV19790703@prod")</f>
        <v/>
      </c>
    </row>
    <row r="451">
      <c r="A451" t="n">
        <v>13</v>
      </c>
      <c r="B451" t="n">
        <v>19931509</v>
      </c>
      <c r="C451" t="n">
        <v>19991368</v>
      </c>
      <c r="D451" t="inlineStr">
        <is>
          <t>species</t>
        </is>
      </c>
      <c r="E451" t="inlineStr">
        <is>
          <t>Bean common mosaic virus</t>
        </is>
      </c>
      <c r="F451" t="inlineStr">
        <is>
          <t>U34972</t>
        </is>
      </c>
      <c r="G451" t="inlineStr">
        <is>
          <t>Merged,</t>
        </is>
      </c>
      <c r="H451" t="inlineStr">
        <is>
          <t>Bean common mosaic virus</t>
        </is>
      </c>
      <c r="I451" t="inlineStr">
        <is>
          <t>species</t>
        </is>
      </c>
      <c r="J451" t="n">
        <v>19991368</v>
      </c>
      <c r="K451" t="n">
        <v>19951864</v>
      </c>
      <c r="L451" s="8">
        <f>HYPERLINK("https://test.ictv.global/id/TN19931509","TN19931509@TEST")</f>
        <v/>
      </c>
      <c r="M451" s="8">
        <f>HYPERLINK("https://test.ictv.global/id/ICTV19991368","ICTV19991368@TEST")</f>
        <v/>
      </c>
      <c r="N451" s="8">
        <f>HYPERLINK("https://ictv.global/id/TN19931509","TN19931509@prod")</f>
        <v/>
      </c>
      <c r="O451" s="8">
        <f>HYPERLINK("https://ictv.global/id/ICTV19991368","ICTV19991368@prod")</f>
        <v/>
      </c>
    </row>
    <row r="452">
      <c r="A452" t="n">
        <v>13</v>
      </c>
      <c r="B452" t="n">
        <v>19931513</v>
      </c>
      <c r="C452" t="n">
        <v>19821296</v>
      </c>
      <c r="D452" t="inlineStr">
        <is>
          <t>species</t>
        </is>
      </c>
      <c r="E452" t="inlineStr">
        <is>
          <t>Blackeye cowpea mosaic virus</t>
        </is>
      </c>
      <c r="G452" t="inlineStr">
        <is>
          <t>Merged,</t>
        </is>
      </c>
      <c r="H452" t="inlineStr">
        <is>
          <t>Bean common mosaic virus</t>
        </is>
      </c>
      <c r="I452" t="inlineStr">
        <is>
          <t>species</t>
        </is>
      </c>
      <c r="J452" t="n">
        <v>19991368</v>
      </c>
      <c r="K452" t="n">
        <v>19951864</v>
      </c>
      <c r="L452" s="8">
        <f>HYPERLINK("https://test.ictv.global/id/TN19931513","TN19931513@TEST")</f>
        <v/>
      </c>
      <c r="M452" s="8">
        <f>HYPERLINK("https://test.ictv.global/id/ICTV19821296","ICTV19821296@TEST")</f>
        <v/>
      </c>
      <c r="N452" s="8">
        <f>HYPERLINK("https://ictv.global/id/TN19931513","TN19931513@prod")</f>
        <v/>
      </c>
      <c r="O452" s="8">
        <f>HYPERLINK("https://ictv.global/id/ICTV19821296","ICTV19821296@prod")</f>
        <v/>
      </c>
    </row>
    <row r="453">
      <c r="A453" t="n">
        <v>13</v>
      </c>
      <c r="B453" t="n">
        <v>19931518</v>
      </c>
      <c r="C453" t="n">
        <v>19951873</v>
      </c>
      <c r="D453" t="inlineStr">
        <is>
          <t>species</t>
        </is>
      </c>
      <c r="E453" t="inlineStr">
        <is>
          <t>Clover yellow vein virus</t>
        </is>
      </c>
      <c r="F453" t="inlineStr">
        <is>
          <t>AB011819</t>
        </is>
      </c>
      <c r="G453" t="inlineStr">
        <is>
          <t>Merged,</t>
        </is>
      </c>
      <c r="H453" t="inlineStr">
        <is>
          <t>Clover yellow vein virus</t>
        </is>
      </c>
      <c r="I453" t="inlineStr">
        <is>
          <t>species</t>
        </is>
      </c>
      <c r="J453" t="n">
        <v>19951873</v>
      </c>
      <c r="K453" t="n">
        <v>19951873</v>
      </c>
      <c r="L453" s="8">
        <f>HYPERLINK("https://test.ictv.global/id/TN19931518","TN19931518@TEST")</f>
        <v/>
      </c>
      <c r="M453" s="8">
        <f>HYPERLINK("https://test.ictv.global/id/ICTV19951873","ICTV19951873@TEST")</f>
        <v/>
      </c>
      <c r="N453" s="8">
        <f>HYPERLINK("https://ictv.global/id/TN19931518","TN19931518@prod")</f>
        <v/>
      </c>
      <c r="O453" s="8">
        <f>HYPERLINK("https://ictv.global/id/ICTV19951873","ICTV19951873@prod")</f>
        <v/>
      </c>
    </row>
    <row r="454">
      <c r="A454" t="n">
        <v>13</v>
      </c>
      <c r="B454" t="n">
        <v>19931527</v>
      </c>
      <c r="C454" t="n">
        <v>19911776</v>
      </c>
      <c r="D454" t="inlineStr">
        <is>
          <t>species</t>
        </is>
      </c>
      <c r="E454" t="inlineStr">
        <is>
          <t>Garlic mosaic virus</t>
        </is>
      </c>
      <c r="G454" t="inlineStr">
        <is>
          <t>Abolished,</t>
        </is>
      </c>
      <c r="L454" s="8">
        <f>HYPERLINK("https://test.ictv.global/id/TN19931527","TN19931527@TEST")</f>
        <v/>
      </c>
      <c r="M454" s="8">
        <f>HYPERLINK("https://test.ictv.global/id/ICTV19911776","ICTV19911776@TEST")</f>
        <v/>
      </c>
      <c r="N454" s="8">
        <f>HYPERLINK("https://ictv.global/id/TN19931527","TN19931527@prod")</f>
        <v/>
      </c>
      <c r="O454" s="8">
        <f>HYPERLINK("https://ictv.global/id/ICTV19911776","ICTV19911776@prod")</f>
        <v/>
      </c>
    </row>
    <row r="455">
      <c r="A455" t="n">
        <v>13</v>
      </c>
      <c r="B455" t="n">
        <v>19931551</v>
      </c>
      <c r="C455" t="n">
        <v>19911800</v>
      </c>
      <c r="D455" t="inlineStr">
        <is>
          <t>species</t>
        </is>
      </c>
      <c r="E455" t="inlineStr">
        <is>
          <t>Peanut stripe virus</t>
        </is>
      </c>
      <c r="G455" t="inlineStr">
        <is>
          <t>Merged,</t>
        </is>
      </c>
      <c r="H455" t="inlineStr">
        <is>
          <t>Bean common mosaic virus</t>
        </is>
      </c>
      <c r="I455" t="inlineStr">
        <is>
          <t>species</t>
        </is>
      </c>
      <c r="J455" t="n">
        <v>19991368</v>
      </c>
      <c r="K455" t="n">
        <v>19951864</v>
      </c>
      <c r="L455" s="8">
        <f>HYPERLINK("https://test.ictv.global/id/TN19931551","TN19931551@TEST")</f>
        <v/>
      </c>
      <c r="M455" s="8">
        <f>HYPERLINK("https://test.ictv.global/id/ICTV19911800","ICTV19911800@TEST")</f>
        <v/>
      </c>
      <c r="N455" s="8">
        <f>HYPERLINK("https://ictv.global/id/TN19931551","TN19931551@prod")</f>
        <v/>
      </c>
      <c r="O455" s="8">
        <f>HYPERLINK("https://ictv.global/id/ICTV19911800","ICTV19911800@prod")</f>
        <v/>
      </c>
    </row>
    <row r="456">
      <c r="A456" t="n">
        <v>13</v>
      </c>
      <c r="B456" t="n">
        <v>19931562</v>
      </c>
      <c r="C456" t="n">
        <v>19911811</v>
      </c>
      <c r="D456" t="inlineStr">
        <is>
          <t>species</t>
        </is>
      </c>
      <c r="E456" t="inlineStr">
        <is>
          <t>Statice virus Y</t>
        </is>
      </c>
      <c r="G456" t="inlineStr">
        <is>
          <t>Merged,</t>
        </is>
      </c>
      <c r="H456" t="inlineStr">
        <is>
          <t>Clover yellow vein virus</t>
        </is>
      </c>
      <c r="I456" t="inlineStr">
        <is>
          <t>species</t>
        </is>
      </c>
      <c r="J456" t="n">
        <v>19951873</v>
      </c>
      <c r="K456" t="n">
        <v>19951873</v>
      </c>
      <c r="L456" s="8">
        <f>HYPERLINK("https://test.ictv.global/id/TN19931562","TN19931562@TEST")</f>
        <v/>
      </c>
      <c r="M456" s="8">
        <f>HYPERLINK("https://test.ictv.global/id/ICTV19911811","ICTV19911811@TEST")</f>
        <v/>
      </c>
      <c r="N456" s="8">
        <f>HYPERLINK("https://ictv.global/id/TN19931562","TN19931562@prod")</f>
        <v/>
      </c>
      <c r="O456" s="8">
        <f>HYPERLINK("https://ictv.global/id/ICTV19911811","ICTV19911811@prod")</f>
        <v/>
      </c>
    </row>
    <row r="457">
      <c r="A457" t="n">
        <v>13</v>
      </c>
      <c r="B457" t="n">
        <v>19931639</v>
      </c>
      <c r="C457" t="n">
        <v>19901113</v>
      </c>
      <c r="D457" t="inlineStr">
        <is>
          <t>species</t>
        </is>
      </c>
      <c r="E457" t="inlineStr">
        <is>
          <t>13p2 reovirus</t>
        </is>
      </c>
      <c r="G457" t="inlineStr">
        <is>
          <t>Merged,</t>
        </is>
      </c>
      <c r="H457" t="inlineStr">
        <is>
          <t>Group A aquareovirus</t>
        </is>
      </c>
      <c r="I457" t="inlineStr">
        <is>
          <t>species</t>
        </is>
      </c>
      <c r="J457" t="n">
        <v>19951998</v>
      </c>
      <c r="K457" t="n">
        <v>19951998</v>
      </c>
      <c r="L457" s="8">
        <f>HYPERLINK("https://test.ictv.global/id/TN19931639","TN19931639@TEST")</f>
        <v/>
      </c>
      <c r="M457" s="8">
        <f>HYPERLINK("https://test.ictv.global/id/ICTV19901113","ICTV19901113@TEST")</f>
        <v/>
      </c>
      <c r="N457" s="8">
        <f>HYPERLINK("https://ictv.global/id/TN19931639","TN19931639@prod")</f>
        <v/>
      </c>
      <c r="O457" s="8">
        <f>HYPERLINK("https://ictv.global/id/ICTV19901113","ICTV19901113@prod")</f>
        <v/>
      </c>
    </row>
    <row r="458">
      <c r="A458" t="n">
        <v>13</v>
      </c>
      <c r="B458" t="n">
        <v>19931641</v>
      </c>
      <c r="C458" t="n">
        <v>19951998</v>
      </c>
      <c r="D458" t="inlineStr">
        <is>
          <t>species</t>
        </is>
      </c>
      <c r="E458" t="inlineStr">
        <is>
          <t>Chum salmon virus</t>
        </is>
      </c>
      <c r="G458" t="inlineStr">
        <is>
          <t>Merged,</t>
        </is>
      </c>
      <c r="H458" t="inlineStr">
        <is>
          <t>Group A aquareovirus</t>
        </is>
      </c>
      <c r="I458" t="inlineStr">
        <is>
          <t>species</t>
        </is>
      </c>
      <c r="J458" t="n">
        <v>19951998</v>
      </c>
      <c r="K458" t="n">
        <v>19951998</v>
      </c>
      <c r="L458" s="8">
        <f>HYPERLINK("https://test.ictv.global/id/TN19931641","TN19931641@TEST")</f>
        <v/>
      </c>
      <c r="M458" s="8">
        <f>HYPERLINK("https://test.ictv.global/id/ICTV19951998","ICTV19951998@TEST")</f>
        <v/>
      </c>
      <c r="N458" s="8">
        <f>HYPERLINK("https://ictv.global/id/TN19931641","TN19931641@prod")</f>
        <v/>
      </c>
      <c r="O458" s="8">
        <f>HYPERLINK("https://ictv.global/id/ICTV19951998","ICTV19951998@prod")</f>
        <v/>
      </c>
    </row>
    <row r="459">
      <c r="A459" t="n">
        <v>13</v>
      </c>
      <c r="B459" t="n">
        <v>19931692</v>
      </c>
      <c r="C459" t="n">
        <v>19760531</v>
      </c>
      <c r="D459" t="inlineStr">
        <is>
          <t>species</t>
        </is>
      </c>
      <c r="E459" t="inlineStr">
        <is>
          <t>Avian sarcoma and leukemia viruses</t>
        </is>
      </c>
      <c r="G459" t="inlineStr">
        <is>
          <t>Split,</t>
        </is>
      </c>
      <c r="H459" t="inlineStr">
        <is>
          <t>Avian carcinoma Mill Hill virus 2</t>
        </is>
      </c>
      <c r="I459" t="inlineStr">
        <is>
          <t>species</t>
        </is>
      </c>
      <c r="J459" t="n">
        <v>19952066</v>
      </c>
      <c r="K459" t="n">
        <v>19952066</v>
      </c>
      <c r="L459" s="8">
        <f>HYPERLINK("https://test.ictv.global/id/TN19931692","TN19931692@TEST")</f>
        <v/>
      </c>
      <c r="M459" s="8">
        <f>HYPERLINK("https://test.ictv.global/id/ICTV19760531","ICTV19760531@TEST")</f>
        <v/>
      </c>
      <c r="N459" s="8">
        <f>HYPERLINK("https://ictv.global/id/TN19931692","TN19931692@prod")</f>
        <v/>
      </c>
      <c r="O459" s="8">
        <f>HYPERLINK("https://ictv.global/id/ICTV19760531","ICTV19760531@prod")</f>
        <v/>
      </c>
    </row>
    <row r="460">
      <c r="A460" t="n">
        <v>13</v>
      </c>
      <c r="B460" t="n">
        <v>19931692</v>
      </c>
      <c r="C460" t="n">
        <v>19760531</v>
      </c>
      <c r="D460" t="inlineStr">
        <is>
          <t>species</t>
        </is>
      </c>
      <c r="E460" t="inlineStr">
        <is>
          <t>Avian sarcoma and leukemia viruses</t>
        </is>
      </c>
      <c r="G460" t="inlineStr">
        <is>
          <t>Split,</t>
        </is>
      </c>
      <c r="H460" t="inlineStr">
        <is>
          <t>Avian myeloblastosis virus</t>
        </is>
      </c>
      <c r="I460" t="inlineStr">
        <is>
          <t>species</t>
        </is>
      </c>
      <c r="J460" t="n">
        <v>19952068</v>
      </c>
      <c r="K460" t="n">
        <v>19952068</v>
      </c>
      <c r="L460" s="8">
        <f>HYPERLINK("https://test.ictv.global/id/TN19931692","TN19931692@TEST")</f>
        <v/>
      </c>
      <c r="M460" s="8">
        <f>HYPERLINK("https://test.ictv.global/id/ICTV19760531","ICTV19760531@TEST")</f>
        <v/>
      </c>
      <c r="N460" s="8">
        <f>HYPERLINK("https://ictv.global/id/TN19931692","TN19931692@prod")</f>
        <v/>
      </c>
      <c r="O460" s="8">
        <f>HYPERLINK("https://ictv.global/id/ICTV19760531","ICTV19760531@prod")</f>
        <v/>
      </c>
    </row>
    <row r="461">
      <c r="A461" t="n">
        <v>13</v>
      </c>
      <c r="B461" t="n">
        <v>19931692</v>
      </c>
      <c r="C461" t="n">
        <v>19760531</v>
      </c>
      <c r="D461" t="inlineStr">
        <is>
          <t>species</t>
        </is>
      </c>
      <c r="E461" t="inlineStr">
        <is>
          <t>Avian sarcoma and leukemia viruses</t>
        </is>
      </c>
      <c r="G461" t="inlineStr">
        <is>
          <t>Split,</t>
        </is>
      </c>
      <c r="H461" t="inlineStr">
        <is>
          <t>Avian myelocytomatosis virus 29</t>
        </is>
      </c>
      <c r="I461" t="inlineStr">
        <is>
          <t>species</t>
        </is>
      </c>
      <c r="J461" t="n">
        <v>19952069</v>
      </c>
      <c r="K461" t="n">
        <v>19952069</v>
      </c>
      <c r="L461" s="8">
        <f>HYPERLINK("https://test.ictv.global/id/TN19931692","TN19931692@TEST")</f>
        <v/>
      </c>
      <c r="M461" s="8">
        <f>HYPERLINK("https://test.ictv.global/id/ICTV19760531","ICTV19760531@TEST")</f>
        <v/>
      </c>
      <c r="N461" s="8">
        <f>HYPERLINK("https://ictv.global/id/TN19931692","TN19931692@prod")</f>
        <v/>
      </c>
      <c r="O461" s="8">
        <f>HYPERLINK("https://ictv.global/id/ICTV19760531","ICTV19760531@prod")</f>
        <v/>
      </c>
    </row>
    <row r="462">
      <c r="A462" t="n">
        <v>13</v>
      </c>
      <c r="B462" t="n">
        <v>19931726</v>
      </c>
      <c r="C462" t="n">
        <v>19911462</v>
      </c>
      <c r="D462" t="inlineStr">
        <is>
          <t>species</t>
        </is>
      </c>
      <c r="E462" t="inlineStr">
        <is>
          <t>Phage HK022</t>
        </is>
      </c>
      <c r="G462" t="inlineStr">
        <is>
          <t>Abolished,</t>
        </is>
      </c>
      <c r="L462" s="8">
        <f>HYPERLINK("https://test.ictv.global/id/TN19931726","TN19931726@TEST")</f>
        <v/>
      </c>
      <c r="M462" s="8">
        <f>HYPERLINK("https://test.ictv.global/id/ICTV19911462","ICTV19911462@TEST")</f>
        <v/>
      </c>
      <c r="N462" s="8">
        <f>HYPERLINK("https://ictv.global/id/TN19931726","TN19931726@prod")</f>
        <v/>
      </c>
      <c r="O462" s="8">
        <f>HYPERLINK("https://ictv.global/id/ICTV19911462","ICTV19911462@prod")</f>
        <v/>
      </c>
    </row>
    <row r="463">
      <c r="A463" t="n">
        <v>13</v>
      </c>
      <c r="B463" t="n">
        <v>19931727</v>
      </c>
      <c r="C463" t="n">
        <v>19911463</v>
      </c>
      <c r="D463" t="inlineStr">
        <is>
          <t>species</t>
        </is>
      </c>
      <c r="E463" t="inlineStr">
        <is>
          <t>Phage HK97</t>
        </is>
      </c>
      <c r="G463" t="inlineStr">
        <is>
          <t>Abolished,</t>
        </is>
      </c>
      <c r="L463" s="8">
        <f>HYPERLINK("https://test.ictv.global/id/TN19931727","TN19931727@TEST")</f>
        <v/>
      </c>
      <c r="M463" s="8">
        <f>HYPERLINK("https://test.ictv.global/id/ICTV19911463","ICTV19911463@TEST")</f>
        <v/>
      </c>
      <c r="N463" s="8">
        <f>HYPERLINK("https://ictv.global/id/TN19931727","TN19931727@prod")</f>
        <v/>
      </c>
      <c r="O463" s="8">
        <f>HYPERLINK("https://ictv.global/id/ICTV19911463","ICTV19911463@prod")</f>
        <v/>
      </c>
    </row>
    <row r="464">
      <c r="A464" t="n">
        <v>13</v>
      </c>
      <c r="B464" t="n">
        <v>19931730</v>
      </c>
      <c r="C464" t="n">
        <v>19760704</v>
      </c>
      <c r="D464" t="inlineStr">
        <is>
          <t>species</t>
        </is>
      </c>
      <c r="E464" t="inlineStr">
        <is>
          <t>Phage phiD328</t>
        </is>
      </c>
      <c r="G464" t="inlineStr">
        <is>
          <t>Abolished,</t>
        </is>
      </c>
      <c r="L464" s="8">
        <f>HYPERLINK("https://test.ictv.global/id/TN19931730","TN19931730@TEST")</f>
        <v/>
      </c>
      <c r="M464" s="8">
        <f>HYPERLINK("https://test.ictv.global/id/ICTV19760704","ICTV19760704@TEST")</f>
        <v/>
      </c>
      <c r="N464" s="8">
        <f>HYPERLINK("https://ictv.global/id/TN19931730","TN19931730@prod")</f>
        <v/>
      </c>
      <c r="O464" s="8">
        <f>HYPERLINK("https://ictv.global/id/ICTV19760704","ICTV19760704@prod")</f>
        <v/>
      </c>
    </row>
    <row r="465">
      <c r="A465" t="n">
        <v>13</v>
      </c>
      <c r="B465" t="n">
        <v>19931732</v>
      </c>
      <c r="C465" t="n">
        <v>19790857</v>
      </c>
      <c r="D465" t="inlineStr">
        <is>
          <t>species</t>
        </is>
      </c>
      <c r="E465" t="inlineStr">
        <is>
          <t>Phage Bam35</t>
        </is>
      </c>
      <c r="G465" t="inlineStr">
        <is>
          <t>Abolished,</t>
        </is>
      </c>
      <c r="L465" s="8">
        <f>HYPERLINK("https://test.ictv.global/id/TN19931732","TN19931732@TEST")</f>
        <v/>
      </c>
      <c r="M465" s="8">
        <f>HYPERLINK("https://test.ictv.global/id/ICTV19790857","ICTV19790857@TEST")</f>
        <v/>
      </c>
      <c r="N465" s="8">
        <f>HYPERLINK("https://ictv.global/id/TN19931732","TN19931732@prod")</f>
        <v/>
      </c>
      <c r="O465" s="8">
        <f>HYPERLINK("https://ictv.global/id/ICTV19790857","ICTV19790857@prod")</f>
        <v/>
      </c>
    </row>
    <row r="466">
      <c r="A466" t="n">
        <v>13</v>
      </c>
      <c r="B466" t="n">
        <v>19931733</v>
      </c>
      <c r="C466" t="n">
        <v>19821050</v>
      </c>
      <c r="D466" t="inlineStr">
        <is>
          <t>species</t>
        </is>
      </c>
      <c r="E466" t="inlineStr">
        <is>
          <t>Phage L17</t>
        </is>
      </c>
      <c r="G466" t="inlineStr">
        <is>
          <t>Abolished,</t>
        </is>
      </c>
      <c r="L466" s="8">
        <f>HYPERLINK("https://test.ictv.global/id/TN19931733","TN19931733@TEST")</f>
        <v/>
      </c>
      <c r="M466" s="8">
        <f>HYPERLINK("https://test.ictv.global/id/ICTV19821050","ICTV19821050@TEST")</f>
        <v/>
      </c>
      <c r="N466" s="8">
        <f>HYPERLINK("https://ictv.global/id/TN19931733","TN19931733@prod")</f>
        <v/>
      </c>
      <c r="O466" s="8">
        <f>HYPERLINK("https://ictv.global/id/ICTV19821050","ICTV19821050@prod")</f>
        <v/>
      </c>
    </row>
    <row r="467">
      <c r="A467" t="n">
        <v>13</v>
      </c>
      <c r="B467" t="n">
        <v>19931735</v>
      </c>
      <c r="C467" t="n">
        <v>19790859</v>
      </c>
      <c r="D467" t="inlineStr">
        <is>
          <t>species</t>
        </is>
      </c>
      <c r="E467" t="inlineStr">
        <is>
          <t>Phage PR3</t>
        </is>
      </c>
      <c r="G467" t="inlineStr">
        <is>
          <t>Abolished,</t>
        </is>
      </c>
      <c r="L467" s="8">
        <f>HYPERLINK("https://test.ictv.global/id/TN19931735","TN19931735@TEST")</f>
        <v/>
      </c>
      <c r="M467" s="8">
        <f>HYPERLINK("https://test.ictv.global/id/ICTV19790859","ICTV19790859@TEST")</f>
        <v/>
      </c>
      <c r="N467" s="8">
        <f>HYPERLINK("https://ictv.global/id/TN19931735","TN19931735@prod")</f>
        <v/>
      </c>
      <c r="O467" s="8">
        <f>HYPERLINK("https://ictv.global/id/ICTV19790859","ICTV19790859@prod")</f>
        <v/>
      </c>
    </row>
    <row r="468">
      <c r="A468" t="n">
        <v>13</v>
      </c>
      <c r="B468" t="n">
        <v>19931736</v>
      </c>
      <c r="C468" t="n">
        <v>19790860</v>
      </c>
      <c r="D468" t="inlineStr">
        <is>
          <t>species</t>
        </is>
      </c>
      <c r="E468" t="inlineStr">
        <is>
          <t>Phage PR4</t>
        </is>
      </c>
      <c r="G468" t="inlineStr">
        <is>
          <t>Abolished,</t>
        </is>
      </c>
      <c r="L468" s="8">
        <f>HYPERLINK("https://test.ictv.global/id/TN19931736","TN19931736@TEST")</f>
        <v/>
      </c>
      <c r="M468" s="8">
        <f>HYPERLINK("https://test.ictv.global/id/ICTV19790860","ICTV19790860@TEST")</f>
        <v/>
      </c>
      <c r="N468" s="8">
        <f>HYPERLINK("https://ictv.global/id/TN19931736","TN19931736@prod")</f>
        <v/>
      </c>
      <c r="O468" s="8">
        <f>HYPERLINK("https://ictv.global/id/ICTV19790860","ICTV19790860@prod")</f>
        <v/>
      </c>
    </row>
    <row r="469">
      <c r="A469" t="n">
        <v>13</v>
      </c>
      <c r="B469" t="n">
        <v>19931737</v>
      </c>
      <c r="C469" t="n">
        <v>19790861</v>
      </c>
      <c r="D469" t="inlineStr">
        <is>
          <t>species</t>
        </is>
      </c>
      <c r="E469" t="inlineStr">
        <is>
          <t>Phage PR5</t>
        </is>
      </c>
      <c r="G469" t="inlineStr">
        <is>
          <t>Abolished,</t>
        </is>
      </c>
      <c r="L469" s="8">
        <f>HYPERLINK("https://test.ictv.global/id/TN19931737","TN19931737@TEST")</f>
        <v/>
      </c>
      <c r="M469" s="8">
        <f>HYPERLINK("https://test.ictv.global/id/ICTV19790861","ICTV19790861@TEST")</f>
        <v/>
      </c>
      <c r="N469" s="8">
        <f>HYPERLINK("https://ictv.global/id/TN19931737","TN19931737@prod")</f>
        <v/>
      </c>
      <c r="O469" s="8">
        <f>HYPERLINK("https://ictv.global/id/ICTV19790861","ICTV19790861@prod")</f>
        <v/>
      </c>
    </row>
    <row r="470">
      <c r="A470" t="n">
        <v>13</v>
      </c>
      <c r="B470" t="n">
        <v>19931738</v>
      </c>
      <c r="C470" t="n">
        <v>19821055</v>
      </c>
      <c r="D470" t="inlineStr">
        <is>
          <t>species</t>
        </is>
      </c>
      <c r="E470" t="inlineStr">
        <is>
          <t>Phage PR772</t>
        </is>
      </c>
      <c r="G470" t="inlineStr">
        <is>
          <t>Abolished,</t>
        </is>
      </c>
      <c r="L470" s="8">
        <f>HYPERLINK("https://test.ictv.global/id/TN19931738","TN19931738@TEST")</f>
        <v/>
      </c>
      <c r="M470" s="8">
        <f>HYPERLINK("https://test.ictv.global/id/ICTV19821055","ICTV19821055@TEST")</f>
        <v/>
      </c>
      <c r="N470" s="8">
        <f>HYPERLINK("https://ictv.global/id/TN19931738","TN19931738@prod")</f>
        <v/>
      </c>
      <c r="O470" s="8">
        <f>HYPERLINK("https://ictv.global/id/ICTV19821055","ICTV19821055@prod")</f>
        <v/>
      </c>
    </row>
    <row r="471">
      <c r="A471" t="n">
        <v>13</v>
      </c>
      <c r="B471" t="n">
        <v>19931807</v>
      </c>
      <c r="C471" t="n">
        <v>19760655</v>
      </c>
      <c r="D471" t="inlineStr">
        <is>
          <t>species</t>
        </is>
      </c>
      <c r="E471" t="inlineStr">
        <is>
          <t>Cowpea mild mottle virus</t>
        </is>
      </c>
      <c r="F471" t="inlineStr">
        <is>
          <t>HQ184471</t>
        </is>
      </c>
      <c r="G471" t="inlineStr">
        <is>
          <t>Abolished,</t>
        </is>
      </c>
      <c r="L471" s="8">
        <f>HYPERLINK("https://test.ictv.global/id/TN19931807","TN19931807@TEST")</f>
        <v/>
      </c>
      <c r="M471" s="8">
        <f>HYPERLINK("https://test.ictv.global/id/ICTV19760655","ICTV19760655@TEST")</f>
        <v/>
      </c>
      <c r="N471" s="8">
        <f>HYPERLINK("https://ictv.global/id/TN19931807","TN19931807@prod")</f>
        <v/>
      </c>
      <c r="O471" s="8">
        <f>HYPERLINK("https://ictv.global/id/ICTV19760655","ICTV19760655@prod")</f>
        <v/>
      </c>
    </row>
    <row r="472">
      <c r="A472" t="n">
        <v>13</v>
      </c>
      <c r="B472" t="n">
        <v>19931820</v>
      </c>
      <c r="C472" t="n">
        <v>19790961</v>
      </c>
      <c r="D472" t="inlineStr">
        <is>
          <t>species</t>
        </is>
      </c>
      <c r="E472" t="inlineStr">
        <is>
          <t>Narcissus latent virus</t>
        </is>
      </c>
      <c r="F472" t="inlineStr"/>
      <c r="G472" t="inlineStr">
        <is>
          <t>Abolished,</t>
        </is>
      </c>
      <c r="L472" s="8">
        <f>HYPERLINK("https://test.ictv.global/id/TN19931820","TN19931820@TEST")</f>
        <v/>
      </c>
      <c r="M472" s="8">
        <f>HYPERLINK("https://test.ictv.global/id/ICTV19790961","ICTV19790961@TEST")</f>
        <v/>
      </c>
      <c r="N472" s="8">
        <f>HYPERLINK("https://ictv.global/id/TN19931820","TN19931820@prod")</f>
        <v/>
      </c>
      <c r="O472" s="8">
        <f>HYPERLINK("https://ictv.global/id/ICTV19790961","ICTV19790961@prod")</f>
        <v/>
      </c>
    </row>
    <row r="473">
      <c r="A473" t="n">
        <v>13</v>
      </c>
      <c r="B473" t="n">
        <v>19931847</v>
      </c>
      <c r="C473" t="n">
        <v>19760669</v>
      </c>
      <c r="D473" t="inlineStr">
        <is>
          <t>species</t>
        </is>
      </c>
      <c r="E473" t="inlineStr">
        <is>
          <t>Festuca necrosis virus</t>
        </is>
      </c>
      <c r="G473" t="inlineStr">
        <is>
          <t>Abolished,</t>
        </is>
      </c>
      <c r="L473" s="8">
        <f>HYPERLINK("https://test.ictv.global/id/TN19931847","TN19931847@TEST")</f>
        <v/>
      </c>
      <c r="M473" s="8">
        <f>HYPERLINK("https://test.ictv.global/id/ICTV19760669","ICTV19760669@TEST")</f>
        <v/>
      </c>
      <c r="N473" s="8">
        <f>HYPERLINK("https://ictv.global/id/TN19931847","TN19931847@prod")</f>
        <v/>
      </c>
      <c r="O473" s="8">
        <f>HYPERLINK("https://ictv.global/id/ICTV19760669","ICTV19760669@prod")</f>
        <v/>
      </c>
    </row>
    <row r="474">
      <c r="A474" t="n">
        <v>13</v>
      </c>
      <c r="B474" t="n">
        <v>19931848</v>
      </c>
      <c r="C474" t="n">
        <v>19911575</v>
      </c>
      <c r="D474" t="inlineStr">
        <is>
          <t>species</t>
        </is>
      </c>
      <c r="E474" t="inlineStr">
        <is>
          <t>Grapevine virus A</t>
        </is>
      </c>
      <c r="F474" t="inlineStr">
        <is>
          <t>X75433</t>
        </is>
      </c>
      <c r="G474" t="inlineStr">
        <is>
          <t>Abolished,</t>
        </is>
      </c>
      <c r="L474" s="8">
        <f>HYPERLINK("https://test.ictv.global/id/TN19931848","TN19931848@TEST")</f>
        <v/>
      </c>
      <c r="M474" s="8">
        <f>HYPERLINK("https://test.ictv.global/id/ICTV19911575","ICTV19911575@TEST")</f>
        <v/>
      </c>
      <c r="N474" s="8">
        <f>HYPERLINK("https://ictv.global/id/TN19931848","TN19931848@prod")</f>
        <v/>
      </c>
      <c r="O474" s="8">
        <f>HYPERLINK("https://ictv.global/id/ICTV19911575","ICTV19911575@prod")</f>
        <v/>
      </c>
    </row>
    <row r="475">
      <c r="A475" t="n">
        <v>13</v>
      </c>
      <c r="B475" t="n">
        <v>19931866</v>
      </c>
      <c r="C475" t="n">
        <v>19911689</v>
      </c>
      <c r="D475" t="inlineStr">
        <is>
          <t>species</t>
        </is>
      </c>
      <c r="E475" t="inlineStr">
        <is>
          <t>Barley yellow dwarf virus</t>
        </is>
      </c>
      <c r="G475" t="inlineStr">
        <is>
          <t>Split,Removed as Type Species,</t>
        </is>
      </c>
      <c r="H475" t="inlineStr">
        <is>
          <t>Barley yellow dwarf virus-MAV</t>
        </is>
      </c>
      <c r="I475" t="inlineStr">
        <is>
          <t>species</t>
        </is>
      </c>
      <c r="J475" t="n">
        <v>19952388</v>
      </c>
      <c r="K475" t="n">
        <v>19952388</v>
      </c>
      <c r="L475" s="8">
        <f>HYPERLINK("https://test.ictv.global/id/TN19931866","TN19931866@TEST")</f>
        <v/>
      </c>
      <c r="M475" s="8">
        <f>HYPERLINK("https://test.ictv.global/id/ICTV19911689","ICTV19911689@TEST")</f>
        <v/>
      </c>
      <c r="N475" s="8">
        <f>HYPERLINK("https://ictv.global/id/TN19931866","TN19931866@prod")</f>
        <v/>
      </c>
      <c r="O475" s="8">
        <f>HYPERLINK("https://ictv.global/id/ICTV19911689","ICTV19911689@prod")</f>
        <v/>
      </c>
    </row>
    <row r="476">
      <c r="A476" t="n">
        <v>13</v>
      </c>
      <c r="B476" t="n">
        <v>19931866</v>
      </c>
      <c r="C476" t="n">
        <v>19911689</v>
      </c>
      <c r="D476" t="inlineStr">
        <is>
          <t>species</t>
        </is>
      </c>
      <c r="E476" t="inlineStr">
        <is>
          <t>Barley yellow dwarf virus</t>
        </is>
      </c>
      <c r="G476" t="inlineStr">
        <is>
          <t>Split,</t>
        </is>
      </c>
      <c r="H476" t="inlineStr">
        <is>
          <t>Barley yellow dwarf virus-PAV</t>
        </is>
      </c>
      <c r="I476" t="inlineStr">
        <is>
          <t>species</t>
        </is>
      </c>
      <c r="J476" t="n">
        <v>19952389</v>
      </c>
      <c r="K476" t="n">
        <v>19952389</v>
      </c>
      <c r="L476" s="8">
        <f>HYPERLINK("https://test.ictv.global/id/TN19931866","TN19931866@TEST")</f>
        <v/>
      </c>
      <c r="M476" s="8">
        <f>HYPERLINK("https://test.ictv.global/id/ICTV19911689","ICTV19911689@TEST")</f>
        <v/>
      </c>
      <c r="N476" s="8">
        <f>HYPERLINK("https://ictv.global/id/TN19931866","TN19931866@prod")</f>
        <v/>
      </c>
      <c r="O476" s="8">
        <f>HYPERLINK("https://ictv.global/id/ICTV19911689","ICTV19911689@prod")</f>
        <v/>
      </c>
    </row>
    <row r="477">
      <c r="A477" t="n">
        <v>13</v>
      </c>
      <c r="B477" t="n">
        <v>19931866</v>
      </c>
      <c r="C477" t="n">
        <v>19911689</v>
      </c>
      <c r="D477" t="inlineStr">
        <is>
          <t>species</t>
        </is>
      </c>
      <c r="E477" t="inlineStr">
        <is>
          <t>Barley yellow dwarf virus</t>
        </is>
      </c>
      <c r="G477" t="inlineStr">
        <is>
          <t>Split,Removed as Type Species,</t>
        </is>
      </c>
      <c r="H477" t="inlineStr">
        <is>
          <t>Barley yellow dwarf virus-RGV</t>
        </is>
      </c>
      <c r="I477" t="inlineStr">
        <is>
          <t>species</t>
        </is>
      </c>
      <c r="J477" t="n">
        <v>19952390</v>
      </c>
      <c r="K477" t="n">
        <v>19952390</v>
      </c>
      <c r="L477" s="8">
        <f>HYPERLINK("https://test.ictv.global/id/TN19931866","TN19931866@TEST")</f>
        <v/>
      </c>
      <c r="M477" s="8">
        <f>HYPERLINK("https://test.ictv.global/id/ICTV19911689","ICTV19911689@TEST")</f>
        <v/>
      </c>
      <c r="N477" s="8">
        <f>HYPERLINK("https://ictv.global/id/TN19931866","TN19931866@prod")</f>
        <v/>
      </c>
      <c r="O477" s="8">
        <f>HYPERLINK("https://ictv.global/id/ICTV19911689","ICTV19911689@prod")</f>
        <v/>
      </c>
    </row>
    <row r="478">
      <c r="A478" t="n">
        <v>13</v>
      </c>
      <c r="B478" t="n">
        <v>19931866</v>
      </c>
      <c r="C478" t="n">
        <v>19911689</v>
      </c>
      <c r="D478" t="inlineStr">
        <is>
          <t>species</t>
        </is>
      </c>
      <c r="E478" t="inlineStr">
        <is>
          <t>Barley yellow dwarf virus</t>
        </is>
      </c>
      <c r="G478" t="inlineStr">
        <is>
          <t>Split,Removed as Type Species,</t>
        </is>
      </c>
      <c r="H478" t="inlineStr">
        <is>
          <t>Barley yellow dwarf virus-RMV</t>
        </is>
      </c>
      <c r="I478" t="inlineStr">
        <is>
          <t>species</t>
        </is>
      </c>
      <c r="J478" t="n">
        <v>19952391</v>
      </c>
      <c r="K478" t="n">
        <v>19952391</v>
      </c>
      <c r="L478" s="8">
        <f>HYPERLINK("https://test.ictv.global/id/TN19931866","TN19931866@TEST")</f>
        <v/>
      </c>
      <c r="M478" s="8">
        <f>HYPERLINK("https://test.ictv.global/id/ICTV19911689","ICTV19911689@TEST")</f>
        <v/>
      </c>
      <c r="N478" s="8">
        <f>HYPERLINK("https://ictv.global/id/TN19931866","TN19931866@prod")</f>
        <v/>
      </c>
      <c r="O478" s="8">
        <f>HYPERLINK("https://ictv.global/id/ICTV19911689","ICTV19911689@prod")</f>
        <v/>
      </c>
    </row>
    <row r="479">
      <c r="A479" t="n">
        <v>13</v>
      </c>
      <c r="B479" t="n">
        <v>19931866</v>
      </c>
      <c r="C479" t="n">
        <v>19911689</v>
      </c>
      <c r="D479" t="inlineStr">
        <is>
          <t>species</t>
        </is>
      </c>
      <c r="E479" t="inlineStr">
        <is>
          <t>Barley yellow dwarf virus</t>
        </is>
      </c>
      <c r="G479" t="inlineStr">
        <is>
          <t>Split,Removed as Type Species,</t>
        </is>
      </c>
      <c r="H479" t="inlineStr">
        <is>
          <t>Barley yellow dwarf virus-RPV</t>
        </is>
      </c>
      <c r="I479" t="inlineStr">
        <is>
          <t>species</t>
        </is>
      </c>
      <c r="J479" t="n">
        <v>19981710</v>
      </c>
      <c r="K479" t="n">
        <v>19952392</v>
      </c>
      <c r="L479" s="8">
        <f>HYPERLINK("https://test.ictv.global/id/TN19931866","TN19931866@TEST")</f>
        <v/>
      </c>
      <c r="M479" s="8">
        <f>HYPERLINK("https://test.ictv.global/id/ICTV19911689","ICTV19911689@TEST")</f>
        <v/>
      </c>
      <c r="N479" s="8">
        <f>HYPERLINK("https://ictv.global/id/TN19931866","TN19931866@prod")</f>
        <v/>
      </c>
      <c r="O479" s="8">
        <f>HYPERLINK("https://ictv.global/id/ICTV19911689","ICTV19911689@prod")</f>
        <v/>
      </c>
    </row>
    <row r="480">
      <c r="A480" t="n">
        <v>13</v>
      </c>
      <c r="B480" t="n">
        <v>19931866</v>
      </c>
      <c r="C480" t="n">
        <v>19911689</v>
      </c>
      <c r="D480" t="inlineStr">
        <is>
          <t>species</t>
        </is>
      </c>
      <c r="E480" t="inlineStr">
        <is>
          <t>Barley yellow dwarf virus</t>
        </is>
      </c>
      <c r="G480" t="inlineStr">
        <is>
          <t>Split,Removed as Type Species,</t>
        </is>
      </c>
      <c r="H480" t="inlineStr">
        <is>
          <t>Barley yellow dwarf virus-SGV</t>
        </is>
      </c>
      <c r="I480" t="inlineStr">
        <is>
          <t>species</t>
        </is>
      </c>
      <c r="J480" t="n">
        <v>19952393</v>
      </c>
      <c r="K480" t="n">
        <v>19952393</v>
      </c>
      <c r="L480" s="8">
        <f>HYPERLINK("https://test.ictv.global/id/TN19931866","TN19931866@TEST")</f>
        <v/>
      </c>
      <c r="M480" s="8">
        <f>HYPERLINK("https://test.ictv.global/id/ICTV19911689","ICTV19911689@TEST")</f>
        <v/>
      </c>
      <c r="N480" s="8">
        <f>HYPERLINK("https://ictv.global/id/TN19931866","TN19931866@prod")</f>
        <v/>
      </c>
      <c r="O480" s="8">
        <f>HYPERLINK("https://ictv.global/id/ICTV19911689","ICTV19911689@prod")</f>
        <v/>
      </c>
    </row>
    <row r="481">
      <c r="A481" t="n">
        <v>13</v>
      </c>
      <c r="B481" t="n">
        <v>19931940</v>
      </c>
      <c r="C481" t="n">
        <v>19710338</v>
      </c>
      <c r="D481" t="inlineStr">
        <is>
          <t>species</t>
        </is>
      </c>
      <c r="E481" t="inlineStr">
        <is>
          <t>Ononis yellow mosaic virus</t>
        </is>
      </c>
      <c r="F481" t="inlineStr"/>
      <c r="G481" t="inlineStr">
        <is>
          <t>Merged,</t>
        </is>
      </c>
      <c r="H481" t="inlineStr">
        <is>
          <t>Scrophularia mottle virus</t>
        </is>
      </c>
      <c r="I481" t="inlineStr">
        <is>
          <t>species</t>
        </is>
      </c>
      <c r="J481" t="n">
        <v>19952476</v>
      </c>
      <c r="K481" t="n">
        <v>19952476</v>
      </c>
      <c r="L481" s="8">
        <f>HYPERLINK("https://test.ictv.global/id/TN19931940","TN19931940@TEST")</f>
        <v/>
      </c>
      <c r="M481" s="8">
        <f>HYPERLINK("https://test.ictv.global/id/ICTV19710338","ICTV19710338@TEST")</f>
        <v/>
      </c>
      <c r="N481" s="8">
        <f>HYPERLINK("https://ictv.global/id/TN19931940","TN19931940@prod")</f>
        <v/>
      </c>
      <c r="O481" s="8">
        <f>HYPERLINK("https://ictv.global/id/ICTV19710338","ICTV19710338@prod")</f>
        <v/>
      </c>
    </row>
    <row r="482">
      <c r="A482" t="n">
        <v>13</v>
      </c>
      <c r="B482" t="n">
        <v>19931945</v>
      </c>
      <c r="C482" t="n">
        <v>19952476</v>
      </c>
      <c r="D482" t="inlineStr">
        <is>
          <t>species</t>
        </is>
      </c>
      <c r="E482" t="inlineStr">
        <is>
          <t>Scrophularia mottle virus</t>
        </is>
      </c>
      <c r="F482" t="inlineStr"/>
      <c r="G482" t="inlineStr">
        <is>
          <t>Merged,</t>
        </is>
      </c>
      <c r="H482" t="inlineStr">
        <is>
          <t>Scrophularia mottle virus</t>
        </is>
      </c>
      <c r="I482" t="inlineStr">
        <is>
          <t>species</t>
        </is>
      </c>
      <c r="J482" t="n">
        <v>19952476</v>
      </c>
      <c r="K482" t="n">
        <v>19952476</v>
      </c>
      <c r="L482" s="8">
        <f>HYPERLINK("https://test.ictv.global/id/TN19931945","TN19931945@TEST")</f>
        <v/>
      </c>
      <c r="M482" s="8">
        <f>HYPERLINK("https://test.ictv.global/id/ICTV19952476","ICTV19952476@TEST")</f>
        <v/>
      </c>
      <c r="N482" s="8">
        <f>HYPERLINK("https://ictv.global/id/TN19931945","TN19931945@prod")</f>
        <v/>
      </c>
      <c r="O482" s="8">
        <f>HYPERLINK("https://ictv.global/id/ICTV19952476","ICTV19952476@prod")</f>
        <v/>
      </c>
    </row>
    <row r="483">
      <c r="A483" t="n">
        <v>13</v>
      </c>
      <c r="B483" t="n">
        <v>19931953</v>
      </c>
      <c r="C483" t="n">
        <v>19911891</v>
      </c>
      <c r="D483" t="inlineStr">
        <is>
          <t>species</t>
        </is>
      </c>
      <c r="E483" t="inlineStr">
        <is>
          <t>Burdock stunt viroid</t>
        </is>
      </c>
      <c r="G483" t="inlineStr">
        <is>
          <t>Abolished,</t>
        </is>
      </c>
      <c r="L483" s="8">
        <f>HYPERLINK("https://test.ictv.global/id/TN19931953","TN19931953@TEST")</f>
        <v/>
      </c>
      <c r="M483" s="8">
        <f>HYPERLINK("https://test.ictv.global/id/ICTV19911891","ICTV19911891@TEST")</f>
        <v/>
      </c>
      <c r="N483" s="8">
        <f>HYPERLINK("https://ictv.global/id/TN19931953","TN19931953@prod")</f>
        <v/>
      </c>
      <c r="O483" s="8">
        <f>HYPERLINK("https://ictv.global/id/ICTV19911891","ICTV19911891@prod")</f>
        <v/>
      </c>
    </row>
    <row r="484">
      <c r="A484" t="n">
        <v>13</v>
      </c>
      <c r="B484" t="n">
        <v>19931959</v>
      </c>
      <c r="C484" t="n">
        <v>19911897</v>
      </c>
      <c r="D484" t="inlineStr">
        <is>
          <t>species</t>
        </is>
      </c>
      <c r="E484" t="inlineStr">
        <is>
          <t>Coleus blumei viroid 2</t>
        </is>
      </c>
      <c r="F484" t="inlineStr">
        <is>
          <t>X95365</t>
        </is>
      </c>
      <c r="G484" t="inlineStr">
        <is>
          <t>Abolished,</t>
        </is>
      </c>
      <c r="L484" s="8">
        <f>HYPERLINK("https://test.ictv.global/id/TN19931959","TN19931959@TEST")</f>
        <v/>
      </c>
      <c r="M484" s="8">
        <f>HYPERLINK("https://test.ictv.global/id/ICTV19911897","ICTV19911897@TEST")</f>
        <v/>
      </c>
      <c r="N484" s="8">
        <f>HYPERLINK("https://ictv.global/id/TN19931959","TN19931959@prod")</f>
        <v/>
      </c>
      <c r="O484" s="8">
        <f>HYPERLINK("https://ictv.global/id/ICTV19911897","ICTV19911897@prod")</f>
        <v/>
      </c>
    </row>
    <row r="485">
      <c r="A485" t="n">
        <v>13</v>
      </c>
      <c r="B485" t="n">
        <v>19931960</v>
      </c>
      <c r="C485" t="n">
        <v>19911898</v>
      </c>
      <c r="D485" t="inlineStr">
        <is>
          <t>species</t>
        </is>
      </c>
      <c r="E485" t="inlineStr">
        <is>
          <t>Coleus blumei viroid 3</t>
        </is>
      </c>
      <c r="F485" t="inlineStr">
        <is>
          <t>X95290</t>
        </is>
      </c>
      <c r="G485" t="inlineStr">
        <is>
          <t>Abolished,</t>
        </is>
      </c>
      <c r="L485" s="8">
        <f>HYPERLINK("https://test.ictv.global/id/TN19931960","TN19931960@TEST")</f>
        <v/>
      </c>
      <c r="M485" s="8">
        <f>HYPERLINK("https://test.ictv.global/id/ICTV19911898","ICTV19911898@TEST")</f>
        <v/>
      </c>
      <c r="N485" s="8">
        <f>HYPERLINK("https://ictv.global/id/TN19931960","TN19931960@prod")</f>
        <v/>
      </c>
      <c r="O485" s="8">
        <f>HYPERLINK("https://ictv.global/id/ICTV19911898","ICTV19911898@prod")</f>
        <v/>
      </c>
    </row>
    <row r="486">
      <c r="A486" t="n">
        <v>13</v>
      </c>
      <c r="B486" t="n">
        <v>19931969</v>
      </c>
      <c r="C486" t="n">
        <v>19911907</v>
      </c>
      <c r="D486" t="inlineStr">
        <is>
          <t>species</t>
        </is>
      </c>
      <c r="E486" t="inlineStr">
        <is>
          <t>Tomato bunchy top viroid</t>
        </is>
      </c>
      <c r="G486" t="inlineStr">
        <is>
          <t>Abolished,</t>
        </is>
      </c>
      <c r="L486" s="8">
        <f>HYPERLINK("https://test.ictv.global/id/TN19931969","TN19931969@TEST")</f>
        <v/>
      </c>
      <c r="M486" s="8">
        <f>HYPERLINK("https://test.ictv.global/id/ICTV19911907","ICTV19911907@TEST")</f>
        <v/>
      </c>
      <c r="N486" s="8">
        <f>HYPERLINK("https://ictv.global/id/TN19931969","TN19931969@prod")</f>
        <v/>
      </c>
      <c r="O486" s="8">
        <f>HYPERLINK("https://ictv.global/id/ICTV19911907","ICTV19911907@prod")</f>
        <v/>
      </c>
    </row>
    <row r="487">
      <c r="A487" t="n">
        <v>14</v>
      </c>
      <c r="B487" t="n">
        <v>19950172</v>
      </c>
      <c r="C487" t="n">
        <v>19950172</v>
      </c>
      <c r="D487" t="inlineStr">
        <is>
          <t>genus</t>
        </is>
      </c>
      <c r="E487" t="inlineStr">
        <is>
          <t>Goldfish virus 1-like viruses</t>
        </is>
      </c>
      <c r="G487" t="inlineStr">
        <is>
          <t>Abolished,</t>
        </is>
      </c>
      <c r="L487" s="8">
        <f>HYPERLINK("https://test.ictv.global/id/TN19950172","TN19950172@TEST")</f>
        <v/>
      </c>
      <c r="M487" s="8">
        <f>HYPERLINK("https://test.ictv.global/id/ICTV19950172","ICTV19950172@TEST")</f>
        <v/>
      </c>
      <c r="N487" s="8">
        <f>HYPERLINK("https://ictv.global/id/TN19950172","TN19950172@prod")</f>
        <v/>
      </c>
      <c r="O487" s="8">
        <f>HYPERLINK("https://ictv.global/id/ICTV19950172","ICTV19950172@prod")</f>
        <v/>
      </c>
    </row>
    <row r="488">
      <c r="A488" t="n">
        <v>14</v>
      </c>
      <c r="B488" t="n">
        <v>19950187</v>
      </c>
      <c r="C488" t="n">
        <v>19710033</v>
      </c>
      <c r="D488" t="inlineStr">
        <is>
          <t>genus</t>
        </is>
      </c>
      <c r="E488" t="inlineStr">
        <is>
          <t>Influenza virus A and B</t>
        </is>
      </c>
      <c r="G488" t="inlineStr">
        <is>
          <t>Split,</t>
        </is>
      </c>
      <c r="H488" t="inlineStr">
        <is>
          <t>Influenzavirus A</t>
        </is>
      </c>
      <c r="I488" t="inlineStr">
        <is>
          <t>genus</t>
        </is>
      </c>
      <c r="J488" t="n">
        <v>19960203</v>
      </c>
      <c r="K488" t="n">
        <v>19960203</v>
      </c>
      <c r="L488" s="8">
        <f>HYPERLINK("https://test.ictv.global/id/TN19950187","TN19950187@TEST")</f>
        <v/>
      </c>
      <c r="M488" s="8">
        <f>HYPERLINK("https://test.ictv.global/id/ICTV19710033","ICTV19710033@TEST")</f>
        <v/>
      </c>
      <c r="N488" s="8">
        <f>HYPERLINK("https://ictv.global/id/TN19950187","TN19950187@prod")</f>
        <v/>
      </c>
      <c r="O488" s="8">
        <f>HYPERLINK("https://ictv.global/id/ICTV19710033","ICTV19710033@prod")</f>
        <v/>
      </c>
    </row>
    <row r="489">
      <c r="A489" t="n">
        <v>14</v>
      </c>
      <c r="B489" t="n">
        <v>19950187</v>
      </c>
      <c r="C489" t="n">
        <v>19710033</v>
      </c>
      <c r="D489" t="inlineStr">
        <is>
          <t>genus</t>
        </is>
      </c>
      <c r="E489" t="inlineStr">
        <is>
          <t>Influenza virus A and B</t>
        </is>
      </c>
      <c r="G489" t="inlineStr">
        <is>
          <t>Split,</t>
        </is>
      </c>
      <c r="H489" t="inlineStr">
        <is>
          <t>Influenzavirus B</t>
        </is>
      </c>
      <c r="I489" t="inlineStr">
        <is>
          <t>genus</t>
        </is>
      </c>
      <c r="J489" t="n">
        <v>19960204</v>
      </c>
      <c r="K489" t="n">
        <v>19960204</v>
      </c>
      <c r="L489" s="8">
        <f>HYPERLINK("https://test.ictv.global/id/TN19950187","TN19950187@TEST")</f>
        <v/>
      </c>
      <c r="M489" s="8">
        <f>HYPERLINK("https://test.ictv.global/id/ICTV19710033","ICTV19710033@TEST")</f>
        <v/>
      </c>
      <c r="N489" s="8">
        <f>HYPERLINK("https://ictv.global/id/TN19950187","TN19950187@prod")</f>
        <v/>
      </c>
      <c r="O489" s="8">
        <f>HYPERLINK("https://ictv.global/id/ICTV19710033","ICTV19710033@prod")</f>
        <v/>
      </c>
    </row>
    <row r="490">
      <c r="A490" t="n">
        <v>14</v>
      </c>
      <c r="B490" t="n">
        <v>19951129</v>
      </c>
      <c r="C490" t="n">
        <v>19951129</v>
      </c>
      <c r="D490" t="inlineStr">
        <is>
          <t>species</t>
        </is>
      </c>
      <c r="E490" t="inlineStr">
        <is>
          <t>Goldfish virus 2</t>
        </is>
      </c>
      <c r="G490" t="inlineStr">
        <is>
          <t>Abolished,</t>
        </is>
      </c>
      <c r="L490" s="8">
        <f>HYPERLINK("https://test.ictv.global/id/TN19951129","TN19951129@TEST")</f>
        <v/>
      </c>
      <c r="M490" s="8">
        <f>HYPERLINK("https://test.ictv.global/id/ICTV19951129","ICTV19951129@TEST")</f>
        <v/>
      </c>
      <c r="N490" s="8">
        <f>HYPERLINK("https://ictv.global/id/TN19951129","TN19951129@prod")</f>
        <v/>
      </c>
      <c r="O490" s="8">
        <f>HYPERLINK("https://ictv.global/id/ICTV19951129","ICTV19951129@prod")</f>
        <v/>
      </c>
    </row>
    <row r="491">
      <c r="A491" t="n">
        <v>15</v>
      </c>
      <c r="B491" t="n">
        <v>19960308</v>
      </c>
      <c r="C491" t="n">
        <v>19910234</v>
      </c>
      <c r="D491" t="inlineStr">
        <is>
          <t>genus</t>
        </is>
      </c>
      <c r="E491" t="inlineStr">
        <is>
          <t>Viroids</t>
        </is>
      </c>
      <c r="G491" t="inlineStr">
        <is>
          <t>Promoted,</t>
        </is>
      </c>
      <c r="H491" t="inlineStr">
        <is>
          <t>Viroids</t>
        </is>
      </c>
      <c r="I491" t="inlineStr">
        <is>
          <t>family</t>
        </is>
      </c>
      <c r="J491" t="n">
        <v>19910234</v>
      </c>
      <c r="K491" t="n">
        <v>19970060</v>
      </c>
      <c r="L491" s="8">
        <f>HYPERLINK("https://test.ictv.global/id/TN19960308","TN19960308@TEST")</f>
        <v/>
      </c>
      <c r="M491" s="8">
        <f>HYPERLINK("https://test.ictv.global/id/ICTV19910234","ICTV19910234@TEST")</f>
        <v/>
      </c>
      <c r="N491" s="8">
        <f>HYPERLINK("https://ictv.global/id/TN19960308","TN19960308@prod")</f>
        <v/>
      </c>
      <c r="O491" s="8">
        <f>HYPERLINK("https://ictv.global/id/ICTV19910234","ICTV19910234@prod")</f>
        <v/>
      </c>
    </row>
    <row r="492">
      <c r="A492" t="n">
        <v>16</v>
      </c>
      <c r="B492" t="n">
        <v>19970060</v>
      </c>
      <c r="C492" t="n">
        <v>19910234</v>
      </c>
      <c r="D492" t="inlineStr">
        <is>
          <t>family</t>
        </is>
      </c>
      <c r="E492" t="inlineStr">
        <is>
          <t>Viroids</t>
        </is>
      </c>
      <c r="G492" t="inlineStr">
        <is>
          <t>Split,</t>
        </is>
      </c>
      <c r="H492" t="inlineStr">
        <is>
          <t>Avsunviroidae</t>
        </is>
      </c>
      <c r="I492" t="inlineStr">
        <is>
          <t>family</t>
        </is>
      </c>
      <c r="J492" t="n">
        <v>19980019</v>
      </c>
      <c r="K492" t="n">
        <v>19980019</v>
      </c>
      <c r="L492" s="8">
        <f>HYPERLINK("https://test.ictv.global/id/TN19970060","TN19970060@TEST")</f>
        <v/>
      </c>
      <c r="M492" s="8">
        <f>HYPERLINK("https://test.ictv.global/id/ICTV19910234","ICTV19910234@TEST")</f>
        <v/>
      </c>
      <c r="N492" s="8">
        <f>HYPERLINK("https://ictv.global/id/TN19970060","TN19970060@prod")</f>
        <v/>
      </c>
      <c r="O492" s="8">
        <f>HYPERLINK("https://ictv.global/id/ICTV19910234","ICTV19910234@prod")</f>
        <v/>
      </c>
    </row>
    <row r="493">
      <c r="A493" t="n">
        <v>16</v>
      </c>
      <c r="B493" t="n">
        <v>19970060</v>
      </c>
      <c r="C493" t="n">
        <v>19910234</v>
      </c>
      <c r="D493" t="inlineStr">
        <is>
          <t>family</t>
        </is>
      </c>
      <c r="E493" t="inlineStr">
        <is>
          <t>Viroids</t>
        </is>
      </c>
      <c r="G493" t="inlineStr">
        <is>
          <t>Split,</t>
        </is>
      </c>
      <c r="H493" t="inlineStr">
        <is>
          <t>Pospiviroidae</t>
        </is>
      </c>
      <c r="I493" t="inlineStr">
        <is>
          <t>family</t>
        </is>
      </c>
      <c r="J493" t="n">
        <v>19980055</v>
      </c>
      <c r="K493" t="n">
        <v>19980055</v>
      </c>
      <c r="L493" s="8">
        <f>HYPERLINK("https://test.ictv.global/id/TN19970060","TN19970060@TEST")</f>
        <v/>
      </c>
      <c r="M493" s="8">
        <f>HYPERLINK("https://test.ictv.global/id/ICTV19910234","ICTV19910234@TEST")</f>
        <v/>
      </c>
      <c r="N493" s="8">
        <f>HYPERLINK("https://ictv.global/id/TN19970060","TN19970060@prod")</f>
        <v/>
      </c>
      <c r="O493" s="8">
        <f>HYPERLINK("https://ictv.global/id/ICTV19910234","ICTV19910234@prod")</f>
        <v/>
      </c>
    </row>
    <row r="494">
      <c r="A494" t="n">
        <v>16</v>
      </c>
      <c r="B494" t="n">
        <v>19970124</v>
      </c>
      <c r="C494" t="n">
        <v>19870097</v>
      </c>
      <c r="D494" t="inlineStr">
        <is>
          <t>genus</t>
        </is>
      </c>
      <c r="E494" t="inlineStr">
        <is>
          <t>Filovirus</t>
        </is>
      </c>
      <c r="G494" t="inlineStr">
        <is>
          <t>Abolished,</t>
        </is>
      </c>
      <c r="L494" s="8">
        <f>HYPERLINK("https://test.ictv.global/id/TN19970124","TN19970124@TEST")</f>
        <v/>
      </c>
      <c r="M494" s="8">
        <f>HYPERLINK("https://test.ictv.global/id/ICTV19870097","ICTV19870097@TEST")</f>
        <v/>
      </c>
      <c r="N494" s="8">
        <f>HYPERLINK("https://ictv.global/id/TN19970124","TN19970124@prod")</f>
        <v/>
      </c>
      <c r="O494" s="8">
        <f>HYPERLINK("https://ictv.global/id/ICTV19870097","ICTV19870097@prod")</f>
        <v/>
      </c>
    </row>
    <row r="495">
      <c r="A495" t="n">
        <v>16</v>
      </c>
      <c r="B495" t="n">
        <v>19970159</v>
      </c>
      <c r="C495" t="n">
        <v>19710010</v>
      </c>
      <c r="D495" t="inlineStr">
        <is>
          <t>genus</t>
        </is>
      </c>
      <c r="E495" t="inlineStr">
        <is>
          <t>Calicivirus</t>
        </is>
      </c>
      <c r="G495" t="inlineStr">
        <is>
          <t>Abolished,</t>
        </is>
      </c>
      <c r="L495" s="8">
        <f>HYPERLINK("https://test.ictv.global/id/TN19970159","TN19970159@TEST")</f>
        <v/>
      </c>
      <c r="M495" s="8">
        <f>HYPERLINK("https://test.ictv.global/id/ICTV19710010","ICTV19710010@TEST")</f>
        <v/>
      </c>
      <c r="N495" s="8">
        <f>HYPERLINK("https://ictv.global/id/TN19970159","TN19970159@prod")</f>
        <v/>
      </c>
      <c r="O495" s="8">
        <f>HYPERLINK("https://ictv.global/id/ICTV19710010","ICTV19710010@prod")</f>
        <v/>
      </c>
    </row>
    <row r="496">
      <c r="A496" t="n">
        <v>16</v>
      </c>
      <c r="B496" t="n">
        <v>19970273</v>
      </c>
      <c r="C496" t="n">
        <v>19750068</v>
      </c>
      <c r="D496" t="inlineStr">
        <is>
          <t>genus</t>
        </is>
      </c>
      <c r="E496" t="inlineStr">
        <is>
          <t>Mammalian type B retroviruses</t>
        </is>
      </c>
      <c r="G496" t="inlineStr">
        <is>
          <t>Merged,</t>
        </is>
      </c>
      <c r="H496" t="inlineStr">
        <is>
          <t>Betaretrovirus</t>
        </is>
      </c>
      <c r="I496" t="inlineStr">
        <is>
          <t>genus</t>
        </is>
      </c>
      <c r="J496" t="n">
        <v>19980331</v>
      </c>
      <c r="K496" t="n">
        <v>19980331</v>
      </c>
      <c r="L496" s="8">
        <f>HYPERLINK("https://test.ictv.global/id/TN19970273","TN19970273@TEST")</f>
        <v/>
      </c>
      <c r="M496" s="8">
        <f>HYPERLINK("https://test.ictv.global/id/ICTV19750068","ICTV19750068@TEST")</f>
        <v/>
      </c>
      <c r="N496" s="8">
        <f>HYPERLINK("https://ictv.global/id/TN19970273","TN19970273@prod")</f>
        <v/>
      </c>
      <c r="O496" s="8">
        <f>HYPERLINK("https://ictv.global/id/ICTV19750068","ICTV19750068@prod")</f>
        <v/>
      </c>
    </row>
    <row r="497">
      <c r="A497" t="n">
        <v>16</v>
      </c>
      <c r="B497" t="n">
        <v>19970276</v>
      </c>
      <c r="C497" t="n">
        <v>19950243</v>
      </c>
      <c r="D497" t="inlineStr">
        <is>
          <t>genus</t>
        </is>
      </c>
      <c r="E497" t="inlineStr">
        <is>
          <t>Type D retroviruses</t>
        </is>
      </c>
      <c r="G497" t="inlineStr">
        <is>
          <t>Merged,</t>
        </is>
      </c>
      <c r="H497" t="inlineStr">
        <is>
          <t>Betaretrovirus</t>
        </is>
      </c>
      <c r="I497" t="inlineStr">
        <is>
          <t>genus</t>
        </is>
      </c>
      <c r="J497" t="n">
        <v>19980331</v>
      </c>
      <c r="K497" t="n">
        <v>19980331</v>
      </c>
      <c r="L497" s="8">
        <f>HYPERLINK("https://test.ictv.global/id/TN19970276","TN19970276@TEST")</f>
        <v/>
      </c>
      <c r="M497" s="8">
        <f>HYPERLINK("https://test.ictv.global/id/ICTV19950243","ICTV19950243@TEST")</f>
        <v/>
      </c>
      <c r="N497" s="8">
        <f>HYPERLINK("https://ictv.global/id/TN19970276","TN19970276@prod")</f>
        <v/>
      </c>
      <c r="O497" s="8">
        <f>HYPERLINK("https://ictv.global/id/ICTV19950243","ICTV19950243@prod")</f>
        <v/>
      </c>
    </row>
    <row r="498">
      <c r="A498" t="n">
        <v>16</v>
      </c>
      <c r="B498" t="n">
        <v>19971037</v>
      </c>
      <c r="C498" t="n">
        <v>19790993</v>
      </c>
      <c r="D498" t="inlineStr">
        <is>
          <t>species</t>
        </is>
      </c>
      <c r="E498" t="inlineStr">
        <is>
          <t>Bean golden mosaic virus</t>
        </is>
      </c>
      <c r="F498" t="inlineStr"/>
      <c r="G498" t="inlineStr">
        <is>
          <t>Split,Removed as Type Species,</t>
        </is>
      </c>
      <c r="H498" t="inlineStr">
        <is>
          <t>Bean golden mosaic virus-Brazil</t>
        </is>
      </c>
      <c r="I498" t="inlineStr">
        <is>
          <t>species</t>
        </is>
      </c>
      <c r="J498" t="n">
        <v>19981380</v>
      </c>
      <c r="K498" t="n">
        <v>19981380</v>
      </c>
      <c r="L498" s="8">
        <f>HYPERLINK("https://test.ictv.global/id/TN19971037","TN19971037@TEST")</f>
        <v/>
      </c>
      <c r="M498" s="8">
        <f>HYPERLINK("https://test.ictv.global/id/ICTV19790993","ICTV19790993@TEST")</f>
        <v/>
      </c>
      <c r="N498" s="8">
        <f>HYPERLINK("https://ictv.global/id/TN19971037","TN19971037@prod")</f>
        <v/>
      </c>
      <c r="O498" s="8">
        <f>HYPERLINK("https://ictv.global/id/ICTV19790993","ICTV19790993@prod")</f>
        <v/>
      </c>
    </row>
    <row r="499">
      <c r="A499" t="n">
        <v>16</v>
      </c>
      <c r="B499" t="n">
        <v>19971037</v>
      </c>
      <c r="C499" t="n">
        <v>19790993</v>
      </c>
      <c r="D499" t="inlineStr">
        <is>
          <t>species</t>
        </is>
      </c>
      <c r="E499" t="inlineStr">
        <is>
          <t>Bean golden mosaic virus</t>
        </is>
      </c>
      <c r="F499" t="inlineStr"/>
      <c r="G499" t="inlineStr">
        <is>
          <t>Split,</t>
        </is>
      </c>
      <c r="H499" t="inlineStr">
        <is>
          <t>Bean golden mosaic virus-Puerto Rico</t>
        </is>
      </c>
      <c r="I499" t="inlineStr">
        <is>
          <t>species</t>
        </is>
      </c>
      <c r="J499" t="n">
        <v>19981381</v>
      </c>
      <c r="K499" t="n">
        <v>19981381</v>
      </c>
      <c r="L499" s="8">
        <f>HYPERLINK("https://test.ictv.global/id/TN19971037","TN19971037@TEST")</f>
        <v/>
      </c>
      <c r="M499" s="8">
        <f>HYPERLINK("https://test.ictv.global/id/ICTV19790993","ICTV19790993@TEST")</f>
        <v/>
      </c>
      <c r="N499" s="8">
        <f>HYPERLINK("https://ictv.global/id/TN19971037","TN19971037@prod")</f>
        <v/>
      </c>
      <c r="O499" s="8">
        <f>HYPERLINK("https://ictv.global/id/ICTV19790993","ICTV19790993@prod")</f>
        <v/>
      </c>
    </row>
    <row r="500">
      <c r="A500" t="n">
        <v>16</v>
      </c>
      <c r="B500" t="n">
        <v>19971039</v>
      </c>
      <c r="C500" t="n">
        <v>19981383</v>
      </c>
      <c r="D500" t="inlineStr">
        <is>
          <t>species</t>
        </is>
      </c>
      <c r="E500" t="inlineStr">
        <is>
          <t>Chino del tomate virus</t>
        </is>
      </c>
      <c r="F500" t="inlineStr"/>
      <c r="G500" t="inlineStr">
        <is>
          <t>Merged,</t>
        </is>
      </c>
      <c r="H500" t="inlineStr">
        <is>
          <t>Chino del tomate virus</t>
        </is>
      </c>
      <c r="I500" t="inlineStr">
        <is>
          <t>species</t>
        </is>
      </c>
      <c r="J500" t="n">
        <v>19981383</v>
      </c>
      <c r="K500" t="n">
        <v>19981383</v>
      </c>
      <c r="L500" s="8">
        <f>HYPERLINK("https://test.ictv.global/id/TN19971039","TN19971039@TEST")</f>
        <v/>
      </c>
      <c r="M500" s="8">
        <f>HYPERLINK("https://test.ictv.global/id/ICTV19981383","ICTV19981383@TEST")</f>
        <v/>
      </c>
      <c r="N500" s="8">
        <f>HYPERLINK("https://ictv.global/id/TN19971039","TN19971039@prod")</f>
        <v/>
      </c>
      <c r="O500" s="8">
        <f>HYPERLINK("https://ictv.global/id/ICTV19981383","ICTV19981383@prod")</f>
        <v/>
      </c>
    </row>
    <row r="501">
      <c r="A501" t="n">
        <v>16</v>
      </c>
      <c r="B501" t="n">
        <v>19971041</v>
      </c>
      <c r="C501" t="n">
        <v>19950971</v>
      </c>
      <c r="D501" t="inlineStr">
        <is>
          <t>species</t>
        </is>
      </c>
      <c r="E501" t="inlineStr">
        <is>
          <t>Cotton leaf curl virus</t>
        </is>
      </c>
      <c r="G501" t="inlineStr">
        <is>
          <t>Split,</t>
        </is>
      </c>
      <c r="H501" t="inlineStr">
        <is>
          <t>Cotton leaf curl virus-Pakistan 1</t>
        </is>
      </c>
      <c r="I501" t="inlineStr">
        <is>
          <t>species</t>
        </is>
      </c>
      <c r="J501" t="n">
        <v>19981385</v>
      </c>
      <c r="K501" t="n">
        <v>19981385</v>
      </c>
      <c r="L501" s="8">
        <f>HYPERLINK("https://test.ictv.global/id/TN19971041","TN19971041@TEST")</f>
        <v/>
      </c>
      <c r="M501" s="8">
        <f>HYPERLINK("https://test.ictv.global/id/ICTV19950971","ICTV19950971@TEST")</f>
        <v/>
      </c>
      <c r="N501" s="8">
        <f>HYPERLINK("https://ictv.global/id/TN19971041","TN19971041@prod")</f>
        <v/>
      </c>
      <c r="O501" s="8">
        <f>HYPERLINK("https://ictv.global/id/ICTV19950971","ICTV19950971@prod")</f>
        <v/>
      </c>
    </row>
    <row r="502">
      <c r="A502" t="n">
        <v>16</v>
      </c>
      <c r="B502" t="n">
        <v>19971041</v>
      </c>
      <c r="C502" t="n">
        <v>19950971</v>
      </c>
      <c r="D502" t="inlineStr">
        <is>
          <t>species</t>
        </is>
      </c>
      <c r="E502" t="inlineStr">
        <is>
          <t>Cotton leaf curl virus</t>
        </is>
      </c>
      <c r="G502" t="inlineStr">
        <is>
          <t>Split,</t>
        </is>
      </c>
      <c r="H502" t="inlineStr">
        <is>
          <t>Cotton leaf curl virus-Pakistan 2</t>
        </is>
      </c>
      <c r="I502" t="inlineStr">
        <is>
          <t>species</t>
        </is>
      </c>
      <c r="J502" t="n">
        <v>19981386</v>
      </c>
      <c r="K502" t="n">
        <v>19981386</v>
      </c>
      <c r="L502" s="8">
        <f>HYPERLINK("https://test.ictv.global/id/TN19971041","TN19971041@TEST")</f>
        <v/>
      </c>
      <c r="M502" s="8">
        <f>HYPERLINK("https://test.ictv.global/id/ICTV19950971","ICTV19950971@TEST")</f>
        <v/>
      </c>
      <c r="N502" s="8">
        <f>HYPERLINK("https://ictv.global/id/TN19971041","TN19971041@prod")</f>
        <v/>
      </c>
      <c r="O502" s="8">
        <f>HYPERLINK("https://ictv.global/id/ICTV19950971","ICTV19950971@prod")</f>
        <v/>
      </c>
    </row>
    <row r="503">
      <c r="A503" t="n">
        <v>16</v>
      </c>
      <c r="B503" t="n">
        <v>19971061</v>
      </c>
      <c r="C503" t="n">
        <v>19981414</v>
      </c>
      <c r="D503" t="inlineStr">
        <is>
          <t>species</t>
        </is>
      </c>
      <c r="E503" t="inlineStr">
        <is>
          <t>Serrano golden mosaic virus</t>
        </is>
      </c>
      <c r="G503" t="inlineStr">
        <is>
          <t>Merged,</t>
        </is>
      </c>
      <c r="H503" t="inlineStr">
        <is>
          <t>Serrano golden mosaic virus</t>
        </is>
      </c>
      <c r="I503" t="inlineStr">
        <is>
          <t>species</t>
        </is>
      </c>
      <c r="J503" t="n">
        <v>19981414</v>
      </c>
      <c r="K503" t="n">
        <v>19981414</v>
      </c>
      <c r="L503" s="8">
        <f>HYPERLINK("https://test.ictv.global/id/TN19971061","TN19971061@TEST")</f>
        <v/>
      </c>
      <c r="M503" s="8">
        <f>HYPERLINK("https://test.ictv.global/id/ICTV19981414","ICTV19981414@TEST")</f>
        <v/>
      </c>
      <c r="N503" s="8">
        <f>HYPERLINK("https://ictv.global/id/TN19971061","TN19971061@prod")</f>
        <v/>
      </c>
      <c r="O503" s="8">
        <f>HYPERLINK("https://ictv.global/id/ICTV19981414","ICTV19981414@prod")</f>
        <v/>
      </c>
    </row>
    <row r="504">
      <c r="A504" t="n">
        <v>16</v>
      </c>
      <c r="B504" t="n">
        <v>19971064</v>
      </c>
      <c r="C504" t="n">
        <v>19950994</v>
      </c>
      <c r="D504" t="inlineStr">
        <is>
          <t>species</t>
        </is>
      </c>
      <c r="E504" t="inlineStr">
        <is>
          <t>Texas pepper virus</t>
        </is>
      </c>
      <c r="G504" t="inlineStr">
        <is>
          <t>Merged,</t>
        </is>
      </c>
      <c r="H504" t="inlineStr">
        <is>
          <t>Serrano golden mosaic virus</t>
        </is>
      </c>
      <c r="I504" t="inlineStr">
        <is>
          <t>species</t>
        </is>
      </c>
      <c r="J504" t="n">
        <v>19981414</v>
      </c>
      <c r="K504" t="n">
        <v>19981414</v>
      </c>
      <c r="L504" s="8">
        <f>HYPERLINK("https://test.ictv.global/id/TN19971064","TN19971064@TEST")</f>
        <v/>
      </c>
      <c r="M504" s="8">
        <f>HYPERLINK("https://test.ictv.global/id/ICTV19950994","ICTV19950994@TEST")</f>
        <v/>
      </c>
      <c r="N504" s="8">
        <f>HYPERLINK("https://ictv.global/id/TN19971064","TN19971064@prod")</f>
        <v/>
      </c>
      <c r="O504" s="8">
        <f>HYPERLINK("https://ictv.global/id/ICTV19950994","ICTV19950994@prod")</f>
        <v/>
      </c>
    </row>
    <row r="505">
      <c r="A505" t="n">
        <v>16</v>
      </c>
      <c r="B505" t="n">
        <v>19971067</v>
      </c>
      <c r="C505" t="n">
        <v>19950997</v>
      </c>
      <c r="D505" t="inlineStr">
        <is>
          <t>species</t>
        </is>
      </c>
      <c r="E505" t="inlineStr">
        <is>
          <t>Tomato leaf crumple virus</t>
        </is>
      </c>
      <c r="G505" t="inlineStr">
        <is>
          <t>Merged,</t>
        </is>
      </c>
      <c r="H505" t="inlineStr">
        <is>
          <t>Chino del tomate virus</t>
        </is>
      </c>
      <c r="I505" t="inlineStr">
        <is>
          <t>species</t>
        </is>
      </c>
      <c r="J505" t="n">
        <v>19981383</v>
      </c>
      <c r="K505" t="n">
        <v>19981383</v>
      </c>
      <c r="L505" s="8">
        <f>HYPERLINK("https://test.ictv.global/id/TN19971067","TN19971067@TEST")</f>
        <v/>
      </c>
      <c r="M505" s="8">
        <f>HYPERLINK("https://test.ictv.global/id/ICTV19950997","ICTV19950997@TEST")</f>
        <v/>
      </c>
      <c r="N505" s="8">
        <f>HYPERLINK("https://ictv.global/id/TN19971067","TN19971067@prod")</f>
        <v/>
      </c>
      <c r="O505" s="8">
        <f>HYPERLINK("https://ictv.global/id/ICTV19950997","ICTV19950997@prod")</f>
        <v/>
      </c>
    </row>
    <row r="506">
      <c r="A506" t="n">
        <v>16</v>
      </c>
      <c r="B506" t="n">
        <v>19971069</v>
      </c>
      <c r="C506" t="n">
        <v>19950999</v>
      </c>
      <c r="D506" t="inlineStr">
        <is>
          <t>species</t>
        </is>
      </c>
      <c r="E506" t="inlineStr">
        <is>
          <t>Tomato leaf curl virus - In</t>
        </is>
      </c>
      <c r="G506" t="inlineStr">
        <is>
          <t>Split,</t>
        </is>
      </c>
      <c r="H506" t="inlineStr">
        <is>
          <t>Tomato leaf curl virus-Bangalore I</t>
        </is>
      </c>
      <c r="I506" t="inlineStr">
        <is>
          <t>species</t>
        </is>
      </c>
      <c r="J506" t="n">
        <v>19981426</v>
      </c>
      <c r="K506" t="n">
        <v>19981426</v>
      </c>
      <c r="L506" s="8">
        <f>HYPERLINK("https://test.ictv.global/id/TN19971069","TN19971069@TEST")</f>
        <v/>
      </c>
      <c r="M506" s="8">
        <f>HYPERLINK("https://test.ictv.global/id/ICTV19950999","ICTV19950999@TEST")</f>
        <v/>
      </c>
      <c r="N506" s="8">
        <f>HYPERLINK("https://ictv.global/id/TN19971069","TN19971069@prod")</f>
        <v/>
      </c>
      <c r="O506" s="8">
        <f>HYPERLINK("https://ictv.global/id/ICTV19950999","ICTV19950999@prod")</f>
        <v/>
      </c>
    </row>
    <row r="507">
      <c r="A507" t="n">
        <v>16</v>
      </c>
      <c r="B507" t="n">
        <v>19971069</v>
      </c>
      <c r="C507" t="n">
        <v>19950999</v>
      </c>
      <c r="D507" t="inlineStr">
        <is>
          <t>species</t>
        </is>
      </c>
      <c r="E507" t="inlineStr">
        <is>
          <t>Tomato leaf curl virus - In</t>
        </is>
      </c>
      <c r="G507" t="inlineStr">
        <is>
          <t>Split,</t>
        </is>
      </c>
      <c r="H507" t="inlineStr">
        <is>
          <t>Tomato leaf curl virus-Bangalore II</t>
        </is>
      </c>
      <c r="I507" t="inlineStr">
        <is>
          <t>species</t>
        </is>
      </c>
      <c r="J507" t="n">
        <v>20083976</v>
      </c>
      <c r="K507" t="n">
        <v>19981427</v>
      </c>
      <c r="L507" s="8">
        <f>HYPERLINK("https://test.ictv.global/id/TN19971069","TN19971069@TEST")</f>
        <v/>
      </c>
      <c r="M507" s="8">
        <f>HYPERLINK("https://test.ictv.global/id/ICTV19950999","ICTV19950999@TEST")</f>
        <v/>
      </c>
      <c r="N507" s="8">
        <f>HYPERLINK("https://ictv.global/id/TN19971069","TN19971069@prod")</f>
        <v/>
      </c>
      <c r="O507" s="8">
        <f>HYPERLINK("https://ictv.global/id/ICTV19950999","ICTV19950999@prod")</f>
        <v/>
      </c>
    </row>
    <row r="508">
      <c r="A508" t="n">
        <v>16</v>
      </c>
      <c r="B508" t="n">
        <v>19972133</v>
      </c>
      <c r="C508" t="n">
        <v>19740124</v>
      </c>
      <c r="D508" t="inlineStr">
        <is>
          <t>species</t>
        </is>
      </c>
      <c r="E508" t="inlineStr">
        <is>
          <t>Kemerovo virus</t>
        </is>
      </c>
      <c r="G508" t="inlineStr">
        <is>
          <t>Abolished,</t>
        </is>
      </c>
      <c r="L508" s="8">
        <f>HYPERLINK("https://test.ictv.global/id/TN19972133","TN19972133@TEST")</f>
        <v/>
      </c>
      <c r="M508" s="8">
        <f>HYPERLINK("https://test.ictv.global/id/ICTV19740124","ICTV19740124@TEST")</f>
        <v/>
      </c>
      <c r="N508" s="8">
        <f>HYPERLINK("https://ictv.global/id/TN19972133","TN19972133@prod")</f>
        <v/>
      </c>
      <c r="O508" s="8">
        <f>HYPERLINK("https://ictv.global/id/ICTV19740124","ICTV19740124@prod")</f>
        <v/>
      </c>
    </row>
    <row r="509">
      <c r="A509" t="n">
        <v>16</v>
      </c>
      <c r="B509" t="n">
        <v>19972142</v>
      </c>
      <c r="C509" t="n">
        <v>19710296</v>
      </c>
      <c r="D509" t="inlineStr">
        <is>
          <t>species</t>
        </is>
      </c>
      <c r="E509" t="inlineStr">
        <is>
          <t>Avian reovirus 1</t>
        </is>
      </c>
      <c r="G509" t="inlineStr">
        <is>
          <t>Merged,</t>
        </is>
      </c>
      <c r="H509" t="inlineStr">
        <is>
          <t>Avian reovirus</t>
        </is>
      </c>
      <c r="I509" t="inlineStr">
        <is>
          <t>species</t>
        </is>
      </c>
      <c r="J509" t="n">
        <v>19982433</v>
      </c>
      <c r="K509" t="n">
        <v>19982433</v>
      </c>
      <c r="L509" s="8">
        <f>HYPERLINK("https://test.ictv.global/id/TN19972142","TN19972142@TEST")</f>
        <v/>
      </c>
      <c r="M509" s="8">
        <f>HYPERLINK("https://test.ictv.global/id/ICTV19710296","ICTV19710296@TEST")</f>
        <v/>
      </c>
      <c r="N509" s="8">
        <f>HYPERLINK("https://ictv.global/id/TN19972142","TN19972142@prod")</f>
        <v/>
      </c>
      <c r="O509" s="8">
        <f>HYPERLINK("https://ictv.global/id/ICTV19710296","ICTV19710296@prod")</f>
        <v/>
      </c>
    </row>
    <row r="510">
      <c r="A510" t="n">
        <v>16</v>
      </c>
      <c r="B510" t="n">
        <v>19972143</v>
      </c>
      <c r="C510" t="n">
        <v>19710297</v>
      </c>
      <c r="D510" t="inlineStr">
        <is>
          <t>species</t>
        </is>
      </c>
      <c r="E510" t="inlineStr">
        <is>
          <t>Avian reovirus 2</t>
        </is>
      </c>
      <c r="G510" t="inlineStr">
        <is>
          <t>Merged,</t>
        </is>
      </c>
      <c r="H510" t="inlineStr">
        <is>
          <t>Avian reovirus</t>
        </is>
      </c>
      <c r="I510" t="inlineStr">
        <is>
          <t>species</t>
        </is>
      </c>
      <c r="J510" t="n">
        <v>19982433</v>
      </c>
      <c r="K510" t="n">
        <v>19982433</v>
      </c>
      <c r="L510" s="8">
        <f>HYPERLINK("https://test.ictv.global/id/TN19972143","TN19972143@TEST")</f>
        <v/>
      </c>
      <c r="M510" s="8">
        <f>HYPERLINK("https://test.ictv.global/id/ICTV19710297","ICTV19710297@TEST")</f>
        <v/>
      </c>
      <c r="N510" s="8">
        <f>HYPERLINK("https://ictv.global/id/TN19972143","TN19972143@prod")</f>
        <v/>
      </c>
      <c r="O510" s="8">
        <f>HYPERLINK("https://ictv.global/id/ICTV19710297","ICTV19710297@prod")</f>
        <v/>
      </c>
    </row>
    <row r="511">
      <c r="A511" t="n">
        <v>16</v>
      </c>
      <c r="B511" t="n">
        <v>19972144</v>
      </c>
      <c r="C511" t="n">
        <v>19710298</v>
      </c>
      <c r="D511" t="inlineStr">
        <is>
          <t>species</t>
        </is>
      </c>
      <c r="E511" t="inlineStr">
        <is>
          <t>Avian reovirus 3</t>
        </is>
      </c>
      <c r="G511" t="inlineStr">
        <is>
          <t>Merged,</t>
        </is>
      </c>
      <c r="H511" t="inlineStr">
        <is>
          <t>Avian reovirus</t>
        </is>
      </c>
      <c r="I511" t="inlineStr">
        <is>
          <t>species</t>
        </is>
      </c>
      <c r="J511" t="n">
        <v>19982433</v>
      </c>
      <c r="K511" t="n">
        <v>19982433</v>
      </c>
      <c r="L511" s="8">
        <f>HYPERLINK("https://test.ictv.global/id/TN19972144","TN19972144@TEST")</f>
        <v/>
      </c>
      <c r="M511" s="8">
        <f>HYPERLINK("https://test.ictv.global/id/ICTV19710298","ICTV19710298@TEST")</f>
        <v/>
      </c>
      <c r="N511" s="8">
        <f>HYPERLINK("https://ictv.global/id/TN19972144","TN19972144@prod")</f>
        <v/>
      </c>
      <c r="O511" s="8">
        <f>HYPERLINK("https://ictv.global/id/ICTV19710298","ICTV19710298@prod")</f>
        <v/>
      </c>
    </row>
    <row r="512">
      <c r="A512" t="n">
        <v>16</v>
      </c>
      <c r="B512" t="n">
        <v>19972145</v>
      </c>
      <c r="C512" t="n">
        <v>19710299</v>
      </c>
      <c r="D512" t="inlineStr">
        <is>
          <t>species</t>
        </is>
      </c>
      <c r="E512" t="inlineStr">
        <is>
          <t>Avian reovirus 4</t>
        </is>
      </c>
      <c r="G512" t="inlineStr">
        <is>
          <t>Merged,</t>
        </is>
      </c>
      <c r="H512" t="inlineStr">
        <is>
          <t>Avian reovirus</t>
        </is>
      </c>
      <c r="I512" t="inlineStr">
        <is>
          <t>species</t>
        </is>
      </c>
      <c r="J512" t="n">
        <v>19982433</v>
      </c>
      <c r="K512" t="n">
        <v>19982433</v>
      </c>
      <c r="L512" s="8">
        <f>HYPERLINK("https://test.ictv.global/id/TN19972145","TN19972145@TEST")</f>
        <v/>
      </c>
      <c r="M512" s="8">
        <f>HYPERLINK("https://test.ictv.global/id/ICTV19710299","ICTV19710299@TEST")</f>
        <v/>
      </c>
      <c r="N512" s="8">
        <f>HYPERLINK("https://ictv.global/id/TN19972145","TN19972145@prod")</f>
        <v/>
      </c>
      <c r="O512" s="8">
        <f>HYPERLINK("https://ictv.global/id/ICTV19710299","ICTV19710299@prod")</f>
        <v/>
      </c>
    </row>
    <row r="513">
      <c r="A513" t="n">
        <v>16</v>
      </c>
      <c r="B513" t="n">
        <v>19972146</v>
      </c>
      <c r="C513" t="n">
        <v>19710300</v>
      </c>
      <c r="D513" t="inlineStr">
        <is>
          <t>species</t>
        </is>
      </c>
      <c r="E513" t="inlineStr">
        <is>
          <t>Avian reovirus 5</t>
        </is>
      </c>
      <c r="G513" t="inlineStr">
        <is>
          <t>Merged,</t>
        </is>
      </c>
      <c r="H513" t="inlineStr">
        <is>
          <t>Avian reovirus</t>
        </is>
      </c>
      <c r="I513" t="inlineStr">
        <is>
          <t>species</t>
        </is>
      </c>
      <c r="J513" t="n">
        <v>19982433</v>
      </c>
      <c r="K513" t="n">
        <v>19982433</v>
      </c>
      <c r="L513" s="8">
        <f>HYPERLINK("https://test.ictv.global/id/TN19972146","TN19972146@TEST")</f>
        <v/>
      </c>
      <c r="M513" s="8">
        <f>HYPERLINK("https://test.ictv.global/id/ICTV19710300","ICTV19710300@TEST")</f>
        <v/>
      </c>
      <c r="N513" s="8">
        <f>HYPERLINK("https://ictv.global/id/TN19972146","TN19972146@prod")</f>
        <v/>
      </c>
      <c r="O513" s="8">
        <f>HYPERLINK("https://ictv.global/id/ICTV19710300","ICTV19710300@prod")</f>
        <v/>
      </c>
    </row>
    <row r="514">
      <c r="A514" t="n">
        <v>16</v>
      </c>
      <c r="B514" t="n">
        <v>19972147</v>
      </c>
      <c r="C514" t="n">
        <v>19952044</v>
      </c>
      <c r="D514" t="inlineStr">
        <is>
          <t>species</t>
        </is>
      </c>
      <c r="E514" t="inlineStr">
        <is>
          <t>Avian reovirus 6</t>
        </is>
      </c>
      <c r="G514" t="inlineStr">
        <is>
          <t>Merged,</t>
        </is>
      </c>
      <c r="H514" t="inlineStr">
        <is>
          <t>Avian reovirus</t>
        </is>
      </c>
      <c r="I514" t="inlineStr">
        <is>
          <t>species</t>
        </is>
      </c>
      <c r="J514" t="n">
        <v>19982433</v>
      </c>
      <c r="K514" t="n">
        <v>19982433</v>
      </c>
      <c r="L514" s="8">
        <f>HYPERLINK("https://test.ictv.global/id/TN19972147","TN19972147@TEST")</f>
        <v/>
      </c>
      <c r="M514" s="8">
        <f>HYPERLINK("https://test.ictv.global/id/ICTV19952044","ICTV19952044@TEST")</f>
        <v/>
      </c>
      <c r="N514" s="8">
        <f>HYPERLINK("https://ictv.global/id/TN19972147","TN19972147@prod")</f>
        <v/>
      </c>
      <c r="O514" s="8">
        <f>HYPERLINK("https://ictv.global/id/ICTV19952044","ICTV19952044@prod")</f>
        <v/>
      </c>
    </row>
    <row r="515">
      <c r="A515" t="n">
        <v>16</v>
      </c>
      <c r="B515" t="n">
        <v>19972148</v>
      </c>
      <c r="C515" t="n">
        <v>19952045</v>
      </c>
      <c r="D515" t="inlineStr">
        <is>
          <t>species</t>
        </is>
      </c>
      <c r="E515" t="inlineStr">
        <is>
          <t>Avian reovirus 7</t>
        </is>
      </c>
      <c r="G515" t="inlineStr">
        <is>
          <t>Merged,</t>
        </is>
      </c>
      <c r="H515" t="inlineStr">
        <is>
          <t>Avian reovirus</t>
        </is>
      </c>
      <c r="I515" t="inlineStr">
        <is>
          <t>species</t>
        </is>
      </c>
      <c r="J515" t="n">
        <v>19982433</v>
      </c>
      <c r="K515" t="n">
        <v>19982433</v>
      </c>
      <c r="L515" s="8">
        <f>HYPERLINK("https://test.ictv.global/id/TN19972148","TN19972148@TEST")</f>
        <v/>
      </c>
      <c r="M515" s="8">
        <f>HYPERLINK("https://test.ictv.global/id/ICTV19952045","ICTV19952045@TEST")</f>
        <v/>
      </c>
      <c r="N515" s="8">
        <f>HYPERLINK("https://ictv.global/id/TN19972148","TN19972148@prod")</f>
        <v/>
      </c>
      <c r="O515" s="8">
        <f>HYPERLINK("https://ictv.global/id/ICTV19952045","ICTV19952045@prod")</f>
        <v/>
      </c>
    </row>
    <row r="516">
      <c r="A516" t="n">
        <v>16</v>
      </c>
      <c r="B516" t="n">
        <v>19972149</v>
      </c>
      <c r="C516" t="n">
        <v>19952046</v>
      </c>
      <c r="D516" t="inlineStr">
        <is>
          <t>species</t>
        </is>
      </c>
      <c r="E516" t="inlineStr">
        <is>
          <t>Avian reovirus 8</t>
        </is>
      </c>
      <c r="G516" t="inlineStr">
        <is>
          <t>Merged,</t>
        </is>
      </c>
      <c r="H516" t="inlineStr">
        <is>
          <t>Avian reovirus</t>
        </is>
      </c>
      <c r="I516" t="inlineStr">
        <is>
          <t>species</t>
        </is>
      </c>
      <c r="J516" t="n">
        <v>19982433</v>
      </c>
      <c r="K516" t="n">
        <v>19982433</v>
      </c>
      <c r="L516" s="8">
        <f>HYPERLINK("https://test.ictv.global/id/TN19972149","TN19972149@TEST")</f>
        <v/>
      </c>
      <c r="M516" s="8">
        <f>HYPERLINK("https://test.ictv.global/id/ICTV19952046","ICTV19952046@TEST")</f>
        <v/>
      </c>
      <c r="N516" s="8">
        <f>HYPERLINK("https://ictv.global/id/TN19972149","TN19972149@prod")</f>
        <v/>
      </c>
      <c r="O516" s="8">
        <f>HYPERLINK("https://ictv.global/id/ICTV19952046","ICTV19952046@prod")</f>
        <v/>
      </c>
    </row>
    <row r="517">
      <c r="A517" t="n">
        <v>16</v>
      </c>
      <c r="B517" t="n">
        <v>19972150</v>
      </c>
      <c r="C517" t="n">
        <v>19952047</v>
      </c>
      <c r="D517" t="inlineStr">
        <is>
          <t>species</t>
        </is>
      </c>
      <c r="E517" t="inlineStr">
        <is>
          <t>Avian reovirus 9</t>
        </is>
      </c>
      <c r="G517" t="inlineStr">
        <is>
          <t>Merged,</t>
        </is>
      </c>
      <c r="H517" t="inlineStr">
        <is>
          <t>Avian reovirus</t>
        </is>
      </c>
      <c r="I517" t="inlineStr">
        <is>
          <t>species</t>
        </is>
      </c>
      <c r="J517" t="n">
        <v>19982433</v>
      </c>
      <c r="K517" t="n">
        <v>19982433</v>
      </c>
      <c r="L517" s="8">
        <f>HYPERLINK("https://test.ictv.global/id/TN19972150","TN19972150@TEST")</f>
        <v/>
      </c>
      <c r="M517" s="8">
        <f>HYPERLINK("https://test.ictv.global/id/ICTV19952047","ICTV19952047@TEST")</f>
        <v/>
      </c>
      <c r="N517" s="8">
        <f>HYPERLINK("https://ictv.global/id/TN19972150","TN19972150@prod")</f>
        <v/>
      </c>
      <c r="O517" s="8">
        <f>HYPERLINK("https://ictv.global/id/ICTV19952047","ICTV19952047@prod")</f>
        <v/>
      </c>
    </row>
    <row r="518">
      <c r="A518" t="n">
        <v>16</v>
      </c>
      <c r="B518" t="n">
        <v>19972151</v>
      </c>
      <c r="C518" t="n">
        <v>19760524</v>
      </c>
      <c r="D518" t="inlineStr">
        <is>
          <t>species</t>
        </is>
      </c>
      <c r="E518" t="inlineStr">
        <is>
          <t>Mammalian reovirus 1</t>
        </is>
      </c>
      <c r="G518" t="inlineStr">
        <is>
          <t>Merged,Assigned as Type Species,</t>
        </is>
      </c>
      <c r="H518" t="inlineStr">
        <is>
          <t>Mammalian reovirus</t>
        </is>
      </c>
      <c r="I518" t="inlineStr">
        <is>
          <t>species</t>
        </is>
      </c>
      <c r="J518" t="n">
        <v>19982435</v>
      </c>
      <c r="K518" t="n">
        <v>19982435</v>
      </c>
      <c r="L518" s="8">
        <f>HYPERLINK("https://test.ictv.global/id/TN19972151","TN19972151@TEST")</f>
        <v/>
      </c>
      <c r="M518" s="8">
        <f>HYPERLINK("https://test.ictv.global/id/ICTV19760524","ICTV19760524@TEST")</f>
        <v/>
      </c>
      <c r="N518" s="8">
        <f>HYPERLINK("https://ictv.global/id/TN19972151","TN19972151@prod")</f>
        <v/>
      </c>
      <c r="O518" s="8">
        <f>HYPERLINK("https://ictv.global/id/ICTV19760524","ICTV19760524@prod")</f>
        <v/>
      </c>
    </row>
    <row r="519">
      <c r="A519" t="n">
        <v>16</v>
      </c>
      <c r="B519" t="n">
        <v>19972152</v>
      </c>
      <c r="C519" t="n">
        <v>19710303</v>
      </c>
      <c r="D519" t="inlineStr">
        <is>
          <t>species</t>
        </is>
      </c>
      <c r="E519" t="inlineStr">
        <is>
          <t>Mammalian reovirus 2</t>
        </is>
      </c>
      <c r="G519" t="inlineStr">
        <is>
          <t>Merged,Assigned as Type Species,</t>
        </is>
      </c>
      <c r="H519" t="inlineStr">
        <is>
          <t>Mammalian reovirus</t>
        </is>
      </c>
      <c r="I519" t="inlineStr">
        <is>
          <t>species</t>
        </is>
      </c>
      <c r="J519" t="n">
        <v>19982435</v>
      </c>
      <c r="K519" t="n">
        <v>19982435</v>
      </c>
      <c r="L519" s="8">
        <f>HYPERLINK("https://test.ictv.global/id/TN19972152","TN19972152@TEST")</f>
        <v/>
      </c>
      <c r="M519" s="8">
        <f>HYPERLINK("https://test.ictv.global/id/ICTV19710303","ICTV19710303@TEST")</f>
        <v/>
      </c>
      <c r="N519" s="8">
        <f>HYPERLINK("https://ictv.global/id/TN19972152","TN19972152@prod")</f>
        <v/>
      </c>
      <c r="O519" s="8">
        <f>HYPERLINK("https://ictv.global/id/ICTV19710303","ICTV19710303@prod")</f>
        <v/>
      </c>
    </row>
    <row r="520">
      <c r="A520" t="n">
        <v>16</v>
      </c>
      <c r="B520" t="n">
        <v>19972153</v>
      </c>
      <c r="C520" t="n">
        <v>19710304</v>
      </c>
      <c r="D520" t="inlineStr">
        <is>
          <t>species</t>
        </is>
      </c>
      <c r="E520" t="inlineStr">
        <is>
          <t>Mammalian reovirus 3</t>
        </is>
      </c>
      <c r="G520" t="inlineStr">
        <is>
          <t>Merged,</t>
        </is>
      </c>
      <c r="H520" t="inlineStr">
        <is>
          <t>Mammalian reovirus</t>
        </is>
      </c>
      <c r="I520" t="inlineStr">
        <is>
          <t>species</t>
        </is>
      </c>
      <c r="J520" t="n">
        <v>19982435</v>
      </c>
      <c r="K520" t="n">
        <v>19982435</v>
      </c>
      <c r="L520" s="8">
        <f>HYPERLINK("https://test.ictv.global/id/TN19972153","TN19972153@TEST")</f>
        <v/>
      </c>
      <c r="M520" s="8">
        <f>HYPERLINK("https://test.ictv.global/id/ICTV19710304","ICTV19710304@TEST")</f>
        <v/>
      </c>
      <c r="N520" s="8">
        <f>HYPERLINK("https://ictv.global/id/TN19972153","TN19972153@prod")</f>
        <v/>
      </c>
      <c r="O520" s="8">
        <f>HYPERLINK("https://ictv.global/id/ICTV19710304","ICTV19710304@prod")</f>
        <v/>
      </c>
    </row>
    <row r="521">
      <c r="A521" t="n">
        <v>16</v>
      </c>
      <c r="B521" t="n">
        <v>19972155</v>
      </c>
      <c r="C521" t="n">
        <v>19952052</v>
      </c>
      <c r="D521" t="inlineStr">
        <is>
          <t>species</t>
        </is>
      </c>
      <c r="E521" t="inlineStr">
        <is>
          <t>Sommerville virus 4</t>
        </is>
      </c>
      <c r="G521" t="inlineStr">
        <is>
          <t>Abolished,</t>
        </is>
      </c>
      <c r="L521" s="8">
        <f>HYPERLINK("https://test.ictv.global/id/TN19972155","TN19972155@TEST")</f>
        <v/>
      </c>
      <c r="M521" s="8">
        <f>HYPERLINK("https://test.ictv.global/id/ICTV19952052","ICTV19952052@TEST")</f>
        <v/>
      </c>
      <c r="N521" s="8">
        <f>HYPERLINK("https://ictv.global/id/TN19972155","TN19972155@prod")</f>
        <v/>
      </c>
      <c r="O521" s="8">
        <f>HYPERLINK("https://ictv.global/id/ICTV19952052","ICTV19952052@prod")</f>
        <v/>
      </c>
    </row>
    <row r="522">
      <c r="A522" t="n">
        <v>16</v>
      </c>
      <c r="B522" t="n">
        <v>19972156</v>
      </c>
      <c r="C522" t="n">
        <v>19952053</v>
      </c>
      <c r="D522" t="inlineStr">
        <is>
          <t>species</t>
        </is>
      </c>
      <c r="E522" t="inlineStr">
        <is>
          <t>WVU virus 2937</t>
        </is>
      </c>
      <c r="G522" t="inlineStr">
        <is>
          <t>Merged,</t>
        </is>
      </c>
      <c r="H522" t="inlineStr">
        <is>
          <t>Avian reovirus</t>
        </is>
      </c>
      <c r="I522" t="inlineStr">
        <is>
          <t>species</t>
        </is>
      </c>
      <c r="J522" t="n">
        <v>19982433</v>
      </c>
      <c r="K522" t="n">
        <v>19982433</v>
      </c>
      <c r="L522" s="8">
        <f>HYPERLINK("https://test.ictv.global/id/TN19972156","TN19972156@TEST")</f>
        <v/>
      </c>
      <c r="M522" s="8">
        <f>HYPERLINK("https://test.ictv.global/id/ICTV19952053","ICTV19952053@TEST")</f>
        <v/>
      </c>
      <c r="N522" s="8">
        <f>HYPERLINK("https://ictv.global/id/TN19972156","TN19972156@prod")</f>
        <v/>
      </c>
      <c r="O522" s="8">
        <f>HYPERLINK("https://ictv.global/id/ICTV19952053","ICTV19952053@prod")</f>
        <v/>
      </c>
    </row>
    <row r="523">
      <c r="A523" t="n">
        <v>16</v>
      </c>
      <c r="B523" t="n">
        <v>19972157</v>
      </c>
      <c r="C523" t="n">
        <v>19952054</v>
      </c>
      <c r="D523" t="inlineStr">
        <is>
          <t>species</t>
        </is>
      </c>
      <c r="E523" t="inlineStr">
        <is>
          <t>WVU virus 71 to 212</t>
        </is>
      </c>
      <c r="G523" t="inlineStr">
        <is>
          <t>Merged,</t>
        </is>
      </c>
      <c r="H523" t="inlineStr">
        <is>
          <t>Avian reovirus</t>
        </is>
      </c>
      <c r="I523" t="inlineStr">
        <is>
          <t>species</t>
        </is>
      </c>
      <c r="J523" t="n">
        <v>19982433</v>
      </c>
      <c r="K523" t="n">
        <v>19982433</v>
      </c>
      <c r="L523" s="8">
        <f>HYPERLINK("https://test.ictv.global/id/TN19972157","TN19972157@TEST")</f>
        <v/>
      </c>
      <c r="M523" s="8">
        <f>HYPERLINK("https://test.ictv.global/id/ICTV19952054","ICTV19952054@TEST")</f>
        <v/>
      </c>
      <c r="N523" s="8">
        <f>HYPERLINK("https://ictv.global/id/TN19972157","TN19972157@prod")</f>
        <v/>
      </c>
      <c r="O523" s="8">
        <f>HYPERLINK("https://ictv.global/id/ICTV19952054","ICTV19952054@prod")</f>
        <v/>
      </c>
    </row>
    <row r="524">
      <c r="A524" t="n">
        <v>16</v>
      </c>
      <c r="B524" t="n">
        <v>19972222</v>
      </c>
      <c r="C524" t="n">
        <v>19871364</v>
      </c>
      <c r="D524" t="inlineStr">
        <is>
          <t>species</t>
        </is>
      </c>
      <c r="E524" t="inlineStr">
        <is>
          <t>Parsnip yellow fleck virus (Anthriscus strain)</t>
        </is>
      </c>
      <c r="G524" t="inlineStr">
        <is>
          <t>Merged,Assigned as Type Species,</t>
        </is>
      </c>
      <c r="H524" t="inlineStr">
        <is>
          <t>Parsnip yellow fleck virus</t>
        </is>
      </c>
      <c r="I524" t="inlineStr">
        <is>
          <t>species</t>
        </is>
      </c>
      <c r="J524" t="n">
        <v>19982504</v>
      </c>
      <c r="K524" t="n">
        <v>19982504</v>
      </c>
      <c r="L524" s="8">
        <f>HYPERLINK("https://test.ictv.global/id/TN19972222","TN19972222@TEST")</f>
        <v/>
      </c>
      <c r="M524" s="8">
        <f>HYPERLINK("https://test.ictv.global/id/ICTV19871364","ICTV19871364@TEST")</f>
        <v/>
      </c>
      <c r="N524" s="8">
        <f>HYPERLINK("https://ictv.global/id/TN19972222","TN19972222@prod")</f>
        <v/>
      </c>
      <c r="O524" s="8">
        <f>HYPERLINK("https://ictv.global/id/ICTV19871364","ICTV19871364@prod")</f>
        <v/>
      </c>
    </row>
    <row r="525">
      <c r="A525" t="n">
        <v>16</v>
      </c>
      <c r="B525" t="n">
        <v>19972223</v>
      </c>
      <c r="C525" t="n">
        <v>19871365</v>
      </c>
      <c r="D525" t="inlineStr">
        <is>
          <t>species</t>
        </is>
      </c>
      <c r="E525" t="inlineStr">
        <is>
          <t>Parsnip yellow fleck virus (parsnip strain)</t>
        </is>
      </c>
      <c r="G525" t="inlineStr">
        <is>
          <t>Merged,</t>
        </is>
      </c>
      <c r="H525" t="inlineStr">
        <is>
          <t>Parsnip yellow fleck virus</t>
        </is>
      </c>
      <c r="I525" t="inlineStr">
        <is>
          <t>species</t>
        </is>
      </c>
      <c r="J525" t="n">
        <v>19982504</v>
      </c>
      <c r="K525" t="n">
        <v>19982504</v>
      </c>
      <c r="L525" s="8">
        <f>HYPERLINK("https://test.ictv.global/id/TN19972223","TN19972223@TEST")</f>
        <v/>
      </c>
      <c r="M525" s="8">
        <f>HYPERLINK("https://test.ictv.global/id/ICTV19871365","ICTV19871365@TEST")</f>
        <v/>
      </c>
      <c r="N525" s="8">
        <f>HYPERLINK("https://ictv.global/id/TN19972223","TN19972223@prod")</f>
        <v/>
      </c>
      <c r="O525" s="8">
        <f>HYPERLINK("https://ictv.global/id/ICTV19871365","ICTV19871365@prod")</f>
        <v/>
      </c>
    </row>
    <row r="526">
      <c r="A526" t="n">
        <v>16</v>
      </c>
      <c r="B526" t="n">
        <v>19972466</v>
      </c>
      <c r="C526" t="n">
        <v>19710243</v>
      </c>
      <c r="D526" t="inlineStr">
        <is>
          <t>species</t>
        </is>
      </c>
      <c r="E526" t="inlineStr">
        <is>
          <t>Pea enation mosaic virus</t>
        </is>
      </c>
      <c r="G526" t="inlineStr">
        <is>
          <t>Split,</t>
        </is>
      </c>
      <c r="H526" t="inlineStr">
        <is>
          <t>Pea enation mosaic virus-1</t>
        </is>
      </c>
      <c r="I526" t="inlineStr">
        <is>
          <t>species</t>
        </is>
      </c>
      <c r="J526" t="n">
        <v>19981700</v>
      </c>
      <c r="K526" t="n">
        <v>19981700</v>
      </c>
      <c r="L526" s="8">
        <f>HYPERLINK("https://test.ictv.global/id/TN19972466","TN19972466@TEST")</f>
        <v/>
      </c>
      <c r="M526" s="8">
        <f>HYPERLINK("https://test.ictv.global/id/ICTV19710243","ICTV19710243@TEST")</f>
        <v/>
      </c>
      <c r="N526" s="8">
        <f>HYPERLINK("https://ictv.global/id/TN19972466","TN19972466@prod")</f>
        <v/>
      </c>
      <c r="O526" s="8">
        <f>HYPERLINK("https://ictv.global/id/ICTV19710243","ICTV19710243@prod")</f>
        <v/>
      </c>
    </row>
    <row r="527">
      <c r="A527" t="n">
        <v>16</v>
      </c>
      <c r="B527" t="n">
        <v>19972466</v>
      </c>
      <c r="C527" t="n">
        <v>19710243</v>
      </c>
      <c r="D527" t="inlineStr">
        <is>
          <t>species</t>
        </is>
      </c>
      <c r="E527" t="inlineStr">
        <is>
          <t>Pea enation mosaic virus</t>
        </is>
      </c>
      <c r="G527" t="inlineStr">
        <is>
          <t>Split,Moved,Removed as Type Species,</t>
        </is>
      </c>
      <c r="H527" t="inlineStr">
        <is>
          <t>Pea enation mosaic virus-2</t>
        </is>
      </c>
      <c r="I527" t="inlineStr">
        <is>
          <t>species</t>
        </is>
      </c>
      <c r="J527" t="n">
        <v>19982747</v>
      </c>
      <c r="K527" t="n">
        <v>19982747</v>
      </c>
      <c r="L527" s="8">
        <f>HYPERLINK("https://test.ictv.global/id/TN19972466","TN19972466@TEST")</f>
        <v/>
      </c>
      <c r="M527" s="8">
        <f>HYPERLINK("https://test.ictv.global/id/ICTV19710243","ICTV19710243@TEST")</f>
        <v/>
      </c>
      <c r="N527" s="8">
        <f>HYPERLINK("https://ictv.global/id/TN19972466","TN19972466@prod")</f>
        <v/>
      </c>
      <c r="O527" s="8">
        <f>HYPERLINK("https://ictv.global/id/ICTV19710243","ICTV19710243@prod")</f>
        <v/>
      </c>
    </row>
    <row r="528">
      <c r="A528" t="n">
        <v>17</v>
      </c>
      <c r="B528" t="n">
        <v>19980048</v>
      </c>
      <c r="C528" t="n">
        <v>19710002</v>
      </c>
      <c r="D528" t="inlineStr">
        <is>
          <t>family</t>
        </is>
      </c>
      <c r="E528" t="inlineStr">
        <is>
          <t>Papovaviridae</t>
        </is>
      </c>
      <c r="G528" t="inlineStr">
        <is>
          <t>Split,</t>
        </is>
      </c>
      <c r="H528" t="inlineStr">
        <is>
          <t>Papillomaviridae</t>
        </is>
      </c>
      <c r="I528" t="inlineStr">
        <is>
          <t>family</t>
        </is>
      </c>
      <c r="J528" t="n">
        <v>19990048</v>
      </c>
      <c r="K528" t="n">
        <v>19990048</v>
      </c>
      <c r="L528" s="8">
        <f>HYPERLINK("https://test.ictv.global/id/TN19980048","TN19980048@TEST")</f>
        <v/>
      </c>
      <c r="M528" s="8">
        <f>HYPERLINK("https://test.ictv.global/id/ICTV19710002","ICTV19710002@TEST")</f>
        <v/>
      </c>
      <c r="N528" s="8">
        <f>HYPERLINK("https://ictv.global/id/TN19980048","TN19980048@prod")</f>
        <v/>
      </c>
      <c r="O528" s="8">
        <f>HYPERLINK("https://ictv.global/id/ICTV19710002","ICTV19710002@prod")</f>
        <v/>
      </c>
    </row>
    <row r="529">
      <c r="A529" t="n">
        <v>17</v>
      </c>
      <c r="B529" t="n">
        <v>19980048</v>
      </c>
      <c r="C529" t="n">
        <v>19710002</v>
      </c>
      <c r="D529" t="inlineStr">
        <is>
          <t>family</t>
        </is>
      </c>
      <c r="E529" t="inlineStr">
        <is>
          <t>Papovaviridae</t>
        </is>
      </c>
      <c r="G529" t="inlineStr">
        <is>
          <t>Split,</t>
        </is>
      </c>
      <c r="H529" t="inlineStr">
        <is>
          <t>Polyomaviridae</t>
        </is>
      </c>
      <c r="I529" t="inlineStr">
        <is>
          <t>family</t>
        </is>
      </c>
      <c r="J529" t="n">
        <v>19990055</v>
      </c>
      <c r="K529" t="n">
        <v>19990055</v>
      </c>
      <c r="L529" s="8">
        <f>HYPERLINK("https://test.ictv.global/id/TN19980048","TN19980048@TEST")</f>
        <v/>
      </c>
      <c r="M529" s="8">
        <f>HYPERLINK("https://test.ictv.global/id/ICTV19710002","ICTV19710002@TEST")</f>
        <v/>
      </c>
      <c r="N529" s="8">
        <f>HYPERLINK("https://ictv.global/id/TN19980048","TN19980048@prod")</f>
        <v/>
      </c>
      <c r="O529" s="8">
        <f>HYPERLINK("https://ictv.global/id/ICTV19710002","ICTV19710002@prod")</f>
        <v/>
      </c>
    </row>
    <row r="530">
      <c r="A530" t="n">
        <v>17</v>
      </c>
      <c r="B530" t="n">
        <v>19980390</v>
      </c>
      <c r="C530" t="n">
        <v>19990385</v>
      </c>
      <c r="D530" t="inlineStr">
        <is>
          <t>species</t>
        </is>
      </c>
      <c r="E530" t="inlineStr">
        <is>
          <t>Bacillus phage SPO1</t>
        </is>
      </c>
      <c r="F530" t="inlineStr"/>
      <c r="G530" t="inlineStr">
        <is>
          <t>Merged,</t>
        </is>
      </c>
      <c r="H530" t="inlineStr">
        <is>
          <t>Bacillus phage SPO1</t>
        </is>
      </c>
      <c r="I530" t="inlineStr">
        <is>
          <t>species</t>
        </is>
      </c>
      <c r="J530" t="n">
        <v>19990385</v>
      </c>
      <c r="K530" t="n">
        <v>19990385</v>
      </c>
      <c r="L530" s="8">
        <f>HYPERLINK("https://test.ictv.global/id/TN19980390","TN19980390@TEST")</f>
        <v/>
      </c>
      <c r="M530" s="8">
        <f>HYPERLINK("https://test.ictv.global/id/ICTV19990385","ICTV19990385@TEST")</f>
        <v/>
      </c>
      <c r="N530" s="8">
        <f>HYPERLINK("https://ictv.global/id/TN19980390","TN19980390@prod")</f>
        <v/>
      </c>
      <c r="O530" s="8">
        <f>HYPERLINK("https://ictv.global/id/ICTV19990385","ICTV19990385@prod")</f>
        <v/>
      </c>
    </row>
    <row r="531">
      <c r="A531" t="n">
        <v>17</v>
      </c>
      <c r="B531" t="n">
        <v>19980392</v>
      </c>
      <c r="C531" t="n">
        <v>19951284</v>
      </c>
      <c r="D531" t="inlineStr">
        <is>
          <t>species</t>
        </is>
      </c>
      <c r="E531" t="inlineStr">
        <is>
          <t>Aeromonas phage 65</t>
        </is>
      </c>
      <c r="F531" t="inlineStr"/>
      <c r="G531" t="inlineStr">
        <is>
          <t>Merged,Assigned as Type Species,</t>
        </is>
      </c>
      <c r="H531" t="inlineStr">
        <is>
          <t>Aeromonas phage Aeh1</t>
        </is>
      </c>
      <c r="I531" t="inlineStr">
        <is>
          <t>species</t>
        </is>
      </c>
      <c r="J531" t="n">
        <v>19990386</v>
      </c>
      <c r="K531" t="n">
        <v>19990386</v>
      </c>
      <c r="L531" s="8">
        <f>HYPERLINK("https://test.ictv.global/id/TN19980392","TN19980392@TEST")</f>
        <v/>
      </c>
      <c r="M531" s="8">
        <f>HYPERLINK("https://test.ictv.global/id/ICTV19951284","ICTV19951284@TEST")</f>
        <v/>
      </c>
      <c r="N531" s="8">
        <f>HYPERLINK("https://ictv.global/id/TN19980392","TN19980392@prod")</f>
        <v/>
      </c>
      <c r="O531" s="8">
        <f>HYPERLINK("https://ictv.global/id/ICTV19951284","ICTV19951284@prod")</f>
        <v/>
      </c>
    </row>
    <row r="532">
      <c r="A532" t="n">
        <v>17</v>
      </c>
      <c r="B532" t="n">
        <v>19980393</v>
      </c>
      <c r="C532" t="n">
        <v>19990386</v>
      </c>
      <c r="D532" t="inlineStr">
        <is>
          <t>species</t>
        </is>
      </c>
      <c r="E532" t="inlineStr">
        <is>
          <t>Aeromonas phage Aeh1</t>
        </is>
      </c>
      <c r="F532" t="inlineStr"/>
      <c r="G532" t="inlineStr">
        <is>
          <t>Merged,Assigned as Type Species,</t>
        </is>
      </c>
      <c r="H532" t="inlineStr">
        <is>
          <t>Aeromonas phage Aeh1</t>
        </is>
      </c>
      <c r="I532" t="inlineStr">
        <is>
          <t>species</t>
        </is>
      </c>
      <c r="J532" t="n">
        <v>19990386</v>
      </c>
      <c r="K532" t="n">
        <v>19990386</v>
      </c>
      <c r="L532" s="8">
        <f>HYPERLINK("https://test.ictv.global/id/TN19980393","TN19980393@TEST")</f>
        <v/>
      </c>
      <c r="M532" s="8">
        <f>HYPERLINK("https://test.ictv.global/id/ICTV19990386","ICTV19990386@TEST")</f>
        <v/>
      </c>
      <c r="N532" s="8">
        <f>HYPERLINK("https://ictv.global/id/TN19980393","TN19980393@prod")</f>
        <v/>
      </c>
      <c r="O532" s="8">
        <f>HYPERLINK("https://ictv.global/id/ICTV19990386","ICTV19990386@prod")</f>
        <v/>
      </c>
    </row>
    <row r="533">
      <c r="A533" t="n">
        <v>17</v>
      </c>
      <c r="B533" t="n">
        <v>19980394</v>
      </c>
      <c r="C533" t="n">
        <v>19710314</v>
      </c>
      <c r="D533" t="inlineStr">
        <is>
          <t>species</t>
        </is>
      </c>
      <c r="E533" t="inlineStr">
        <is>
          <t>Coliphage T2</t>
        </is>
      </c>
      <c r="G533" t="inlineStr">
        <is>
          <t>Merged,Assigned as Type Species,</t>
        </is>
      </c>
      <c r="H533" t="inlineStr">
        <is>
          <t>Enterobacteria phage T4</t>
        </is>
      </c>
      <c r="I533" t="inlineStr">
        <is>
          <t>species</t>
        </is>
      </c>
      <c r="J533" t="n">
        <v>19990390</v>
      </c>
      <c r="K533" t="n">
        <v>19990390</v>
      </c>
      <c r="L533" s="8">
        <f>HYPERLINK("https://test.ictv.global/id/TN19980394","TN19980394@TEST")</f>
        <v/>
      </c>
      <c r="M533" s="8">
        <f>HYPERLINK("https://test.ictv.global/id/ICTV19710314","ICTV19710314@TEST")</f>
        <v/>
      </c>
      <c r="N533" s="8">
        <f>HYPERLINK("https://ictv.global/id/TN19980394","TN19980394@prod")</f>
        <v/>
      </c>
      <c r="O533" s="8">
        <f>HYPERLINK("https://ictv.global/id/ICTV19710314","ICTV19710314@prod")</f>
        <v/>
      </c>
    </row>
    <row r="534">
      <c r="A534" t="n">
        <v>17</v>
      </c>
      <c r="B534" t="n">
        <v>19980395</v>
      </c>
      <c r="C534" t="n">
        <v>19910969</v>
      </c>
      <c r="D534" t="inlineStr">
        <is>
          <t>species</t>
        </is>
      </c>
      <c r="E534" t="inlineStr">
        <is>
          <t>Coliphage T4</t>
        </is>
      </c>
      <c r="G534" t="inlineStr">
        <is>
          <t>Merged,</t>
        </is>
      </c>
      <c r="H534" t="inlineStr">
        <is>
          <t>Enterobacteria phage T4</t>
        </is>
      </c>
      <c r="I534" t="inlineStr">
        <is>
          <t>species</t>
        </is>
      </c>
      <c r="J534" t="n">
        <v>19990390</v>
      </c>
      <c r="K534" t="n">
        <v>19990390</v>
      </c>
      <c r="L534" s="8">
        <f>HYPERLINK("https://test.ictv.global/id/TN19980395","TN19980395@TEST")</f>
        <v/>
      </c>
      <c r="M534" s="8">
        <f>HYPERLINK("https://test.ictv.global/id/ICTV19910969","ICTV19910969@TEST")</f>
        <v/>
      </c>
      <c r="N534" s="8">
        <f>HYPERLINK("https://ictv.global/id/TN19980395","TN19980395@prod")</f>
        <v/>
      </c>
      <c r="O534" s="8">
        <f>HYPERLINK("https://ictv.global/id/ICTV19910969","ICTV19910969@prod")</f>
        <v/>
      </c>
    </row>
    <row r="535">
      <c r="A535" t="n">
        <v>17</v>
      </c>
      <c r="B535" t="n">
        <v>19980396</v>
      </c>
      <c r="C535" t="n">
        <v>19710316</v>
      </c>
      <c r="D535" t="inlineStr">
        <is>
          <t>species</t>
        </is>
      </c>
      <c r="E535" t="inlineStr">
        <is>
          <t>Coliphage T6</t>
        </is>
      </c>
      <c r="G535" t="inlineStr">
        <is>
          <t>Merged,Assigned as Type Species,</t>
        </is>
      </c>
      <c r="H535" t="inlineStr">
        <is>
          <t>Enterobacteria phage T4</t>
        </is>
      </c>
      <c r="I535" t="inlineStr">
        <is>
          <t>species</t>
        </is>
      </c>
      <c r="J535" t="n">
        <v>19990390</v>
      </c>
      <c r="K535" t="n">
        <v>19990390</v>
      </c>
      <c r="L535" s="8">
        <f>HYPERLINK("https://test.ictv.global/id/TN19980396","TN19980396@TEST")</f>
        <v/>
      </c>
      <c r="M535" s="8">
        <f>HYPERLINK("https://test.ictv.global/id/ICTV19710316","ICTV19710316@TEST")</f>
        <v/>
      </c>
      <c r="N535" s="8">
        <f>HYPERLINK("https://ictv.global/id/TN19980396","TN19980396@prod")</f>
        <v/>
      </c>
      <c r="O535" s="8">
        <f>HYPERLINK("https://ictv.global/id/ICTV19710316","ICTV19710316@prod")</f>
        <v/>
      </c>
    </row>
    <row r="536">
      <c r="A536" t="n">
        <v>17</v>
      </c>
      <c r="B536" t="n">
        <v>19980397</v>
      </c>
      <c r="C536" t="n">
        <v>19760817</v>
      </c>
      <c r="D536" t="inlineStr">
        <is>
          <t>species</t>
        </is>
      </c>
      <c r="E536" t="inlineStr">
        <is>
          <t>Enterobacteria phage 11F</t>
        </is>
      </c>
      <c r="G536" t="inlineStr">
        <is>
          <t>Abolished,</t>
        </is>
      </c>
      <c r="L536" s="8">
        <f>HYPERLINK("https://test.ictv.global/id/TN19980397","TN19980397@TEST")</f>
        <v/>
      </c>
      <c r="M536" s="8">
        <f>HYPERLINK("https://test.ictv.global/id/ICTV19760817","ICTV19760817@TEST")</f>
        <v/>
      </c>
      <c r="N536" s="8">
        <f>HYPERLINK("https://ictv.global/id/TN19980397","TN19980397@prod")</f>
        <v/>
      </c>
      <c r="O536" s="8">
        <f>HYPERLINK("https://ictv.global/id/ICTV19760817","ICTV19760817@prod")</f>
        <v/>
      </c>
    </row>
    <row r="537">
      <c r="A537" t="n">
        <v>17</v>
      </c>
      <c r="B537" t="n">
        <v>19980398</v>
      </c>
      <c r="C537" t="n">
        <v>19760818</v>
      </c>
      <c r="D537" t="inlineStr">
        <is>
          <t>species</t>
        </is>
      </c>
      <c r="E537" t="inlineStr">
        <is>
          <t>Enterobacteria phage 3</t>
        </is>
      </c>
      <c r="G537" t="inlineStr">
        <is>
          <t>Abolished,</t>
        </is>
      </c>
      <c r="L537" s="8">
        <f>HYPERLINK("https://test.ictv.global/id/TN19980398","TN19980398@TEST")</f>
        <v/>
      </c>
      <c r="M537" s="8">
        <f>HYPERLINK("https://test.ictv.global/id/ICTV19760818","ICTV19760818@TEST")</f>
        <v/>
      </c>
      <c r="N537" s="8">
        <f>HYPERLINK("https://ictv.global/id/TN19980398","TN19980398@prod")</f>
        <v/>
      </c>
      <c r="O537" s="8">
        <f>HYPERLINK("https://ictv.global/id/ICTV19760818","ICTV19760818@prod")</f>
        <v/>
      </c>
    </row>
    <row r="538">
      <c r="A538" t="n">
        <v>17</v>
      </c>
      <c r="B538" t="n">
        <v>19980399</v>
      </c>
      <c r="C538" t="n">
        <v>19760819</v>
      </c>
      <c r="D538" t="inlineStr">
        <is>
          <t>species</t>
        </is>
      </c>
      <c r="E538" t="inlineStr">
        <is>
          <t>Enterobacteria phage 3T+</t>
        </is>
      </c>
      <c r="G538" t="inlineStr">
        <is>
          <t>Abolished,</t>
        </is>
      </c>
      <c r="L538" s="8">
        <f>HYPERLINK("https://test.ictv.global/id/TN19980399","TN19980399@TEST")</f>
        <v/>
      </c>
      <c r="M538" s="8">
        <f>HYPERLINK("https://test.ictv.global/id/ICTV19760819","ICTV19760819@TEST")</f>
        <v/>
      </c>
      <c r="N538" s="8">
        <f>HYPERLINK("https://ictv.global/id/TN19980399","TN19980399@prod")</f>
        <v/>
      </c>
      <c r="O538" s="8">
        <f>HYPERLINK("https://ictv.global/id/ICTV19760819","ICTV19760819@prod")</f>
        <v/>
      </c>
    </row>
    <row r="539">
      <c r="A539" t="n">
        <v>17</v>
      </c>
      <c r="B539" t="n">
        <v>19980400</v>
      </c>
      <c r="C539" t="n">
        <v>19760820</v>
      </c>
      <c r="D539" t="inlineStr">
        <is>
          <t>species</t>
        </is>
      </c>
      <c r="E539" t="inlineStr">
        <is>
          <t>Enterobacteria phage 50</t>
        </is>
      </c>
      <c r="G539" t="inlineStr">
        <is>
          <t>Abolished,</t>
        </is>
      </c>
      <c r="L539" s="8">
        <f>HYPERLINK("https://test.ictv.global/id/TN19980400","TN19980400@TEST")</f>
        <v/>
      </c>
      <c r="M539" s="8">
        <f>HYPERLINK("https://test.ictv.global/id/ICTV19760820","ICTV19760820@TEST")</f>
        <v/>
      </c>
      <c r="N539" s="8">
        <f>HYPERLINK("https://ictv.global/id/TN19980400","TN19980400@prod")</f>
        <v/>
      </c>
      <c r="O539" s="8">
        <f>HYPERLINK("https://ictv.global/id/ICTV19760820","ICTV19760820@prod")</f>
        <v/>
      </c>
    </row>
    <row r="540">
      <c r="A540" t="n">
        <v>17</v>
      </c>
      <c r="B540" t="n">
        <v>19980401</v>
      </c>
      <c r="C540" t="n">
        <v>19760821</v>
      </c>
      <c r="D540" t="inlineStr">
        <is>
          <t>species</t>
        </is>
      </c>
      <c r="E540" t="inlineStr">
        <is>
          <t>Enterobacteria phage 5845</t>
        </is>
      </c>
      <c r="G540" t="inlineStr">
        <is>
          <t>Abolished,</t>
        </is>
      </c>
      <c r="L540" s="8">
        <f>HYPERLINK("https://test.ictv.global/id/TN19980401","TN19980401@TEST")</f>
        <v/>
      </c>
      <c r="M540" s="8">
        <f>HYPERLINK("https://test.ictv.global/id/ICTV19760821","ICTV19760821@TEST")</f>
        <v/>
      </c>
      <c r="N540" s="8">
        <f>HYPERLINK("https://ictv.global/id/TN19980401","TN19980401@prod")</f>
        <v/>
      </c>
      <c r="O540" s="8">
        <f>HYPERLINK("https://ictv.global/id/ICTV19760821","ICTV19760821@prod")</f>
        <v/>
      </c>
    </row>
    <row r="541">
      <c r="A541" t="n">
        <v>17</v>
      </c>
      <c r="B541" t="n">
        <v>19980402</v>
      </c>
      <c r="C541" t="n">
        <v>19760822</v>
      </c>
      <c r="D541" t="inlineStr">
        <is>
          <t>species</t>
        </is>
      </c>
      <c r="E541" t="inlineStr">
        <is>
          <t>Enterobacteria phage 66F</t>
        </is>
      </c>
      <c r="G541" t="inlineStr">
        <is>
          <t>Abolished,</t>
        </is>
      </c>
      <c r="L541" s="8">
        <f>HYPERLINK("https://test.ictv.global/id/TN19980402","TN19980402@TEST")</f>
        <v/>
      </c>
      <c r="M541" s="8">
        <f>HYPERLINK("https://test.ictv.global/id/ICTV19760822","ICTV19760822@TEST")</f>
        <v/>
      </c>
      <c r="N541" s="8">
        <f>HYPERLINK("https://ictv.global/id/TN19980402","TN19980402@prod")</f>
        <v/>
      </c>
      <c r="O541" s="8">
        <f>HYPERLINK("https://ictv.global/id/ICTV19760822","ICTV19760822@prod")</f>
        <v/>
      </c>
    </row>
    <row r="542">
      <c r="A542" t="n">
        <v>17</v>
      </c>
      <c r="B542" t="n">
        <v>19980403</v>
      </c>
      <c r="C542" t="n">
        <v>19760823</v>
      </c>
      <c r="D542" t="inlineStr">
        <is>
          <t>species</t>
        </is>
      </c>
      <c r="E542" t="inlineStr">
        <is>
          <t>Enterobacteria phage 8893</t>
        </is>
      </c>
      <c r="G542" t="inlineStr">
        <is>
          <t>Abolished,</t>
        </is>
      </c>
      <c r="L542" s="8">
        <f>HYPERLINK("https://test.ictv.global/id/TN19980403","TN19980403@TEST")</f>
        <v/>
      </c>
      <c r="M542" s="8">
        <f>HYPERLINK("https://test.ictv.global/id/ICTV19760823","ICTV19760823@TEST")</f>
        <v/>
      </c>
      <c r="N542" s="8">
        <f>HYPERLINK("https://ictv.global/id/TN19980403","TN19980403@prod")</f>
        <v/>
      </c>
      <c r="O542" s="8">
        <f>HYPERLINK("https://ictv.global/id/ICTV19760823","ICTV19760823@prod")</f>
        <v/>
      </c>
    </row>
    <row r="543">
      <c r="A543" t="n">
        <v>17</v>
      </c>
      <c r="B543" t="n">
        <v>19980404</v>
      </c>
      <c r="C543" t="n">
        <v>19760824</v>
      </c>
      <c r="D543" t="inlineStr">
        <is>
          <t>species</t>
        </is>
      </c>
      <c r="E543" t="inlineStr">
        <is>
          <t>Enterobacteria phage 9/0</t>
        </is>
      </c>
      <c r="G543" t="inlineStr">
        <is>
          <t>Abolished,</t>
        </is>
      </c>
      <c r="L543" s="8">
        <f>HYPERLINK("https://test.ictv.global/id/TN19980404","TN19980404@TEST")</f>
        <v/>
      </c>
      <c r="M543" s="8">
        <f>HYPERLINK("https://test.ictv.global/id/ICTV19760824","ICTV19760824@TEST")</f>
        <v/>
      </c>
      <c r="N543" s="8">
        <f>HYPERLINK("https://ictv.global/id/TN19980404","TN19980404@prod")</f>
        <v/>
      </c>
      <c r="O543" s="8">
        <f>HYPERLINK("https://ictv.global/id/ICTV19760824","ICTV19760824@prod")</f>
        <v/>
      </c>
    </row>
    <row r="544">
      <c r="A544" t="n">
        <v>17</v>
      </c>
      <c r="B544" t="n">
        <v>19980405</v>
      </c>
      <c r="C544" t="n">
        <v>19760816</v>
      </c>
      <c r="D544" t="inlineStr">
        <is>
          <t>species</t>
        </is>
      </c>
      <c r="E544" t="inlineStr">
        <is>
          <t>Enterobacteria phage alpha1</t>
        </is>
      </c>
      <c r="G544" t="inlineStr">
        <is>
          <t>Abolished,</t>
        </is>
      </c>
      <c r="L544" s="8">
        <f>HYPERLINK("https://test.ictv.global/id/TN19980405","TN19980405@TEST")</f>
        <v/>
      </c>
      <c r="M544" s="8">
        <f>HYPERLINK("https://test.ictv.global/id/ICTV19760816","ICTV19760816@TEST")</f>
        <v/>
      </c>
      <c r="N544" s="8">
        <f>HYPERLINK("https://ictv.global/id/TN19980405","TN19980405@prod")</f>
        <v/>
      </c>
      <c r="O544" s="8">
        <f>HYPERLINK("https://ictv.global/id/ICTV19760816","ICTV19760816@prod")</f>
        <v/>
      </c>
    </row>
    <row r="545">
      <c r="A545" t="n">
        <v>17</v>
      </c>
      <c r="B545" t="n">
        <v>19980406</v>
      </c>
      <c r="C545" t="n">
        <v>19760825</v>
      </c>
      <c r="D545" t="inlineStr">
        <is>
          <t>species</t>
        </is>
      </c>
      <c r="E545" t="inlineStr">
        <is>
          <t>Enterobacteria phage C16</t>
        </is>
      </c>
      <c r="G545" t="inlineStr">
        <is>
          <t>Merged,Assigned as Type Species,</t>
        </is>
      </c>
      <c r="H545" t="inlineStr">
        <is>
          <t>Enterobacteria phage T4</t>
        </is>
      </c>
      <c r="I545" t="inlineStr">
        <is>
          <t>species</t>
        </is>
      </c>
      <c r="J545" t="n">
        <v>19990390</v>
      </c>
      <c r="K545" t="n">
        <v>19990390</v>
      </c>
      <c r="L545" s="8">
        <f>HYPERLINK("https://test.ictv.global/id/TN19980406","TN19980406@TEST")</f>
        <v/>
      </c>
      <c r="M545" s="8">
        <f>HYPERLINK("https://test.ictv.global/id/ICTV19760825","ICTV19760825@TEST")</f>
        <v/>
      </c>
      <c r="N545" s="8">
        <f>HYPERLINK("https://ictv.global/id/TN19980406","TN19980406@prod")</f>
        <v/>
      </c>
      <c r="O545" s="8">
        <f>HYPERLINK("https://ictv.global/id/ICTV19760825","ICTV19760825@prod")</f>
        <v/>
      </c>
    </row>
    <row r="546">
      <c r="A546" t="n">
        <v>17</v>
      </c>
      <c r="B546" t="n">
        <v>19980407</v>
      </c>
      <c r="C546" t="n">
        <v>19791117</v>
      </c>
      <c r="D546" t="inlineStr">
        <is>
          <t>species</t>
        </is>
      </c>
      <c r="E546" t="inlineStr">
        <is>
          <t>Enterobacteria phage DdVI</t>
        </is>
      </c>
      <c r="G546" t="inlineStr">
        <is>
          <t>Abolished,</t>
        </is>
      </c>
      <c r="L546" s="8">
        <f>HYPERLINK("https://test.ictv.global/id/TN19980407","TN19980407@TEST")</f>
        <v/>
      </c>
      <c r="M546" s="8">
        <f>HYPERLINK("https://test.ictv.global/id/ICTV19791117","ICTV19791117@TEST")</f>
        <v/>
      </c>
      <c r="N546" s="8">
        <f>HYPERLINK("https://ictv.global/id/TN19980407","TN19980407@prod")</f>
        <v/>
      </c>
      <c r="O546" s="8">
        <f>HYPERLINK("https://ictv.global/id/ICTV19791117","ICTV19791117@prod")</f>
        <v/>
      </c>
    </row>
    <row r="547">
      <c r="A547" t="n">
        <v>17</v>
      </c>
      <c r="B547" t="n">
        <v>19980408</v>
      </c>
      <c r="C547" t="n">
        <v>19760827</v>
      </c>
      <c r="D547" t="inlineStr">
        <is>
          <t>species</t>
        </is>
      </c>
      <c r="E547" t="inlineStr">
        <is>
          <t>Enterobacteria phage PST</t>
        </is>
      </c>
      <c r="G547" t="inlineStr">
        <is>
          <t>Merged,Assigned as Type Species,</t>
        </is>
      </c>
      <c r="H547" t="inlineStr">
        <is>
          <t>Enterobacteria phage T4</t>
        </is>
      </c>
      <c r="I547" t="inlineStr">
        <is>
          <t>species</t>
        </is>
      </c>
      <c r="J547" t="n">
        <v>19990390</v>
      </c>
      <c r="K547" t="n">
        <v>19990390</v>
      </c>
      <c r="L547" s="8">
        <f>HYPERLINK("https://test.ictv.global/id/TN19980408","TN19980408@TEST")</f>
        <v/>
      </c>
      <c r="M547" s="8">
        <f>HYPERLINK("https://test.ictv.global/id/ICTV19760827","ICTV19760827@TEST")</f>
        <v/>
      </c>
      <c r="N547" s="8">
        <f>HYPERLINK("https://ictv.global/id/TN19980408","TN19980408@prod")</f>
        <v/>
      </c>
      <c r="O547" s="8">
        <f>HYPERLINK("https://ictv.global/id/ICTV19760827","ICTV19760827@prod")</f>
        <v/>
      </c>
    </row>
    <row r="548">
      <c r="A548" t="n">
        <v>17</v>
      </c>
      <c r="B548" t="n">
        <v>19980409</v>
      </c>
      <c r="C548" t="n">
        <v>19760828</v>
      </c>
      <c r="D548" t="inlineStr">
        <is>
          <t>species</t>
        </is>
      </c>
      <c r="E548" t="inlineStr">
        <is>
          <t>Enterobacteria phage SMB</t>
        </is>
      </c>
      <c r="G548" t="inlineStr">
        <is>
          <t>Abolished,</t>
        </is>
      </c>
      <c r="L548" s="8">
        <f>HYPERLINK("https://test.ictv.global/id/TN19980409","TN19980409@TEST")</f>
        <v/>
      </c>
      <c r="M548" s="8">
        <f>HYPERLINK("https://test.ictv.global/id/ICTV19760828","ICTV19760828@TEST")</f>
        <v/>
      </c>
      <c r="N548" s="8">
        <f>HYPERLINK("https://ictv.global/id/TN19980409","TN19980409@prod")</f>
        <v/>
      </c>
      <c r="O548" s="8">
        <f>HYPERLINK("https://ictv.global/id/ICTV19760828","ICTV19760828@prod")</f>
        <v/>
      </c>
    </row>
    <row r="549">
      <c r="A549" t="n">
        <v>17</v>
      </c>
      <c r="B549" t="n">
        <v>19980410</v>
      </c>
      <c r="C549" t="n">
        <v>19760829</v>
      </c>
      <c r="D549" t="inlineStr">
        <is>
          <t>species</t>
        </is>
      </c>
      <c r="E549" t="inlineStr">
        <is>
          <t>Enterobacteria phage SMP2</t>
        </is>
      </c>
      <c r="G549" t="inlineStr">
        <is>
          <t>Abolished,</t>
        </is>
      </c>
      <c r="L549" s="8">
        <f>HYPERLINK("https://test.ictv.global/id/TN19980410","TN19980410@TEST")</f>
        <v/>
      </c>
      <c r="M549" s="8">
        <f>HYPERLINK("https://test.ictv.global/id/ICTV19760829","ICTV19760829@TEST")</f>
        <v/>
      </c>
      <c r="N549" s="8">
        <f>HYPERLINK("https://ictv.global/id/TN19980410","TN19980410@prod")</f>
        <v/>
      </c>
      <c r="O549" s="8">
        <f>HYPERLINK("https://ictv.global/id/ICTV19760829","ICTV19760829@prod")</f>
        <v/>
      </c>
    </row>
    <row r="550">
      <c r="A550" t="n">
        <v>17</v>
      </c>
      <c r="B550" t="n">
        <v>19980412</v>
      </c>
      <c r="C550" t="n">
        <v>19961345</v>
      </c>
      <c r="D550" t="inlineStr">
        <is>
          <t>species</t>
        </is>
      </c>
      <c r="E550" t="inlineStr">
        <is>
          <t>Acinetobacter phage A10/45</t>
        </is>
      </c>
      <c r="G550" t="inlineStr">
        <is>
          <t>Abolished,</t>
        </is>
      </c>
      <c r="L550" s="8">
        <f>HYPERLINK("https://test.ictv.global/id/TN19980412","TN19980412@TEST")</f>
        <v/>
      </c>
      <c r="M550" s="8">
        <f>HYPERLINK("https://test.ictv.global/id/ICTV19961345","ICTV19961345@TEST")</f>
        <v/>
      </c>
      <c r="N550" s="8">
        <f>HYPERLINK("https://ictv.global/id/TN19980412","TN19980412@prod")</f>
        <v/>
      </c>
      <c r="O550" s="8">
        <f>HYPERLINK("https://ictv.global/id/ICTV19961345","ICTV19961345@prod")</f>
        <v/>
      </c>
    </row>
    <row r="551">
      <c r="A551" t="n">
        <v>17</v>
      </c>
      <c r="B551" t="n">
        <v>19980413</v>
      </c>
      <c r="C551" t="n">
        <v>19961346</v>
      </c>
      <c r="D551" t="inlineStr">
        <is>
          <t>species</t>
        </is>
      </c>
      <c r="E551" t="inlineStr">
        <is>
          <t>Acinetobacter phage A3/2</t>
        </is>
      </c>
      <c r="G551" t="inlineStr">
        <is>
          <t>Abolished,</t>
        </is>
      </c>
      <c r="L551" s="8">
        <f>HYPERLINK("https://test.ictv.global/id/TN19980413","TN19980413@TEST")</f>
        <v/>
      </c>
      <c r="M551" s="8">
        <f>HYPERLINK("https://test.ictv.global/id/ICTV19961346","ICTV19961346@TEST")</f>
        <v/>
      </c>
      <c r="N551" s="8">
        <f>HYPERLINK("https://ictv.global/id/TN19980413","TN19980413@prod")</f>
        <v/>
      </c>
      <c r="O551" s="8">
        <f>HYPERLINK("https://ictv.global/id/ICTV19961346","ICTV19961346@prod")</f>
        <v/>
      </c>
    </row>
    <row r="552">
      <c r="A552" t="n">
        <v>17</v>
      </c>
      <c r="B552" t="n">
        <v>19980414</v>
      </c>
      <c r="C552" t="n">
        <v>19961347</v>
      </c>
      <c r="D552" t="inlineStr">
        <is>
          <t>species</t>
        </is>
      </c>
      <c r="E552" t="inlineStr">
        <is>
          <t>Acinetobacter phage BS46</t>
        </is>
      </c>
      <c r="G552" t="inlineStr">
        <is>
          <t>Abolished,</t>
        </is>
      </c>
      <c r="L552" s="8">
        <f>HYPERLINK("https://test.ictv.global/id/TN19980414","TN19980414@TEST")</f>
        <v/>
      </c>
      <c r="M552" s="8">
        <f>HYPERLINK("https://test.ictv.global/id/ICTV19961347","ICTV19961347@TEST")</f>
        <v/>
      </c>
      <c r="N552" s="8">
        <f>HYPERLINK("https://ictv.global/id/TN19980414","TN19980414@prod")</f>
        <v/>
      </c>
      <c r="O552" s="8">
        <f>HYPERLINK("https://ictv.global/id/ICTV19961347","ICTV19961347@prod")</f>
        <v/>
      </c>
    </row>
    <row r="553">
      <c r="A553" t="n">
        <v>17</v>
      </c>
      <c r="B553" t="n">
        <v>19980415</v>
      </c>
      <c r="C553" t="n">
        <v>19961348</v>
      </c>
      <c r="D553" t="inlineStr">
        <is>
          <t>species</t>
        </is>
      </c>
      <c r="E553" t="inlineStr">
        <is>
          <t>Acinetobacter phage E14</t>
        </is>
      </c>
      <c r="G553" t="inlineStr">
        <is>
          <t>Abolished,</t>
        </is>
      </c>
      <c r="L553" s="8">
        <f>HYPERLINK("https://test.ictv.global/id/TN19980415","TN19980415@TEST")</f>
        <v/>
      </c>
      <c r="M553" s="8">
        <f>HYPERLINK("https://test.ictv.global/id/ICTV19961348","ICTV19961348@TEST")</f>
        <v/>
      </c>
      <c r="N553" s="8">
        <f>HYPERLINK("https://ictv.global/id/TN19980415","TN19980415@prod")</f>
        <v/>
      </c>
      <c r="O553" s="8">
        <f>HYPERLINK("https://ictv.global/id/ICTV19961348","ICTV19961348@prod")</f>
        <v/>
      </c>
    </row>
    <row r="554">
      <c r="A554" t="n">
        <v>17</v>
      </c>
      <c r="B554" t="n">
        <v>19980416</v>
      </c>
      <c r="C554" t="n">
        <v>19951304</v>
      </c>
      <c r="D554" t="inlineStr">
        <is>
          <t>species</t>
        </is>
      </c>
      <c r="E554" t="inlineStr">
        <is>
          <t>Actinomycetes phage 108/016</t>
        </is>
      </c>
      <c r="G554" t="inlineStr">
        <is>
          <t>Abolished,</t>
        </is>
      </c>
      <c r="L554" s="8">
        <f>HYPERLINK("https://test.ictv.global/id/TN19980416","TN19980416@TEST")</f>
        <v/>
      </c>
      <c r="M554" s="8">
        <f>HYPERLINK("https://test.ictv.global/id/ICTV19951304","ICTV19951304@TEST")</f>
        <v/>
      </c>
      <c r="N554" s="8">
        <f>HYPERLINK("https://ictv.global/id/TN19980416","TN19980416@prod")</f>
        <v/>
      </c>
      <c r="O554" s="8">
        <f>HYPERLINK("https://ictv.global/id/ICTV19951304","ICTV19951304@prod")</f>
        <v/>
      </c>
    </row>
    <row r="555">
      <c r="A555" t="n">
        <v>17</v>
      </c>
      <c r="B555" t="n">
        <v>19980417</v>
      </c>
      <c r="C555" t="n">
        <v>19951305</v>
      </c>
      <c r="D555" t="inlineStr">
        <is>
          <t>species</t>
        </is>
      </c>
      <c r="E555" t="inlineStr">
        <is>
          <t>Actinomycetes phage SK1</t>
        </is>
      </c>
      <c r="G555" t="inlineStr">
        <is>
          <t>Abolished,</t>
        </is>
      </c>
      <c r="L555" s="8">
        <f>HYPERLINK("https://test.ictv.global/id/TN19980417","TN19980417@TEST")</f>
        <v/>
      </c>
      <c r="M555" s="8">
        <f>HYPERLINK("https://test.ictv.global/id/ICTV19951305","ICTV19951305@TEST")</f>
        <v/>
      </c>
      <c r="N555" s="8">
        <f>HYPERLINK("https://ictv.global/id/TN19980417","TN19980417@prod")</f>
        <v/>
      </c>
      <c r="O555" s="8">
        <f>HYPERLINK("https://ictv.global/id/ICTV19951305","ICTV19951305@prod")</f>
        <v/>
      </c>
    </row>
    <row r="556">
      <c r="A556" t="n">
        <v>17</v>
      </c>
      <c r="B556" t="n">
        <v>19980418</v>
      </c>
      <c r="C556" t="n">
        <v>19951306</v>
      </c>
      <c r="D556" t="inlineStr">
        <is>
          <t>species</t>
        </is>
      </c>
      <c r="E556" t="inlineStr">
        <is>
          <t>Aeromonas phage 29</t>
        </is>
      </c>
      <c r="G556" t="inlineStr">
        <is>
          <t>Abolished,</t>
        </is>
      </c>
      <c r="L556" s="8">
        <f>HYPERLINK("https://test.ictv.global/id/TN19980418","TN19980418@TEST")</f>
        <v/>
      </c>
      <c r="M556" s="8">
        <f>HYPERLINK("https://test.ictv.global/id/ICTV19951306","ICTV19951306@TEST")</f>
        <v/>
      </c>
      <c r="N556" s="8">
        <f>HYPERLINK("https://ictv.global/id/TN19980418","TN19980418@prod")</f>
        <v/>
      </c>
      <c r="O556" s="8">
        <f>HYPERLINK("https://ictv.global/id/ICTV19951306","ICTV19951306@prod")</f>
        <v/>
      </c>
    </row>
    <row r="557">
      <c r="A557" t="n">
        <v>17</v>
      </c>
      <c r="B557" t="n">
        <v>19980419</v>
      </c>
      <c r="C557" t="n">
        <v>19951307</v>
      </c>
      <c r="D557" t="inlineStr">
        <is>
          <t>species</t>
        </is>
      </c>
      <c r="E557" t="inlineStr">
        <is>
          <t>Aeromonas phage 37</t>
        </is>
      </c>
      <c r="G557" t="inlineStr">
        <is>
          <t>Abolished,</t>
        </is>
      </c>
      <c r="L557" s="8">
        <f>HYPERLINK("https://test.ictv.global/id/TN19980419","TN19980419@TEST")</f>
        <v/>
      </c>
      <c r="M557" s="8">
        <f>HYPERLINK("https://test.ictv.global/id/ICTV19951307","ICTV19951307@TEST")</f>
        <v/>
      </c>
      <c r="N557" s="8">
        <f>HYPERLINK("https://ictv.global/id/TN19980419","TN19980419@prod")</f>
        <v/>
      </c>
      <c r="O557" s="8">
        <f>HYPERLINK("https://ictv.global/id/ICTV19951307","ICTV19951307@prod")</f>
        <v/>
      </c>
    </row>
    <row r="558">
      <c r="A558" t="n">
        <v>17</v>
      </c>
      <c r="B558" t="n">
        <v>19980421</v>
      </c>
      <c r="C558" t="n">
        <v>19951309</v>
      </c>
      <c r="D558" t="inlineStr">
        <is>
          <t>species</t>
        </is>
      </c>
      <c r="E558" t="inlineStr">
        <is>
          <t>Aeromonas phage 51</t>
        </is>
      </c>
      <c r="G558" t="inlineStr">
        <is>
          <t>Abolished,</t>
        </is>
      </c>
      <c r="L558" s="8">
        <f>HYPERLINK("https://test.ictv.global/id/TN19980421","TN19980421@TEST")</f>
        <v/>
      </c>
      <c r="M558" s="8">
        <f>HYPERLINK("https://test.ictv.global/id/ICTV19951309","ICTV19951309@TEST")</f>
        <v/>
      </c>
      <c r="N558" s="8">
        <f>HYPERLINK("https://ictv.global/id/TN19980421","TN19980421@prod")</f>
        <v/>
      </c>
      <c r="O558" s="8">
        <f>HYPERLINK("https://ictv.global/id/ICTV19951309","ICTV19951309@prod")</f>
        <v/>
      </c>
    </row>
    <row r="559">
      <c r="A559" t="n">
        <v>17</v>
      </c>
      <c r="B559" t="n">
        <v>19980422</v>
      </c>
      <c r="C559" t="n">
        <v>19951310</v>
      </c>
      <c r="D559" t="inlineStr">
        <is>
          <t>species</t>
        </is>
      </c>
      <c r="E559" t="inlineStr">
        <is>
          <t>Aeromonas phage 59.1</t>
        </is>
      </c>
      <c r="G559" t="inlineStr">
        <is>
          <t>Abolished,</t>
        </is>
      </c>
      <c r="L559" s="8">
        <f>HYPERLINK("https://test.ictv.global/id/TN19980422","TN19980422@TEST")</f>
        <v/>
      </c>
      <c r="M559" s="8">
        <f>HYPERLINK("https://test.ictv.global/id/ICTV19951310","ICTV19951310@TEST")</f>
        <v/>
      </c>
      <c r="N559" s="8">
        <f>HYPERLINK("https://ictv.global/id/TN19980422","TN19980422@prod")</f>
        <v/>
      </c>
      <c r="O559" s="8">
        <f>HYPERLINK("https://ictv.global/id/ICTV19951310","ICTV19951310@prod")</f>
        <v/>
      </c>
    </row>
    <row r="560">
      <c r="A560" t="n">
        <v>17</v>
      </c>
      <c r="B560" t="n">
        <v>19980423</v>
      </c>
      <c r="C560" t="n">
        <v>19951311</v>
      </c>
      <c r="D560" t="inlineStr">
        <is>
          <t>species</t>
        </is>
      </c>
      <c r="E560" t="inlineStr">
        <is>
          <t>Aeromonas phage Aeh2</t>
        </is>
      </c>
      <c r="G560" t="inlineStr">
        <is>
          <t>Abolished,</t>
        </is>
      </c>
      <c r="L560" s="8">
        <f>HYPERLINK("https://test.ictv.global/id/TN19980423","TN19980423@TEST")</f>
        <v/>
      </c>
      <c r="M560" s="8">
        <f>HYPERLINK("https://test.ictv.global/id/ICTV19951311","ICTV19951311@TEST")</f>
        <v/>
      </c>
      <c r="N560" s="8">
        <f>HYPERLINK("https://ictv.global/id/TN19980423","TN19980423@prod")</f>
        <v/>
      </c>
      <c r="O560" s="8">
        <f>HYPERLINK("https://ictv.global/id/ICTV19951311","ICTV19951311@prod")</f>
        <v/>
      </c>
    </row>
    <row r="561">
      <c r="A561" t="n">
        <v>17</v>
      </c>
      <c r="B561" t="n">
        <v>19980424</v>
      </c>
      <c r="C561" t="n">
        <v>19951312</v>
      </c>
      <c r="D561" t="inlineStr">
        <is>
          <t>species</t>
        </is>
      </c>
      <c r="E561" t="inlineStr">
        <is>
          <t>Agrobacterium phage PIIBNV6</t>
        </is>
      </c>
      <c r="G561" t="inlineStr">
        <is>
          <t>Abolished,</t>
        </is>
      </c>
      <c r="L561" s="8">
        <f>HYPERLINK("https://test.ictv.global/id/TN19980424","TN19980424@TEST")</f>
        <v/>
      </c>
      <c r="M561" s="8">
        <f>HYPERLINK("https://test.ictv.global/id/ICTV19951312","ICTV19951312@TEST")</f>
        <v/>
      </c>
      <c r="N561" s="8">
        <f>HYPERLINK("https://ictv.global/id/TN19980424","TN19980424@prod")</f>
        <v/>
      </c>
      <c r="O561" s="8">
        <f>HYPERLINK("https://ictv.global/id/ICTV19951312","ICTV19951312@prod")</f>
        <v/>
      </c>
    </row>
    <row r="562">
      <c r="A562" t="n">
        <v>17</v>
      </c>
      <c r="B562" t="n">
        <v>19980425</v>
      </c>
      <c r="C562" t="n">
        <v>19951313</v>
      </c>
      <c r="D562" t="inlineStr">
        <is>
          <t>species</t>
        </is>
      </c>
      <c r="E562" t="inlineStr">
        <is>
          <t>Alcaligenes phage A6</t>
        </is>
      </c>
      <c r="G562" t="inlineStr">
        <is>
          <t>Abolished,</t>
        </is>
      </c>
      <c r="L562" s="8">
        <f>HYPERLINK("https://test.ictv.global/id/TN19980425","TN19980425@TEST")</f>
        <v/>
      </c>
      <c r="M562" s="8">
        <f>HYPERLINK("https://test.ictv.global/id/ICTV19951313","ICTV19951313@TEST")</f>
        <v/>
      </c>
      <c r="N562" s="8">
        <f>HYPERLINK("https://ictv.global/id/TN19980425","TN19980425@prod")</f>
        <v/>
      </c>
      <c r="O562" s="8">
        <f>HYPERLINK("https://ictv.global/id/ICTV19951313","ICTV19951313@prod")</f>
        <v/>
      </c>
    </row>
    <row r="563">
      <c r="A563" t="n">
        <v>17</v>
      </c>
      <c r="B563" t="n">
        <v>19980426</v>
      </c>
      <c r="C563" t="n">
        <v>19961359</v>
      </c>
      <c r="D563" t="inlineStr">
        <is>
          <t>species</t>
        </is>
      </c>
      <c r="E563" t="inlineStr">
        <is>
          <t>Bacillus phage Bace-11</t>
        </is>
      </c>
      <c r="G563" t="inlineStr">
        <is>
          <t>Abolished,</t>
        </is>
      </c>
      <c r="L563" s="8">
        <f>HYPERLINK("https://test.ictv.global/id/TN19980426","TN19980426@TEST")</f>
        <v/>
      </c>
      <c r="M563" s="8">
        <f>HYPERLINK("https://test.ictv.global/id/ICTV19961359","ICTV19961359@TEST")</f>
        <v/>
      </c>
      <c r="N563" s="8">
        <f>HYPERLINK("https://ictv.global/id/TN19980426","TN19980426@prod")</f>
        <v/>
      </c>
      <c r="O563" s="8">
        <f>HYPERLINK("https://ictv.global/id/ICTV19961359","ICTV19961359@prod")</f>
        <v/>
      </c>
    </row>
    <row r="564">
      <c r="A564" t="n">
        <v>17</v>
      </c>
      <c r="B564" t="n">
        <v>19980427</v>
      </c>
      <c r="C564" t="n">
        <v>19961360</v>
      </c>
      <c r="D564" t="inlineStr">
        <is>
          <t>species</t>
        </is>
      </c>
      <c r="E564" t="inlineStr">
        <is>
          <t>Bacillus phage CP-54</t>
        </is>
      </c>
      <c r="G564" t="inlineStr">
        <is>
          <t>Abolished,</t>
        </is>
      </c>
      <c r="L564" s="8">
        <f>HYPERLINK("https://test.ictv.global/id/TN19980427","TN19980427@TEST")</f>
        <v/>
      </c>
      <c r="M564" s="8">
        <f>HYPERLINK("https://test.ictv.global/id/ICTV19961360","ICTV19961360@TEST")</f>
        <v/>
      </c>
      <c r="N564" s="8">
        <f>HYPERLINK("https://ictv.global/id/TN19980427","TN19980427@prod")</f>
        <v/>
      </c>
      <c r="O564" s="8">
        <f>HYPERLINK("https://ictv.global/id/ICTV19961360","ICTV19961360@prod")</f>
        <v/>
      </c>
    </row>
    <row r="565">
      <c r="A565" t="n">
        <v>17</v>
      </c>
      <c r="B565" t="n">
        <v>19980428</v>
      </c>
      <c r="C565" t="n">
        <v>19951314</v>
      </c>
      <c r="D565" t="inlineStr">
        <is>
          <t>species</t>
        </is>
      </c>
      <c r="E565" t="inlineStr">
        <is>
          <t>Bacillus phage G</t>
        </is>
      </c>
      <c r="F565" t="inlineStr"/>
      <c r="G565" t="inlineStr">
        <is>
          <t>Abolished,</t>
        </is>
      </c>
      <c r="L565" s="8">
        <f>HYPERLINK("https://test.ictv.global/id/TN19980428","TN19980428@TEST")</f>
        <v/>
      </c>
      <c r="M565" s="8">
        <f>HYPERLINK("https://test.ictv.global/id/ICTV19951314","ICTV19951314@TEST")</f>
        <v/>
      </c>
      <c r="N565" s="8">
        <f>HYPERLINK("https://ictv.global/id/TN19980428","TN19980428@prod")</f>
        <v/>
      </c>
      <c r="O565" s="8">
        <f>HYPERLINK("https://ictv.global/id/ICTV19951314","ICTV19951314@prod")</f>
        <v/>
      </c>
    </row>
    <row r="566">
      <c r="A566" t="n">
        <v>17</v>
      </c>
      <c r="B566" t="n">
        <v>19980429</v>
      </c>
      <c r="C566" t="n">
        <v>19951315</v>
      </c>
      <c r="D566" t="inlineStr">
        <is>
          <t>species</t>
        </is>
      </c>
      <c r="E566" t="inlineStr">
        <is>
          <t>Bacillus phage MP13</t>
        </is>
      </c>
      <c r="G566" t="inlineStr">
        <is>
          <t>Abolished,</t>
        </is>
      </c>
      <c r="L566" s="8">
        <f>HYPERLINK("https://test.ictv.global/id/TN19980429","TN19980429@TEST")</f>
        <v/>
      </c>
      <c r="M566" s="8">
        <f>HYPERLINK("https://test.ictv.global/id/ICTV19951315","ICTV19951315@TEST")</f>
        <v/>
      </c>
      <c r="N566" s="8">
        <f>HYPERLINK("https://ictv.global/id/TN19980429","TN19980429@prod")</f>
        <v/>
      </c>
      <c r="O566" s="8">
        <f>HYPERLINK("https://ictv.global/id/ICTV19951315","ICTV19951315@prod")</f>
        <v/>
      </c>
    </row>
    <row r="567">
      <c r="A567" t="n">
        <v>17</v>
      </c>
      <c r="B567" t="n">
        <v>19980430</v>
      </c>
      <c r="C567" t="n">
        <v>19951316</v>
      </c>
      <c r="D567" t="inlineStr">
        <is>
          <t>species</t>
        </is>
      </c>
      <c r="E567" t="inlineStr">
        <is>
          <t>Bacillus phage PBS1</t>
        </is>
      </c>
      <c r="F567" t="inlineStr"/>
      <c r="G567" t="inlineStr">
        <is>
          <t>Abolished,</t>
        </is>
      </c>
      <c r="L567" s="8">
        <f>HYPERLINK("https://test.ictv.global/id/TN19980430","TN19980430@TEST")</f>
        <v/>
      </c>
      <c r="M567" s="8">
        <f>HYPERLINK("https://test.ictv.global/id/ICTV19951316","ICTV19951316@TEST")</f>
        <v/>
      </c>
      <c r="N567" s="8">
        <f>HYPERLINK("https://ictv.global/id/TN19980430","TN19980430@prod")</f>
        <v/>
      </c>
      <c r="O567" s="8">
        <f>HYPERLINK("https://ictv.global/id/ICTV19951316","ICTV19951316@prod")</f>
        <v/>
      </c>
    </row>
    <row r="568">
      <c r="A568" t="n">
        <v>17</v>
      </c>
      <c r="B568" t="n">
        <v>19980431</v>
      </c>
      <c r="C568" t="n">
        <v>19951317</v>
      </c>
      <c r="D568" t="inlineStr">
        <is>
          <t>species</t>
        </is>
      </c>
      <c r="E568" t="inlineStr">
        <is>
          <t>Bacillus phage SP10</t>
        </is>
      </c>
      <c r="G568" t="inlineStr">
        <is>
          <t>Abolished,</t>
        </is>
      </c>
      <c r="L568" s="8">
        <f>HYPERLINK("https://test.ictv.global/id/TN19980431","TN19980431@TEST")</f>
        <v/>
      </c>
      <c r="M568" s="8">
        <f>HYPERLINK("https://test.ictv.global/id/ICTV19951317","ICTV19951317@TEST")</f>
        <v/>
      </c>
      <c r="N568" s="8">
        <f>HYPERLINK("https://ictv.global/id/TN19980431","TN19980431@prod")</f>
        <v/>
      </c>
      <c r="O568" s="8">
        <f>HYPERLINK("https://ictv.global/id/ICTV19951317","ICTV19951317@prod")</f>
        <v/>
      </c>
    </row>
    <row r="569">
      <c r="A569" t="n">
        <v>17</v>
      </c>
      <c r="B569" t="n">
        <v>19980432</v>
      </c>
      <c r="C569" t="n">
        <v>19951318</v>
      </c>
      <c r="D569" t="inlineStr">
        <is>
          <t>species</t>
        </is>
      </c>
      <c r="E569" t="inlineStr">
        <is>
          <t>Bacillus phage SP15</t>
        </is>
      </c>
      <c r="G569" t="inlineStr">
        <is>
          <t>Abolished,</t>
        </is>
      </c>
      <c r="L569" s="8">
        <f>HYPERLINK("https://test.ictv.global/id/TN19980432","TN19980432@TEST")</f>
        <v/>
      </c>
      <c r="M569" s="8">
        <f>HYPERLINK("https://test.ictv.global/id/ICTV19951318","ICTV19951318@TEST")</f>
        <v/>
      </c>
      <c r="N569" s="8">
        <f>HYPERLINK("https://ictv.global/id/TN19980432","TN19980432@prod")</f>
        <v/>
      </c>
      <c r="O569" s="8">
        <f>HYPERLINK("https://ictv.global/id/ICTV19951318","ICTV19951318@prod")</f>
        <v/>
      </c>
    </row>
    <row r="570">
      <c r="A570" t="n">
        <v>17</v>
      </c>
      <c r="B570" t="n">
        <v>19980433</v>
      </c>
      <c r="C570" t="n">
        <v>19951319</v>
      </c>
      <c r="D570" t="inlineStr">
        <is>
          <t>species</t>
        </is>
      </c>
      <c r="E570" t="inlineStr">
        <is>
          <t>Bacillus phage SP3</t>
        </is>
      </c>
      <c r="G570" t="inlineStr">
        <is>
          <t>Abolished,</t>
        </is>
      </c>
      <c r="L570" s="8">
        <f>HYPERLINK("https://test.ictv.global/id/TN19980433","TN19980433@TEST")</f>
        <v/>
      </c>
      <c r="M570" s="8">
        <f>HYPERLINK("https://test.ictv.global/id/ICTV19951319","ICTV19951319@TEST")</f>
        <v/>
      </c>
      <c r="N570" s="8">
        <f>HYPERLINK("https://ictv.global/id/TN19980433","TN19980433@prod")</f>
        <v/>
      </c>
      <c r="O570" s="8">
        <f>HYPERLINK("https://ictv.global/id/ICTV19951319","ICTV19951319@prod")</f>
        <v/>
      </c>
    </row>
    <row r="571">
      <c r="A571" t="n">
        <v>17</v>
      </c>
      <c r="B571" t="n">
        <v>19980434</v>
      </c>
      <c r="C571" t="n">
        <v>19951320</v>
      </c>
      <c r="D571" t="inlineStr">
        <is>
          <t>species</t>
        </is>
      </c>
      <c r="E571" t="inlineStr">
        <is>
          <t>Bacillus phage SP50</t>
        </is>
      </c>
      <c r="G571" t="inlineStr">
        <is>
          <t>Abolished,</t>
        </is>
      </c>
      <c r="L571" s="8">
        <f>HYPERLINK("https://test.ictv.global/id/TN19980434","TN19980434@TEST")</f>
        <v/>
      </c>
      <c r="M571" s="8">
        <f>HYPERLINK("https://test.ictv.global/id/ICTV19951320","ICTV19951320@TEST")</f>
        <v/>
      </c>
      <c r="N571" s="8">
        <f>HYPERLINK("https://ictv.global/id/TN19980434","TN19980434@prod")</f>
        <v/>
      </c>
      <c r="O571" s="8">
        <f>HYPERLINK("https://ictv.global/id/ICTV19951320","ICTV19951320@prod")</f>
        <v/>
      </c>
    </row>
    <row r="572">
      <c r="A572" t="n">
        <v>17</v>
      </c>
      <c r="B572" t="n">
        <v>19980435</v>
      </c>
      <c r="C572" t="n">
        <v>19951321</v>
      </c>
      <c r="D572" t="inlineStr">
        <is>
          <t>species</t>
        </is>
      </c>
      <c r="E572" t="inlineStr">
        <is>
          <t>Bacillus phage SP8</t>
        </is>
      </c>
      <c r="G572" t="inlineStr">
        <is>
          <t>Merged,Moved,Assigned as Type Species,</t>
        </is>
      </c>
      <c r="H572" t="inlineStr">
        <is>
          <t>Bacillus phage SPO1</t>
        </is>
      </c>
      <c r="I572" t="inlineStr">
        <is>
          <t>species</t>
        </is>
      </c>
      <c r="J572" t="n">
        <v>19990385</v>
      </c>
      <c r="K572" t="n">
        <v>19990385</v>
      </c>
      <c r="L572" s="8">
        <f>HYPERLINK("https://test.ictv.global/id/TN19980435","TN19980435@TEST")</f>
        <v/>
      </c>
      <c r="M572" s="8">
        <f>HYPERLINK("https://test.ictv.global/id/ICTV19951321","ICTV19951321@TEST")</f>
        <v/>
      </c>
      <c r="N572" s="8">
        <f>HYPERLINK("https://ictv.global/id/TN19980435","TN19980435@prod")</f>
        <v/>
      </c>
      <c r="O572" s="8">
        <f>HYPERLINK("https://ictv.global/id/ICTV19951321","ICTV19951321@prod")</f>
        <v/>
      </c>
    </row>
    <row r="573">
      <c r="A573" t="n">
        <v>17</v>
      </c>
      <c r="B573" t="n">
        <v>19980436</v>
      </c>
      <c r="C573" t="n">
        <v>19951322</v>
      </c>
      <c r="D573" t="inlineStr">
        <is>
          <t>species</t>
        </is>
      </c>
      <c r="E573" t="inlineStr">
        <is>
          <t>Bacillus phage SPy-2</t>
        </is>
      </c>
      <c r="G573" t="inlineStr">
        <is>
          <t>Abolished,</t>
        </is>
      </c>
      <c r="L573" s="8">
        <f>HYPERLINK("https://test.ictv.global/id/TN19980436","TN19980436@TEST")</f>
        <v/>
      </c>
      <c r="M573" s="8">
        <f>HYPERLINK("https://test.ictv.global/id/ICTV19951322","ICTV19951322@TEST")</f>
        <v/>
      </c>
      <c r="N573" s="8">
        <f>HYPERLINK("https://ictv.global/id/TN19980436","TN19980436@prod")</f>
        <v/>
      </c>
      <c r="O573" s="8">
        <f>HYPERLINK("https://ictv.global/id/ICTV19951322","ICTV19951322@prod")</f>
        <v/>
      </c>
    </row>
    <row r="574">
      <c r="A574" t="n">
        <v>17</v>
      </c>
      <c r="B574" t="n">
        <v>19980437</v>
      </c>
      <c r="C574" t="n">
        <v>19961370</v>
      </c>
      <c r="D574" t="inlineStr">
        <is>
          <t>species</t>
        </is>
      </c>
      <c r="E574" t="inlineStr">
        <is>
          <t>Bacillus phage SPy-3</t>
        </is>
      </c>
      <c r="G574" t="inlineStr">
        <is>
          <t>Abolished,</t>
        </is>
      </c>
      <c r="L574" s="8">
        <f>HYPERLINK("https://test.ictv.global/id/TN19980437","TN19980437@TEST")</f>
        <v/>
      </c>
      <c r="M574" s="8">
        <f>HYPERLINK("https://test.ictv.global/id/ICTV19961370","ICTV19961370@TEST")</f>
        <v/>
      </c>
      <c r="N574" s="8">
        <f>HYPERLINK("https://ictv.global/id/TN19980437","TN19980437@prod")</f>
        <v/>
      </c>
      <c r="O574" s="8">
        <f>HYPERLINK("https://ictv.global/id/ICTV19961370","ICTV19961370@prod")</f>
        <v/>
      </c>
    </row>
    <row r="575">
      <c r="A575" t="n">
        <v>17</v>
      </c>
      <c r="B575" t="n">
        <v>19980438</v>
      </c>
      <c r="C575" t="n">
        <v>19951323</v>
      </c>
      <c r="D575" t="inlineStr">
        <is>
          <t>species</t>
        </is>
      </c>
      <c r="E575" t="inlineStr">
        <is>
          <t>Bacillus phage SST</t>
        </is>
      </c>
      <c r="G575" t="inlineStr">
        <is>
          <t>Abolished,</t>
        </is>
      </c>
      <c r="L575" s="8">
        <f>HYPERLINK("https://test.ictv.global/id/TN19980438","TN19980438@TEST")</f>
        <v/>
      </c>
      <c r="M575" s="8">
        <f>HYPERLINK("https://test.ictv.global/id/ICTV19951323","ICTV19951323@TEST")</f>
        <v/>
      </c>
      <c r="N575" s="8">
        <f>HYPERLINK("https://ictv.global/id/TN19980438","TN19980438@prod")</f>
        <v/>
      </c>
      <c r="O575" s="8">
        <f>HYPERLINK("https://ictv.global/id/ICTV19951323","ICTV19951323@prod")</f>
        <v/>
      </c>
    </row>
    <row r="576">
      <c r="A576" t="n">
        <v>17</v>
      </c>
      <c r="B576" t="n">
        <v>19980439</v>
      </c>
      <c r="C576" t="n">
        <v>19951324</v>
      </c>
      <c r="D576" t="inlineStr">
        <is>
          <t>species</t>
        </is>
      </c>
      <c r="E576" t="inlineStr">
        <is>
          <t>Clostridium phage Cebeta</t>
        </is>
      </c>
      <c r="G576" t="inlineStr">
        <is>
          <t>Abolished,</t>
        </is>
      </c>
      <c r="L576" s="8">
        <f>HYPERLINK("https://test.ictv.global/id/TN19980439","TN19980439@TEST")</f>
        <v/>
      </c>
      <c r="M576" s="8">
        <f>HYPERLINK("https://test.ictv.global/id/ICTV19951324","ICTV19951324@TEST")</f>
        <v/>
      </c>
      <c r="N576" s="8">
        <f>HYPERLINK("https://ictv.global/id/TN19980439","TN19980439@prod")</f>
        <v/>
      </c>
      <c r="O576" s="8">
        <f>HYPERLINK("https://ictv.global/id/ICTV19951324","ICTV19951324@prod")</f>
        <v/>
      </c>
    </row>
    <row r="577">
      <c r="A577" t="n">
        <v>17</v>
      </c>
      <c r="B577" t="n">
        <v>19980440</v>
      </c>
      <c r="C577" t="n">
        <v>19951325</v>
      </c>
      <c r="D577" t="inlineStr">
        <is>
          <t>species</t>
        </is>
      </c>
      <c r="E577" t="inlineStr">
        <is>
          <t>Clostridium phage HM3</t>
        </is>
      </c>
      <c r="G577" t="inlineStr">
        <is>
          <t>Abolished,</t>
        </is>
      </c>
      <c r="L577" s="8">
        <f>HYPERLINK("https://test.ictv.global/id/TN19980440","TN19980440@TEST")</f>
        <v/>
      </c>
      <c r="M577" s="8">
        <f>HYPERLINK("https://test.ictv.global/id/ICTV19951325","ICTV19951325@TEST")</f>
        <v/>
      </c>
      <c r="N577" s="8">
        <f>HYPERLINK("https://ictv.global/id/TN19980440","TN19980440@prod")</f>
        <v/>
      </c>
      <c r="O577" s="8">
        <f>HYPERLINK("https://ictv.global/id/ICTV19951325","ICTV19951325@prod")</f>
        <v/>
      </c>
    </row>
    <row r="578">
      <c r="A578" t="n">
        <v>17</v>
      </c>
      <c r="B578" t="n">
        <v>19980441</v>
      </c>
      <c r="C578" t="n">
        <v>19951326</v>
      </c>
      <c r="D578" t="inlineStr">
        <is>
          <t>species</t>
        </is>
      </c>
      <c r="E578" t="inlineStr">
        <is>
          <t>Coryneforms phage A19</t>
        </is>
      </c>
      <c r="G578" t="inlineStr">
        <is>
          <t>Abolished,</t>
        </is>
      </c>
      <c r="L578" s="8">
        <f>HYPERLINK("https://test.ictv.global/id/TN19980441","TN19980441@TEST")</f>
        <v/>
      </c>
      <c r="M578" s="8">
        <f>HYPERLINK("https://test.ictv.global/id/ICTV19951326","ICTV19951326@TEST")</f>
        <v/>
      </c>
      <c r="N578" s="8">
        <f>HYPERLINK("https://ictv.global/id/TN19980441","TN19980441@prod")</f>
        <v/>
      </c>
      <c r="O578" s="8">
        <f>HYPERLINK("https://ictv.global/id/ICTV19951326","ICTV19951326@prod")</f>
        <v/>
      </c>
    </row>
    <row r="579">
      <c r="A579" t="n">
        <v>17</v>
      </c>
      <c r="B579" t="n">
        <v>19980442</v>
      </c>
      <c r="C579" t="n">
        <v>19951327</v>
      </c>
      <c r="D579" t="inlineStr">
        <is>
          <t>species</t>
        </is>
      </c>
      <c r="E579" t="inlineStr">
        <is>
          <t>Cyanobateria phage AS-1</t>
        </is>
      </c>
      <c r="G579" t="inlineStr">
        <is>
          <t>Abolished,</t>
        </is>
      </c>
      <c r="L579" s="8">
        <f>HYPERLINK("https://test.ictv.global/id/TN19980442","TN19980442@TEST")</f>
        <v/>
      </c>
      <c r="M579" s="8">
        <f>HYPERLINK("https://test.ictv.global/id/ICTV19951327","ICTV19951327@TEST")</f>
        <v/>
      </c>
      <c r="N579" s="8">
        <f>HYPERLINK("https://ictv.global/id/TN19980442","TN19980442@prod")</f>
        <v/>
      </c>
      <c r="O579" s="8">
        <f>HYPERLINK("https://ictv.global/id/ICTV19951327","ICTV19951327@prod")</f>
        <v/>
      </c>
    </row>
    <row r="580">
      <c r="A580" t="n">
        <v>17</v>
      </c>
      <c r="B580" t="n">
        <v>19980443</v>
      </c>
      <c r="C580" t="n">
        <v>19951328</v>
      </c>
      <c r="D580" t="inlineStr">
        <is>
          <t>species</t>
        </is>
      </c>
      <c r="E580" t="inlineStr">
        <is>
          <t>Cyanobateria phage N1</t>
        </is>
      </c>
      <c r="G580" t="inlineStr">
        <is>
          <t>Abolished,</t>
        </is>
      </c>
      <c r="L580" s="8">
        <f>HYPERLINK("https://test.ictv.global/id/TN19980443","TN19980443@TEST")</f>
        <v/>
      </c>
      <c r="M580" s="8">
        <f>HYPERLINK("https://test.ictv.global/id/ICTV19951328","ICTV19951328@TEST")</f>
        <v/>
      </c>
      <c r="N580" s="8">
        <f>HYPERLINK("https://ictv.global/id/TN19980443","TN19980443@prod")</f>
        <v/>
      </c>
      <c r="O580" s="8">
        <f>HYPERLINK("https://ictv.global/id/ICTV19951328","ICTV19951328@prod")</f>
        <v/>
      </c>
    </row>
    <row r="581">
      <c r="A581" t="n">
        <v>17</v>
      </c>
      <c r="B581" t="n">
        <v>19980444</v>
      </c>
      <c r="C581" t="n">
        <v>19951329</v>
      </c>
      <c r="D581" t="inlineStr">
        <is>
          <t>species</t>
        </is>
      </c>
      <c r="E581" t="inlineStr">
        <is>
          <t>Cyanobateria phage S-6(L)</t>
        </is>
      </c>
      <c r="G581" t="inlineStr">
        <is>
          <t>Abolished,</t>
        </is>
      </c>
      <c r="L581" s="8">
        <f>HYPERLINK("https://test.ictv.global/id/TN19980444","TN19980444@TEST")</f>
        <v/>
      </c>
      <c r="M581" s="8">
        <f>HYPERLINK("https://test.ictv.global/id/ICTV19951329","ICTV19951329@TEST")</f>
        <v/>
      </c>
      <c r="N581" s="8">
        <f>HYPERLINK("https://ictv.global/id/TN19980444","TN19980444@prod")</f>
        <v/>
      </c>
      <c r="O581" s="8">
        <f>HYPERLINK("https://ictv.global/id/ICTV19951329","ICTV19951329@prod")</f>
        <v/>
      </c>
    </row>
    <row r="582">
      <c r="A582" t="n">
        <v>17</v>
      </c>
      <c r="B582" t="n">
        <v>19980445</v>
      </c>
      <c r="C582" t="n">
        <v>19951330</v>
      </c>
      <c r="D582" t="inlineStr">
        <is>
          <t>species</t>
        </is>
      </c>
      <c r="E582" t="inlineStr">
        <is>
          <t>Enterobacteria phage 01</t>
        </is>
      </c>
      <c r="G582" t="inlineStr">
        <is>
          <t>Abolished,</t>
        </is>
      </c>
      <c r="L582" s="8">
        <f>HYPERLINK("https://test.ictv.global/id/TN19980445","TN19980445@TEST")</f>
        <v/>
      </c>
      <c r="M582" s="8">
        <f>HYPERLINK("https://test.ictv.global/id/ICTV19951330","ICTV19951330@TEST")</f>
        <v/>
      </c>
      <c r="N582" s="8">
        <f>HYPERLINK("https://ictv.global/id/TN19980445","TN19980445@prod")</f>
        <v/>
      </c>
      <c r="O582" s="8">
        <f>HYPERLINK("https://ictv.global/id/ICTV19951330","ICTV19951330@prod")</f>
        <v/>
      </c>
    </row>
    <row r="583">
      <c r="A583" t="n">
        <v>17</v>
      </c>
      <c r="B583" t="n">
        <v>19980446</v>
      </c>
      <c r="C583" t="n">
        <v>19951331</v>
      </c>
      <c r="D583" t="inlineStr">
        <is>
          <t>species</t>
        </is>
      </c>
      <c r="E583" t="inlineStr">
        <is>
          <t>Enterobacteria phage 121</t>
        </is>
      </c>
      <c r="G583" t="inlineStr">
        <is>
          <t>Abolished,</t>
        </is>
      </c>
      <c r="L583" s="8">
        <f>HYPERLINK("https://test.ictv.global/id/TN19980446","TN19980446@TEST")</f>
        <v/>
      </c>
      <c r="M583" s="8">
        <f>HYPERLINK("https://test.ictv.global/id/ICTV19951331","ICTV19951331@TEST")</f>
        <v/>
      </c>
      <c r="N583" s="8">
        <f>HYPERLINK("https://ictv.global/id/TN19980446","TN19980446@prod")</f>
        <v/>
      </c>
      <c r="O583" s="8">
        <f>HYPERLINK("https://ictv.global/id/ICTV19951331","ICTV19951331@prod")</f>
        <v/>
      </c>
    </row>
    <row r="584">
      <c r="A584" t="n">
        <v>17</v>
      </c>
      <c r="B584" t="n">
        <v>19980447</v>
      </c>
      <c r="C584" t="n">
        <v>19951332</v>
      </c>
      <c r="D584" t="inlineStr">
        <is>
          <t>species</t>
        </is>
      </c>
      <c r="E584" t="inlineStr">
        <is>
          <t>Enterobacteria phage 16-19</t>
        </is>
      </c>
      <c r="G584" t="inlineStr">
        <is>
          <t>Abolished,</t>
        </is>
      </c>
      <c r="L584" s="8">
        <f>HYPERLINK("https://test.ictv.global/id/TN19980447","TN19980447@TEST")</f>
        <v/>
      </c>
      <c r="M584" s="8">
        <f>HYPERLINK("https://test.ictv.global/id/ICTV19951332","ICTV19951332@TEST")</f>
        <v/>
      </c>
      <c r="N584" s="8">
        <f>HYPERLINK("https://ictv.global/id/TN19980447","TN19980447@prod")</f>
        <v/>
      </c>
      <c r="O584" s="8">
        <f>HYPERLINK("https://ictv.global/id/ICTV19951332","ICTV19951332@prod")</f>
        <v/>
      </c>
    </row>
    <row r="585">
      <c r="A585" t="n">
        <v>17</v>
      </c>
      <c r="B585" t="n">
        <v>19980448</v>
      </c>
      <c r="C585" t="n">
        <v>19951333</v>
      </c>
      <c r="D585" t="inlineStr">
        <is>
          <t>species</t>
        </is>
      </c>
      <c r="E585" t="inlineStr">
        <is>
          <t>Enterobacteria phage 9266</t>
        </is>
      </c>
      <c r="G585" t="inlineStr">
        <is>
          <t>Abolished,</t>
        </is>
      </c>
      <c r="L585" s="8">
        <f>HYPERLINK("https://test.ictv.global/id/TN19980448","TN19980448@TEST")</f>
        <v/>
      </c>
      <c r="M585" s="8">
        <f>HYPERLINK("https://test.ictv.global/id/ICTV19951333","ICTV19951333@TEST")</f>
        <v/>
      </c>
      <c r="N585" s="8">
        <f>HYPERLINK("https://ictv.global/id/TN19980448","TN19980448@prod")</f>
        <v/>
      </c>
      <c r="O585" s="8">
        <f>HYPERLINK("https://ictv.global/id/ICTV19951333","ICTV19951333@prod")</f>
        <v/>
      </c>
    </row>
    <row r="586">
      <c r="A586" t="n">
        <v>17</v>
      </c>
      <c r="B586" t="n">
        <v>19980449</v>
      </c>
      <c r="C586" t="n">
        <v>19951334</v>
      </c>
      <c r="D586" t="inlineStr">
        <is>
          <t>species</t>
        </is>
      </c>
      <c r="E586" t="inlineStr">
        <is>
          <t>Enterobacteria phage Beccles</t>
        </is>
      </c>
      <c r="G586" t="inlineStr">
        <is>
          <t>Abolished,</t>
        </is>
      </c>
      <c r="L586" s="8">
        <f>HYPERLINK("https://test.ictv.global/id/TN19980449","TN19980449@TEST")</f>
        <v/>
      </c>
      <c r="M586" s="8">
        <f>HYPERLINK("https://test.ictv.global/id/ICTV19951334","ICTV19951334@TEST")</f>
        <v/>
      </c>
      <c r="N586" s="8">
        <f>HYPERLINK("https://ictv.global/id/TN19980449","TN19980449@prod")</f>
        <v/>
      </c>
      <c r="O586" s="8">
        <f>HYPERLINK("https://ictv.global/id/ICTV19951334","ICTV19951334@prod")</f>
        <v/>
      </c>
    </row>
    <row r="587">
      <c r="A587" t="n">
        <v>17</v>
      </c>
      <c r="B587" t="n">
        <v>19980450</v>
      </c>
      <c r="C587" t="n">
        <v>19951335</v>
      </c>
      <c r="D587" t="inlineStr">
        <is>
          <t>species</t>
        </is>
      </c>
      <c r="E587" t="inlineStr">
        <is>
          <t>Enterobacteria phage FC3-9</t>
        </is>
      </c>
      <c r="G587" t="inlineStr">
        <is>
          <t>Abolished,</t>
        </is>
      </c>
      <c r="L587" s="8">
        <f>HYPERLINK("https://test.ictv.global/id/TN19980450","TN19980450@TEST")</f>
        <v/>
      </c>
      <c r="M587" s="8">
        <f>HYPERLINK("https://test.ictv.global/id/ICTV19951335","ICTV19951335@TEST")</f>
        <v/>
      </c>
      <c r="N587" s="8">
        <f>HYPERLINK("https://ictv.global/id/TN19980450","TN19980450@prod")</f>
        <v/>
      </c>
      <c r="O587" s="8">
        <f>HYPERLINK("https://ictv.global/id/ICTV19951335","ICTV19951335@prod")</f>
        <v/>
      </c>
    </row>
    <row r="588">
      <c r="A588" t="n">
        <v>17</v>
      </c>
      <c r="B588" t="n">
        <v>19980451</v>
      </c>
      <c r="C588" t="n">
        <v>19951336</v>
      </c>
      <c r="D588" t="inlineStr">
        <is>
          <t>species</t>
        </is>
      </c>
      <c r="E588" t="inlineStr">
        <is>
          <t>Enterobacteria phage K19</t>
        </is>
      </c>
      <c r="G588" t="inlineStr">
        <is>
          <t>Abolished,</t>
        </is>
      </c>
      <c r="L588" s="8">
        <f>HYPERLINK("https://test.ictv.global/id/TN19980451","TN19980451@TEST")</f>
        <v/>
      </c>
      <c r="M588" s="8">
        <f>HYPERLINK("https://test.ictv.global/id/ICTV19951336","ICTV19951336@TEST")</f>
        <v/>
      </c>
      <c r="N588" s="8">
        <f>HYPERLINK("https://ictv.global/id/TN19980451","TN19980451@prod")</f>
        <v/>
      </c>
      <c r="O588" s="8">
        <f>HYPERLINK("https://ictv.global/id/ICTV19951336","ICTV19951336@prod")</f>
        <v/>
      </c>
    </row>
    <row r="589">
      <c r="A589" t="n">
        <v>17</v>
      </c>
      <c r="B589" t="n">
        <v>19980452</v>
      </c>
      <c r="C589" t="n">
        <v>19951340</v>
      </c>
      <c r="D589" t="inlineStr">
        <is>
          <t>species</t>
        </is>
      </c>
      <c r="E589" t="inlineStr">
        <is>
          <t>Enterobacteria phage phi92</t>
        </is>
      </c>
      <c r="G589" t="inlineStr">
        <is>
          <t>Abolished,</t>
        </is>
      </c>
      <c r="L589" s="8">
        <f>HYPERLINK("https://test.ictv.global/id/TN19980452","TN19980452@TEST")</f>
        <v/>
      </c>
      <c r="M589" s="8">
        <f>HYPERLINK("https://test.ictv.global/id/ICTV19951340","ICTV19951340@TEST")</f>
        <v/>
      </c>
      <c r="N589" s="8">
        <f>HYPERLINK("https://ictv.global/id/TN19980452","TN19980452@prod")</f>
        <v/>
      </c>
      <c r="O589" s="8">
        <f>HYPERLINK("https://ictv.global/id/ICTV19951340","ICTV19951340@prod")</f>
        <v/>
      </c>
    </row>
    <row r="590">
      <c r="A590" t="n">
        <v>17</v>
      </c>
      <c r="B590" t="n">
        <v>19980453</v>
      </c>
      <c r="C590" t="n">
        <v>19951341</v>
      </c>
      <c r="D590" t="inlineStr">
        <is>
          <t>species</t>
        </is>
      </c>
      <c r="E590" t="inlineStr">
        <is>
          <t>Enterobacteria phage ViI</t>
        </is>
      </c>
      <c r="G590" t="inlineStr">
        <is>
          <t>Abolished,</t>
        </is>
      </c>
      <c r="L590" s="8">
        <f>HYPERLINK("https://test.ictv.global/id/TN19980453","TN19980453@TEST")</f>
        <v/>
      </c>
      <c r="M590" s="8">
        <f>HYPERLINK("https://test.ictv.global/id/ICTV19951341","ICTV19951341@TEST")</f>
        <v/>
      </c>
      <c r="N590" s="8">
        <f>HYPERLINK("https://ictv.global/id/TN19980453","TN19980453@prod")</f>
        <v/>
      </c>
      <c r="O590" s="8">
        <f>HYPERLINK("https://ictv.global/id/ICTV19951341","ICTV19951341@prod")</f>
        <v/>
      </c>
    </row>
    <row r="591">
      <c r="A591" t="n">
        <v>17</v>
      </c>
      <c r="B591" t="n">
        <v>19980454</v>
      </c>
      <c r="C591" t="n">
        <v>19951342</v>
      </c>
      <c r="D591" t="inlineStr">
        <is>
          <t>species</t>
        </is>
      </c>
      <c r="E591" t="inlineStr">
        <is>
          <t>Lactobacillus phage 222a</t>
        </is>
      </c>
      <c r="G591" t="inlineStr">
        <is>
          <t>Abolished,</t>
        </is>
      </c>
      <c r="L591" s="8">
        <f>HYPERLINK("https://test.ictv.global/id/TN19980454","TN19980454@TEST")</f>
        <v/>
      </c>
      <c r="M591" s="8">
        <f>HYPERLINK("https://test.ictv.global/id/ICTV19951342","ICTV19951342@TEST")</f>
        <v/>
      </c>
      <c r="N591" s="8">
        <f>HYPERLINK("https://ictv.global/id/TN19980454","TN19980454@prod")</f>
        <v/>
      </c>
      <c r="O591" s="8">
        <f>HYPERLINK("https://ictv.global/id/ICTV19951342","ICTV19951342@prod")</f>
        <v/>
      </c>
    </row>
    <row r="592">
      <c r="A592" t="n">
        <v>17</v>
      </c>
      <c r="B592" t="n">
        <v>19980455</v>
      </c>
      <c r="C592" t="n">
        <v>19951343</v>
      </c>
      <c r="D592" t="inlineStr">
        <is>
          <t>species</t>
        </is>
      </c>
      <c r="E592" t="inlineStr">
        <is>
          <t>Lactobacillus phage fri</t>
        </is>
      </c>
      <c r="G592" t="inlineStr">
        <is>
          <t>Abolished,</t>
        </is>
      </c>
      <c r="L592" s="8">
        <f>HYPERLINK("https://test.ictv.global/id/TN19980455","TN19980455@TEST")</f>
        <v/>
      </c>
      <c r="M592" s="8">
        <f>HYPERLINK("https://test.ictv.global/id/ICTV19951343","ICTV19951343@TEST")</f>
        <v/>
      </c>
      <c r="N592" s="8">
        <f>HYPERLINK("https://ictv.global/id/TN19980455","TN19980455@prod")</f>
        <v/>
      </c>
      <c r="O592" s="8">
        <f>HYPERLINK("https://ictv.global/id/ICTV19951343","ICTV19951343@prod")</f>
        <v/>
      </c>
    </row>
    <row r="593">
      <c r="A593" t="n">
        <v>17</v>
      </c>
      <c r="B593" t="n">
        <v>19980456</v>
      </c>
      <c r="C593" t="n">
        <v>19951344</v>
      </c>
      <c r="D593" t="inlineStr">
        <is>
          <t>species</t>
        </is>
      </c>
      <c r="E593" t="inlineStr">
        <is>
          <t>Lactobacillus phage hv</t>
        </is>
      </c>
      <c r="G593" t="inlineStr">
        <is>
          <t>Abolished,</t>
        </is>
      </c>
      <c r="L593" s="8">
        <f>HYPERLINK("https://test.ictv.global/id/TN19980456","TN19980456@TEST")</f>
        <v/>
      </c>
      <c r="M593" s="8">
        <f>HYPERLINK("https://test.ictv.global/id/ICTV19951344","ICTV19951344@TEST")</f>
        <v/>
      </c>
      <c r="N593" s="8">
        <f>HYPERLINK("https://ictv.global/id/TN19980456","TN19980456@prod")</f>
        <v/>
      </c>
      <c r="O593" s="8">
        <f>HYPERLINK("https://ictv.global/id/ICTV19951344","ICTV19951344@prod")</f>
        <v/>
      </c>
    </row>
    <row r="594">
      <c r="A594" t="n">
        <v>17</v>
      </c>
      <c r="B594" t="n">
        <v>19980457</v>
      </c>
      <c r="C594" t="n">
        <v>19951345</v>
      </c>
      <c r="D594" t="inlineStr">
        <is>
          <t>species</t>
        </is>
      </c>
      <c r="E594" t="inlineStr">
        <is>
          <t>Lactobacillus phage hw</t>
        </is>
      </c>
      <c r="G594" t="inlineStr">
        <is>
          <t>Abolished,</t>
        </is>
      </c>
      <c r="L594" s="8">
        <f>HYPERLINK("https://test.ictv.global/id/TN19980457","TN19980457@TEST")</f>
        <v/>
      </c>
      <c r="M594" s="8">
        <f>HYPERLINK("https://test.ictv.global/id/ICTV19951345","ICTV19951345@TEST")</f>
        <v/>
      </c>
      <c r="N594" s="8">
        <f>HYPERLINK("https://ictv.global/id/TN19980457","TN19980457@prod")</f>
        <v/>
      </c>
      <c r="O594" s="8">
        <f>HYPERLINK("https://ictv.global/id/ICTV19951345","ICTV19951345@prod")</f>
        <v/>
      </c>
    </row>
    <row r="595">
      <c r="A595" t="n">
        <v>17</v>
      </c>
      <c r="B595" t="n">
        <v>19980458</v>
      </c>
      <c r="C595" t="n">
        <v>19951346</v>
      </c>
      <c r="D595" t="inlineStr">
        <is>
          <t>species</t>
        </is>
      </c>
      <c r="E595" t="inlineStr">
        <is>
          <t>Listeria phage 4211</t>
        </is>
      </c>
      <c r="G595" t="inlineStr">
        <is>
          <t>Abolished,</t>
        </is>
      </c>
      <c r="L595" s="8">
        <f>HYPERLINK("https://test.ictv.global/id/TN19980458","TN19980458@TEST")</f>
        <v/>
      </c>
      <c r="M595" s="8">
        <f>HYPERLINK("https://test.ictv.global/id/ICTV19951346","ICTV19951346@TEST")</f>
        <v/>
      </c>
      <c r="N595" s="8">
        <f>HYPERLINK("https://ictv.global/id/TN19980458","TN19980458@prod")</f>
        <v/>
      </c>
      <c r="O595" s="8">
        <f>HYPERLINK("https://ictv.global/id/ICTV19951346","ICTV19951346@prod")</f>
        <v/>
      </c>
    </row>
    <row r="596">
      <c r="A596" t="n">
        <v>17</v>
      </c>
      <c r="B596" t="n">
        <v>19980459</v>
      </c>
      <c r="C596" t="n">
        <v>19961392</v>
      </c>
      <c r="D596" t="inlineStr">
        <is>
          <t>species</t>
        </is>
      </c>
      <c r="E596" t="inlineStr">
        <is>
          <t>Listeria phage A511</t>
        </is>
      </c>
      <c r="F596" t="inlineStr"/>
      <c r="G596" t="inlineStr">
        <is>
          <t>Abolished,</t>
        </is>
      </c>
      <c r="L596" s="8">
        <f>HYPERLINK("https://test.ictv.global/id/TN19980459","TN19980459@TEST")</f>
        <v/>
      </c>
      <c r="M596" s="8">
        <f>HYPERLINK("https://test.ictv.global/id/ICTV19961392","ICTV19961392@TEST")</f>
        <v/>
      </c>
      <c r="N596" s="8">
        <f>HYPERLINK("https://ictv.global/id/TN19980459","TN19980459@prod")</f>
        <v/>
      </c>
      <c r="O596" s="8">
        <f>HYPERLINK("https://ictv.global/id/ICTV19961392","ICTV19961392@prod")</f>
        <v/>
      </c>
    </row>
    <row r="597">
      <c r="A597" t="n">
        <v>17</v>
      </c>
      <c r="B597" t="n">
        <v>19980460</v>
      </c>
      <c r="C597" t="n">
        <v>19951347</v>
      </c>
      <c r="D597" t="inlineStr">
        <is>
          <t>species</t>
        </is>
      </c>
      <c r="E597" t="inlineStr">
        <is>
          <t>Mollicutes phage Br1</t>
        </is>
      </c>
      <c r="G597" t="inlineStr">
        <is>
          <t>Abolished,</t>
        </is>
      </c>
      <c r="L597" s="8">
        <f>HYPERLINK("https://test.ictv.global/id/TN19980460","TN19980460@TEST")</f>
        <v/>
      </c>
      <c r="M597" s="8">
        <f>HYPERLINK("https://test.ictv.global/id/ICTV19951347","ICTV19951347@TEST")</f>
        <v/>
      </c>
      <c r="N597" s="8">
        <f>HYPERLINK("https://ictv.global/id/TN19980460","TN19980460@prod")</f>
        <v/>
      </c>
      <c r="O597" s="8">
        <f>HYPERLINK("https://ictv.global/id/ICTV19951347","ICTV19951347@prod")</f>
        <v/>
      </c>
    </row>
    <row r="598">
      <c r="A598" t="n">
        <v>17</v>
      </c>
      <c r="B598" t="n">
        <v>19980461</v>
      </c>
      <c r="C598" t="n">
        <v>19951348</v>
      </c>
      <c r="D598" t="inlineStr">
        <is>
          <t>species</t>
        </is>
      </c>
      <c r="E598" t="inlineStr">
        <is>
          <t>Mycobacterium phage I3</t>
        </is>
      </c>
      <c r="F598" t="inlineStr"/>
      <c r="G598" t="inlineStr">
        <is>
          <t>Abolished,</t>
        </is>
      </c>
      <c r="L598" s="8">
        <f>HYPERLINK("https://test.ictv.global/id/TN19980461","TN19980461@TEST")</f>
        <v/>
      </c>
      <c r="M598" s="8">
        <f>HYPERLINK("https://test.ictv.global/id/ICTV19951348","ICTV19951348@TEST")</f>
        <v/>
      </c>
      <c r="N598" s="8">
        <f>HYPERLINK("https://ictv.global/id/TN19980461","TN19980461@prod")</f>
        <v/>
      </c>
      <c r="O598" s="8">
        <f>HYPERLINK("https://ictv.global/id/ICTV19951348","ICTV19951348@prod")</f>
        <v/>
      </c>
    </row>
    <row r="599">
      <c r="A599" t="n">
        <v>17</v>
      </c>
      <c r="B599" t="n">
        <v>19980462</v>
      </c>
      <c r="C599" t="n">
        <v>19951349</v>
      </c>
      <c r="D599" t="inlineStr">
        <is>
          <t>species</t>
        </is>
      </c>
      <c r="E599" t="inlineStr">
        <is>
          <t>Pasteurella phage AU</t>
        </is>
      </c>
      <c r="G599" t="inlineStr">
        <is>
          <t>Abolished,</t>
        </is>
      </c>
      <c r="L599" s="8">
        <f>HYPERLINK("https://test.ictv.global/id/TN19980462","TN19980462@TEST")</f>
        <v/>
      </c>
      <c r="M599" s="8">
        <f>HYPERLINK("https://test.ictv.global/id/ICTV19951349","ICTV19951349@TEST")</f>
        <v/>
      </c>
      <c r="N599" s="8">
        <f>HYPERLINK("https://ictv.global/id/TN19980462","TN19980462@prod")</f>
        <v/>
      </c>
      <c r="O599" s="8">
        <f>HYPERLINK("https://ictv.global/id/ICTV19951349","ICTV19951349@prod")</f>
        <v/>
      </c>
    </row>
    <row r="600">
      <c r="A600" t="n">
        <v>17</v>
      </c>
      <c r="B600" t="n">
        <v>19980463</v>
      </c>
      <c r="C600" t="n">
        <v>19951350</v>
      </c>
      <c r="D600" t="inlineStr">
        <is>
          <t>species</t>
        </is>
      </c>
      <c r="E600" t="inlineStr">
        <is>
          <t>Pseudomonas phage 12S</t>
        </is>
      </c>
      <c r="G600" t="inlineStr">
        <is>
          <t>Abolished,</t>
        </is>
      </c>
      <c r="L600" s="8">
        <f>HYPERLINK("https://test.ictv.global/id/TN19980463","TN19980463@TEST")</f>
        <v/>
      </c>
      <c r="M600" s="8">
        <f>HYPERLINK("https://test.ictv.global/id/ICTV19951350","ICTV19951350@TEST")</f>
        <v/>
      </c>
      <c r="N600" s="8">
        <f>HYPERLINK("https://ictv.global/id/TN19980463","TN19980463@prod")</f>
        <v/>
      </c>
      <c r="O600" s="8">
        <f>HYPERLINK("https://ictv.global/id/ICTV19951350","ICTV19951350@prod")</f>
        <v/>
      </c>
    </row>
    <row r="601">
      <c r="A601" t="n">
        <v>17</v>
      </c>
      <c r="B601" t="n">
        <v>19980464</v>
      </c>
      <c r="C601" t="n">
        <v>19951351</v>
      </c>
      <c r="D601" t="inlineStr">
        <is>
          <t>species</t>
        </is>
      </c>
      <c r="E601" t="inlineStr">
        <is>
          <t>Pseudomonas phage PB-1</t>
        </is>
      </c>
      <c r="G601" t="inlineStr">
        <is>
          <t>Abolished,</t>
        </is>
      </c>
      <c r="L601" s="8">
        <f>HYPERLINK("https://test.ictv.global/id/TN19980464","TN19980464@TEST")</f>
        <v/>
      </c>
      <c r="M601" s="8">
        <f>HYPERLINK("https://test.ictv.global/id/ICTV19951351","ICTV19951351@TEST")</f>
        <v/>
      </c>
      <c r="N601" s="8">
        <f>HYPERLINK("https://ictv.global/id/TN19980464","TN19980464@prod")</f>
        <v/>
      </c>
      <c r="O601" s="8">
        <f>HYPERLINK("https://ictv.global/id/ICTV19951351","ICTV19951351@prod")</f>
        <v/>
      </c>
    </row>
    <row r="602">
      <c r="A602" t="n">
        <v>17</v>
      </c>
      <c r="B602" t="n">
        <v>19980465</v>
      </c>
      <c r="C602" t="n">
        <v>19951352</v>
      </c>
      <c r="D602" t="inlineStr">
        <is>
          <t>species</t>
        </is>
      </c>
      <c r="E602" t="inlineStr">
        <is>
          <t>Pseudomonas phage Phi1</t>
        </is>
      </c>
      <c r="G602" t="inlineStr">
        <is>
          <t>Abolished,</t>
        </is>
      </c>
      <c r="L602" s="8">
        <f>HYPERLINK("https://test.ictv.global/id/TN19980465","TN19980465@TEST")</f>
        <v/>
      </c>
      <c r="M602" s="8">
        <f>HYPERLINK("https://test.ictv.global/id/ICTV19951352","ICTV19951352@TEST")</f>
        <v/>
      </c>
      <c r="N602" s="8">
        <f>HYPERLINK("https://ictv.global/id/TN19980465","TN19980465@prod")</f>
        <v/>
      </c>
      <c r="O602" s="8">
        <f>HYPERLINK("https://ictv.global/id/ICTV19951352","ICTV19951352@prod")</f>
        <v/>
      </c>
    </row>
    <row r="603">
      <c r="A603" t="n">
        <v>17</v>
      </c>
      <c r="B603" t="n">
        <v>19980466</v>
      </c>
      <c r="C603" t="n">
        <v>19951353</v>
      </c>
      <c r="D603" t="inlineStr">
        <is>
          <t>species</t>
        </is>
      </c>
      <c r="E603" t="inlineStr">
        <is>
          <t>Pseudomonas phage phiKZ</t>
        </is>
      </c>
      <c r="F603" t="inlineStr"/>
      <c r="G603" t="inlineStr">
        <is>
          <t>Abolished,</t>
        </is>
      </c>
      <c r="L603" s="8">
        <f>HYPERLINK("https://test.ictv.global/id/TN19980466","TN19980466@TEST")</f>
        <v/>
      </c>
      <c r="M603" s="8">
        <f>HYPERLINK("https://test.ictv.global/id/ICTV19951353","ICTV19951353@TEST")</f>
        <v/>
      </c>
      <c r="N603" s="8">
        <f>HYPERLINK("https://ictv.global/id/TN19980466","TN19980466@prod")</f>
        <v/>
      </c>
      <c r="O603" s="8">
        <f>HYPERLINK("https://ictv.global/id/ICTV19951353","ICTV19951353@prod")</f>
        <v/>
      </c>
    </row>
    <row r="604">
      <c r="A604" t="n">
        <v>17</v>
      </c>
      <c r="B604" t="n">
        <v>19980467</v>
      </c>
      <c r="C604" t="n">
        <v>19951354</v>
      </c>
      <c r="D604" t="inlineStr">
        <is>
          <t>species</t>
        </is>
      </c>
      <c r="E604" t="inlineStr">
        <is>
          <t>Pseudomonas phage PhiW-14</t>
        </is>
      </c>
      <c r="G604" t="inlineStr">
        <is>
          <t>Abolished,</t>
        </is>
      </c>
      <c r="L604" s="8">
        <f>HYPERLINK("https://test.ictv.global/id/TN19980467","TN19980467@TEST")</f>
        <v/>
      </c>
      <c r="M604" s="8">
        <f>HYPERLINK("https://test.ictv.global/id/ICTV19951354","ICTV19951354@TEST")</f>
        <v/>
      </c>
      <c r="N604" s="8">
        <f>HYPERLINK("https://ictv.global/id/TN19980467","TN19980467@prod")</f>
        <v/>
      </c>
      <c r="O604" s="8">
        <f>HYPERLINK("https://ictv.global/id/ICTV19951354","ICTV19951354@prod")</f>
        <v/>
      </c>
    </row>
    <row r="605">
      <c r="A605" t="n">
        <v>17</v>
      </c>
      <c r="B605" t="n">
        <v>19980468</v>
      </c>
      <c r="C605" t="n">
        <v>19951355</v>
      </c>
      <c r="D605" t="inlineStr">
        <is>
          <t>species</t>
        </is>
      </c>
      <c r="E605" t="inlineStr">
        <is>
          <t>Pseudomonas phage PP8</t>
        </is>
      </c>
      <c r="G605" t="inlineStr">
        <is>
          <t>Abolished,</t>
        </is>
      </c>
      <c r="L605" s="8">
        <f>HYPERLINK("https://test.ictv.global/id/TN19980468","TN19980468@TEST")</f>
        <v/>
      </c>
      <c r="M605" s="8">
        <f>HYPERLINK("https://test.ictv.global/id/ICTV19951355","ICTV19951355@TEST")</f>
        <v/>
      </c>
      <c r="N605" s="8">
        <f>HYPERLINK("https://ictv.global/id/TN19980468","TN19980468@prod")</f>
        <v/>
      </c>
      <c r="O605" s="8">
        <f>HYPERLINK("https://ictv.global/id/ICTV19951355","ICTV19951355@prod")</f>
        <v/>
      </c>
    </row>
    <row r="606">
      <c r="A606" t="n">
        <v>17</v>
      </c>
      <c r="B606" t="n">
        <v>19980469</v>
      </c>
      <c r="C606" t="n">
        <v>19951356</v>
      </c>
      <c r="D606" t="inlineStr">
        <is>
          <t>species</t>
        </is>
      </c>
      <c r="E606" t="inlineStr">
        <is>
          <t>Pseudomonas phage PS17</t>
        </is>
      </c>
      <c r="G606" t="inlineStr">
        <is>
          <t>Abolished,</t>
        </is>
      </c>
      <c r="L606" s="8">
        <f>HYPERLINK("https://test.ictv.global/id/TN19980469","TN19980469@TEST")</f>
        <v/>
      </c>
      <c r="M606" s="8">
        <f>HYPERLINK("https://test.ictv.global/id/ICTV19951356","ICTV19951356@TEST")</f>
        <v/>
      </c>
      <c r="N606" s="8">
        <f>HYPERLINK("https://ictv.global/id/TN19980469","TN19980469@prod")</f>
        <v/>
      </c>
      <c r="O606" s="8">
        <f>HYPERLINK("https://ictv.global/id/ICTV19951356","ICTV19951356@prod")</f>
        <v/>
      </c>
    </row>
    <row r="607">
      <c r="A607" t="n">
        <v>17</v>
      </c>
      <c r="B607" t="n">
        <v>19980470</v>
      </c>
      <c r="C607" t="n">
        <v>19951357</v>
      </c>
      <c r="D607" t="inlineStr">
        <is>
          <t>species</t>
        </is>
      </c>
      <c r="E607" t="inlineStr">
        <is>
          <t>Rhizobium phage CM1</t>
        </is>
      </c>
      <c r="G607" t="inlineStr">
        <is>
          <t>Abolished,</t>
        </is>
      </c>
      <c r="L607" s="8">
        <f>HYPERLINK("https://test.ictv.global/id/TN19980470","TN19980470@TEST")</f>
        <v/>
      </c>
      <c r="M607" s="8">
        <f>HYPERLINK("https://test.ictv.global/id/ICTV19951357","ICTV19951357@TEST")</f>
        <v/>
      </c>
      <c r="N607" s="8">
        <f>HYPERLINK("https://ictv.global/id/TN19980470","TN19980470@prod")</f>
        <v/>
      </c>
      <c r="O607" s="8">
        <f>HYPERLINK("https://ictv.global/id/ICTV19951357","ICTV19951357@prod")</f>
        <v/>
      </c>
    </row>
    <row r="608">
      <c r="A608" t="n">
        <v>17</v>
      </c>
      <c r="B608" t="n">
        <v>19980471</v>
      </c>
      <c r="C608" t="n">
        <v>19951358</v>
      </c>
      <c r="D608" t="inlineStr">
        <is>
          <t>species</t>
        </is>
      </c>
      <c r="E608" t="inlineStr">
        <is>
          <t>Rhizobium phage CT4</t>
        </is>
      </c>
      <c r="G608" t="inlineStr">
        <is>
          <t>Abolished,</t>
        </is>
      </c>
      <c r="L608" s="8">
        <f>HYPERLINK("https://test.ictv.global/id/TN19980471","TN19980471@TEST")</f>
        <v/>
      </c>
      <c r="M608" s="8">
        <f>HYPERLINK("https://test.ictv.global/id/ICTV19951358","ICTV19951358@TEST")</f>
        <v/>
      </c>
      <c r="N608" s="8">
        <f>HYPERLINK("https://ictv.global/id/TN19980471","TN19980471@prod")</f>
        <v/>
      </c>
      <c r="O608" s="8">
        <f>HYPERLINK("https://ictv.global/id/ICTV19951358","ICTV19951358@prod")</f>
        <v/>
      </c>
    </row>
    <row r="609">
      <c r="A609" t="n">
        <v>17</v>
      </c>
      <c r="B609" t="n">
        <v>19980472</v>
      </c>
      <c r="C609" t="n">
        <v>19951359</v>
      </c>
      <c r="D609" t="inlineStr">
        <is>
          <t>species</t>
        </is>
      </c>
      <c r="E609" t="inlineStr">
        <is>
          <t>Rhizobium phage m</t>
        </is>
      </c>
      <c r="G609" t="inlineStr">
        <is>
          <t>Abolished,</t>
        </is>
      </c>
      <c r="L609" s="8">
        <f>HYPERLINK("https://test.ictv.global/id/TN19980472","TN19980472@TEST")</f>
        <v/>
      </c>
      <c r="M609" s="8">
        <f>HYPERLINK("https://test.ictv.global/id/ICTV19951359","ICTV19951359@TEST")</f>
        <v/>
      </c>
      <c r="N609" s="8">
        <f>HYPERLINK("https://ictv.global/id/TN19980472","TN19980472@prod")</f>
        <v/>
      </c>
      <c r="O609" s="8">
        <f>HYPERLINK("https://ictv.global/id/ICTV19951359","ICTV19951359@prod")</f>
        <v/>
      </c>
    </row>
    <row r="610">
      <c r="A610" t="n">
        <v>17</v>
      </c>
      <c r="B610" t="n">
        <v>19980473</v>
      </c>
      <c r="C610" t="n">
        <v>19951360</v>
      </c>
      <c r="D610" t="inlineStr">
        <is>
          <t>species</t>
        </is>
      </c>
      <c r="E610" t="inlineStr">
        <is>
          <t>Rhizobium phage phigal-1-R</t>
        </is>
      </c>
      <c r="G610" t="inlineStr">
        <is>
          <t>Abolished,</t>
        </is>
      </c>
      <c r="L610" s="8">
        <f>HYPERLINK("https://test.ictv.global/id/TN19980473","TN19980473@TEST")</f>
        <v/>
      </c>
      <c r="M610" s="8">
        <f>HYPERLINK("https://test.ictv.global/id/ICTV19951360","ICTV19951360@TEST")</f>
        <v/>
      </c>
      <c r="N610" s="8">
        <f>HYPERLINK("https://ictv.global/id/TN19980473","TN19980473@prod")</f>
        <v/>
      </c>
      <c r="O610" s="8">
        <f>HYPERLINK("https://ictv.global/id/ICTV19951360","ICTV19951360@prod")</f>
        <v/>
      </c>
    </row>
    <row r="611">
      <c r="A611" t="n">
        <v>17</v>
      </c>
      <c r="B611" t="n">
        <v>19980474</v>
      </c>
      <c r="C611" t="n">
        <v>19951361</v>
      </c>
      <c r="D611" t="inlineStr">
        <is>
          <t>species</t>
        </is>
      </c>
      <c r="E611" t="inlineStr">
        <is>
          <t>Rhizobium phage WT1</t>
        </is>
      </c>
      <c r="G611" t="inlineStr">
        <is>
          <t>Abolished,</t>
        </is>
      </c>
      <c r="L611" s="8">
        <f>HYPERLINK("https://test.ictv.global/id/TN19980474","TN19980474@TEST")</f>
        <v/>
      </c>
      <c r="M611" s="8">
        <f>HYPERLINK("https://test.ictv.global/id/ICTV19951361","ICTV19951361@TEST")</f>
        <v/>
      </c>
      <c r="N611" s="8">
        <f>HYPERLINK("https://ictv.global/id/TN19980474","TN19980474@prod")</f>
        <v/>
      </c>
      <c r="O611" s="8">
        <f>HYPERLINK("https://ictv.global/id/ICTV19951361","ICTV19951361@prod")</f>
        <v/>
      </c>
    </row>
    <row r="612">
      <c r="A612" t="n">
        <v>17</v>
      </c>
      <c r="B612" t="n">
        <v>19980475</v>
      </c>
      <c r="C612" t="n">
        <v>19951362</v>
      </c>
      <c r="D612" t="inlineStr">
        <is>
          <t>species</t>
        </is>
      </c>
      <c r="E612" t="inlineStr">
        <is>
          <t>Staphylococcus phage Twort</t>
        </is>
      </c>
      <c r="F612" t="inlineStr"/>
      <c r="G612" t="inlineStr">
        <is>
          <t>Abolished,</t>
        </is>
      </c>
      <c r="L612" s="8">
        <f>HYPERLINK("https://test.ictv.global/id/TN19980475","TN19980475@TEST")</f>
        <v/>
      </c>
      <c r="M612" s="8">
        <f>HYPERLINK("https://test.ictv.global/id/ICTV19951362","ICTV19951362@TEST")</f>
        <v/>
      </c>
      <c r="N612" s="8">
        <f>HYPERLINK("https://ictv.global/id/TN19980475","TN19980475@prod")</f>
        <v/>
      </c>
      <c r="O612" s="8">
        <f>HYPERLINK("https://ictv.global/id/ICTV19951362","ICTV19951362@prod")</f>
        <v/>
      </c>
    </row>
    <row r="613">
      <c r="A613" t="n">
        <v>17</v>
      </c>
      <c r="B613" t="n">
        <v>19980476</v>
      </c>
      <c r="C613" t="n">
        <v>19951363</v>
      </c>
      <c r="D613" t="inlineStr">
        <is>
          <t>species</t>
        </is>
      </c>
      <c r="E613" t="inlineStr">
        <is>
          <t>Vibrio phage 06N-22P</t>
        </is>
      </c>
      <c r="G613" t="inlineStr">
        <is>
          <t>Abolished,</t>
        </is>
      </c>
      <c r="L613" s="8">
        <f>HYPERLINK("https://test.ictv.global/id/TN19980476","TN19980476@TEST")</f>
        <v/>
      </c>
      <c r="M613" s="8">
        <f>HYPERLINK("https://test.ictv.global/id/ICTV19951363","ICTV19951363@TEST")</f>
        <v/>
      </c>
      <c r="N613" s="8">
        <f>HYPERLINK("https://ictv.global/id/TN19980476","TN19980476@prod")</f>
        <v/>
      </c>
      <c r="O613" s="8">
        <f>HYPERLINK("https://ictv.global/id/ICTV19951363","ICTV19951363@prod")</f>
        <v/>
      </c>
    </row>
    <row r="614">
      <c r="A614" t="n">
        <v>17</v>
      </c>
      <c r="B614" t="n">
        <v>19980477</v>
      </c>
      <c r="C614" t="n">
        <v>19951364</v>
      </c>
      <c r="D614" t="inlineStr">
        <is>
          <t>species</t>
        </is>
      </c>
      <c r="E614" t="inlineStr">
        <is>
          <t>Vibrio phage II</t>
        </is>
      </c>
      <c r="G614" t="inlineStr">
        <is>
          <t>Abolished,</t>
        </is>
      </c>
      <c r="L614" s="8">
        <f>HYPERLINK("https://test.ictv.global/id/TN19980477","TN19980477@TEST")</f>
        <v/>
      </c>
      <c r="M614" s="8">
        <f>HYPERLINK("https://test.ictv.global/id/ICTV19951364","ICTV19951364@TEST")</f>
        <v/>
      </c>
      <c r="N614" s="8">
        <f>HYPERLINK("https://ictv.global/id/TN19980477","TN19980477@prod")</f>
        <v/>
      </c>
      <c r="O614" s="8">
        <f>HYPERLINK("https://ictv.global/id/ICTV19951364","ICTV19951364@prod")</f>
        <v/>
      </c>
    </row>
    <row r="615">
      <c r="A615" t="n">
        <v>17</v>
      </c>
      <c r="B615" t="n">
        <v>19980478</v>
      </c>
      <c r="C615" t="n">
        <v>19951365</v>
      </c>
      <c r="D615" t="inlineStr">
        <is>
          <t>species</t>
        </is>
      </c>
      <c r="E615" t="inlineStr">
        <is>
          <t>Vibrio phage kappa</t>
        </is>
      </c>
      <c r="F615" t="inlineStr"/>
      <c r="G615" t="inlineStr">
        <is>
          <t>Abolished,</t>
        </is>
      </c>
      <c r="L615" s="8">
        <f>HYPERLINK("https://test.ictv.global/id/TN19980478","TN19980478@TEST")</f>
        <v/>
      </c>
      <c r="M615" s="8">
        <f>HYPERLINK("https://test.ictv.global/id/ICTV19951365","ICTV19951365@TEST")</f>
        <v/>
      </c>
      <c r="N615" s="8">
        <f>HYPERLINK("https://ictv.global/id/TN19980478","TN19980478@prod")</f>
        <v/>
      </c>
      <c r="O615" s="8">
        <f>HYPERLINK("https://ictv.global/id/ICTV19951365","ICTV19951365@prod")</f>
        <v/>
      </c>
    </row>
    <row r="616">
      <c r="A616" t="n">
        <v>17</v>
      </c>
      <c r="B616" t="n">
        <v>19980479</v>
      </c>
      <c r="C616" t="n">
        <v>19951366</v>
      </c>
      <c r="D616" t="inlineStr">
        <is>
          <t>species</t>
        </is>
      </c>
      <c r="E616" t="inlineStr">
        <is>
          <t>Vibrio phage X29</t>
        </is>
      </c>
      <c r="G616" t="inlineStr">
        <is>
          <t>Abolished,</t>
        </is>
      </c>
      <c r="L616" s="8">
        <f>HYPERLINK("https://test.ictv.global/id/TN19980479","TN19980479@TEST")</f>
        <v/>
      </c>
      <c r="M616" s="8">
        <f>HYPERLINK("https://test.ictv.global/id/ICTV19951366","ICTV19951366@TEST")</f>
        <v/>
      </c>
      <c r="N616" s="8">
        <f>HYPERLINK("https://ictv.global/id/TN19980479","TN19980479@prod")</f>
        <v/>
      </c>
      <c r="O616" s="8">
        <f>HYPERLINK("https://ictv.global/id/ICTV19951366","ICTV19951366@prod")</f>
        <v/>
      </c>
    </row>
    <row r="617">
      <c r="A617" t="n">
        <v>17</v>
      </c>
      <c r="B617" t="n">
        <v>19980480</v>
      </c>
      <c r="C617" t="n">
        <v>19951367</v>
      </c>
      <c r="D617" t="inlineStr">
        <is>
          <t>species</t>
        </is>
      </c>
      <c r="E617" t="inlineStr">
        <is>
          <t>Vibrio phageVP1</t>
        </is>
      </c>
      <c r="G617" t="inlineStr">
        <is>
          <t>Abolished,</t>
        </is>
      </c>
      <c r="L617" s="8">
        <f>HYPERLINK("https://test.ictv.global/id/TN19980480","TN19980480@TEST")</f>
        <v/>
      </c>
      <c r="M617" s="8">
        <f>HYPERLINK("https://test.ictv.global/id/ICTV19951367","ICTV19951367@TEST")</f>
        <v/>
      </c>
      <c r="N617" s="8">
        <f>HYPERLINK("https://ictv.global/id/TN19980480","TN19980480@prod")</f>
        <v/>
      </c>
      <c r="O617" s="8">
        <f>HYPERLINK("https://ictv.global/id/ICTV19951367","ICTV19951367@prod")</f>
        <v/>
      </c>
    </row>
    <row r="618">
      <c r="A618" t="n">
        <v>17</v>
      </c>
      <c r="B618" t="n">
        <v>19980481</v>
      </c>
      <c r="C618" t="n">
        <v>19951368</v>
      </c>
      <c r="D618" t="inlineStr">
        <is>
          <t>species</t>
        </is>
      </c>
      <c r="E618" t="inlineStr">
        <is>
          <t>Xanthomonas phage XP5</t>
        </is>
      </c>
      <c r="G618" t="inlineStr">
        <is>
          <t>Abolished,</t>
        </is>
      </c>
      <c r="L618" s="8">
        <f>HYPERLINK("https://test.ictv.global/id/TN19980481","TN19980481@TEST")</f>
        <v/>
      </c>
      <c r="M618" s="8">
        <f>HYPERLINK("https://test.ictv.global/id/ICTV19951368","ICTV19951368@TEST")</f>
        <v/>
      </c>
      <c r="N618" s="8">
        <f>HYPERLINK("https://ictv.global/id/TN19980481","TN19980481@prod")</f>
        <v/>
      </c>
      <c r="O618" s="8">
        <f>HYPERLINK("https://ictv.global/id/ICTV19951368","ICTV19951368@prod")</f>
        <v/>
      </c>
    </row>
    <row r="619">
      <c r="A619" t="n">
        <v>17</v>
      </c>
      <c r="B619" t="n">
        <v>19980486</v>
      </c>
      <c r="C619" t="n">
        <v>19760810</v>
      </c>
      <c r="D619" t="inlineStr">
        <is>
          <t>species</t>
        </is>
      </c>
      <c r="E619" t="inlineStr">
        <is>
          <t>Coliphage T7</t>
        </is>
      </c>
      <c r="G619" t="inlineStr">
        <is>
          <t>Merged,</t>
        </is>
      </c>
      <c r="H619" t="inlineStr">
        <is>
          <t>Enterobacteria phage T7</t>
        </is>
      </c>
      <c r="I619" t="inlineStr">
        <is>
          <t>species</t>
        </is>
      </c>
      <c r="J619" t="n">
        <v>19990398</v>
      </c>
      <c r="K619" t="n">
        <v>19990398</v>
      </c>
      <c r="L619" s="8">
        <f>HYPERLINK("https://test.ictv.global/id/TN19980486","TN19980486@TEST")</f>
        <v/>
      </c>
      <c r="M619" s="8">
        <f>HYPERLINK("https://test.ictv.global/id/ICTV19760810","ICTV19760810@TEST")</f>
        <v/>
      </c>
      <c r="N619" s="8">
        <f>HYPERLINK("https://ictv.global/id/TN19980486","TN19980486@prod")</f>
        <v/>
      </c>
      <c r="O619" s="8">
        <f>HYPERLINK("https://ictv.global/id/ICTV19760810","ICTV19760810@prod")</f>
        <v/>
      </c>
    </row>
    <row r="620">
      <c r="A620" t="n">
        <v>17</v>
      </c>
      <c r="B620" t="n">
        <v>19980487</v>
      </c>
      <c r="C620" t="n">
        <v>19760804</v>
      </c>
      <c r="D620" t="inlineStr">
        <is>
          <t>species</t>
        </is>
      </c>
      <c r="E620" t="inlineStr">
        <is>
          <t>Enterobacteria phage H</t>
        </is>
      </c>
      <c r="G620" t="inlineStr">
        <is>
          <t>Merged,Assigned as Type Species,</t>
        </is>
      </c>
      <c r="H620" t="inlineStr">
        <is>
          <t>Enterobacteria phage T7</t>
        </is>
      </c>
      <c r="I620" t="inlineStr">
        <is>
          <t>species</t>
        </is>
      </c>
      <c r="J620" t="n">
        <v>19990398</v>
      </c>
      <c r="K620" t="n">
        <v>19990398</v>
      </c>
      <c r="L620" s="8">
        <f>HYPERLINK("https://test.ictv.global/id/TN19980487","TN19980487@TEST")</f>
        <v/>
      </c>
      <c r="M620" s="8">
        <f>HYPERLINK("https://test.ictv.global/id/ICTV19760804","ICTV19760804@TEST")</f>
        <v/>
      </c>
      <c r="N620" s="8">
        <f>HYPERLINK("https://ictv.global/id/TN19980487","TN19980487@prod")</f>
        <v/>
      </c>
      <c r="O620" s="8">
        <f>HYPERLINK("https://ictv.global/id/ICTV19760804","ICTV19760804@prod")</f>
        <v/>
      </c>
    </row>
    <row r="621">
      <c r="A621" t="n">
        <v>17</v>
      </c>
      <c r="B621" t="n">
        <v>19980488</v>
      </c>
      <c r="C621" t="n">
        <v>19760805</v>
      </c>
      <c r="D621" t="inlineStr">
        <is>
          <t>species</t>
        </is>
      </c>
      <c r="E621" t="inlineStr">
        <is>
          <t>Enterobacteria phage phiI</t>
        </is>
      </c>
      <c r="G621" t="inlineStr">
        <is>
          <t>Merged,Assigned as Type Species,</t>
        </is>
      </c>
      <c r="H621" t="inlineStr">
        <is>
          <t>Enterobacteria phage T7</t>
        </is>
      </c>
      <c r="I621" t="inlineStr">
        <is>
          <t>species</t>
        </is>
      </c>
      <c r="J621" t="n">
        <v>19990398</v>
      </c>
      <c r="K621" t="n">
        <v>19990398</v>
      </c>
      <c r="L621" s="8">
        <f>HYPERLINK("https://test.ictv.global/id/TN19980488","TN19980488@TEST")</f>
        <v/>
      </c>
      <c r="M621" s="8">
        <f>HYPERLINK("https://test.ictv.global/id/ICTV19760805","ICTV19760805@TEST")</f>
        <v/>
      </c>
      <c r="N621" s="8">
        <f>HYPERLINK("https://ictv.global/id/TN19980488","TN19980488@prod")</f>
        <v/>
      </c>
      <c r="O621" s="8">
        <f>HYPERLINK("https://ictv.global/id/ICTV19760805","ICTV19760805@prod")</f>
        <v/>
      </c>
    </row>
    <row r="622">
      <c r="A622" t="n">
        <v>17</v>
      </c>
      <c r="B622" t="n">
        <v>19980489</v>
      </c>
      <c r="C622" t="n">
        <v>19760806</v>
      </c>
      <c r="D622" t="inlineStr">
        <is>
          <t>species</t>
        </is>
      </c>
      <c r="E622" t="inlineStr">
        <is>
          <t>Enterobacteria phage phiII</t>
        </is>
      </c>
      <c r="G622" t="inlineStr">
        <is>
          <t>Merged,Assigned as Type Species,</t>
        </is>
      </c>
      <c r="H622" t="inlineStr">
        <is>
          <t>Enterobacteria phage T7</t>
        </is>
      </c>
      <c r="I622" t="inlineStr">
        <is>
          <t>species</t>
        </is>
      </c>
      <c r="J622" t="n">
        <v>19990398</v>
      </c>
      <c r="K622" t="n">
        <v>19990398</v>
      </c>
      <c r="L622" s="8">
        <f>HYPERLINK("https://test.ictv.global/id/TN19980489","TN19980489@TEST")</f>
        <v/>
      </c>
      <c r="M622" s="8">
        <f>HYPERLINK("https://test.ictv.global/id/ICTV19760806","ICTV19760806@TEST")</f>
        <v/>
      </c>
      <c r="N622" s="8">
        <f>HYPERLINK("https://ictv.global/id/TN19980489","TN19980489@prod")</f>
        <v/>
      </c>
      <c r="O622" s="8">
        <f>HYPERLINK("https://ictv.global/id/ICTV19760806","ICTV19760806@prod")</f>
        <v/>
      </c>
    </row>
    <row r="623">
      <c r="A623" t="n">
        <v>17</v>
      </c>
      <c r="B623" t="n">
        <v>19980490</v>
      </c>
      <c r="C623" t="n">
        <v>19760807</v>
      </c>
      <c r="D623" t="inlineStr">
        <is>
          <t>species</t>
        </is>
      </c>
      <c r="E623" t="inlineStr">
        <is>
          <t>Enterobacteria phage PTB</t>
        </is>
      </c>
      <c r="G623" t="inlineStr">
        <is>
          <t>Abolished,</t>
        </is>
      </c>
      <c r="L623" s="8">
        <f>HYPERLINK("https://test.ictv.global/id/TN19980490","TN19980490@TEST")</f>
        <v/>
      </c>
      <c r="M623" s="8">
        <f>HYPERLINK("https://test.ictv.global/id/ICTV19760807","ICTV19760807@TEST")</f>
        <v/>
      </c>
      <c r="N623" s="8">
        <f>HYPERLINK("https://ictv.global/id/TN19980490","TN19980490@prod")</f>
        <v/>
      </c>
      <c r="O623" s="8">
        <f>HYPERLINK("https://ictv.global/id/ICTV19760807","ICTV19760807@prod")</f>
        <v/>
      </c>
    </row>
    <row r="624">
      <c r="A624" t="n">
        <v>17</v>
      </c>
      <c r="B624" t="n">
        <v>19980491</v>
      </c>
      <c r="C624" t="n">
        <v>19760808</v>
      </c>
      <c r="D624" t="inlineStr">
        <is>
          <t>species</t>
        </is>
      </c>
      <c r="E624" t="inlineStr">
        <is>
          <t>Enterobacteria phage R</t>
        </is>
      </c>
      <c r="G624" t="inlineStr">
        <is>
          <t>Abolished,</t>
        </is>
      </c>
      <c r="L624" s="8">
        <f>HYPERLINK("https://test.ictv.global/id/TN19980491","TN19980491@TEST")</f>
        <v/>
      </c>
      <c r="M624" s="8">
        <f>HYPERLINK("https://test.ictv.global/id/ICTV19760808","ICTV19760808@TEST")</f>
        <v/>
      </c>
      <c r="N624" s="8">
        <f>HYPERLINK("https://ictv.global/id/TN19980491","TN19980491@prod")</f>
        <v/>
      </c>
      <c r="O624" s="8">
        <f>HYPERLINK("https://ictv.global/id/ICTV19760808","ICTV19760808@prod")</f>
        <v/>
      </c>
    </row>
    <row r="625">
      <c r="A625" t="n">
        <v>17</v>
      </c>
      <c r="B625" t="n">
        <v>19980492</v>
      </c>
      <c r="C625" t="n">
        <v>19760809</v>
      </c>
      <c r="D625" t="inlineStr">
        <is>
          <t>species</t>
        </is>
      </c>
      <c r="E625" t="inlineStr">
        <is>
          <t>Enterobacteria phage T3</t>
        </is>
      </c>
      <c r="G625" t="inlineStr">
        <is>
          <t>Merged,Assigned as Type Species,</t>
        </is>
      </c>
      <c r="H625" t="inlineStr">
        <is>
          <t>Enterobacteria phage T7</t>
        </is>
      </c>
      <c r="I625" t="inlineStr">
        <is>
          <t>species</t>
        </is>
      </c>
      <c r="J625" t="n">
        <v>19990398</v>
      </c>
      <c r="K625" t="n">
        <v>19990398</v>
      </c>
      <c r="L625" s="8">
        <f>HYPERLINK("https://test.ictv.global/id/TN19980492","TN19980492@TEST")</f>
        <v/>
      </c>
      <c r="M625" s="8">
        <f>HYPERLINK("https://test.ictv.global/id/ICTV19760809","ICTV19760809@TEST")</f>
        <v/>
      </c>
      <c r="N625" s="8">
        <f>HYPERLINK("https://ictv.global/id/TN19980492","TN19980492@prod")</f>
        <v/>
      </c>
      <c r="O625" s="8">
        <f>HYPERLINK("https://ictv.global/id/ICTV19760809","ICTV19760809@prod")</f>
        <v/>
      </c>
    </row>
    <row r="626">
      <c r="A626" t="n">
        <v>17</v>
      </c>
      <c r="B626" t="n">
        <v>19980493</v>
      </c>
      <c r="C626" t="n">
        <v>19760811</v>
      </c>
      <c r="D626" t="inlineStr">
        <is>
          <t>species</t>
        </is>
      </c>
      <c r="E626" t="inlineStr">
        <is>
          <t>Enterobacteria phage W31</t>
        </is>
      </c>
      <c r="G626" t="inlineStr">
        <is>
          <t>Merged,Assigned as Type Species,</t>
        </is>
      </c>
      <c r="H626" t="inlineStr">
        <is>
          <t>Enterobacteria phage T7</t>
        </is>
      </c>
      <c r="I626" t="inlineStr">
        <is>
          <t>species</t>
        </is>
      </c>
      <c r="J626" t="n">
        <v>19990398</v>
      </c>
      <c r="K626" t="n">
        <v>19990398</v>
      </c>
      <c r="L626" s="8">
        <f>HYPERLINK("https://test.ictv.global/id/TN19980493","TN19980493@TEST")</f>
        <v/>
      </c>
      <c r="M626" s="8">
        <f>HYPERLINK("https://test.ictv.global/id/ICTV19760811","ICTV19760811@TEST")</f>
        <v/>
      </c>
      <c r="N626" s="8">
        <f>HYPERLINK("https://ictv.global/id/TN19980493","TN19980493@prod")</f>
        <v/>
      </c>
      <c r="O626" s="8">
        <f>HYPERLINK("https://ictv.global/id/ICTV19760811","ICTV19760811@prod")</f>
        <v/>
      </c>
    </row>
    <row r="627">
      <c r="A627" t="n">
        <v>17</v>
      </c>
      <c r="B627" t="n">
        <v>19980494</v>
      </c>
      <c r="C627" t="n">
        <v>19951757</v>
      </c>
      <c r="D627" t="inlineStr">
        <is>
          <t>species</t>
        </is>
      </c>
      <c r="E627" t="inlineStr">
        <is>
          <t>Enterobacteria phage Y</t>
        </is>
      </c>
      <c r="G627" t="inlineStr">
        <is>
          <t>Abolished,</t>
        </is>
      </c>
      <c r="L627" s="8">
        <f>HYPERLINK("https://test.ictv.global/id/TN19980494","TN19980494@TEST")</f>
        <v/>
      </c>
      <c r="M627" s="8">
        <f>HYPERLINK("https://test.ictv.global/id/ICTV19951757","ICTV19951757@TEST")</f>
        <v/>
      </c>
      <c r="N627" s="8">
        <f>HYPERLINK("https://ictv.global/id/TN19980494","TN19980494@prod")</f>
        <v/>
      </c>
      <c r="O627" s="8">
        <f>HYPERLINK("https://ictv.global/id/ICTV19951757","ICTV19951757@prod")</f>
        <v/>
      </c>
    </row>
    <row r="628">
      <c r="A628" t="n">
        <v>17</v>
      </c>
      <c r="B628" t="n">
        <v>19980496</v>
      </c>
      <c r="C628" t="n">
        <v>19951759</v>
      </c>
      <c r="D628" t="inlineStr">
        <is>
          <t>species</t>
        </is>
      </c>
      <c r="E628" t="inlineStr">
        <is>
          <t>Rhizobium phage 2</t>
        </is>
      </c>
      <c r="G628" t="inlineStr">
        <is>
          <t>Abolished,</t>
        </is>
      </c>
      <c r="L628" s="8">
        <f>HYPERLINK("https://test.ictv.global/id/TN19980496","TN19980496@TEST")</f>
        <v/>
      </c>
      <c r="M628" s="8">
        <f>HYPERLINK("https://test.ictv.global/id/ICTV19951759","ICTV19951759@TEST")</f>
        <v/>
      </c>
      <c r="N628" s="8">
        <f>HYPERLINK("https://ictv.global/id/TN19980496","TN19980496@prod")</f>
        <v/>
      </c>
      <c r="O628" s="8">
        <f>HYPERLINK("https://ictv.global/id/ICTV19951759","ICTV19951759@prod")</f>
        <v/>
      </c>
    </row>
    <row r="629">
      <c r="A629" t="n">
        <v>17</v>
      </c>
      <c r="B629" t="n">
        <v>19980497</v>
      </c>
      <c r="C629" t="n">
        <v>19951760</v>
      </c>
      <c r="D629" t="inlineStr">
        <is>
          <t>species</t>
        </is>
      </c>
      <c r="E629" t="inlineStr">
        <is>
          <t>Vibrio phage III</t>
        </is>
      </c>
      <c r="G629" t="inlineStr">
        <is>
          <t>Abolished,</t>
        </is>
      </c>
      <c r="L629" s="8">
        <f>HYPERLINK("https://test.ictv.global/id/TN19980497","TN19980497@TEST")</f>
        <v/>
      </c>
      <c r="M629" s="8">
        <f>HYPERLINK("https://test.ictv.global/id/ICTV19951760","ICTV19951760@TEST")</f>
        <v/>
      </c>
      <c r="N629" s="8">
        <f>HYPERLINK("https://ictv.global/id/TN19980497","TN19980497@prod")</f>
        <v/>
      </c>
      <c r="O629" s="8">
        <f>HYPERLINK("https://ictv.global/id/ICTV19951760","ICTV19951760@prod")</f>
        <v/>
      </c>
    </row>
    <row r="630">
      <c r="A630" t="n">
        <v>17</v>
      </c>
      <c r="B630" t="n">
        <v>19980498</v>
      </c>
      <c r="C630" t="n">
        <v>19961817</v>
      </c>
      <c r="D630" t="inlineStr">
        <is>
          <t>species</t>
        </is>
      </c>
      <c r="E630" t="inlineStr">
        <is>
          <t>Acinetobacter phage A36</t>
        </is>
      </c>
      <c r="G630" t="inlineStr">
        <is>
          <t>Abolished,</t>
        </is>
      </c>
      <c r="L630" s="8">
        <f>HYPERLINK("https://test.ictv.global/id/TN19980498","TN19980498@TEST")</f>
        <v/>
      </c>
      <c r="M630" s="8">
        <f>HYPERLINK("https://test.ictv.global/id/ICTV19961817","ICTV19961817@TEST")</f>
        <v/>
      </c>
      <c r="N630" s="8">
        <f>HYPERLINK("https://ictv.global/id/TN19980498","TN19980498@prod")</f>
        <v/>
      </c>
      <c r="O630" s="8">
        <f>HYPERLINK("https://ictv.global/id/ICTV19961817","ICTV19961817@prod")</f>
        <v/>
      </c>
    </row>
    <row r="631">
      <c r="A631" t="n">
        <v>17</v>
      </c>
      <c r="B631" t="n">
        <v>19980499</v>
      </c>
      <c r="C631" t="n">
        <v>19961818</v>
      </c>
      <c r="D631" t="inlineStr">
        <is>
          <t>species</t>
        </is>
      </c>
      <c r="E631" t="inlineStr">
        <is>
          <t>Bacillus phage BA-1</t>
        </is>
      </c>
      <c r="G631" t="inlineStr">
        <is>
          <t>Abolished,</t>
        </is>
      </c>
      <c r="L631" s="8">
        <f>HYPERLINK("https://test.ictv.global/id/TN19980499","TN19980499@TEST")</f>
        <v/>
      </c>
      <c r="M631" s="8">
        <f>HYPERLINK("https://test.ictv.global/id/ICTV19961818","ICTV19961818@TEST")</f>
        <v/>
      </c>
      <c r="N631" s="8">
        <f>HYPERLINK("https://ictv.global/id/TN19980499","TN19980499@prod")</f>
        <v/>
      </c>
      <c r="O631" s="8">
        <f>HYPERLINK("https://ictv.global/id/ICTV19961818","ICTV19961818@prod")</f>
        <v/>
      </c>
    </row>
    <row r="632">
      <c r="A632" t="n">
        <v>17</v>
      </c>
      <c r="B632" t="n">
        <v>19980500</v>
      </c>
      <c r="C632" t="n">
        <v>19951763</v>
      </c>
      <c r="D632" t="inlineStr">
        <is>
          <t>species</t>
        </is>
      </c>
      <c r="E632" t="inlineStr">
        <is>
          <t>Bacillus phage Tb</t>
        </is>
      </c>
      <c r="G632" t="inlineStr">
        <is>
          <t>Abolished,</t>
        </is>
      </c>
      <c r="L632" s="8">
        <f>HYPERLINK("https://test.ictv.global/id/TN19980500","TN19980500@TEST")</f>
        <v/>
      </c>
      <c r="M632" s="8">
        <f>HYPERLINK("https://test.ictv.global/id/ICTV19951763","ICTV19951763@TEST")</f>
        <v/>
      </c>
      <c r="N632" s="8">
        <f>HYPERLINK("https://ictv.global/id/TN19980500","TN19980500@prod")</f>
        <v/>
      </c>
      <c r="O632" s="8">
        <f>HYPERLINK("https://ictv.global/id/ICTV19951763","ICTV19951763@prod")</f>
        <v/>
      </c>
    </row>
    <row r="633">
      <c r="A633" t="n">
        <v>17</v>
      </c>
      <c r="B633" t="n">
        <v>19980501</v>
      </c>
      <c r="C633" t="n">
        <v>19951764</v>
      </c>
      <c r="D633" t="inlineStr">
        <is>
          <t>species</t>
        </is>
      </c>
      <c r="E633" t="inlineStr">
        <is>
          <t>Clostridium phage HM2</t>
        </is>
      </c>
      <c r="G633" t="inlineStr">
        <is>
          <t>Abolished,</t>
        </is>
      </c>
      <c r="L633" s="8">
        <f>HYPERLINK("https://test.ictv.global/id/TN19980501","TN19980501@TEST")</f>
        <v/>
      </c>
      <c r="M633" s="8">
        <f>HYPERLINK("https://test.ictv.global/id/ICTV19951764","ICTV19951764@TEST")</f>
        <v/>
      </c>
      <c r="N633" s="8">
        <f>HYPERLINK("https://ictv.global/id/TN19980501","TN19980501@prod")</f>
        <v/>
      </c>
      <c r="O633" s="8">
        <f>HYPERLINK("https://ictv.global/id/ICTV19951764","ICTV19951764@prod")</f>
        <v/>
      </c>
    </row>
    <row r="634">
      <c r="A634" t="n">
        <v>17</v>
      </c>
      <c r="B634" t="n">
        <v>19980502</v>
      </c>
      <c r="C634" t="n">
        <v>19951765</v>
      </c>
      <c r="D634" t="inlineStr">
        <is>
          <t>species</t>
        </is>
      </c>
      <c r="E634" t="inlineStr">
        <is>
          <t>Coryneforms phage 7/26</t>
        </is>
      </c>
      <c r="G634" t="inlineStr">
        <is>
          <t>Abolished,</t>
        </is>
      </c>
      <c r="L634" s="8">
        <f>HYPERLINK("https://test.ictv.global/id/TN19980502","TN19980502@TEST")</f>
        <v/>
      </c>
      <c r="M634" s="8">
        <f>HYPERLINK("https://test.ictv.global/id/ICTV19951765","ICTV19951765@TEST")</f>
        <v/>
      </c>
      <c r="N634" s="8">
        <f>HYPERLINK("https://ictv.global/id/TN19980502","TN19980502@prod")</f>
        <v/>
      </c>
      <c r="O634" s="8">
        <f>HYPERLINK("https://ictv.global/id/ICTV19951765","ICTV19951765@prod")</f>
        <v/>
      </c>
    </row>
    <row r="635">
      <c r="A635" t="n">
        <v>17</v>
      </c>
      <c r="B635" t="n">
        <v>19980503</v>
      </c>
      <c r="C635" t="n">
        <v>19951766</v>
      </c>
      <c r="D635" t="inlineStr">
        <is>
          <t>species</t>
        </is>
      </c>
      <c r="E635" t="inlineStr">
        <is>
          <t>Coryneforms phage AN25S-1</t>
        </is>
      </c>
      <c r="G635" t="inlineStr">
        <is>
          <t>Abolished,</t>
        </is>
      </c>
      <c r="L635" s="8">
        <f>HYPERLINK("https://test.ictv.global/id/TN19980503","TN19980503@TEST")</f>
        <v/>
      </c>
      <c r="M635" s="8">
        <f>HYPERLINK("https://test.ictv.global/id/ICTV19951766","ICTV19951766@TEST")</f>
        <v/>
      </c>
      <c r="N635" s="8">
        <f>HYPERLINK("https://ictv.global/id/TN19980503","TN19980503@prod")</f>
        <v/>
      </c>
      <c r="O635" s="8">
        <f>HYPERLINK("https://ictv.global/id/ICTV19951766","ICTV19951766@prod")</f>
        <v/>
      </c>
    </row>
    <row r="636">
      <c r="A636" t="n">
        <v>17</v>
      </c>
      <c r="B636" t="n">
        <v>19980504</v>
      </c>
      <c r="C636" t="n">
        <v>19951767</v>
      </c>
      <c r="D636" t="inlineStr">
        <is>
          <t>species</t>
        </is>
      </c>
      <c r="E636" t="inlineStr">
        <is>
          <t>Cyanobacteria phage A-4(L)</t>
        </is>
      </c>
      <c r="G636" t="inlineStr">
        <is>
          <t>Abolished,</t>
        </is>
      </c>
      <c r="L636" s="8">
        <f>HYPERLINK("https://test.ictv.global/id/TN19980504","TN19980504@TEST")</f>
        <v/>
      </c>
      <c r="M636" s="8">
        <f>HYPERLINK("https://test.ictv.global/id/ICTV19951767","ICTV19951767@TEST")</f>
        <v/>
      </c>
      <c r="N636" s="8">
        <f>HYPERLINK("https://ictv.global/id/TN19980504","TN19980504@prod")</f>
        <v/>
      </c>
      <c r="O636" s="8">
        <f>HYPERLINK("https://ictv.global/id/ICTV19951767","ICTV19951767@prod")</f>
        <v/>
      </c>
    </row>
    <row r="637">
      <c r="A637" t="n">
        <v>17</v>
      </c>
      <c r="B637" t="n">
        <v>19980505</v>
      </c>
      <c r="C637" t="n">
        <v>19951768</v>
      </c>
      <c r="D637" t="inlineStr">
        <is>
          <t>species</t>
        </is>
      </c>
      <c r="E637" t="inlineStr">
        <is>
          <t>Cyanobacteria phage AC-1</t>
        </is>
      </c>
      <c r="G637" t="inlineStr">
        <is>
          <t>Abolished,</t>
        </is>
      </c>
      <c r="L637" s="8">
        <f>HYPERLINK("https://test.ictv.global/id/TN19980505","TN19980505@TEST")</f>
        <v/>
      </c>
      <c r="M637" s="8">
        <f>HYPERLINK("https://test.ictv.global/id/ICTV19951768","ICTV19951768@TEST")</f>
        <v/>
      </c>
      <c r="N637" s="8">
        <f>HYPERLINK("https://ictv.global/id/TN19980505","TN19980505@prod")</f>
        <v/>
      </c>
      <c r="O637" s="8">
        <f>HYPERLINK("https://ictv.global/id/ICTV19951768","ICTV19951768@prod")</f>
        <v/>
      </c>
    </row>
    <row r="638">
      <c r="A638" t="n">
        <v>17</v>
      </c>
      <c r="B638" t="n">
        <v>19980506</v>
      </c>
      <c r="C638" t="n">
        <v>19951769</v>
      </c>
      <c r="D638" t="inlineStr">
        <is>
          <t>species</t>
        </is>
      </c>
      <c r="E638" t="inlineStr">
        <is>
          <t>Cyanobacteria phage LPP-1</t>
        </is>
      </c>
      <c r="G638" t="inlineStr">
        <is>
          <t>Abolished,</t>
        </is>
      </c>
      <c r="L638" s="8">
        <f>HYPERLINK("https://test.ictv.global/id/TN19980506","TN19980506@TEST")</f>
        <v/>
      </c>
      <c r="M638" s="8">
        <f>HYPERLINK("https://test.ictv.global/id/ICTV19951769","ICTV19951769@TEST")</f>
        <v/>
      </c>
      <c r="N638" s="8">
        <f>HYPERLINK("https://ictv.global/id/TN19980506","TN19980506@prod")</f>
        <v/>
      </c>
      <c r="O638" s="8">
        <f>HYPERLINK("https://ictv.global/id/ICTV19951769","ICTV19951769@prod")</f>
        <v/>
      </c>
    </row>
    <row r="639">
      <c r="A639" t="n">
        <v>17</v>
      </c>
      <c r="B639" t="n">
        <v>19980507</v>
      </c>
      <c r="C639" t="n">
        <v>19951770</v>
      </c>
      <c r="D639" t="inlineStr">
        <is>
          <t>species</t>
        </is>
      </c>
      <c r="E639" t="inlineStr">
        <is>
          <t>Cyanobacteria phage SM-1</t>
        </is>
      </c>
      <c r="G639" t="inlineStr">
        <is>
          <t>Abolished,</t>
        </is>
      </c>
      <c r="L639" s="8">
        <f>HYPERLINK("https://test.ictv.global/id/TN19980507","TN19980507@TEST")</f>
        <v/>
      </c>
      <c r="M639" s="8">
        <f>HYPERLINK("https://test.ictv.global/id/ICTV19951770","ICTV19951770@TEST")</f>
        <v/>
      </c>
      <c r="N639" s="8">
        <f>HYPERLINK("https://ictv.global/id/TN19980507","TN19980507@prod")</f>
        <v/>
      </c>
      <c r="O639" s="8">
        <f>HYPERLINK("https://ictv.global/id/ICTV19951770","ICTV19951770@prod")</f>
        <v/>
      </c>
    </row>
    <row r="640">
      <c r="A640" t="n">
        <v>17</v>
      </c>
      <c r="B640" t="n">
        <v>19980508</v>
      </c>
      <c r="C640" t="n">
        <v>19951771</v>
      </c>
      <c r="D640" t="inlineStr">
        <is>
          <t>species</t>
        </is>
      </c>
      <c r="E640" t="inlineStr">
        <is>
          <t>Enterobacteria phage 7-11</t>
        </is>
      </c>
      <c r="G640" t="inlineStr">
        <is>
          <t>Abolished,</t>
        </is>
      </c>
      <c r="L640" s="8">
        <f>HYPERLINK("https://test.ictv.global/id/TN19980508","TN19980508@TEST")</f>
        <v/>
      </c>
      <c r="M640" s="8">
        <f>HYPERLINK("https://test.ictv.global/id/ICTV19951771","ICTV19951771@TEST")</f>
        <v/>
      </c>
      <c r="N640" s="8">
        <f>HYPERLINK("https://ictv.global/id/TN19980508","TN19980508@prod")</f>
        <v/>
      </c>
      <c r="O640" s="8">
        <f>HYPERLINK("https://ictv.global/id/ICTV19951771","ICTV19951771@prod")</f>
        <v/>
      </c>
    </row>
    <row r="641">
      <c r="A641" t="n">
        <v>17</v>
      </c>
      <c r="B641" t="n">
        <v>19980509</v>
      </c>
      <c r="C641" t="n">
        <v>19951772</v>
      </c>
      <c r="D641" t="inlineStr">
        <is>
          <t>species</t>
        </is>
      </c>
      <c r="E641" t="inlineStr">
        <is>
          <t>Enterobacteria phage 7480b</t>
        </is>
      </c>
      <c r="G641" t="inlineStr">
        <is>
          <t>Abolished,</t>
        </is>
      </c>
      <c r="L641" s="8">
        <f>HYPERLINK("https://test.ictv.global/id/TN19980509","TN19980509@TEST")</f>
        <v/>
      </c>
      <c r="M641" s="8">
        <f>HYPERLINK("https://test.ictv.global/id/ICTV19951772","ICTV19951772@TEST")</f>
        <v/>
      </c>
      <c r="N641" s="8">
        <f>HYPERLINK("https://ictv.global/id/TN19980509","TN19980509@prod")</f>
        <v/>
      </c>
      <c r="O641" s="8">
        <f>HYPERLINK("https://ictv.global/id/ICTV19951772","ICTV19951772@prod")</f>
        <v/>
      </c>
    </row>
    <row r="642">
      <c r="A642" t="n">
        <v>17</v>
      </c>
      <c r="B642" t="n">
        <v>19980510</v>
      </c>
      <c r="C642" t="n">
        <v>19951773</v>
      </c>
      <c r="D642" t="inlineStr">
        <is>
          <t>species</t>
        </is>
      </c>
      <c r="E642" t="inlineStr">
        <is>
          <t>Enterobacteria phage Esc-7-11</t>
        </is>
      </c>
      <c r="G642" t="inlineStr">
        <is>
          <t>Abolished,</t>
        </is>
      </c>
      <c r="L642" s="8">
        <f>HYPERLINK("https://test.ictv.global/id/TN19980510","TN19980510@TEST")</f>
        <v/>
      </c>
      <c r="M642" s="8">
        <f>HYPERLINK("https://test.ictv.global/id/ICTV19951773","ICTV19951773@TEST")</f>
        <v/>
      </c>
      <c r="N642" s="8">
        <f>HYPERLINK("https://ictv.global/id/TN19980510","TN19980510@prod")</f>
        <v/>
      </c>
      <c r="O642" s="8">
        <f>HYPERLINK("https://ictv.global/id/ICTV19951773","ICTV19951773@prod")</f>
        <v/>
      </c>
    </row>
    <row r="643">
      <c r="A643" t="n">
        <v>17</v>
      </c>
      <c r="B643" t="n">
        <v>19980511</v>
      </c>
      <c r="C643" t="n">
        <v>19951774</v>
      </c>
      <c r="D643" t="inlineStr">
        <is>
          <t>species</t>
        </is>
      </c>
      <c r="E643" t="inlineStr">
        <is>
          <t>Enterobacteria phage N4</t>
        </is>
      </c>
      <c r="G643" t="inlineStr">
        <is>
          <t>Abolished,</t>
        </is>
      </c>
      <c r="L643" s="8">
        <f>HYPERLINK("https://test.ictv.global/id/TN19980511","TN19980511@TEST")</f>
        <v/>
      </c>
      <c r="M643" s="8">
        <f>HYPERLINK("https://test.ictv.global/id/ICTV19951774","ICTV19951774@TEST")</f>
        <v/>
      </c>
      <c r="N643" s="8">
        <f>HYPERLINK("https://ictv.global/id/TN19980511","TN19980511@prod")</f>
        <v/>
      </c>
      <c r="O643" s="8">
        <f>HYPERLINK("https://ictv.global/id/ICTV19951774","ICTV19951774@prod")</f>
        <v/>
      </c>
    </row>
    <row r="644">
      <c r="A644" t="n">
        <v>17</v>
      </c>
      <c r="B644" t="n">
        <v>19980512</v>
      </c>
      <c r="C644" t="n">
        <v>19951775</v>
      </c>
      <c r="D644" t="inlineStr">
        <is>
          <t>species</t>
        </is>
      </c>
      <c r="E644" t="inlineStr">
        <is>
          <t>Enterobacteria phage omega8</t>
        </is>
      </c>
      <c r="G644" t="inlineStr">
        <is>
          <t>Abolished,</t>
        </is>
      </c>
      <c r="L644" s="8">
        <f>HYPERLINK("https://test.ictv.global/id/TN19980512","TN19980512@TEST")</f>
        <v/>
      </c>
      <c r="M644" s="8">
        <f>HYPERLINK("https://test.ictv.global/id/ICTV19951775","ICTV19951775@TEST")</f>
        <v/>
      </c>
      <c r="N644" s="8">
        <f>HYPERLINK("https://ictv.global/id/TN19980512","TN19980512@prod")</f>
        <v/>
      </c>
      <c r="O644" s="8">
        <f>HYPERLINK("https://ictv.global/id/ICTV19951775","ICTV19951775@prod")</f>
        <v/>
      </c>
    </row>
    <row r="645">
      <c r="A645" t="n">
        <v>17</v>
      </c>
      <c r="B645" t="n">
        <v>19980513</v>
      </c>
      <c r="C645" t="n">
        <v>19951777</v>
      </c>
      <c r="D645" t="inlineStr">
        <is>
          <t>species</t>
        </is>
      </c>
      <c r="E645" t="inlineStr">
        <is>
          <t>Enterobacteria phage sd</t>
        </is>
      </c>
      <c r="G645" t="inlineStr">
        <is>
          <t>Abolished,</t>
        </is>
      </c>
      <c r="L645" s="8">
        <f>HYPERLINK("https://test.ictv.global/id/TN19980513","TN19980513@TEST")</f>
        <v/>
      </c>
      <c r="M645" s="8">
        <f>HYPERLINK("https://test.ictv.global/id/ICTV19951777","ICTV19951777@TEST")</f>
        <v/>
      </c>
      <c r="N645" s="8">
        <f>HYPERLINK("https://ictv.global/id/TN19980513","TN19980513@prod")</f>
        <v/>
      </c>
      <c r="O645" s="8">
        <f>HYPERLINK("https://ictv.global/id/ICTV19951777","ICTV19951777@prod")</f>
        <v/>
      </c>
    </row>
    <row r="646">
      <c r="A646" t="n">
        <v>17</v>
      </c>
      <c r="B646" t="n">
        <v>19980514</v>
      </c>
      <c r="C646" t="n">
        <v>19951778</v>
      </c>
      <c r="D646" t="inlineStr">
        <is>
          <t>species</t>
        </is>
      </c>
      <c r="E646" t="inlineStr">
        <is>
          <t>Lactococcus phage KSY1</t>
        </is>
      </c>
      <c r="F646" t="inlineStr"/>
      <c r="G646" t="inlineStr">
        <is>
          <t>Abolished,</t>
        </is>
      </c>
      <c r="L646" s="8">
        <f>HYPERLINK("https://test.ictv.global/id/TN19980514","TN19980514@TEST")</f>
        <v/>
      </c>
      <c r="M646" s="8">
        <f>HYPERLINK("https://test.ictv.global/id/ICTV19951778","ICTV19951778@TEST")</f>
        <v/>
      </c>
      <c r="N646" s="8">
        <f>HYPERLINK("https://ictv.global/id/TN19980514","TN19980514@prod")</f>
        <v/>
      </c>
      <c r="O646" s="8">
        <f>HYPERLINK("https://ictv.global/id/ICTV19951778","ICTV19951778@prod")</f>
        <v/>
      </c>
    </row>
    <row r="647">
      <c r="A647" t="n">
        <v>17</v>
      </c>
      <c r="B647" t="n">
        <v>19980515</v>
      </c>
      <c r="C647" t="n">
        <v>19951779</v>
      </c>
      <c r="D647" t="inlineStr">
        <is>
          <t>species</t>
        </is>
      </c>
      <c r="E647" t="inlineStr">
        <is>
          <t>Lactococcus phage PO34</t>
        </is>
      </c>
      <c r="G647" t="inlineStr">
        <is>
          <t>Abolished,</t>
        </is>
      </c>
      <c r="L647" s="8">
        <f>HYPERLINK("https://test.ictv.global/id/TN19980515","TN19980515@TEST")</f>
        <v/>
      </c>
      <c r="M647" s="8">
        <f>HYPERLINK("https://test.ictv.global/id/ICTV19951779","ICTV19951779@TEST")</f>
        <v/>
      </c>
      <c r="N647" s="8">
        <f>HYPERLINK("https://ictv.global/id/TN19980515","TN19980515@prod")</f>
        <v/>
      </c>
      <c r="O647" s="8">
        <f>HYPERLINK("https://ictv.global/id/ICTV19951779","ICTV19951779@prod")</f>
        <v/>
      </c>
    </row>
    <row r="648">
      <c r="A648" t="n">
        <v>17</v>
      </c>
      <c r="B648" t="n">
        <v>19980516</v>
      </c>
      <c r="C648" t="n">
        <v>19951780</v>
      </c>
      <c r="D648" t="inlineStr">
        <is>
          <t>species</t>
        </is>
      </c>
      <c r="E648" t="inlineStr">
        <is>
          <t>Mollicutes phage C3</t>
        </is>
      </c>
      <c r="G648" t="inlineStr">
        <is>
          <t>Abolished,</t>
        </is>
      </c>
      <c r="L648" s="8">
        <f>HYPERLINK("https://test.ictv.global/id/TN19980516","TN19980516@TEST")</f>
        <v/>
      </c>
      <c r="M648" s="8">
        <f>HYPERLINK("https://test.ictv.global/id/ICTV19951780","ICTV19951780@TEST")</f>
        <v/>
      </c>
      <c r="N648" s="8">
        <f>HYPERLINK("https://ictv.global/id/TN19980516","TN19980516@prod")</f>
        <v/>
      </c>
      <c r="O648" s="8">
        <f>HYPERLINK("https://ictv.global/id/ICTV19951780","ICTV19951780@prod")</f>
        <v/>
      </c>
    </row>
    <row r="649">
      <c r="A649" t="n">
        <v>17</v>
      </c>
      <c r="B649" t="n">
        <v>19980517</v>
      </c>
      <c r="C649" t="n">
        <v>19951781</v>
      </c>
      <c r="D649" t="inlineStr">
        <is>
          <t>species</t>
        </is>
      </c>
      <c r="E649" t="inlineStr">
        <is>
          <t>Mollicutes phage L3</t>
        </is>
      </c>
      <c r="G649" t="inlineStr">
        <is>
          <t>Abolished,</t>
        </is>
      </c>
      <c r="L649" s="8">
        <f>HYPERLINK("https://test.ictv.global/id/TN19980517","TN19980517@TEST")</f>
        <v/>
      </c>
      <c r="M649" s="8">
        <f>HYPERLINK("https://test.ictv.global/id/ICTV19951781","ICTV19951781@TEST")</f>
        <v/>
      </c>
      <c r="N649" s="8">
        <f>HYPERLINK("https://ictv.global/id/TN19980517","TN19980517@prod")</f>
        <v/>
      </c>
      <c r="O649" s="8">
        <f>HYPERLINK("https://ictv.global/id/ICTV19951781","ICTV19951781@prod")</f>
        <v/>
      </c>
    </row>
    <row r="650">
      <c r="A650" t="n">
        <v>17</v>
      </c>
      <c r="B650" t="n">
        <v>19980518</v>
      </c>
      <c r="C650" t="n">
        <v>19951782</v>
      </c>
      <c r="D650" t="inlineStr">
        <is>
          <t>species</t>
        </is>
      </c>
      <c r="E650" t="inlineStr">
        <is>
          <t>Mycobacterium phage phi17</t>
        </is>
      </c>
      <c r="G650" t="inlineStr">
        <is>
          <t>Abolished,</t>
        </is>
      </c>
      <c r="L650" s="8">
        <f>HYPERLINK("https://test.ictv.global/id/TN19980518","TN19980518@TEST")</f>
        <v/>
      </c>
      <c r="M650" s="8">
        <f>HYPERLINK("https://test.ictv.global/id/ICTV19951782","ICTV19951782@TEST")</f>
        <v/>
      </c>
      <c r="N650" s="8">
        <f>HYPERLINK("https://ictv.global/id/TN19980518","TN19980518@prod")</f>
        <v/>
      </c>
      <c r="O650" s="8">
        <f>HYPERLINK("https://ictv.global/id/ICTV19951782","ICTV19951782@prod")</f>
        <v/>
      </c>
    </row>
    <row r="651">
      <c r="A651" t="n">
        <v>17</v>
      </c>
      <c r="B651" t="n">
        <v>19980519</v>
      </c>
      <c r="C651" t="n">
        <v>19951783</v>
      </c>
      <c r="D651" t="inlineStr">
        <is>
          <t>species</t>
        </is>
      </c>
      <c r="E651" t="inlineStr">
        <is>
          <t>Pasteurella phage 22</t>
        </is>
      </c>
      <c r="G651" t="inlineStr">
        <is>
          <t>Abolished,</t>
        </is>
      </c>
      <c r="L651" s="8">
        <f>HYPERLINK("https://test.ictv.global/id/TN19980519","TN19980519@TEST")</f>
        <v/>
      </c>
      <c r="M651" s="8">
        <f>HYPERLINK("https://test.ictv.global/id/ICTV19951783","ICTV19951783@TEST")</f>
        <v/>
      </c>
      <c r="N651" s="8">
        <f>HYPERLINK("https://ictv.global/id/TN19980519","TN19980519@prod")</f>
        <v/>
      </c>
      <c r="O651" s="8">
        <f>HYPERLINK("https://ictv.global/id/ICTV19951783","ICTV19951783@prod")</f>
        <v/>
      </c>
    </row>
    <row r="652">
      <c r="A652" t="n">
        <v>17</v>
      </c>
      <c r="B652" t="n">
        <v>19980520</v>
      </c>
      <c r="C652" t="n">
        <v>19951784</v>
      </c>
      <c r="D652" t="inlineStr">
        <is>
          <t>species</t>
        </is>
      </c>
      <c r="E652" t="inlineStr">
        <is>
          <t>Pseudomonas phage F116</t>
        </is>
      </c>
      <c r="F652" t="inlineStr">
        <is>
          <t>AY625898</t>
        </is>
      </c>
      <c r="G652" t="inlineStr">
        <is>
          <t>Abolished,</t>
        </is>
      </c>
      <c r="L652" s="8">
        <f>HYPERLINK("https://test.ictv.global/id/TN19980520","TN19980520@TEST")</f>
        <v/>
      </c>
      <c r="M652" s="8">
        <f>HYPERLINK("https://test.ictv.global/id/ICTV19951784","ICTV19951784@TEST")</f>
        <v/>
      </c>
      <c r="N652" s="8">
        <f>HYPERLINK("https://ictv.global/id/TN19980520","TN19980520@prod")</f>
        <v/>
      </c>
      <c r="O652" s="8">
        <f>HYPERLINK("https://ictv.global/id/ICTV19951784","ICTV19951784@prod")</f>
        <v/>
      </c>
    </row>
    <row r="653">
      <c r="A653" t="n">
        <v>17</v>
      </c>
      <c r="B653" t="n">
        <v>19980521</v>
      </c>
      <c r="C653" t="n">
        <v>19951785</v>
      </c>
      <c r="D653" t="inlineStr">
        <is>
          <t>species</t>
        </is>
      </c>
      <c r="E653" t="inlineStr">
        <is>
          <t>Rhizobium phage phi2042</t>
        </is>
      </c>
      <c r="G653" t="inlineStr">
        <is>
          <t>Abolished,</t>
        </is>
      </c>
      <c r="L653" s="8">
        <f>HYPERLINK("https://test.ictv.global/id/TN19980521","TN19980521@TEST")</f>
        <v/>
      </c>
      <c r="M653" s="8">
        <f>HYPERLINK("https://test.ictv.global/id/ICTV19951785","ICTV19951785@TEST")</f>
        <v/>
      </c>
      <c r="N653" s="8">
        <f>HYPERLINK("https://ictv.global/id/TN19980521","TN19980521@prod")</f>
        <v/>
      </c>
      <c r="O653" s="8">
        <f>HYPERLINK("https://ictv.global/id/ICTV19951785","ICTV19951785@prod")</f>
        <v/>
      </c>
    </row>
    <row r="654">
      <c r="A654" t="n">
        <v>17</v>
      </c>
      <c r="B654" t="n">
        <v>19980522</v>
      </c>
      <c r="C654" t="n">
        <v>19951786</v>
      </c>
      <c r="D654" t="inlineStr">
        <is>
          <t>species</t>
        </is>
      </c>
      <c r="E654" t="inlineStr">
        <is>
          <t>Staphylococcus phage 44AHJD</t>
        </is>
      </c>
      <c r="F654" t="inlineStr"/>
      <c r="G654" t="inlineStr">
        <is>
          <t>Abolished,</t>
        </is>
      </c>
      <c r="L654" s="8">
        <f>HYPERLINK("https://test.ictv.global/id/TN19980522","TN19980522@TEST")</f>
        <v/>
      </c>
      <c r="M654" s="8">
        <f>HYPERLINK("https://test.ictv.global/id/ICTV19951786","ICTV19951786@TEST")</f>
        <v/>
      </c>
      <c r="N654" s="8">
        <f>HYPERLINK("https://ictv.global/id/TN19980522","TN19980522@prod")</f>
        <v/>
      </c>
      <c r="O654" s="8">
        <f>HYPERLINK("https://ictv.global/id/ICTV19951786","ICTV19951786@prod")</f>
        <v/>
      </c>
    </row>
    <row r="655">
      <c r="A655" t="n">
        <v>17</v>
      </c>
      <c r="B655" t="n">
        <v>19980523</v>
      </c>
      <c r="C655" t="n">
        <v>19951787</v>
      </c>
      <c r="D655" t="inlineStr">
        <is>
          <t>species</t>
        </is>
      </c>
      <c r="E655" t="inlineStr">
        <is>
          <t>Streptococcus phage 182</t>
        </is>
      </c>
      <c r="G655" t="inlineStr">
        <is>
          <t>Abolished,</t>
        </is>
      </c>
      <c r="L655" s="8">
        <f>HYPERLINK("https://test.ictv.global/id/TN19980523","TN19980523@TEST")</f>
        <v/>
      </c>
      <c r="M655" s="8">
        <f>HYPERLINK("https://test.ictv.global/id/ICTV19951787","ICTV19951787@TEST")</f>
        <v/>
      </c>
      <c r="N655" s="8">
        <f>HYPERLINK("https://ictv.global/id/TN19980523","TN19980523@prod")</f>
        <v/>
      </c>
      <c r="O655" s="8">
        <f>HYPERLINK("https://ictv.global/id/ICTV19951787","ICTV19951787@prod")</f>
        <v/>
      </c>
    </row>
    <row r="656">
      <c r="A656" t="n">
        <v>17</v>
      </c>
      <c r="B656" t="n">
        <v>19980524</v>
      </c>
      <c r="C656" t="n">
        <v>19951788</v>
      </c>
      <c r="D656" t="inlineStr">
        <is>
          <t>species</t>
        </is>
      </c>
      <c r="E656" t="inlineStr">
        <is>
          <t>Streptococcus phage 2BV</t>
        </is>
      </c>
      <c r="G656" t="inlineStr">
        <is>
          <t>Abolished,</t>
        </is>
      </c>
      <c r="L656" s="8">
        <f>HYPERLINK("https://test.ictv.global/id/TN19980524","TN19980524@TEST")</f>
        <v/>
      </c>
      <c r="M656" s="8">
        <f>HYPERLINK("https://test.ictv.global/id/ICTV19951788","ICTV19951788@TEST")</f>
        <v/>
      </c>
      <c r="N656" s="8">
        <f>HYPERLINK("https://ictv.global/id/TN19980524","TN19980524@prod")</f>
        <v/>
      </c>
      <c r="O656" s="8">
        <f>HYPERLINK("https://ictv.global/id/ICTV19951788","ICTV19951788@prod")</f>
        <v/>
      </c>
    </row>
    <row r="657">
      <c r="A657" t="n">
        <v>17</v>
      </c>
      <c r="B657" t="n">
        <v>19980525</v>
      </c>
      <c r="C657" t="n">
        <v>19951790</v>
      </c>
      <c r="D657" t="inlineStr">
        <is>
          <t>species</t>
        </is>
      </c>
      <c r="E657" t="inlineStr">
        <is>
          <t>Streptococcus phage Cvir</t>
        </is>
      </c>
      <c r="G657" t="inlineStr">
        <is>
          <t>Abolished,</t>
        </is>
      </c>
      <c r="L657" s="8">
        <f>HYPERLINK("https://test.ictv.global/id/TN19980525","TN19980525@TEST")</f>
        <v/>
      </c>
      <c r="M657" s="8">
        <f>HYPERLINK("https://test.ictv.global/id/ICTV19951790","ICTV19951790@TEST")</f>
        <v/>
      </c>
      <c r="N657" s="8">
        <f>HYPERLINK("https://ictv.global/id/TN19980525","TN19980525@prod")</f>
        <v/>
      </c>
      <c r="O657" s="8">
        <f>HYPERLINK("https://ictv.global/id/ICTV19951790","ICTV19951790@prod")</f>
        <v/>
      </c>
    </row>
    <row r="658">
      <c r="A658" t="n">
        <v>17</v>
      </c>
      <c r="B658" t="n">
        <v>19980526</v>
      </c>
      <c r="C658" t="n">
        <v>19951791</v>
      </c>
      <c r="D658" t="inlineStr">
        <is>
          <t>species</t>
        </is>
      </c>
      <c r="E658" t="inlineStr">
        <is>
          <t>Streptococcus phage H39</t>
        </is>
      </c>
      <c r="G658" t="inlineStr">
        <is>
          <t>Abolished,</t>
        </is>
      </c>
      <c r="L658" s="8">
        <f>HYPERLINK("https://test.ictv.global/id/TN19980526","TN19980526@TEST")</f>
        <v/>
      </c>
      <c r="M658" s="8">
        <f>HYPERLINK("https://test.ictv.global/id/ICTV19951791","ICTV19951791@TEST")</f>
        <v/>
      </c>
      <c r="N658" s="8">
        <f>HYPERLINK("https://ictv.global/id/TN19980526","TN19980526@prod")</f>
        <v/>
      </c>
      <c r="O658" s="8">
        <f>HYPERLINK("https://ictv.global/id/ICTV19951791","ICTV19951791@prod")</f>
        <v/>
      </c>
    </row>
    <row r="659">
      <c r="A659" t="n">
        <v>17</v>
      </c>
      <c r="B659" t="n">
        <v>19980527</v>
      </c>
      <c r="C659" t="n">
        <v>19951792</v>
      </c>
      <c r="D659" t="inlineStr">
        <is>
          <t>species</t>
        </is>
      </c>
      <c r="E659" t="inlineStr">
        <is>
          <t>Vibrio phage 4996</t>
        </is>
      </c>
      <c r="G659" t="inlineStr">
        <is>
          <t>Abolished,</t>
        </is>
      </c>
      <c r="L659" s="8">
        <f>HYPERLINK("https://test.ictv.global/id/TN19980527","TN19980527@TEST")</f>
        <v/>
      </c>
      <c r="M659" s="8">
        <f>HYPERLINK("https://test.ictv.global/id/ICTV19951792","ICTV19951792@TEST")</f>
        <v/>
      </c>
      <c r="N659" s="8">
        <f>HYPERLINK("https://ictv.global/id/TN19980527","TN19980527@prod")</f>
        <v/>
      </c>
      <c r="O659" s="8">
        <f>HYPERLINK("https://ictv.global/id/ICTV19951792","ICTV19951792@prod")</f>
        <v/>
      </c>
    </row>
    <row r="660">
      <c r="A660" t="n">
        <v>17</v>
      </c>
      <c r="B660" t="n">
        <v>19980528</v>
      </c>
      <c r="C660" t="n">
        <v>19951793</v>
      </c>
      <c r="D660" t="inlineStr">
        <is>
          <t>species</t>
        </is>
      </c>
      <c r="E660" t="inlineStr">
        <is>
          <t>Vibrio phage I</t>
        </is>
      </c>
      <c r="G660" t="inlineStr">
        <is>
          <t>Abolished,</t>
        </is>
      </c>
      <c r="L660" s="8">
        <f>HYPERLINK("https://test.ictv.global/id/TN19980528","TN19980528@TEST")</f>
        <v/>
      </c>
      <c r="M660" s="8">
        <f>HYPERLINK("https://test.ictv.global/id/ICTV19951793","ICTV19951793@TEST")</f>
        <v/>
      </c>
      <c r="N660" s="8">
        <f>HYPERLINK("https://ictv.global/id/TN19980528","TN19980528@prod")</f>
        <v/>
      </c>
      <c r="O660" s="8">
        <f>HYPERLINK("https://ictv.global/id/ICTV19951793","ICTV19951793@prod")</f>
        <v/>
      </c>
    </row>
    <row r="661">
      <c r="A661" t="n">
        <v>17</v>
      </c>
      <c r="B661" t="n">
        <v>19980529</v>
      </c>
      <c r="C661" t="n">
        <v>19951794</v>
      </c>
      <c r="D661" t="inlineStr">
        <is>
          <t>species</t>
        </is>
      </c>
      <c r="E661" t="inlineStr">
        <is>
          <t>Vibrio phage OXN-100P</t>
        </is>
      </c>
      <c r="G661" t="inlineStr">
        <is>
          <t>Abolished,</t>
        </is>
      </c>
      <c r="L661" s="8">
        <f>HYPERLINK("https://test.ictv.global/id/TN19980529","TN19980529@TEST")</f>
        <v/>
      </c>
      <c r="M661" s="8">
        <f>HYPERLINK("https://test.ictv.global/id/ICTV19951794","ICTV19951794@TEST")</f>
        <v/>
      </c>
      <c r="N661" s="8">
        <f>HYPERLINK("https://ictv.global/id/TN19980529","TN19980529@prod")</f>
        <v/>
      </c>
      <c r="O661" s="8">
        <f>HYPERLINK("https://ictv.global/id/ICTV19951794","ICTV19951794@prod")</f>
        <v/>
      </c>
    </row>
    <row r="662">
      <c r="A662" t="n">
        <v>17</v>
      </c>
      <c r="B662" t="n">
        <v>19980530</v>
      </c>
      <c r="C662" t="n">
        <v>19951795</v>
      </c>
      <c r="D662" t="inlineStr">
        <is>
          <t>species</t>
        </is>
      </c>
      <c r="E662" t="inlineStr">
        <is>
          <t>Xanthomonas phage RR66</t>
        </is>
      </c>
      <c r="G662" t="inlineStr">
        <is>
          <t>Abolished,</t>
        </is>
      </c>
      <c r="L662" s="8">
        <f>HYPERLINK("https://test.ictv.global/id/TN19980530","TN19980530@TEST")</f>
        <v/>
      </c>
      <c r="M662" s="8">
        <f>HYPERLINK("https://test.ictv.global/id/ICTV19951795","ICTV19951795@TEST")</f>
        <v/>
      </c>
      <c r="N662" s="8">
        <f>HYPERLINK("https://ictv.global/id/TN19980530","TN19980530@prod")</f>
        <v/>
      </c>
      <c r="O662" s="8">
        <f>HYPERLINK("https://ictv.global/id/ICTV19951795","ICTV19951795@prod")</f>
        <v/>
      </c>
    </row>
    <row r="663">
      <c r="A663" t="n">
        <v>17</v>
      </c>
      <c r="B663" t="n">
        <v>19980534</v>
      </c>
      <c r="C663" t="n">
        <v>19760702</v>
      </c>
      <c r="D663" t="inlineStr">
        <is>
          <t>species</t>
        </is>
      </c>
      <c r="E663" t="inlineStr">
        <is>
          <t>Lamboid phage PA-2</t>
        </is>
      </c>
      <c r="G663" t="inlineStr">
        <is>
          <t>Abolished,</t>
        </is>
      </c>
      <c r="L663" s="8">
        <f>HYPERLINK("https://test.ictv.global/id/TN19980534","TN19980534@TEST")</f>
        <v/>
      </c>
      <c r="M663" s="8">
        <f>HYPERLINK("https://test.ictv.global/id/ICTV19760702","ICTV19760702@TEST")</f>
        <v/>
      </c>
      <c r="N663" s="8">
        <f>HYPERLINK("https://ictv.global/id/TN19980534","TN19980534@prod")</f>
        <v/>
      </c>
      <c r="O663" s="8">
        <f>HYPERLINK("https://ictv.global/id/ICTV19760702","ICTV19760702@prod")</f>
        <v/>
      </c>
    </row>
    <row r="664">
      <c r="A664" t="n">
        <v>17</v>
      </c>
      <c r="B664" t="n">
        <v>19980535</v>
      </c>
      <c r="C664" t="n">
        <v>19760703</v>
      </c>
      <c r="D664" t="inlineStr">
        <is>
          <t>species</t>
        </is>
      </c>
      <c r="E664" t="inlineStr">
        <is>
          <t>Lamboid phage phi80</t>
        </is>
      </c>
      <c r="G664" t="inlineStr">
        <is>
          <t>Abolished,</t>
        </is>
      </c>
      <c r="L664" s="8">
        <f>HYPERLINK("https://test.ictv.global/id/TN19980535","TN19980535@TEST")</f>
        <v/>
      </c>
      <c r="M664" s="8">
        <f>HYPERLINK("https://test.ictv.global/id/ICTV19760703","ICTV19760703@TEST")</f>
        <v/>
      </c>
      <c r="N664" s="8">
        <f>HYPERLINK("https://ictv.global/id/TN19980535","TN19980535@prod")</f>
        <v/>
      </c>
      <c r="O664" s="8">
        <f>HYPERLINK("https://ictv.global/id/ICTV19760703","ICTV19760703@prod")</f>
        <v/>
      </c>
    </row>
    <row r="665">
      <c r="A665" t="n">
        <v>17</v>
      </c>
      <c r="B665" t="n">
        <v>19980539</v>
      </c>
      <c r="C665" t="n">
        <v>19962186</v>
      </c>
      <c r="D665" t="inlineStr">
        <is>
          <t>species</t>
        </is>
      </c>
      <c r="E665" t="inlineStr">
        <is>
          <t>Acinetobacter phage 531</t>
        </is>
      </c>
      <c r="G665" t="inlineStr">
        <is>
          <t>Abolished,</t>
        </is>
      </c>
      <c r="L665" s="8">
        <f>HYPERLINK("https://test.ictv.global/id/TN19980539","TN19980539@TEST")</f>
        <v/>
      </c>
      <c r="M665" s="8">
        <f>HYPERLINK("https://test.ictv.global/id/ICTV19962186","ICTV19962186@TEST")</f>
        <v/>
      </c>
      <c r="N665" s="8">
        <f>HYPERLINK("https://ictv.global/id/TN19980539","TN19980539@prod")</f>
        <v/>
      </c>
      <c r="O665" s="8">
        <f>HYPERLINK("https://ictv.global/id/ICTV19962186","ICTV19962186@prod")</f>
        <v/>
      </c>
    </row>
    <row r="666">
      <c r="A666" t="n">
        <v>17</v>
      </c>
      <c r="B666" t="n">
        <v>19980540</v>
      </c>
      <c r="C666" t="n">
        <v>19962187</v>
      </c>
      <c r="D666" t="inlineStr">
        <is>
          <t>species</t>
        </is>
      </c>
      <c r="E666" t="inlineStr">
        <is>
          <t>Acinetobacter phage E13</t>
        </is>
      </c>
      <c r="G666" t="inlineStr">
        <is>
          <t>Abolished,</t>
        </is>
      </c>
      <c r="L666" s="8">
        <f>HYPERLINK("https://test.ictv.global/id/TN19980540","TN19980540@TEST")</f>
        <v/>
      </c>
      <c r="M666" s="8">
        <f>HYPERLINK("https://test.ictv.global/id/ICTV19962187","ICTV19962187@TEST")</f>
        <v/>
      </c>
      <c r="N666" s="8">
        <f>HYPERLINK("https://ictv.global/id/TN19980540","TN19980540@prod")</f>
        <v/>
      </c>
      <c r="O666" s="8">
        <f>HYPERLINK("https://ictv.global/id/ICTV19962187","ICTV19962187@prod")</f>
        <v/>
      </c>
    </row>
    <row r="667">
      <c r="A667" t="n">
        <v>17</v>
      </c>
      <c r="B667" t="n">
        <v>19980541</v>
      </c>
      <c r="C667" t="n">
        <v>19952125</v>
      </c>
      <c r="D667" t="inlineStr">
        <is>
          <t>species</t>
        </is>
      </c>
      <c r="E667" t="inlineStr">
        <is>
          <t>Actinomycetes phage 119</t>
        </is>
      </c>
      <c r="G667" t="inlineStr">
        <is>
          <t>Abolished,</t>
        </is>
      </c>
      <c r="L667" s="8">
        <f>HYPERLINK("https://test.ictv.global/id/TN19980541","TN19980541@TEST")</f>
        <v/>
      </c>
      <c r="M667" s="8">
        <f>HYPERLINK("https://test.ictv.global/id/ICTV19952125","ICTV19952125@TEST")</f>
        <v/>
      </c>
      <c r="N667" s="8">
        <f>HYPERLINK("https://ictv.global/id/TN19980541","TN19980541@prod")</f>
        <v/>
      </c>
      <c r="O667" s="8">
        <f>HYPERLINK("https://ictv.global/id/ICTV19952125","ICTV19952125@prod")</f>
        <v/>
      </c>
    </row>
    <row r="668">
      <c r="A668" t="n">
        <v>17</v>
      </c>
      <c r="B668" t="n">
        <v>19980542</v>
      </c>
      <c r="C668" t="n">
        <v>19952126</v>
      </c>
      <c r="D668" t="inlineStr">
        <is>
          <t>species</t>
        </is>
      </c>
      <c r="E668" t="inlineStr">
        <is>
          <t>Actinomycetes phage A1-Dat</t>
        </is>
      </c>
      <c r="G668" t="inlineStr">
        <is>
          <t>Abolished,</t>
        </is>
      </c>
      <c r="L668" s="8">
        <f>HYPERLINK("https://test.ictv.global/id/TN19980542","TN19980542@TEST")</f>
        <v/>
      </c>
      <c r="M668" s="8">
        <f>HYPERLINK("https://test.ictv.global/id/ICTV19952126","ICTV19952126@TEST")</f>
        <v/>
      </c>
      <c r="N668" s="8">
        <f>HYPERLINK("https://ictv.global/id/TN19980542","TN19980542@prod")</f>
        <v/>
      </c>
      <c r="O668" s="8">
        <f>HYPERLINK("https://ictv.global/id/ICTV19952126","ICTV19952126@prod")</f>
        <v/>
      </c>
    </row>
    <row r="669">
      <c r="A669" t="n">
        <v>17</v>
      </c>
      <c r="B669" t="n">
        <v>19980543</v>
      </c>
      <c r="C669" t="n">
        <v>19952127</v>
      </c>
      <c r="D669" t="inlineStr">
        <is>
          <t>species</t>
        </is>
      </c>
      <c r="E669" t="inlineStr">
        <is>
          <t>Actinomycetes phage Bir</t>
        </is>
      </c>
      <c r="G669" t="inlineStr">
        <is>
          <t>Abolished,</t>
        </is>
      </c>
      <c r="L669" s="8">
        <f>HYPERLINK("https://test.ictv.global/id/TN19980543","TN19980543@TEST")</f>
        <v/>
      </c>
      <c r="M669" s="8">
        <f>HYPERLINK("https://test.ictv.global/id/ICTV19952127","ICTV19952127@TEST")</f>
        <v/>
      </c>
      <c r="N669" s="8">
        <f>HYPERLINK("https://ictv.global/id/TN19980543","TN19980543@prod")</f>
        <v/>
      </c>
      <c r="O669" s="8">
        <f>HYPERLINK("https://ictv.global/id/ICTV19952127","ICTV19952127@prod")</f>
        <v/>
      </c>
    </row>
    <row r="670">
      <c r="A670" t="n">
        <v>17</v>
      </c>
      <c r="B670" t="n">
        <v>19980544</v>
      </c>
      <c r="C670" t="n">
        <v>19952128</v>
      </c>
      <c r="D670" t="inlineStr">
        <is>
          <t>species</t>
        </is>
      </c>
      <c r="E670" t="inlineStr">
        <is>
          <t>Actinomycetes phage M1</t>
        </is>
      </c>
      <c r="G670" t="inlineStr">
        <is>
          <t>Abolished,</t>
        </is>
      </c>
      <c r="L670" s="8">
        <f>HYPERLINK("https://test.ictv.global/id/TN19980544","TN19980544@TEST")</f>
        <v/>
      </c>
      <c r="M670" s="8">
        <f>HYPERLINK("https://test.ictv.global/id/ICTV19952128","ICTV19952128@TEST")</f>
        <v/>
      </c>
      <c r="N670" s="8">
        <f>HYPERLINK("https://ictv.global/id/TN19980544","TN19980544@prod")</f>
        <v/>
      </c>
      <c r="O670" s="8">
        <f>HYPERLINK("https://ictv.global/id/ICTV19952128","ICTV19952128@prod")</f>
        <v/>
      </c>
    </row>
    <row r="671">
      <c r="A671" t="n">
        <v>17</v>
      </c>
      <c r="B671" t="n">
        <v>19980545</v>
      </c>
      <c r="C671" t="n">
        <v>19952129</v>
      </c>
      <c r="D671" t="inlineStr">
        <is>
          <t>species</t>
        </is>
      </c>
      <c r="E671" t="inlineStr">
        <is>
          <t>Actinomycetes phage MSP8</t>
        </is>
      </c>
      <c r="G671" t="inlineStr">
        <is>
          <t>Abolished,</t>
        </is>
      </c>
      <c r="L671" s="8">
        <f>HYPERLINK("https://test.ictv.global/id/TN19980545","TN19980545@TEST")</f>
        <v/>
      </c>
      <c r="M671" s="8">
        <f>HYPERLINK("https://test.ictv.global/id/ICTV19952129","ICTV19952129@TEST")</f>
        <v/>
      </c>
      <c r="N671" s="8">
        <f>HYPERLINK("https://ictv.global/id/TN19980545","TN19980545@prod")</f>
        <v/>
      </c>
      <c r="O671" s="8">
        <f>HYPERLINK("https://ictv.global/id/ICTV19952129","ICTV19952129@prod")</f>
        <v/>
      </c>
    </row>
    <row r="672">
      <c r="A672" t="n">
        <v>17</v>
      </c>
      <c r="B672" t="n">
        <v>19980546</v>
      </c>
      <c r="C672" t="n">
        <v>19952130</v>
      </c>
      <c r="D672" t="inlineStr">
        <is>
          <t>species</t>
        </is>
      </c>
      <c r="E672" t="inlineStr">
        <is>
          <t>Actinomycetes phage P-a-1</t>
        </is>
      </c>
      <c r="G672" t="inlineStr">
        <is>
          <t>Abolished,</t>
        </is>
      </c>
      <c r="L672" s="8">
        <f>HYPERLINK("https://test.ictv.global/id/TN19980546","TN19980546@TEST")</f>
        <v/>
      </c>
      <c r="M672" s="8">
        <f>HYPERLINK("https://test.ictv.global/id/ICTV19952130","ICTV19952130@TEST")</f>
        <v/>
      </c>
      <c r="N672" s="8">
        <f>HYPERLINK("https://ictv.global/id/TN19980546","TN19980546@prod")</f>
        <v/>
      </c>
      <c r="O672" s="8">
        <f>HYPERLINK("https://ictv.global/id/ICTV19952130","ICTV19952130@prod")</f>
        <v/>
      </c>
    </row>
    <row r="673">
      <c r="A673" t="n">
        <v>17</v>
      </c>
      <c r="B673" t="n">
        <v>19980547</v>
      </c>
      <c r="C673" t="n">
        <v>19952131</v>
      </c>
      <c r="D673" t="inlineStr">
        <is>
          <t>species</t>
        </is>
      </c>
      <c r="E673" t="inlineStr">
        <is>
          <t>Actinomycetes phage phi115-A</t>
        </is>
      </c>
      <c r="G673" t="inlineStr">
        <is>
          <t>Abolished,</t>
        </is>
      </c>
      <c r="L673" s="8">
        <f>HYPERLINK("https://test.ictv.global/id/TN19980547","TN19980547@TEST")</f>
        <v/>
      </c>
      <c r="M673" s="8">
        <f>HYPERLINK("https://test.ictv.global/id/ICTV19952131","ICTV19952131@TEST")</f>
        <v/>
      </c>
      <c r="N673" s="8">
        <f>HYPERLINK("https://ictv.global/id/TN19980547","TN19980547@prod")</f>
        <v/>
      </c>
      <c r="O673" s="8">
        <f>HYPERLINK("https://ictv.global/id/ICTV19952131","ICTV19952131@prod")</f>
        <v/>
      </c>
    </row>
    <row r="674">
      <c r="A674" t="n">
        <v>17</v>
      </c>
      <c r="B674" t="n">
        <v>19980548</v>
      </c>
      <c r="C674" t="n">
        <v>19952132</v>
      </c>
      <c r="D674" t="inlineStr">
        <is>
          <t>species</t>
        </is>
      </c>
      <c r="E674" t="inlineStr">
        <is>
          <t>Actinomycetes phage phi150A</t>
        </is>
      </c>
      <c r="G674" t="inlineStr">
        <is>
          <t>Abolished,</t>
        </is>
      </c>
      <c r="L674" s="8">
        <f>HYPERLINK("https://test.ictv.global/id/TN19980548","TN19980548@TEST")</f>
        <v/>
      </c>
      <c r="M674" s="8">
        <f>HYPERLINK("https://test.ictv.global/id/ICTV19952132","ICTV19952132@TEST")</f>
        <v/>
      </c>
      <c r="N674" s="8">
        <f>HYPERLINK("https://ictv.global/id/TN19980548","TN19980548@prod")</f>
        <v/>
      </c>
      <c r="O674" s="8">
        <f>HYPERLINK("https://ictv.global/id/ICTV19952132","ICTV19952132@prod")</f>
        <v/>
      </c>
    </row>
    <row r="675">
      <c r="A675" t="n">
        <v>17</v>
      </c>
      <c r="B675" t="n">
        <v>19980549</v>
      </c>
      <c r="C675" t="n">
        <v>19952133</v>
      </c>
      <c r="D675" t="inlineStr">
        <is>
          <t>species</t>
        </is>
      </c>
      <c r="E675" t="inlineStr">
        <is>
          <t>Actinomycetes phage phi31C</t>
        </is>
      </c>
      <c r="G675" t="inlineStr">
        <is>
          <t>Abolished,</t>
        </is>
      </c>
      <c r="L675" s="8">
        <f>HYPERLINK("https://test.ictv.global/id/TN19980549","TN19980549@TEST")</f>
        <v/>
      </c>
      <c r="M675" s="8">
        <f>HYPERLINK("https://test.ictv.global/id/ICTV19952133","ICTV19952133@TEST")</f>
        <v/>
      </c>
      <c r="N675" s="8">
        <f>HYPERLINK("https://ictv.global/id/TN19980549","TN19980549@prod")</f>
        <v/>
      </c>
      <c r="O675" s="8">
        <f>HYPERLINK("https://ictv.global/id/ICTV19952133","ICTV19952133@prod")</f>
        <v/>
      </c>
    </row>
    <row r="676">
      <c r="A676" t="n">
        <v>17</v>
      </c>
      <c r="B676" t="n">
        <v>19980550</v>
      </c>
      <c r="C676" t="n">
        <v>19952134</v>
      </c>
      <c r="D676" t="inlineStr">
        <is>
          <t>species</t>
        </is>
      </c>
      <c r="E676" t="inlineStr">
        <is>
          <t>Actinomycetes phage phiC</t>
        </is>
      </c>
      <c r="G676" t="inlineStr">
        <is>
          <t>Abolished,</t>
        </is>
      </c>
      <c r="L676" s="8">
        <f>HYPERLINK("https://test.ictv.global/id/TN19980550","TN19980550@TEST")</f>
        <v/>
      </c>
      <c r="M676" s="8">
        <f>HYPERLINK("https://test.ictv.global/id/ICTV19952134","ICTV19952134@TEST")</f>
        <v/>
      </c>
      <c r="N676" s="8">
        <f>HYPERLINK("https://ictv.global/id/TN19980550","TN19980550@prod")</f>
        <v/>
      </c>
      <c r="O676" s="8">
        <f>HYPERLINK("https://ictv.global/id/ICTV19952134","ICTV19952134@prod")</f>
        <v/>
      </c>
    </row>
    <row r="677">
      <c r="A677" t="n">
        <v>17</v>
      </c>
      <c r="B677" t="n">
        <v>19980551</v>
      </c>
      <c r="C677" t="n">
        <v>19952135</v>
      </c>
      <c r="D677" t="inlineStr">
        <is>
          <t>species</t>
        </is>
      </c>
      <c r="E677" t="inlineStr">
        <is>
          <t>Actinomycetes phage phiUW21</t>
        </is>
      </c>
      <c r="G677" t="inlineStr">
        <is>
          <t>Abolished,</t>
        </is>
      </c>
      <c r="L677" s="8">
        <f>HYPERLINK("https://test.ictv.global/id/TN19980551","TN19980551@TEST")</f>
        <v/>
      </c>
      <c r="M677" s="8">
        <f>HYPERLINK("https://test.ictv.global/id/ICTV19952135","ICTV19952135@TEST")</f>
        <v/>
      </c>
      <c r="N677" s="8">
        <f>HYPERLINK("https://ictv.global/id/TN19980551","TN19980551@prod")</f>
        <v/>
      </c>
      <c r="O677" s="8">
        <f>HYPERLINK("https://ictv.global/id/ICTV19952135","ICTV19952135@prod")</f>
        <v/>
      </c>
    </row>
    <row r="678">
      <c r="A678" t="n">
        <v>17</v>
      </c>
      <c r="B678" t="n">
        <v>19980552</v>
      </c>
      <c r="C678" t="n">
        <v>19952136</v>
      </c>
      <c r="D678" t="inlineStr">
        <is>
          <t>species</t>
        </is>
      </c>
      <c r="E678" t="inlineStr">
        <is>
          <t>Actinomycetes phage R1</t>
        </is>
      </c>
      <c r="G678" t="inlineStr">
        <is>
          <t>Abolished,</t>
        </is>
      </c>
      <c r="L678" s="8">
        <f>HYPERLINK("https://test.ictv.global/id/TN19980552","TN19980552@TEST")</f>
        <v/>
      </c>
      <c r="M678" s="8">
        <f>HYPERLINK("https://test.ictv.global/id/ICTV19952136","ICTV19952136@TEST")</f>
        <v/>
      </c>
      <c r="N678" s="8">
        <f>HYPERLINK("https://ictv.global/id/TN19980552","TN19980552@prod")</f>
        <v/>
      </c>
      <c r="O678" s="8">
        <f>HYPERLINK("https://ictv.global/id/ICTV19952136","ICTV19952136@prod")</f>
        <v/>
      </c>
    </row>
    <row r="679">
      <c r="A679" t="n">
        <v>17</v>
      </c>
      <c r="B679" t="n">
        <v>19980553</v>
      </c>
      <c r="C679" t="n">
        <v>19952137</v>
      </c>
      <c r="D679" t="inlineStr">
        <is>
          <t>species</t>
        </is>
      </c>
      <c r="E679" t="inlineStr">
        <is>
          <t>Actinomycetes phage R2</t>
        </is>
      </c>
      <c r="G679" t="inlineStr">
        <is>
          <t>Abolished,</t>
        </is>
      </c>
      <c r="L679" s="8">
        <f>HYPERLINK("https://test.ictv.global/id/TN19980553","TN19980553@TEST")</f>
        <v/>
      </c>
      <c r="M679" s="8">
        <f>HYPERLINK("https://test.ictv.global/id/ICTV19952137","ICTV19952137@TEST")</f>
        <v/>
      </c>
      <c r="N679" s="8">
        <f>HYPERLINK("https://ictv.global/id/TN19980553","TN19980553@prod")</f>
        <v/>
      </c>
      <c r="O679" s="8">
        <f>HYPERLINK("https://ictv.global/id/ICTV19952137","ICTV19952137@prod")</f>
        <v/>
      </c>
    </row>
    <row r="680">
      <c r="A680" t="n">
        <v>17</v>
      </c>
      <c r="B680" t="n">
        <v>19980554</v>
      </c>
      <c r="C680" t="n">
        <v>19952138</v>
      </c>
      <c r="D680" t="inlineStr">
        <is>
          <t>species</t>
        </is>
      </c>
      <c r="E680" t="inlineStr">
        <is>
          <t>Actinomycetes phage SV2</t>
        </is>
      </c>
      <c r="G680" t="inlineStr">
        <is>
          <t>Abolished,</t>
        </is>
      </c>
      <c r="L680" s="8">
        <f>HYPERLINK("https://test.ictv.global/id/TN19980554","TN19980554@TEST")</f>
        <v/>
      </c>
      <c r="M680" s="8">
        <f>HYPERLINK("https://test.ictv.global/id/ICTV19952138","ICTV19952138@TEST")</f>
        <v/>
      </c>
      <c r="N680" s="8">
        <f>HYPERLINK("https://ictv.global/id/TN19980554","TN19980554@prod")</f>
        <v/>
      </c>
      <c r="O680" s="8">
        <f>HYPERLINK("https://ictv.global/id/ICTV19952138","ICTV19952138@prod")</f>
        <v/>
      </c>
    </row>
    <row r="681">
      <c r="A681" t="n">
        <v>17</v>
      </c>
      <c r="B681" t="n">
        <v>19980555</v>
      </c>
      <c r="C681" t="n">
        <v>19952139</v>
      </c>
      <c r="D681" t="inlineStr">
        <is>
          <t>species</t>
        </is>
      </c>
      <c r="E681" t="inlineStr">
        <is>
          <t>Actinomycetes phage VP5</t>
        </is>
      </c>
      <c r="G681" t="inlineStr">
        <is>
          <t>Abolished,</t>
        </is>
      </c>
      <c r="L681" s="8">
        <f>HYPERLINK("https://test.ictv.global/id/TN19980555","TN19980555@TEST")</f>
        <v/>
      </c>
      <c r="M681" s="8">
        <f>HYPERLINK("https://test.ictv.global/id/ICTV19952139","ICTV19952139@TEST")</f>
        <v/>
      </c>
      <c r="N681" s="8">
        <f>HYPERLINK("https://ictv.global/id/TN19980555","TN19980555@prod")</f>
        <v/>
      </c>
      <c r="O681" s="8">
        <f>HYPERLINK("https://ictv.global/id/ICTV19952139","ICTV19952139@prod")</f>
        <v/>
      </c>
    </row>
    <row r="682">
      <c r="A682" t="n">
        <v>17</v>
      </c>
      <c r="B682" t="n">
        <v>19980556</v>
      </c>
      <c r="C682" t="n">
        <v>19952140</v>
      </c>
      <c r="D682" t="inlineStr">
        <is>
          <t>species</t>
        </is>
      </c>
      <c r="E682" t="inlineStr">
        <is>
          <t>Agrobacterium phage PS8</t>
        </is>
      </c>
      <c r="G682" t="inlineStr">
        <is>
          <t>Abolished,</t>
        </is>
      </c>
      <c r="L682" s="8">
        <f>HYPERLINK("https://test.ictv.global/id/TN19980556","TN19980556@TEST")</f>
        <v/>
      </c>
      <c r="M682" s="8">
        <f>HYPERLINK("https://test.ictv.global/id/ICTV19952140","ICTV19952140@TEST")</f>
        <v/>
      </c>
      <c r="N682" s="8">
        <f>HYPERLINK("https://ictv.global/id/TN19980556","TN19980556@prod")</f>
        <v/>
      </c>
      <c r="O682" s="8">
        <f>HYPERLINK("https://ictv.global/id/ICTV19952140","ICTV19952140@prod")</f>
        <v/>
      </c>
    </row>
    <row r="683">
      <c r="A683" t="n">
        <v>17</v>
      </c>
      <c r="B683" t="n">
        <v>19980557</v>
      </c>
      <c r="C683" t="n">
        <v>19952141</v>
      </c>
      <c r="D683" t="inlineStr">
        <is>
          <t>species</t>
        </is>
      </c>
      <c r="E683" t="inlineStr">
        <is>
          <t>Agrobacterium phage psi</t>
        </is>
      </c>
      <c r="G683" t="inlineStr">
        <is>
          <t>Abolished,</t>
        </is>
      </c>
      <c r="L683" s="8">
        <f>HYPERLINK("https://test.ictv.global/id/TN19980557","TN19980557@TEST")</f>
        <v/>
      </c>
      <c r="M683" s="8">
        <f>HYPERLINK("https://test.ictv.global/id/ICTV19952141","ICTV19952141@TEST")</f>
        <v/>
      </c>
      <c r="N683" s="8">
        <f>HYPERLINK("https://ictv.global/id/TN19980557","TN19980557@prod")</f>
        <v/>
      </c>
      <c r="O683" s="8">
        <f>HYPERLINK("https://ictv.global/id/ICTV19952141","ICTV19952141@prod")</f>
        <v/>
      </c>
    </row>
    <row r="684">
      <c r="A684" t="n">
        <v>17</v>
      </c>
      <c r="B684" t="n">
        <v>19980558</v>
      </c>
      <c r="C684" t="n">
        <v>19952142</v>
      </c>
      <c r="D684" t="inlineStr">
        <is>
          <t>species</t>
        </is>
      </c>
      <c r="E684" t="inlineStr">
        <is>
          <t>Agrobacterium phage PT11</t>
        </is>
      </c>
      <c r="G684" t="inlineStr">
        <is>
          <t>Abolished,</t>
        </is>
      </c>
      <c r="L684" s="8">
        <f>HYPERLINK("https://test.ictv.global/id/TN19980558","TN19980558@TEST")</f>
        <v/>
      </c>
      <c r="M684" s="8">
        <f>HYPERLINK("https://test.ictv.global/id/ICTV19952142","ICTV19952142@TEST")</f>
        <v/>
      </c>
      <c r="N684" s="8">
        <f>HYPERLINK("https://ictv.global/id/TN19980558","TN19980558@prod")</f>
        <v/>
      </c>
      <c r="O684" s="8">
        <f>HYPERLINK("https://ictv.global/id/ICTV19952142","ICTV19952142@prod")</f>
        <v/>
      </c>
    </row>
    <row r="685">
      <c r="A685" t="n">
        <v>17</v>
      </c>
      <c r="B685" t="n">
        <v>19980559</v>
      </c>
      <c r="C685" t="n">
        <v>19952143</v>
      </c>
      <c r="D685" t="inlineStr">
        <is>
          <t>species</t>
        </is>
      </c>
      <c r="E685" t="inlineStr">
        <is>
          <t>Alcaligenes phage 8764</t>
        </is>
      </c>
      <c r="G685" t="inlineStr">
        <is>
          <t>Abolished,</t>
        </is>
      </c>
      <c r="L685" s="8">
        <f>HYPERLINK("https://test.ictv.global/id/TN19980559","TN19980559@TEST")</f>
        <v/>
      </c>
      <c r="M685" s="8">
        <f>HYPERLINK("https://test.ictv.global/id/ICTV19952143","ICTV19952143@TEST")</f>
        <v/>
      </c>
      <c r="N685" s="8">
        <f>HYPERLINK("https://ictv.global/id/TN19980559","TN19980559@prod")</f>
        <v/>
      </c>
      <c r="O685" s="8">
        <f>HYPERLINK("https://ictv.global/id/ICTV19952143","ICTV19952143@prod")</f>
        <v/>
      </c>
    </row>
    <row r="686">
      <c r="A686" t="n">
        <v>17</v>
      </c>
      <c r="B686" t="n">
        <v>19980560</v>
      </c>
      <c r="C686" t="n">
        <v>19952144</v>
      </c>
      <c r="D686" t="inlineStr">
        <is>
          <t>species</t>
        </is>
      </c>
      <c r="E686" t="inlineStr">
        <is>
          <t>Alcaligenes phage A5/A6</t>
        </is>
      </c>
      <c r="G686" t="inlineStr">
        <is>
          <t>Abolished,</t>
        </is>
      </c>
      <c r="L686" s="8">
        <f>HYPERLINK("https://test.ictv.global/id/TN19980560","TN19980560@TEST")</f>
        <v/>
      </c>
      <c r="M686" s="8">
        <f>HYPERLINK("https://test.ictv.global/id/ICTV19952144","ICTV19952144@TEST")</f>
        <v/>
      </c>
      <c r="N686" s="8">
        <f>HYPERLINK("https://ictv.global/id/TN19980560","TN19980560@prod")</f>
        <v/>
      </c>
      <c r="O686" s="8">
        <f>HYPERLINK("https://ictv.global/id/ICTV19952144","ICTV19952144@prod")</f>
        <v/>
      </c>
    </row>
    <row r="687">
      <c r="A687" t="n">
        <v>17</v>
      </c>
      <c r="B687" t="n">
        <v>19980561</v>
      </c>
      <c r="C687" t="n">
        <v>19952145</v>
      </c>
      <c r="D687" t="inlineStr">
        <is>
          <t>species</t>
        </is>
      </c>
      <c r="E687" t="inlineStr">
        <is>
          <t>Bacillus phage 1A</t>
        </is>
      </c>
      <c r="G687" t="inlineStr">
        <is>
          <t>Abolished,</t>
        </is>
      </c>
      <c r="L687" s="8">
        <f>HYPERLINK("https://test.ictv.global/id/TN19980561","TN19980561@TEST")</f>
        <v/>
      </c>
      <c r="M687" s="8">
        <f>HYPERLINK("https://test.ictv.global/id/ICTV19952145","ICTV19952145@TEST")</f>
        <v/>
      </c>
      <c r="N687" s="8">
        <f>HYPERLINK("https://ictv.global/id/TN19980561","TN19980561@prod")</f>
        <v/>
      </c>
      <c r="O687" s="8">
        <f>HYPERLINK("https://ictv.global/id/ICTV19952145","ICTV19952145@prod")</f>
        <v/>
      </c>
    </row>
    <row r="688">
      <c r="A688" t="n">
        <v>17</v>
      </c>
      <c r="B688" t="n">
        <v>19980562</v>
      </c>
      <c r="C688" t="n">
        <v>19952146</v>
      </c>
      <c r="D688" t="inlineStr">
        <is>
          <t>species</t>
        </is>
      </c>
      <c r="E688" t="inlineStr">
        <is>
          <t>Bacillus phage alpha</t>
        </is>
      </c>
      <c r="G688" t="inlineStr">
        <is>
          <t>Abolished,</t>
        </is>
      </c>
      <c r="L688" s="8">
        <f>HYPERLINK("https://test.ictv.global/id/TN19980562","TN19980562@TEST")</f>
        <v/>
      </c>
      <c r="M688" s="8">
        <f>HYPERLINK("https://test.ictv.global/id/ICTV19952146","ICTV19952146@TEST")</f>
        <v/>
      </c>
      <c r="N688" s="8">
        <f>HYPERLINK("https://ictv.global/id/TN19980562","TN19980562@prod")</f>
        <v/>
      </c>
      <c r="O688" s="8">
        <f>HYPERLINK("https://ictv.global/id/ICTV19952146","ICTV19952146@prod")</f>
        <v/>
      </c>
    </row>
    <row r="689">
      <c r="A689" t="n">
        <v>17</v>
      </c>
      <c r="B689" t="n">
        <v>19980563</v>
      </c>
      <c r="C689" t="n">
        <v>19962210</v>
      </c>
      <c r="D689" t="inlineStr">
        <is>
          <t>species</t>
        </is>
      </c>
      <c r="E689" t="inlineStr">
        <is>
          <t>Bacillus phage B1715V1</t>
        </is>
      </c>
      <c r="G689" t="inlineStr">
        <is>
          <t>Abolished,</t>
        </is>
      </c>
      <c r="L689" s="8">
        <f>HYPERLINK("https://test.ictv.global/id/TN19980563","TN19980563@TEST")</f>
        <v/>
      </c>
      <c r="M689" s="8">
        <f>HYPERLINK("https://test.ictv.global/id/ICTV19962210","ICTV19962210@TEST")</f>
        <v/>
      </c>
      <c r="N689" s="8">
        <f>HYPERLINK("https://ictv.global/id/TN19980563","TN19980563@prod")</f>
        <v/>
      </c>
      <c r="O689" s="8">
        <f>HYPERLINK("https://ictv.global/id/ICTV19962210","ICTV19962210@prod")</f>
        <v/>
      </c>
    </row>
    <row r="690">
      <c r="A690" t="n">
        <v>17</v>
      </c>
      <c r="B690" t="n">
        <v>19980564</v>
      </c>
      <c r="C690" t="n">
        <v>19952147</v>
      </c>
      <c r="D690" t="inlineStr">
        <is>
          <t>species</t>
        </is>
      </c>
      <c r="E690" t="inlineStr">
        <is>
          <t>Bacillus phage BLE</t>
        </is>
      </c>
      <c r="G690" t="inlineStr">
        <is>
          <t>Abolished,</t>
        </is>
      </c>
      <c r="L690" s="8">
        <f>HYPERLINK("https://test.ictv.global/id/TN19980564","TN19980564@TEST")</f>
        <v/>
      </c>
      <c r="M690" s="8">
        <f>HYPERLINK("https://test.ictv.global/id/ICTV19952147","ICTV19952147@TEST")</f>
        <v/>
      </c>
      <c r="N690" s="8">
        <f>HYPERLINK("https://ictv.global/id/TN19980564","TN19980564@prod")</f>
        <v/>
      </c>
      <c r="O690" s="8">
        <f>HYPERLINK("https://ictv.global/id/ICTV19952147","ICTV19952147@prod")</f>
        <v/>
      </c>
    </row>
    <row r="691">
      <c r="A691" t="n">
        <v>17</v>
      </c>
      <c r="B691" t="n">
        <v>19980565</v>
      </c>
      <c r="C691" t="n">
        <v>19952148</v>
      </c>
      <c r="D691" t="inlineStr">
        <is>
          <t>species</t>
        </is>
      </c>
      <c r="E691" t="inlineStr">
        <is>
          <t>Bacillus phage II</t>
        </is>
      </c>
      <c r="G691" t="inlineStr">
        <is>
          <t>Abolished,</t>
        </is>
      </c>
      <c r="L691" s="8">
        <f>HYPERLINK("https://test.ictv.global/id/TN19980565","TN19980565@TEST")</f>
        <v/>
      </c>
      <c r="M691" s="8">
        <f>HYPERLINK("https://test.ictv.global/id/ICTV19952148","ICTV19952148@TEST")</f>
        <v/>
      </c>
      <c r="N691" s="8">
        <f>HYPERLINK("https://ictv.global/id/TN19980565","TN19980565@prod")</f>
        <v/>
      </c>
      <c r="O691" s="8">
        <f>HYPERLINK("https://ictv.global/id/ICTV19952148","ICTV19952148@prod")</f>
        <v/>
      </c>
    </row>
    <row r="692">
      <c r="A692" t="n">
        <v>17</v>
      </c>
      <c r="B692" t="n">
        <v>19980566</v>
      </c>
      <c r="C692" t="n">
        <v>19952149</v>
      </c>
      <c r="D692" t="inlineStr">
        <is>
          <t>species</t>
        </is>
      </c>
      <c r="E692" t="inlineStr">
        <is>
          <t>Bacillus phage Ipy-1</t>
        </is>
      </c>
      <c r="G692" t="inlineStr">
        <is>
          <t>Abolished,</t>
        </is>
      </c>
      <c r="L692" s="8">
        <f>HYPERLINK("https://test.ictv.global/id/TN19980566","TN19980566@TEST")</f>
        <v/>
      </c>
      <c r="M692" s="8">
        <f>HYPERLINK("https://test.ictv.global/id/ICTV19952149","ICTV19952149@TEST")</f>
        <v/>
      </c>
      <c r="N692" s="8">
        <f>HYPERLINK("https://ictv.global/id/TN19980566","TN19980566@prod")</f>
        <v/>
      </c>
      <c r="O692" s="8">
        <f>HYPERLINK("https://ictv.global/id/ICTV19952149","ICTV19952149@prod")</f>
        <v/>
      </c>
    </row>
    <row r="693">
      <c r="A693" t="n">
        <v>17</v>
      </c>
      <c r="B693" t="n">
        <v>19980567</v>
      </c>
      <c r="C693" t="n">
        <v>19952150</v>
      </c>
      <c r="D693" t="inlineStr">
        <is>
          <t>species</t>
        </is>
      </c>
      <c r="E693" t="inlineStr">
        <is>
          <t>Bacillus phage mor1</t>
        </is>
      </c>
      <c r="G693" t="inlineStr">
        <is>
          <t>Abolished,</t>
        </is>
      </c>
      <c r="L693" s="8">
        <f>HYPERLINK("https://test.ictv.global/id/TN19980567","TN19980567@TEST")</f>
        <v/>
      </c>
      <c r="M693" s="8">
        <f>HYPERLINK("https://test.ictv.global/id/ICTV19952150","ICTV19952150@TEST")</f>
        <v/>
      </c>
      <c r="N693" s="8">
        <f>HYPERLINK("https://ictv.global/id/TN19980567","TN19980567@prod")</f>
        <v/>
      </c>
      <c r="O693" s="8">
        <f>HYPERLINK("https://ictv.global/id/ICTV19952150","ICTV19952150@prod")</f>
        <v/>
      </c>
    </row>
    <row r="694">
      <c r="A694" t="n">
        <v>17</v>
      </c>
      <c r="B694" t="n">
        <v>19980568</v>
      </c>
      <c r="C694" t="n">
        <v>19952151</v>
      </c>
      <c r="D694" t="inlineStr">
        <is>
          <t>species</t>
        </is>
      </c>
      <c r="E694" t="inlineStr">
        <is>
          <t>Bacillus phage MP15</t>
        </is>
      </c>
      <c r="G694" t="inlineStr">
        <is>
          <t>Abolished,</t>
        </is>
      </c>
      <c r="L694" s="8">
        <f>HYPERLINK("https://test.ictv.global/id/TN19980568","TN19980568@TEST")</f>
        <v/>
      </c>
      <c r="M694" s="8">
        <f>HYPERLINK("https://test.ictv.global/id/ICTV19952151","ICTV19952151@TEST")</f>
        <v/>
      </c>
      <c r="N694" s="8">
        <f>HYPERLINK("https://ictv.global/id/TN19980568","TN19980568@prod")</f>
        <v/>
      </c>
      <c r="O694" s="8">
        <f>HYPERLINK("https://ictv.global/id/ICTV19952151","ICTV19952151@prod")</f>
        <v/>
      </c>
    </row>
    <row r="695">
      <c r="A695" t="n">
        <v>17</v>
      </c>
      <c r="B695" t="n">
        <v>19980569</v>
      </c>
      <c r="C695" t="n">
        <v>19952152</v>
      </c>
      <c r="D695" t="inlineStr">
        <is>
          <t>species</t>
        </is>
      </c>
      <c r="E695" t="inlineStr">
        <is>
          <t>Bacillus phage PBP1</t>
        </is>
      </c>
      <c r="G695" t="inlineStr">
        <is>
          <t>Abolished,</t>
        </is>
      </c>
      <c r="L695" s="8">
        <f>HYPERLINK("https://test.ictv.global/id/TN19980569","TN19980569@TEST")</f>
        <v/>
      </c>
      <c r="M695" s="8">
        <f>HYPERLINK("https://test.ictv.global/id/ICTV19952152","ICTV19952152@TEST")</f>
        <v/>
      </c>
      <c r="N695" s="8">
        <f>HYPERLINK("https://ictv.global/id/TN19980569","TN19980569@prod")</f>
        <v/>
      </c>
      <c r="O695" s="8">
        <f>HYPERLINK("https://ictv.global/id/ICTV19952152","ICTV19952152@prod")</f>
        <v/>
      </c>
    </row>
    <row r="696">
      <c r="A696" t="n">
        <v>17</v>
      </c>
      <c r="B696" t="n">
        <v>19980570</v>
      </c>
      <c r="C696" t="n">
        <v>19952153</v>
      </c>
      <c r="D696" t="inlineStr">
        <is>
          <t>species</t>
        </is>
      </c>
      <c r="E696" t="inlineStr">
        <is>
          <t>Bacillus phage phi105</t>
        </is>
      </c>
      <c r="G696" t="inlineStr">
        <is>
          <t>Abolished,</t>
        </is>
      </c>
      <c r="L696" s="8">
        <f>HYPERLINK("https://test.ictv.global/id/TN19980570","TN19980570@TEST")</f>
        <v/>
      </c>
      <c r="M696" s="8">
        <f>HYPERLINK("https://test.ictv.global/id/ICTV19952153","ICTV19952153@TEST")</f>
        <v/>
      </c>
      <c r="N696" s="8">
        <f>HYPERLINK("https://ictv.global/id/TN19980570","TN19980570@prod")</f>
        <v/>
      </c>
      <c r="O696" s="8">
        <f>HYPERLINK("https://ictv.global/id/ICTV19952153","ICTV19952153@prod")</f>
        <v/>
      </c>
    </row>
    <row r="697">
      <c r="A697" t="n">
        <v>17</v>
      </c>
      <c r="B697" t="n">
        <v>19980571</v>
      </c>
      <c r="C697" t="n">
        <v>19962218</v>
      </c>
      <c r="D697" t="inlineStr">
        <is>
          <t>species</t>
        </is>
      </c>
      <c r="E697" t="inlineStr">
        <is>
          <t>Bacillus phage SN45</t>
        </is>
      </c>
      <c r="G697" t="inlineStr">
        <is>
          <t>Abolished,</t>
        </is>
      </c>
      <c r="L697" s="8">
        <f>HYPERLINK("https://test.ictv.global/id/TN19980571","TN19980571@TEST")</f>
        <v/>
      </c>
      <c r="M697" s="8">
        <f>HYPERLINK("https://test.ictv.global/id/ICTV19962218","ICTV19962218@TEST")</f>
        <v/>
      </c>
      <c r="N697" s="8">
        <f>HYPERLINK("https://ictv.global/id/TN19980571","TN19980571@prod")</f>
        <v/>
      </c>
      <c r="O697" s="8">
        <f>HYPERLINK("https://ictv.global/id/ICTV19962218","ICTV19962218@prod")</f>
        <v/>
      </c>
    </row>
    <row r="698">
      <c r="A698" t="n">
        <v>17</v>
      </c>
      <c r="B698" t="n">
        <v>19980572</v>
      </c>
      <c r="C698" t="n">
        <v>19952154</v>
      </c>
      <c r="D698" t="inlineStr">
        <is>
          <t>species</t>
        </is>
      </c>
      <c r="E698" t="inlineStr">
        <is>
          <t>Bacillus phage Spbeta</t>
        </is>
      </c>
      <c r="F698" t="inlineStr"/>
      <c r="G698" t="inlineStr">
        <is>
          <t>Abolished,</t>
        </is>
      </c>
      <c r="L698" s="8">
        <f>HYPERLINK("https://test.ictv.global/id/TN19980572","TN19980572@TEST")</f>
        <v/>
      </c>
      <c r="M698" s="8">
        <f>HYPERLINK("https://test.ictv.global/id/ICTV19952154","ICTV19952154@TEST")</f>
        <v/>
      </c>
      <c r="N698" s="8">
        <f>HYPERLINK("https://ictv.global/id/TN19980572","TN19980572@prod")</f>
        <v/>
      </c>
      <c r="O698" s="8">
        <f>HYPERLINK("https://ictv.global/id/ICTV19952154","ICTV19952154@prod")</f>
        <v/>
      </c>
    </row>
    <row r="699">
      <c r="A699" t="n">
        <v>17</v>
      </c>
      <c r="B699" t="n">
        <v>19980573</v>
      </c>
      <c r="C699" t="n">
        <v>19952155</v>
      </c>
      <c r="D699" t="inlineStr">
        <is>
          <t>species</t>
        </is>
      </c>
      <c r="E699" t="inlineStr">
        <is>
          <t>Bacillus phage SPP1</t>
        </is>
      </c>
      <c r="G699" t="inlineStr">
        <is>
          <t>Abolished,</t>
        </is>
      </c>
      <c r="L699" s="8">
        <f>HYPERLINK("https://test.ictv.global/id/TN19980573","TN19980573@TEST")</f>
        <v/>
      </c>
      <c r="M699" s="8">
        <f>HYPERLINK("https://test.ictv.global/id/ICTV19952155","ICTV19952155@TEST")</f>
        <v/>
      </c>
      <c r="N699" s="8">
        <f>HYPERLINK("https://ictv.global/id/TN19980573","TN19980573@prod")</f>
        <v/>
      </c>
      <c r="O699" s="8">
        <f>HYPERLINK("https://ictv.global/id/ICTV19952155","ICTV19952155@prod")</f>
        <v/>
      </c>
    </row>
    <row r="700">
      <c r="A700" t="n">
        <v>17</v>
      </c>
      <c r="B700" t="n">
        <v>19980574</v>
      </c>
      <c r="C700" t="n">
        <v>19962221</v>
      </c>
      <c r="D700" t="inlineStr">
        <is>
          <t>species</t>
        </is>
      </c>
      <c r="E700" t="inlineStr">
        <is>
          <t>Bacillus phage Tb10</t>
        </is>
      </c>
      <c r="G700" t="inlineStr">
        <is>
          <t>Abolished,</t>
        </is>
      </c>
      <c r="L700" s="8">
        <f>HYPERLINK("https://test.ictv.global/id/TN19980574","TN19980574@TEST")</f>
        <v/>
      </c>
      <c r="M700" s="8">
        <f>HYPERLINK("https://test.ictv.global/id/ICTV19962221","ICTV19962221@TEST")</f>
        <v/>
      </c>
      <c r="N700" s="8">
        <f>HYPERLINK("https://ictv.global/id/TN19980574","TN19980574@prod")</f>
        <v/>
      </c>
      <c r="O700" s="8">
        <f>HYPERLINK("https://ictv.global/id/ICTV19962221","ICTV19962221@prod")</f>
        <v/>
      </c>
    </row>
    <row r="701">
      <c r="A701" t="n">
        <v>17</v>
      </c>
      <c r="B701" t="n">
        <v>19980575</v>
      </c>
      <c r="C701" t="n">
        <v>19962222</v>
      </c>
      <c r="D701" t="inlineStr">
        <is>
          <t>species</t>
        </is>
      </c>
      <c r="E701" t="inlineStr">
        <is>
          <t>Bacillus phage TP-15</t>
        </is>
      </c>
      <c r="G701" t="inlineStr">
        <is>
          <t>Abolished,</t>
        </is>
      </c>
      <c r="L701" s="8">
        <f>HYPERLINK("https://test.ictv.global/id/TN19980575","TN19980575@TEST")</f>
        <v/>
      </c>
      <c r="M701" s="8">
        <f>HYPERLINK("https://test.ictv.global/id/ICTV19962222","ICTV19962222@TEST")</f>
        <v/>
      </c>
      <c r="N701" s="8">
        <f>HYPERLINK("https://ictv.global/id/TN19980575","TN19980575@prod")</f>
        <v/>
      </c>
      <c r="O701" s="8">
        <f>HYPERLINK("https://ictv.global/id/ICTV19962222","ICTV19962222@prod")</f>
        <v/>
      </c>
    </row>
    <row r="702">
      <c r="A702" t="n">
        <v>17</v>
      </c>
      <c r="B702" t="n">
        <v>19980576</v>
      </c>
      <c r="C702" t="n">
        <v>19952156</v>
      </c>
      <c r="D702" t="inlineStr">
        <is>
          <t>species</t>
        </is>
      </c>
      <c r="E702" t="inlineStr">
        <is>
          <t>Bacillus phage type F</t>
        </is>
      </c>
      <c r="G702" t="inlineStr">
        <is>
          <t>Abolished,</t>
        </is>
      </c>
      <c r="L702" s="8">
        <f>HYPERLINK("https://test.ictv.global/id/TN19980576","TN19980576@TEST")</f>
        <v/>
      </c>
      <c r="M702" s="8">
        <f>HYPERLINK("https://test.ictv.global/id/ICTV19952156","ICTV19952156@TEST")</f>
        <v/>
      </c>
      <c r="N702" s="8">
        <f>HYPERLINK("https://ictv.global/id/TN19980576","TN19980576@prod")</f>
        <v/>
      </c>
      <c r="O702" s="8">
        <f>HYPERLINK("https://ictv.global/id/ICTV19952156","ICTV19952156@prod")</f>
        <v/>
      </c>
    </row>
    <row r="703">
      <c r="A703" t="n">
        <v>17</v>
      </c>
      <c r="B703" t="n">
        <v>19980577</v>
      </c>
      <c r="C703" t="n">
        <v>19952157</v>
      </c>
      <c r="D703" t="inlineStr">
        <is>
          <t>species</t>
        </is>
      </c>
      <c r="E703" t="inlineStr">
        <is>
          <t>Clostridium phage F1</t>
        </is>
      </c>
      <c r="G703" t="inlineStr">
        <is>
          <t>Abolished,</t>
        </is>
      </c>
      <c r="L703" s="8">
        <f>HYPERLINK("https://test.ictv.global/id/TN19980577","TN19980577@TEST")</f>
        <v/>
      </c>
      <c r="M703" s="8">
        <f>HYPERLINK("https://test.ictv.global/id/ICTV19952157","ICTV19952157@TEST")</f>
        <v/>
      </c>
      <c r="N703" s="8">
        <f>HYPERLINK("https://ictv.global/id/TN19980577","TN19980577@prod")</f>
        <v/>
      </c>
      <c r="O703" s="8">
        <f>HYPERLINK("https://ictv.global/id/ICTV19952157","ICTV19952157@prod")</f>
        <v/>
      </c>
    </row>
    <row r="704">
      <c r="A704" t="n">
        <v>17</v>
      </c>
      <c r="B704" t="n">
        <v>19980578</v>
      </c>
      <c r="C704" t="n">
        <v>19952158</v>
      </c>
      <c r="D704" t="inlineStr">
        <is>
          <t>species</t>
        </is>
      </c>
      <c r="E704" t="inlineStr">
        <is>
          <t>Clostridium phage HM7</t>
        </is>
      </c>
      <c r="G704" t="inlineStr">
        <is>
          <t>Abolished,</t>
        </is>
      </c>
      <c r="L704" s="8">
        <f>HYPERLINK("https://test.ictv.global/id/TN19980578","TN19980578@TEST")</f>
        <v/>
      </c>
      <c r="M704" s="8">
        <f>HYPERLINK("https://test.ictv.global/id/ICTV19952158","ICTV19952158@TEST")</f>
        <v/>
      </c>
      <c r="N704" s="8">
        <f>HYPERLINK("https://ictv.global/id/TN19980578","TN19980578@prod")</f>
        <v/>
      </c>
      <c r="O704" s="8">
        <f>HYPERLINK("https://ictv.global/id/ICTV19952158","ICTV19952158@prod")</f>
        <v/>
      </c>
    </row>
    <row r="705">
      <c r="A705" t="n">
        <v>17</v>
      </c>
      <c r="B705" t="n">
        <v>19980579</v>
      </c>
      <c r="C705" t="n">
        <v>19952159</v>
      </c>
      <c r="D705" t="inlineStr">
        <is>
          <t>species</t>
        </is>
      </c>
      <c r="E705" t="inlineStr">
        <is>
          <t>Coryneforms phage A</t>
        </is>
      </c>
      <c r="G705" t="inlineStr">
        <is>
          <t>Abolished,</t>
        </is>
      </c>
      <c r="L705" s="8">
        <f>HYPERLINK("https://test.ictv.global/id/TN19980579","TN19980579@TEST")</f>
        <v/>
      </c>
      <c r="M705" s="8">
        <f>HYPERLINK("https://test.ictv.global/id/ICTV19952159","ICTV19952159@TEST")</f>
        <v/>
      </c>
      <c r="N705" s="8">
        <f>HYPERLINK("https://ictv.global/id/TN19980579","TN19980579@prod")</f>
        <v/>
      </c>
      <c r="O705" s="8">
        <f>HYPERLINK("https://ictv.global/id/ICTV19952159","ICTV19952159@prod")</f>
        <v/>
      </c>
    </row>
    <row r="706">
      <c r="A706" t="n">
        <v>17</v>
      </c>
      <c r="B706" t="n">
        <v>19980580</v>
      </c>
      <c r="C706" t="n">
        <v>19952160</v>
      </c>
      <c r="D706" t="inlineStr">
        <is>
          <t>species</t>
        </is>
      </c>
      <c r="E706" t="inlineStr">
        <is>
          <t>Coryneforms phage Arp</t>
        </is>
      </c>
      <c r="G706" t="inlineStr">
        <is>
          <t>Abolished,</t>
        </is>
      </c>
      <c r="L706" s="8">
        <f>HYPERLINK("https://test.ictv.global/id/TN19980580","TN19980580@TEST")</f>
        <v/>
      </c>
      <c r="M706" s="8">
        <f>HYPERLINK("https://test.ictv.global/id/ICTV19952160","ICTV19952160@TEST")</f>
        <v/>
      </c>
      <c r="N706" s="8">
        <f>HYPERLINK("https://ictv.global/id/TN19980580","TN19980580@prod")</f>
        <v/>
      </c>
      <c r="O706" s="8">
        <f>HYPERLINK("https://ictv.global/id/ICTV19952160","ICTV19952160@prod")</f>
        <v/>
      </c>
    </row>
    <row r="707">
      <c r="A707" t="n">
        <v>17</v>
      </c>
      <c r="B707" t="n">
        <v>19980581</v>
      </c>
      <c r="C707" t="n">
        <v>19952161</v>
      </c>
      <c r="D707" t="inlineStr">
        <is>
          <t>species</t>
        </is>
      </c>
      <c r="E707" t="inlineStr">
        <is>
          <t>Coryneforms phage beta</t>
        </is>
      </c>
      <c r="G707" t="inlineStr">
        <is>
          <t>Abolished,</t>
        </is>
      </c>
      <c r="L707" s="8">
        <f>HYPERLINK("https://test.ictv.global/id/TN19980581","TN19980581@TEST")</f>
        <v/>
      </c>
      <c r="M707" s="8">
        <f>HYPERLINK("https://test.ictv.global/id/ICTV19952161","ICTV19952161@TEST")</f>
        <v/>
      </c>
      <c r="N707" s="8">
        <f>HYPERLINK("https://ictv.global/id/TN19980581","TN19980581@prod")</f>
        <v/>
      </c>
      <c r="O707" s="8">
        <f>HYPERLINK("https://ictv.global/id/ICTV19952161","ICTV19952161@prod")</f>
        <v/>
      </c>
    </row>
    <row r="708">
      <c r="A708" t="n">
        <v>17</v>
      </c>
      <c r="B708" t="n">
        <v>19980582</v>
      </c>
      <c r="C708" t="n">
        <v>19952162</v>
      </c>
      <c r="D708" t="inlineStr">
        <is>
          <t>species</t>
        </is>
      </c>
      <c r="E708" t="inlineStr">
        <is>
          <t>Coryneforms phage BL3</t>
        </is>
      </c>
      <c r="G708" t="inlineStr">
        <is>
          <t>Abolished,</t>
        </is>
      </c>
      <c r="L708" s="8">
        <f>HYPERLINK("https://test.ictv.global/id/TN19980582","TN19980582@TEST")</f>
        <v/>
      </c>
      <c r="M708" s="8">
        <f>HYPERLINK("https://test.ictv.global/id/ICTV19952162","ICTV19952162@TEST")</f>
        <v/>
      </c>
      <c r="N708" s="8">
        <f>HYPERLINK("https://ictv.global/id/TN19980582","TN19980582@prod")</f>
        <v/>
      </c>
      <c r="O708" s="8">
        <f>HYPERLINK("https://ictv.global/id/ICTV19952162","ICTV19952162@prod")</f>
        <v/>
      </c>
    </row>
    <row r="709">
      <c r="A709" t="n">
        <v>17</v>
      </c>
      <c r="B709" t="n">
        <v>19980583</v>
      </c>
      <c r="C709" t="n">
        <v>19952163</v>
      </c>
      <c r="D709" t="inlineStr">
        <is>
          <t>species</t>
        </is>
      </c>
      <c r="E709" t="inlineStr">
        <is>
          <t>Coryneforms phage CONX</t>
        </is>
      </c>
      <c r="G709" t="inlineStr">
        <is>
          <t>Abolished,</t>
        </is>
      </c>
      <c r="L709" s="8">
        <f>HYPERLINK("https://test.ictv.global/id/TN19980583","TN19980583@TEST")</f>
        <v/>
      </c>
      <c r="M709" s="8">
        <f>HYPERLINK("https://test.ictv.global/id/ICTV19952163","ICTV19952163@TEST")</f>
        <v/>
      </c>
      <c r="N709" s="8">
        <f>HYPERLINK("https://ictv.global/id/TN19980583","TN19980583@prod")</f>
        <v/>
      </c>
      <c r="O709" s="8">
        <f>HYPERLINK("https://ictv.global/id/ICTV19952163","ICTV19952163@prod")</f>
        <v/>
      </c>
    </row>
    <row r="710">
      <c r="A710" t="n">
        <v>17</v>
      </c>
      <c r="B710" t="n">
        <v>19980584</v>
      </c>
      <c r="C710" t="n">
        <v>19952164</v>
      </c>
      <c r="D710" t="inlineStr">
        <is>
          <t>species</t>
        </is>
      </c>
      <c r="E710" t="inlineStr">
        <is>
          <t>Coryneforms phage MT</t>
        </is>
      </c>
      <c r="G710" t="inlineStr">
        <is>
          <t>Abolished,</t>
        </is>
      </c>
      <c r="L710" s="8">
        <f>HYPERLINK("https://test.ictv.global/id/TN19980584","TN19980584@TEST")</f>
        <v/>
      </c>
      <c r="M710" s="8">
        <f>HYPERLINK("https://test.ictv.global/id/ICTV19952164","ICTV19952164@TEST")</f>
        <v/>
      </c>
      <c r="N710" s="8">
        <f>HYPERLINK("https://ictv.global/id/TN19980584","TN19980584@prod")</f>
        <v/>
      </c>
      <c r="O710" s="8">
        <f>HYPERLINK("https://ictv.global/id/ICTV19952164","ICTV19952164@prod")</f>
        <v/>
      </c>
    </row>
    <row r="711">
      <c r="A711" t="n">
        <v>17</v>
      </c>
      <c r="B711" t="n">
        <v>19980585</v>
      </c>
      <c r="C711" t="n">
        <v>19952165</v>
      </c>
      <c r="D711" t="inlineStr">
        <is>
          <t>species</t>
        </is>
      </c>
      <c r="E711" t="inlineStr">
        <is>
          <t>Coryneforms phage phiA8010</t>
        </is>
      </c>
      <c r="G711" t="inlineStr">
        <is>
          <t>Abolished,</t>
        </is>
      </c>
      <c r="L711" s="8">
        <f>HYPERLINK("https://test.ictv.global/id/TN19980585","TN19980585@TEST")</f>
        <v/>
      </c>
      <c r="M711" s="8">
        <f>HYPERLINK("https://test.ictv.global/id/ICTV19952165","ICTV19952165@TEST")</f>
        <v/>
      </c>
      <c r="N711" s="8">
        <f>HYPERLINK("https://ictv.global/id/TN19980585","TN19980585@prod")</f>
        <v/>
      </c>
      <c r="O711" s="8">
        <f>HYPERLINK("https://ictv.global/id/ICTV19952165","ICTV19952165@prod")</f>
        <v/>
      </c>
    </row>
    <row r="712">
      <c r="A712" t="n">
        <v>17</v>
      </c>
      <c r="B712" t="n">
        <v>19980586</v>
      </c>
      <c r="C712" t="n">
        <v>19952166</v>
      </c>
      <c r="D712" t="inlineStr">
        <is>
          <t>species</t>
        </is>
      </c>
      <c r="E712" t="inlineStr">
        <is>
          <t>Cyanobacteria phage S-2L</t>
        </is>
      </c>
      <c r="G712" t="inlineStr">
        <is>
          <t>Abolished,</t>
        </is>
      </c>
      <c r="L712" s="8">
        <f>HYPERLINK("https://test.ictv.global/id/TN19980586","TN19980586@TEST")</f>
        <v/>
      </c>
      <c r="M712" s="8">
        <f>HYPERLINK("https://test.ictv.global/id/ICTV19952166","ICTV19952166@TEST")</f>
        <v/>
      </c>
      <c r="N712" s="8">
        <f>HYPERLINK("https://ictv.global/id/TN19980586","TN19980586@prod")</f>
        <v/>
      </c>
      <c r="O712" s="8">
        <f>HYPERLINK("https://ictv.global/id/ICTV19952166","ICTV19952166@prod")</f>
        <v/>
      </c>
    </row>
    <row r="713">
      <c r="A713" t="n">
        <v>17</v>
      </c>
      <c r="B713" t="n">
        <v>19980587</v>
      </c>
      <c r="C713" t="n">
        <v>19952167</v>
      </c>
      <c r="D713" t="inlineStr">
        <is>
          <t>species</t>
        </is>
      </c>
      <c r="E713" t="inlineStr">
        <is>
          <t>Cyanobacteria phage S-4L</t>
        </is>
      </c>
      <c r="G713" t="inlineStr">
        <is>
          <t>Abolished,</t>
        </is>
      </c>
      <c r="L713" s="8">
        <f>HYPERLINK("https://test.ictv.global/id/TN19980587","TN19980587@TEST")</f>
        <v/>
      </c>
      <c r="M713" s="8">
        <f>HYPERLINK("https://test.ictv.global/id/ICTV19952167","ICTV19952167@TEST")</f>
        <v/>
      </c>
      <c r="N713" s="8">
        <f>HYPERLINK("https://ictv.global/id/TN19980587","TN19980587@prod")</f>
        <v/>
      </c>
      <c r="O713" s="8">
        <f>HYPERLINK("https://ictv.global/id/ICTV19952167","ICTV19952167@prod")</f>
        <v/>
      </c>
    </row>
    <row r="714">
      <c r="A714" t="n">
        <v>17</v>
      </c>
      <c r="B714" t="n">
        <v>19980588</v>
      </c>
      <c r="C714" t="n">
        <v>19952168</v>
      </c>
      <c r="D714" t="inlineStr">
        <is>
          <t>species</t>
        </is>
      </c>
      <c r="E714" t="inlineStr">
        <is>
          <t>Enterobacteria phage beta4</t>
        </is>
      </c>
      <c r="G714" t="inlineStr">
        <is>
          <t>Abolished,</t>
        </is>
      </c>
      <c r="L714" s="8">
        <f>HYPERLINK("https://test.ictv.global/id/TN19980588","TN19980588@TEST")</f>
        <v/>
      </c>
      <c r="M714" s="8">
        <f>HYPERLINK("https://test.ictv.global/id/ICTV19952168","ICTV19952168@TEST")</f>
        <v/>
      </c>
      <c r="N714" s="8">
        <f>HYPERLINK("https://ictv.global/id/TN19980588","TN19980588@prod")</f>
        <v/>
      </c>
      <c r="O714" s="8">
        <f>HYPERLINK("https://ictv.global/id/ICTV19952168","ICTV19952168@prod")</f>
        <v/>
      </c>
    </row>
    <row r="715">
      <c r="A715" t="n">
        <v>17</v>
      </c>
      <c r="B715" t="n">
        <v>19980589</v>
      </c>
      <c r="C715" t="n">
        <v>19952169</v>
      </c>
      <c r="D715" t="inlineStr">
        <is>
          <t>species</t>
        </is>
      </c>
      <c r="E715" t="inlineStr">
        <is>
          <t>Enterobacteria phage chi</t>
        </is>
      </c>
      <c r="G715" t="inlineStr">
        <is>
          <t>Abolished,</t>
        </is>
      </c>
      <c r="L715" s="8">
        <f>HYPERLINK("https://test.ictv.global/id/TN19980589","TN19980589@TEST")</f>
        <v/>
      </c>
      <c r="M715" s="8">
        <f>HYPERLINK("https://test.ictv.global/id/ICTV19952169","ICTV19952169@TEST")</f>
        <v/>
      </c>
      <c r="N715" s="8">
        <f>HYPERLINK("https://ictv.global/id/TN19980589","TN19980589@prod")</f>
        <v/>
      </c>
      <c r="O715" s="8">
        <f>HYPERLINK("https://ictv.global/id/ICTV19952169","ICTV19952169@prod")</f>
        <v/>
      </c>
    </row>
    <row r="716">
      <c r="A716" t="n">
        <v>17</v>
      </c>
      <c r="B716" t="n">
        <v>19980590</v>
      </c>
      <c r="C716" t="n">
        <v>19952170</v>
      </c>
      <c r="D716" t="inlineStr">
        <is>
          <t>species</t>
        </is>
      </c>
      <c r="E716" t="inlineStr">
        <is>
          <t>Enterobacteria phage H-19J</t>
        </is>
      </c>
      <c r="G716" t="inlineStr">
        <is>
          <t>Abolished,</t>
        </is>
      </c>
      <c r="L716" s="8">
        <f>HYPERLINK("https://test.ictv.global/id/TN19980590","TN19980590@TEST")</f>
        <v/>
      </c>
      <c r="M716" s="8">
        <f>HYPERLINK("https://test.ictv.global/id/ICTV19952170","ICTV19952170@TEST")</f>
        <v/>
      </c>
      <c r="N716" s="8">
        <f>HYPERLINK("https://ictv.global/id/TN19980590","TN19980590@prod")</f>
        <v/>
      </c>
      <c r="O716" s="8">
        <f>HYPERLINK("https://ictv.global/id/ICTV19952170","ICTV19952170@prod")</f>
        <v/>
      </c>
    </row>
    <row r="717">
      <c r="A717" t="n">
        <v>17</v>
      </c>
      <c r="B717" t="n">
        <v>19980591</v>
      </c>
      <c r="C717" t="n">
        <v>19952171</v>
      </c>
      <c r="D717" t="inlineStr">
        <is>
          <t>species</t>
        </is>
      </c>
      <c r="E717" t="inlineStr">
        <is>
          <t>Enterobacteria phage Jersey</t>
        </is>
      </c>
      <c r="G717" t="inlineStr">
        <is>
          <t>Abolished,</t>
        </is>
      </c>
      <c r="L717" s="8">
        <f>HYPERLINK("https://test.ictv.global/id/TN19980591","TN19980591@TEST")</f>
        <v/>
      </c>
      <c r="M717" s="8">
        <f>HYPERLINK("https://test.ictv.global/id/ICTV19952171","ICTV19952171@TEST")</f>
        <v/>
      </c>
      <c r="N717" s="8">
        <f>HYPERLINK("https://ictv.global/id/TN19980591","TN19980591@prod")</f>
        <v/>
      </c>
      <c r="O717" s="8">
        <f>HYPERLINK("https://ictv.global/id/ICTV19952171","ICTV19952171@prod")</f>
        <v/>
      </c>
    </row>
    <row r="718">
      <c r="A718" t="n">
        <v>17</v>
      </c>
      <c r="B718" t="n">
        <v>19980592</v>
      </c>
      <c r="C718" t="n">
        <v>19952173</v>
      </c>
      <c r="D718" t="inlineStr">
        <is>
          <t>species</t>
        </is>
      </c>
      <c r="E718" t="inlineStr">
        <is>
          <t>Enterobacteria phage ViII</t>
        </is>
      </c>
      <c r="G718" t="inlineStr">
        <is>
          <t>Abolished,</t>
        </is>
      </c>
      <c r="L718" s="8">
        <f>HYPERLINK("https://test.ictv.global/id/TN19980592","TN19980592@TEST")</f>
        <v/>
      </c>
      <c r="M718" s="8">
        <f>HYPERLINK("https://test.ictv.global/id/ICTV19952173","ICTV19952173@TEST")</f>
        <v/>
      </c>
      <c r="N718" s="8">
        <f>HYPERLINK("https://ictv.global/id/TN19980592","TN19980592@prod")</f>
        <v/>
      </c>
      <c r="O718" s="8">
        <f>HYPERLINK("https://ictv.global/id/ICTV19952173","ICTV19952173@prod")</f>
        <v/>
      </c>
    </row>
    <row r="719">
      <c r="A719" t="n">
        <v>17</v>
      </c>
      <c r="B719" t="n">
        <v>19980593</v>
      </c>
      <c r="C719" t="n">
        <v>19952174</v>
      </c>
      <c r="D719" t="inlineStr">
        <is>
          <t>species</t>
        </is>
      </c>
      <c r="E719" t="inlineStr">
        <is>
          <t>Enterobacteria phage ZG/3A</t>
        </is>
      </c>
      <c r="G719" t="inlineStr">
        <is>
          <t>Abolished,</t>
        </is>
      </c>
      <c r="L719" s="8">
        <f>HYPERLINK("https://test.ictv.global/id/TN19980593","TN19980593@TEST")</f>
        <v/>
      </c>
      <c r="M719" s="8">
        <f>HYPERLINK("https://test.ictv.global/id/ICTV19952174","ICTV19952174@TEST")</f>
        <v/>
      </c>
      <c r="N719" s="8">
        <f>HYPERLINK("https://ictv.global/id/TN19980593","TN19980593@prod")</f>
        <v/>
      </c>
      <c r="O719" s="8">
        <f>HYPERLINK("https://ictv.global/id/ICTV19952174","ICTV19952174@prod")</f>
        <v/>
      </c>
    </row>
    <row r="720">
      <c r="A720" t="n">
        <v>17</v>
      </c>
      <c r="B720" t="n">
        <v>19980594</v>
      </c>
      <c r="C720" t="n">
        <v>19952175</v>
      </c>
      <c r="D720" t="inlineStr">
        <is>
          <t>species</t>
        </is>
      </c>
      <c r="E720" t="inlineStr">
        <is>
          <t>Lactobacillus phage 1b6</t>
        </is>
      </c>
      <c r="G720" t="inlineStr">
        <is>
          <t>Abolished,</t>
        </is>
      </c>
      <c r="L720" s="8">
        <f>HYPERLINK("https://test.ictv.global/id/TN19980594","TN19980594@TEST")</f>
        <v/>
      </c>
      <c r="M720" s="8">
        <f>HYPERLINK("https://test.ictv.global/id/ICTV19952175","ICTV19952175@TEST")</f>
        <v/>
      </c>
      <c r="N720" s="8">
        <f>HYPERLINK("https://ictv.global/id/TN19980594","TN19980594@prod")</f>
        <v/>
      </c>
      <c r="O720" s="8">
        <f>HYPERLINK("https://ictv.global/id/ICTV19952175","ICTV19952175@prod")</f>
        <v/>
      </c>
    </row>
    <row r="721">
      <c r="A721" t="n">
        <v>17</v>
      </c>
      <c r="B721" t="n">
        <v>19980595</v>
      </c>
      <c r="C721" t="n">
        <v>19952176</v>
      </c>
      <c r="D721" t="inlineStr">
        <is>
          <t>species</t>
        </is>
      </c>
      <c r="E721" t="inlineStr">
        <is>
          <t>Lactobacillus phage 223</t>
        </is>
      </c>
      <c r="G721" t="inlineStr">
        <is>
          <t>Abolished,</t>
        </is>
      </c>
      <c r="L721" s="8">
        <f>HYPERLINK("https://test.ictv.global/id/TN19980595","TN19980595@TEST")</f>
        <v/>
      </c>
      <c r="M721" s="8">
        <f>HYPERLINK("https://test.ictv.global/id/ICTV19952176","ICTV19952176@TEST")</f>
        <v/>
      </c>
      <c r="N721" s="8">
        <f>HYPERLINK("https://ictv.global/id/TN19980595","TN19980595@prod")</f>
        <v/>
      </c>
      <c r="O721" s="8">
        <f>HYPERLINK("https://ictv.global/id/ICTV19952176","ICTV19952176@prod")</f>
        <v/>
      </c>
    </row>
    <row r="722">
      <c r="A722" t="n">
        <v>17</v>
      </c>
      <c r="B722" t="n">
        <v>19980596</v>
      </c>
      <c r="C722" t="n">
        <v>19952177</v>
      </c>
      <c r="D722" t="inlineStr">
        <is>
          <t>species</t>
        </is>
      </c>
      <c r="E722" t="inlineStr">
        <is>
          <t>Lactobacillus phage phiFSW</t>
        </is>
      </c>
      <c r="G722" t="inlineStr">
        <is>
          <t>Abolished,</t>
        </is>
      </c>
      <c r="L722" s="8">
        <f>HYPERLINK("https://test.ictv.global/id/TN19980596","TN19980596@TEST")</f>
        <v/>
      </c>
      <c r="M722" s="8">
        <f>HYPERLINK("https://test.ictv.global/id/ICTV19952177","ICTV19952177@TEST")</f>
        <v/>
      </c>
      <c r="N722" s="8">
        <f>HYPERLINK("https://ictv.global/id/TN19980596","TN19980596@prod")</f>
        <v/>
      </c>
      <c r="O722" s="8">
        <f>HYPERLINK("https://ictv.global/id/ICTV19952177","ICTV19952177@prod")</f>
        <v/>
      </c>
    </row>
    <row r="723">
      <c r="A723" t="n">
        <v>17</v>
      </c>
      <c r="B723" t="n">
        <v>19980597</v>
      </c>
      <c r="C723" t="n">
        <v>19952178</v>
      </c>
      <c r="D723" t="inlineStr">
        <is>
          <t>species</t>
        </is>
      </c>
      <c r="E723" t="inlineStr">
        <is>
          <t>Lactobacillus phage PL-1</t>
        </is>
      </c>
      <c r="G723" t="inlineStr">
        <is>
          <t>Abolished,</t>
        </is>
      </c>
      <c r="L723" s="8">
        <f>HYPERLINK("https://test.ictv.global/id/TN19980597","TN19980597@TEST")</f>
        <v/>
      </c>
      <c r="M723" s="8">
        <f>HYPERLINK("https://test.ictv.global/id/ICTV19952178","ICTV19952178@TEST")</f>
        <v/>
      </c>
      <c r="N723" s="8">
        <f>HYPERLINK("https://ictv.global/id/TN19980597","TN19980597@prod")</f>
        <v/>
      </c>
      <c r="O723" s="8">
        <f>HYPERLINK("https://ictv.global/id/ICTV19952178","ICTV19952178@prod")</f>
        <v/>
      </c>
    </row>
    <row r="724">
      <c r="A724" t="n">
        <v>17</v>
      </c>
      <c r="B724" t="n">
        <v>19980598</v>
      </c>
      <c r="C724" t="n">
        <v>19952179</v>
      </c>
      <c r="D724" t="inlineStr">
        <is>
          <t>species</t>
        </is>
      </c>
      <c r="E724" t="inlineStr">
        <is>
          <t>Lactobacillus phage y5</t>
        </is>
      </c>
      <c r="G724" t="inlineStr">
        <is>
          <t>Abolished,</t>
        </is>
      </c>
      <c r="L724" s="8">
        <f>HYPERLINK("https://test.ictv.global/id/TN19980598","TN19980598@TEST")</f>
        <v/>
      </c>
      <c r="M724" s="8">
        <f>HYPERLINK("https://test.ictv.global/id/ICTV19952179","ICTV19952179@TEST")</f>
        <v/>
      </c>
      <c r="N724" s="8">
        <f>HYPERLINK("https://ictv.global/id/TN19980598","TN19980598@prod")</f>
        <v/>
      </c>
      <c r="O724" s="8">
        <f>HYPERLINK("https://ictv.global/id/ICTV19952179","ICTV19952179@prod")</f>
        <v/>
      </c>
    </row>
    <row r="725">
      <c r="A725" t="n">
        <v>17</v>
      </c>
      <c r="B725" t="n">
        <v>19980599</v>
      </c>
      <c r="C725" t="n">
        <v>19952180</v>
      </c>
      <c r="D725" t="inlineStr">
        <is>
          <t>species</t>
        </is>
      </c>
      <c r="E725" t="inlineStr">
        <is>
          <t>Lactococcus phage 1358</t>
        </is>
      </c>
      <c r="G725" t="inlineStr">
        <is>
          <t>Abolished,</t>
        </is>
      </c>
      <c r="L725" s="8">
        <f>HYPERLINK("https://test.ictv.global/id/TN19980599","TN19980599@TEST")</f>
        <v/>
      </c>
      <c r="M725" s="8">
        <f>HYPERLINK("https://test.ictv.global/id/ICTV19952180","ICTV19952180@TEST")</f>
        <v/>
      </c>
      <c r="N725" s="8">
        <f>HYPERLINK("https://ictv.global/id/TN19980599","TN19980599@prod")</f>
        <v/>
      </c>
      <c r="O725" s="8">
        <f>HYPERLINK("https://ictv.global/id/ICTV19952180","ICTV19952180@prod")</f>
        <v/>
      </c>
    </row>
    <row r="726">
      <c r="A726" t="n">
        <v>17</v>
      </c>
      <c r="B726" t="n">
        <v>19980600</v>
      </c>
      <c r="C726" t="n">
        <v>19952181</v>
      </c>
      <c r="D726" t="inlineStr">
        <is>
          <t>species</t>
        </is>
      </c>
      <c r="E726" t="inlineStr">
        <is>
          <t>Lactococcus phage 1483</t>
        </is>
      </c>
      <c r="G726" t="inlineStr">
        <is>
          <t>Abolished,</t>
        </is>
      </c>
      <c r="L726" s="8">
        <f>HYPERLINK("https://test.ictv.global/id/TN19980600","TN19980600@TEST")</f>
        <v/>
      </c>
      <c r="M726" s="8">
        <f>HYPERLINK("https://test.ictv.global/id/ICTV19952181","ICTV19952181@TEST")</f>
        <v/>
      </c>
      <c r="N726" s="8">
        <f>HYPERLINK("https://ictv.global/id/TN19980600","TN19980600@prod")</f>
        <v/>
      </c>
      <c r="O726" s="8">
        <f>HYPERLINK("https://ictv.global/id/ICTV19952181","ICTV19952181@prod")</f>
        <v/>
      </c>
    </row>
    <row r="727">
      <c r="A727" t="n">
        <v>17</v>
      </c>
      <c r="B727" t="n">
        <v>19980601</v>
      </c>
      <c r="C727" t="n">
        <v>19952182</v>
      </c>
      <c r="D727" t="inlineStr">
        <is>
          <t>species</t>
        </is>
      </c>
      <c r="E727" t="inlineStr">
        <is>
          <t>Lactococcus phage 936</t>
        </is>
      </c>
      <c r="G727" t="inlineStr">
        <is>
          <t>Abolished,</t>
        </is>
      </c>
      <c r="L727" s="8">
        <f>HYPERLINK("https://test.ictv.global/id/TN19980601","TN19980601@TEST")</f>
        <v/>
      </c>
      <c r="M727" s="8">
        <f>HYPERLINK("https://test.ictv.global/id/ICTV19952182","ICTV19952182@TEST")</f>
        <v/>
      </c>
      <c r="N727" s="8">
        <f>HYPERLINK("https://ictv.global/id/TN19980601","TN19980601@prod")</f>
        <v/>
      </c>
      <c r="O727" s="8">
        <f>HYPERLINK("https://ictv.global/id/ICTV19952182","ICTV19952182@prod")</f>
        <v/>
      </c>
    </row>
    <row r="728">
      <c r="A728" t="n">
        <v>17</v>
      </c>
      <c r="B728" t="n">
        <v>19980602</v>
      </c>
      <c r="C728" t="n">
        <v>19952183</v>
      </c>
      <c r="D728" t="inlineStr">
        <is>
          <t>species</t>
        </is>
      </c>
      <c r="E728" t="inlineStr">
        <is>
          <t>Lactococcus phage 949</t>
        </is>
      </c>
      <c r="G728" t="inlineStr">
        <is>
          <t>Abolished,</t>
        </is>
      </c>
      <c r="L728" s="8">
        <f>HYPERLINK("https://test.ictv.global/id/TN19980602","TN19980602@TEST")</f>
        <v/>
      </c>
      <c r="M728" s="8">
        <f>HYPERLINK("https://test.ictv.global/id/ICTV19952183","ICTV19952183@TEST")</f>
        <v/>
      </c>
      <c r="N728" s="8">
        <f>HYPERLINK("https://ictv.global/id/TN19980602","TN19980602@prod")</f>
        <v/>
      </c>
      <c r="O728" s="8">
        <f>HYPERLINK("https://ictv.global/id/ICTV19952183","ICTV19952183@prod")</f>
        <v/>
      </c>
    </row>
    <row r="729">
      <c r="A729" t="n">
        <v>17</v>
      </c>
      <c r="B729" t="n">
        <v>19980603</v>
      </c>
      <c r="C729" t="n">
        <v>19952184</v>
      </c>
      <c r="D729" t="inlineStr">
        <is>
          <t>species</t>
        </is>
      </c>
      <c r="E729" t="inlineStr">
        <is>
          <t>Lactococcus phage BK5-T</t>
        </is>
      </c>
      <c r="G729" t="inlineStr">
        <is>
          <t>Abolished,</t>
        </is>
      </c>
      <c r="L729" s="8">
        <f>HYPERLINK("https://test.ictv.global/id/TN19980603","TN19980603@TEST")</f>
        <v/>
      </c>
      <c r="M729" s="8">
        <f>HYPERLINK("https://test.ictv.global/id/ICTV19952184","ICTV19952184@TEST")</f>
        <v/>
      </c>
      <c r="N729" s="8">
        <f>HYPERLINK("https://ictv.global/id/TN19980603","TN19980603@prod")</f>
        <v/>
      </c>
      <c r="O729" s="8">
        <f>HYPERLINK("https://ictv.global/id/ICTV19952184","ICTV19952184@prod")</f>
        <v/>
      </c>
    </row>
    <row r="730">
      <c r="A730" t="n">
        <v>17</v>
      </c>
      <c r="B730" t="n">
        <v>19980604</v>
      </c>
      <c r="C730" t="n">
        <v>19952186</v>
      </c>
      <c r="D730" t="inlineStr">
        <is>
          <t>species</t>
        </is>
      </c>
      <c r="E730" t="inlineStr">
        <is>
          <t>Lactococcus phage P107</t>
        </is>
      </c>
      <c r="G730" t="inlineStr">
        <is>
          <t>Abolished,</t>
        </is>
      </c>
      <c r="L730" s="8">
        <f>HYPERLINK("https://test.ictv.global/id/TN19980604","TN19980604@TEST")</f>
        <v/>
      </c>
      <c r="M730" s="8">
        <f>HYPERLINK("https://test.ictv.global/id/ICTV19952186","ICTV19952186@TEST")</f>
        <v/>
      </c>
      <c r="N730" s="8">
        <f>HYPERLINK("https://ictv.global/id/TN19980604","TN19980604@prod")</f>
        <v/>
      </c>
      <c r="O730" s="8">
        <f>HYPERLINK("https://ictv.global/id/ICTV19952186","ICTV19952186@prod")</f>
        <v/>
      </c>
    </row>
    <row r="731">
      <c r="A731" t="n">
        <v>17</v>
      </c>
      <c r="B731" t="n">
        <v>19980605</v>
      </c>
      <c r="C731" t="n">
        <v>19952187</v>
      </c>
      <c r="D731" t="inlineStr">
        <is>
          <t>species</t>
        </is>
      </c>
      <c r="E731" t="inlineStr">
        <is>
          <t>Lactococcus phage P335</t>
        </is>
      </c>
      <c r="G731" t="inlineStr">
        <is>
          <t>Abolished,</t>
        </is>
      </c>
      <c r="L731" s="8">
        <f>HYPERLINK("https://test.ictv.global/id/TN19980605","TN19980605@TEST")</f>
        <v/>
      </c>
      <c r="M731" s="8">
        <f>HYPERLINK("https://test.ictv.global/id/ICTV19952187","ICTV19952187@TEST")</f>
        <v/>
      </c>
      <c r="N731" s="8">
        <f>HYPERLINK("https://ictv.global/id/TN19980605","TN19980605@prod")</f>
        <v/>
      </c>
      <c r="O731" s="8">
        <f>HYPERLINK("https://ictv.global/id/ICTV19952187","ICTV19952187@prod")</f>
        <v/>
      </c>
    </row>
    <row r="732">
      <c r="A732" t="n">
        <v>17</v>
      </c>
      <c r="B732" t="n">
        <v>19980606</v>
      </c>
      <c r="C732" t="n">
        <v>19952188</v>
      </c>
      <c r="D732" t="inlineStr">
        <is>
          <t>species</t>
        </is>
      </c>
      <c r="E732" t="inlineStr">
        <is>
          <t>Lactococcus phage PO87</t>
        </is>
      </c>
      <c r="G732" t="inlineStr">
        <is>
          <t>Abolished,</t>
        </is>
      </c>
      <c r="L732" s="8">
        <f>HYPERLINK("https://test.ictv.global/id/TN19980606","TN19980606@TEST")</f>
        <v/>
      </c>
      <c r="M732" s="8">
        <f>HYPERLINK("https://test.ictv.global/id/ICTV19952188","ICTV19952188@TEST")</f>
        <v/>
      </c>
      <c r="N732" s="8">
        <f>HYPERLINK("https://ictv.global/id/TN19980606","TN19980606@prod")</f>
        <v/>
      </c>
      <c r="O732" s="8">
        <f>HYPERLINK("https://ictv.global/id/ICTV19952188","ICTV19952188@prod")</f>
        <v/>
      </c>
    </row>
    <row r="733">
      <c r="A733" t="n">
        <v>17</v>
      </c>
      <c r="B733" t="n">
        <v>19980607</v>
      </c>
      <c r="C733" t="n">
        <v>19952189</v>
      </c>
      <c r="D733" t="inlineStr">
        <is>
          <t>species</t>
        </is>
      </c>
      <c r="E733" t="inlineStr">
        <is>
          <t>Leuconostoc phage pro2</t>
        </is>
      </c>
      <c r="G733" t="inlineStr">
        <is>
          <t>Abolished,</t>
        </is>
      </c>
      <c r="L733" s="8">
        <f>HYPERLINK("https://test.ictv.global/id/TN19980607","TN19980607@TEST")</f>
        <v/>
      </c>
      <c r="M733" s="8">
        <f>HYPERLINK("https://test.ictv.global/id/ICTV19952189","ICTV19952189@TEST")</f>
        <v/>
      </c>
      <c r="N733" s="8">
        <f>HYPERLINK("https://ictv.global/id/TN19980607","TN19980607@prod")</f>
        <v/>
      </c>
      <c r="O733" s="8">
        <f>HYPERLINK("https://ictv.global/id/ICTV19952189","ICTV19952189@prod")</f>
        <v/>
      </c>
    </row>
    <row r="734">
      <c r="A734" t="n">
        <v>17</v>
      </c>
      <c r="B734" t="n">
        <v>19980608</v>
      </c>
      <c r="C734" t="n">
        <v>19952190</v>
      </c>
      <c r="D734" t="inlineStr">
        <is>
          <t>species</t>
        </is>
      </c>
      <c r="E734" t="inlineStr">
        <is>
          <t>Listeria phage 2389</t>
        </is>
      </c>
      <c r="G734" t="inlineStr">
        <is>
          <t>Abolished,</t>
        </is>
      </c>
      <c r="L734" s="8">
        <f>HYPERLINK("https://test.ictv.global/id/TN19980608","TN19980608@TEST")</f>
        <v/>
      </c>
      <c r="M734" s="8">
        <f>HYPERLINK("https://test.ictv.global/id/ICTV19952190","ICTV19952190@TEST")</f>
        <v/>
      </c>
      <c r="N734" s="8">
        <f>HYPERLINK("https://ictv.global/id/TN19980608","TN19980608@prod")</f>
        <v/>
      </c>
      <c r="O734" s="8">
        <f>HYPERLINK("https://ictv.global/id/ICTV19952190","ICTV19952190@prod")</f>
        <v/>
      </c>
    </row>
    <row r="735">
      <c r="A735" t="n">
        <v>17</v>
      </c>
      <c r="B735" t="n">
        <v>19980609</v>
      </c>
      <c r="C735" t="n">
        <v>19952191</v>
      </c>
      <c r="D735" t="inlineStr">
        <is>
          <t>species</t>
        </is>
      </c>
      <c r="E735" t="inlineStr">
        <is>
          <t>Listeria phage 2671</t>
        </is>
      </c>
      <c r="G735" t="inlineStr">
        <is>
          <t>Abolished,</t>
        </is>
      </c>
      <c r="L735" s="8">
        <f>HYPERLINK("https://test.ictv.global/id/TN19980609","TN19980609@TEST")</f>
        <v/>
      </c>
      <c r="M735" s="8">
        <f>HYPERLINK("https://test.ictv.global/id/ICTV19952191","ICTV19952191@TEST")</f>
        <v/>
      </c>
      <c r="N735" s="8">
        <f>HYPERLINK("https://ictv.global/id/TN19980609","TN19980609@prod")</f>
        <v/>
      </c>
      <c r="O735" s="8">
        <f>HYPERLINK("https://ictv.global/id/ICTV19952191","ICTV19952191@prod")</f>
        <v/>
      </c>
    </row>
    <row r="736">
      <c r="A736" t="n">
        <v>17</v>
      </c>
      <c r="B736" t="n">
        <v>19980610</v>
      </c>
      <c r="C736" t="n">
        <v>19952192</v>
      </c>
      <c r="D736" t="inlineStr">
        <is>
          <t>species</t>
        </is>
      </c>
      <c r="E736" t="inlineStr">
        <is>
          <t>Listeria phage 2685</t>
        </is>
      </c>
      <c r="G736" t="inlineStr">
        <is>
          <t>Abolished,</t>
        </is>
      </c>
      <c r="L736" s="8">
        <f>HYPERLINK("https://test.ictv.global/id/TN19980610","TN19980610@TEST")</f>
        <v/>
      </c>
      <c r="M736" s="8">
        <f>HYPERLINK("https://test.ictv.global/id/ICTV19952192","ICTV19952192@TEST")</f>
        <v/>
      </c>
      <c r="N736" s="8">
        <f>HYPERLINK("https://ictv.global/id/TN19980610","TN19980610@prod")</f>
        <v/>
      </c>
      <c r="O736" s="8">
        <f>HYPERLINK("https://ictv.global/id/ICTV19952192","ICTV19952192@prod")</f>
        <v/>
      </c>
    </row>
    <row r="737">
      <c r="A737" t="n">
        <v>17</v>
      </c>
      <c r="B737" t="n">
        <v>19980611</v>
      </c>
      <c r="C737" t="n">
        <v>19952193</v>
      </c>
      <c r="D737" t="inlineStr">
        <is>
          <t>species</t>
        </is>
      </c>
      <c r="E737" t="inlineStr">
        <is>
          <t>Listeria phage H387</t>
        </is>
      </c>
      <c r="G737" t="inlineStr">
        <is>
          <t>Abolished,</t>
        </is>
      </c>
      <c r="L737" s="8">
        <f>HYPERLINK("https://test.ictv.global/id/TN19980611","TN19980611@TEST")</f>
        <v/>
      </c>
      <c r="M737" s="8">
        <f>HYPERLINK("https://test.ictv.global/id/ICTV19952193","ICTV19952193@TEST")</f>
        <v/>
      </c>
      <c r="N737" s="8">
        <f>HYPERLINK("https://ictv.global/id/TN19980611","TN19980611@prod")</f>
        <v/>
      </c>
      <c r="O737" s="8">
        <f>HYPERLINK("https://ictv.global/id/ICTV19952193","ICTV19952193@prod")</f>
        <v/>
      </c>
    </row>
    <row r="738">
      <c r="A738" t="n">
        <v>17</v>
      </c>
      <c r="B738" t="n">
        <v>19980612</v>
      </c>
      <c r="C738" t="n">
        <v>19952194</v>
      </c>
      <c r="D738" t="inlineStr">
        <is>
          <t>species</t>
        </is>
      </c>
      <c r="E738" t="inlineStr">
        <is>
          <t>Micrococcus phage N1</t>
        </is>
      </c>
      <c r="G738" t="inlineStr">
        <is>
          <t>Abolished,</t>
        </is>
      </c>
      <c r="L738" s="8">
        <f>HYPERLINK("https://test.ictv.global/id/TN19980612","TN19980612@TEST")</f>
        <v/>
      </c>
      <c r="M738" s="8">
        <f>HYPERLINK("https://test.ictv.global/id/ICTV19952194","ICTV19952194@TEST")</f>
        <v/>
      </c>
      <c r="N738" s="8">
        <f>HYPERLINK("https://ictv.global/id/TN19980612","TN19980612@prod")</f>
        <v/>
      </c>
      <c r="O738" s="8">
        <f>HYPERLINK("https://ictv.global/id/ICTV19952194","ICTV19952194@prod")</f>
        <v/>
      </c>
    </row>
    <row r="739">
      <c r="A739" t="n">
        <v>17</v>
      </c>
      <c r="B739" t="n">
        <v>19980613</v>
      </c>
      <c r="C739" t="n">
        <v>19952195</v>
      </c>
      <c r="D739" t="inlineStr">
        <is>
          <t>species</t>
        </is>
      </c>
      <c r="E739" t="inlineStr">
        <is>
          <t>Micrococcus phage N5</t>
        </is>
      </c>
      <c r="G739" t="inlineStr">
        <is>
          <t>Abolished,</t>
        </is>
      </c>
      <c r="L739" s="8">
        <f>HYPERLINK("https://test.ictv.global/id/TN19980613","TN19980613@TEST")</f>
        <v/>
      </c>
      <c r="M739" s="8">
        <f>HYPERLINK("https://test.ictv.global/id/ICTV19952195","ICTV19952195@TEST")</f>
        <v/>
      </c>
      <c r="N739" s="8">
        <f>HYPERLINK("https://ictv.global/id/TN19980613","TN19980613@prod")</f>
        <v/>
      </c>
      <c r="O739" s="8">
        <f>HYPERLINK("https://ictv.global/id/ICTV19952195","ICTV19952195@prod")</f>
        <v/>
      </c>
    </row>
    <row r="740">
      <c r="A740" t="n">
        <v>17</v>
      </c>
      <c r="B740" t="n">
        <v>19980614</v>
      </c>
      <c r="C740" t="n">
        <v>19952196</v>
      </c>
      <c r="D740" t="inlineStr">
        <is>
          <t>species</t>
        </is>
      </c>
      <c r="E740" t="inlineStr">
        <is>
          <t>Mycobacterium phage lacticola</t>
        </is>
      </c>
      <c r="G740" t="inlineStr">
        <is>
          <t>Abolished,</t>
        </is>
      </c>
      <c r="L740" s="8">
        <f>HYPERLINK("https://test.ictv.global/id/TN19980614","TN19980614@TEST")</f>
        <v/>
      </c>
      <c r="M740" s="8">
        <f>HYPERLINK("https://test.ictv.global/id/ICTV19952196","ICTV19952196@TEST")</f>
        <v/>
      </c>
      <c r="N740" s="8">
        <f>HYPERLINK("https://ictv.global/id/TN19980614","TN19980614@prod")</f>
        <v/>
      </c>
      <c r="O740" s="8">
        <f>HYPERLINK("https://ictv.global/id/ICTV19952196","ICTV19952196@prod")</f>
        <v/>
      </c>
    </row>
    <row r="741">
      <c r="A741" t="n">
        <v>17</v>
      </c>
      <c r="B741" t="n">
        <v>19980615</v>
      </c>
      <c r="C741" t="n">
        <v>19952197</v>
      </c>
      <c r="D741" t="inlineStr">
        <is>
          <t>species</t>
        </is>
      </c>
      <c r="E741" t="inlineStr">
        <is>
          <t>Mycobacterium phage Leo</t>
        </is>
      </c>
      <c r="G741" t="inlineStr">
        <is>
          <t>Abolished,</t>
        </is>
      </c>
      <c r="L741" s="8">
        <f>HYPERLINK("https://test.ictv.global/id/TN19980615","TN19980615@TEST")</f>
        <v/>
      </c>
      <c r="M741" s="8">
        <f>HYPERLINK("https://test.ictv.global/id/ICTV19952197","ICTV19952197@TEST")</f>
        <v/>
      </c>
      <c r="N741" s="8">
        <f>HYPERLINK("https://ictv.global/id/TN19980615","TN19980615@prod")</f>
        <v/>
      </c>
      <c r="O741" s="8">
        <f>HYPERLINK("https://ictv.global/id/ICTV19952197","ICTV19952197@prod")</f>
        <v/>
      </c>
    </row>
    <row r="742">
      <c r="A742" t="n">
        <v>17</v>
      </c>
      <c r="B742" t="n">
        <v>19980616</v>
      </c>
      <c r="C742" t="n">
        <v>19952198</v>
      </c>
      <c r="D742" t="inlineStr">
        <is>
          <t>species</t>
        </is>
      </c>
      <c r="E742" t="inlineStr">
        <is>
          <t>Mycobacterium phage R1-Myb</t>
        </is>
      </c>
      <c r="G742" t="inlineStr">
        <is>
          <t>Abolished,</t>
        </is>
      </c>
      <c r="L742" s="8">
        <f>HYPERLINK("https://test.ictv.global/id/TN19980616","TN19980616@TEST")</f>
        <v/>
      </c>
      <c r="M742" s="8">
        <f>HYPERLINK("https://test.ictv.global/id/ICTV19952198","ICTV19952198@TEST")</f>
        <v/>
      </c>
      <c r="N742" s="8">
        <f>HYPERLINK("https://ictv.global/id/TN19980616","TN19980616@prod")</f>
        <v/>
      </c>
      <c r="O742" s="8">
        <f>HYPERLINK("https://ictv.global/id/ICTV19952198","ICTV19952198@prod")</f>
        <v/>
      </c>
    </row>
    <row r="743">
      <c r="A743" t="n">
        <v>17</v>
      </c>
      <c r="B743" t="n">
        <v>19980617</v>
      </c>
      <c r="C743" t="n">
        <v>19952199</v>
      </c>
      <c r="D743" t="inlineStr">
        <is>
          <t>species</t>
        </is>
      </c>
      <c r="E743" t="inlineStr">
        <is>
          <t>Pasteurella phage 32</t>
        </is>
      </c>
      <c r="G743" t="inlineStr">
        <is>
          <t>Abolished,</t>
        </is>
      </c>
      <c r="L743" s="8">
        <f>HYPERLINK("https://test.ictv.global/id/TN19980617","TN19980617@TEST")</f>
        <v/>
      </c>
      <c r="M743" s="8">
        <f>HYPERLINK("https://test.ictv.global/id/ICTV19952199","ICTV19952199@TEST")</f>
        <v/>
      </c>
      <c r="N743" s="8">
        <f>HYPERLINK("https://ictv.global/id/TN19980617","TN19980617@prod")</f>
        <v/>
      </c>
      <c r="O743" s="8">
        <f>HYPERLINK("https://ictv.global/id/ICTV19952199","ICTV19952199@prod")</f>
        <v/>
      </c>
    </row>
    <row r="744">
      <c r="A744" t="n">
        <v>17</v>
      </c>
      <c r="B744" t="n">
        <v>19980618</v>
      </c>
      <c r="C744" t="n">
        <v>19952200</v>
      </c>
      <c r="D744" t="inlineStr">
        <is>
          <t>species</t>
        </is>
      </c>
      <c r="E744" t="inlineStr">
        <is>
          <t>Pasteurella phage C-2</t>
        </is>
      </c>
      <c r="G744" t="inlineStr">
        <is>
          <t>Abolished,</t>
        </is>
      </c>
      <c r="L744" s="8">
        <f>HYPERLINK("https://test.ictv.global/id/TN19980618","TN19980618@TEST")</f>
        <v/>
      </c>
      <c r="M744" s="8">
        <f>HYPERLINK("https://test.ictv.global/id/ICTV19952200","ICTV19952200@TEST")</f>
        <v/>
      </c>
      <c r="N744" s="8">
        <f>HYPERLINK("https://ictv.global/id/TN19980618","TN19980618@prod")</f>
        <v/>
      </c>
      <c r="O744" s="8">
        <f>HYPERLINK("https://ictv.global/id/ICTV19952200","ICTV19952200@prod")</f>
        <v/>
      </c>
    </row>
    <row r="745">
      <c r="A745" t="n">
        <v>17</v>
      </c>
      <c r="B745" t="n">
        <v>19980619</v>
      </c>
      <c r="C745" t="n">
        <v>19952201</v>
      </c>
      <c r="D745" t="inlineStr">
        <is>
          <t>species</t>
        </is>
      </c>
      <c r="E745" t="inlineStr">
        <is>
          <t>Pseudomonas phage D3</t>
        </is>
      </c>
      <c r="F745" t="inlineStr">
        <is>
          <t>AF165214</t>
        </is>
      </c>
      <c r="G745" t="inlineStr">
        <is>
          <t>Abolished,</t>
        </is>
      </c>
      <c r="L745" s="8">
        <f>HYPERLINK("https://test.ictv.global/id/TN19980619","TN19980619@TEST")</f>
        <v/>
      </c>
      <c r="M745" s="8">
        <f>HYPERLINK("https://test.ictv.global/id/ICTV19952201","ICTV19952201@TEST")</f>
        <v/>
      </c>
      <c r="N745" s="8">
        <f>HYPERLINK("https://ictv.global/id/TN19980619","TN19980619@prod")</f>
        <v/>
      </c>
      <c r="O745" s="8">
        <f>HYPERLINK("https://ictv.global/id/ICTV19952201","ICTV19952201@prod")</f>
        <v/>
      </c>
    </row>
    <row r="746">
      <c r="A746" t="n">
        <v>17</v>
      </c>
      <c r="B746" t="n">
        <v>19980620</v>
      </c>
      <c r="C746" t="n">
        <v>19952202</v>
      </c>
      <c r="D746" t="inlineStr">
        <is>
          <t>species</t>
        </is>
      </c>
      <c r="E746" t="inlineStr">
        <is>
          <t>Pseudomonas phage Kf1</t>
        </is>
      </c>
      <c r="G746" t="inlineStr">
        <is>
          <t>Abolished,</t>
        </is>
      </c>
      <c r="L746" s="8">
        <f>HYPERLINK("https://test.ictv.global/id/TN19980620","TN19980620@TEST")</f>
        <v/>
      </c>
      <c r="M746" s="8">
        <f>HYPERLINK("https://test.ictv.global/id/ICTV19952202","ICTV19952202@TEST")</f>
        <v/>
      </c>
      <c r="N746" s="8">
        <f>HYPERLINK("https://ictv.global/id/TN19980620","TN19980620@prod")</f>
        <v/>
      </c>
      <c r="O746" s="8">
        <f>HYPERLINK("https://ictv.global/id/ICTV19952202","ICTV19952202@prod")</f>
        <v/>
      </c>
    </row>
    <row r="747">
      <c r="A747" t="n">
        <v>17</v>
      </c>
      <c r="B747" t="n">
        <v>19980621</v>
      </c>
      <c r="C747" t="n">
        <v>19952203</v>
      </c>
      <c r="D747" t="inlineStr">
        <is>
          <t>species</t>
        </is>
      </c>
      <c r="E747" t="inlineStr">
        <is>
          <t>Pseudomonas phage M6</t>
        </is>
      </c>
      <c r="F747" t="inlineStr"/>
      <c r="G747" t="inlineStr">
        <is>
          <t>Abolished,</t>
        </is>
      </c>
      <c r="L747" s="8">
        <f>HYPERLINK("https://test.ictv.global/id/TN19980621","TN19980621@TEST")</f>
        <v/>
      </c>
      <c r="M747" s="8">
        <f>HYPERLINK("https://test.ictv.global/id/ICTV19952203","ICTV19952203@TEST")</f>
        <v/>
      </c>
      <c r="N747" s="8">
        <f>HYPERLINK("https://ictv.global/id/TN19980621","TN19980621@prod")</f>
        <v/>
      </c>
      <c r="O747" s="8">
        <f>HYPERLINK("https://ictv.global/id/ICTV19952203","ICTV19952203@prod")</f>
        <v/>
      </c>
    </row>
    <row r="748">
      <c r="A748" t="n">
        <v>17</v>
      </c>
      <c r="B748" t="n">
        <v>19980622</v>
      </c>
      <c r="C748" t="n">
        <v>19952204</v>
      </c>
      <c r="D748" t="inlineStr">
        <is>
          <t>species</t>
        </is>
      </c>
      <c r="E748" t="inlineStr">
        <is>
          <t>Pseudomonas phage PS4</t>
        </is>
      </c>
      <c r="G748" t="inlineStr">
        <is>
          <t>Abolished,</t>
        </is>
      </c>
      <c r="L748" s="8">
        <f>HYPERLINK("https://test.ictv.global/id/TN19980622","TN19980622@TEST")</f>
        <v/>
      </c>
      <c r="M748" s="8">
        <f>HYPERLINK("https://test.ictv.global/id/ICTV19952204","ICTV19952204@TEST")</f>
        <v/>
      </c>
      <c r="N748" s="8">
        <f>HYPERLINK("https://ictv.global/id/TN19980622","TN19980622@prod")</f>
        <v/>
      </c>
      <c r="O748" s="8">
        <f>HYPERLINK("https://ictv.global/id/ICTV19952204","ICTV19952204@prod")</f>
        <v/>
      </c>
    </row>
    <row r="749">
      <c r="A749" t="n">
        <v>17</v>
      </c>
      <c r="B749" t="n">
        <v>19980623</v>
      </c>
      <c r="C749" t="n">
        <v>19952205</v>
      </c>
      <c r="D749" t="inlineStr">
        <is>
          <t>species</t>
        </is>
      </c>
      <c r="E749" t="inlineStr">
        <is>
          <t>Pseudomonas phage SD1</t>
        </is>
      </c>
      <c r="G749" t="inlineStr">
        <is>
          <t>Abolished,</t>
        </is>
      </c>
      <c r="L749" s="8">
        <f>HYPERLINK("https://test.ictv.global/id/TN19980623","TN19980623@TEST")</f>
        <v/>
      </c>
      <c r="M749" s="8">
        <f>HYPERLINK("https://test.ictv.global/id/ICTV19952205","ICTV19952205@TEST")</f>
        <v/>
      </c>
      <c r="N749" s="8">
        <f>HYPERLINK("https://ictv.global/id/TN19980623","TN19980623@prod")</f>
        <v/>
      </c>
      <c r="O749" s="8">
        <f>HYPERLINK("https://ictv.global/id/ICTV19952205","ICTV19952205@prod")</f>
        <v/>
      </c>
    </row>
    <row r="750">
      <c r="A750" t="n">
        <v>17</v>
      </c>
      <c r="B750" t="n">
        <v>19980624</v>
      </c>
      <c r="C750" t="n">
        <v>19952206</v>
      </c>
      <c r="D750" t="inlineStr">
        <is>
          <t>species</t>
        </is>
      </c>
      <c r="E750" t="inlineStr">
        <is>
          <t>Rhizobium phage 16-2-12</t>
        </is>
      </c>
      <c r="G750" t="inlineStr">
        <is>
          <t>Abolished,</t>
        </is>
      </c>
      <c r="L750" s="8">
        <f>HYPERLINK("https://test.ictv.global/id/TN19980624","TN19980624@TEST")</f>
        <v/>
      </c>
      <c r="M750" s="8">
        <f>HYPERLINK("https://test.ictv.global/id/ICTV19952206","ICTV19952206@TEST")</f>
        <v/>
      </c>
      <c r="N750" s="8">
        <f>HYPERLINK("https://ictv.global/id/TN19980624","TN19980624@prod")</f>
        <v/>
      </c>
      <c r="O750" s="8">
        <f>HYPERLINK("https://ictv.global/id/ICTV19952206","ICTV19952206@prod")</f>
        <v/>
      </c>
    </row>
    <row r="751">
      <c r="A751" t="n">
        <v>17</v>
      </c>
      <c r="B751" t="n">
        <v>19980625</v>
      </c>
      <c r="C751" t="n">
        <v>19952207</v>
      </c>
      <c r="D751" t="inlineStr">
        <is>
          <t>species</t>
        </is>
      </c>
      <c r="E751" t="inlineStr">
        <is>
          <t>Rhizobium phage 317</t>
        </is>
      </c>
      <c r="G751" t="inlineStr">
        <is>
          <t>Abolished,</t>
        </is>
      </c>
      <c r="L751" s="8">
        <f>HYPERLINK("https://test.ictv.global/id/TN19980625","TN19980625@TEST")</f>
        <v/>
      </c>
      <c r="M751" s="8">
        <f>HYPERLINK("https://test.ictv.global/id/ICTV19952207","ICTV19952207@TEST")</f>
        <v/>
      </c>
      <c r="N751" s="8">
        <f>HYPERLINK("https://ictv.global/id/TN19980625","TN19980625@prod")</f>
        <v/>
      </c>
      <c r="O751" s="8">
        <f>HYPERLINK("https://ictv.global/id/ICTV19952207","ICTV19952207@prod")</f>
        <v/>
      </c>
    </row>
    <row r="752">
      <c r="A752" t="n">
        <v>17</v>
      </c>
      <c r="B752" t="n">
        <v>19980626</v>
      </c>
      <c r="C752" t="n">
        <v>19952208</v>
      </c>
      <c r="D752" t="inlineStr">
        <is>
          <t>species</t>
        </is>
      </c>
      <c r="E752" t="inlineStr">
        <is>
          <t>Rhizobium phage 5</t>
        </is>
      </c>
      <c r="G752" t="inlineStr">
        <is>
          <t>Abolished,</t>
        </is>
      </c>
      <c r="L752" s="8">
        <f>HYPERLINK("https://test.ictv.global/id/TN19980626","TN19980626@TEST")</f>
        <v/>
      </c>
      <c r="M752" s="8">
        <f>HYPERLINK("https://test.ictv.global/id/ICTV19952208","ICTV19952208@TEST")</f>
        <v/>
      </c>
      <c r="N752" s="8">
        <f>HYPERLINK("https://ictv.global/id/TN19980626","TN19980626@prod")</f>
        <v/>
      </c>
      <c r="O752" s="8">
        <f>HYPERLINK("https://ictv.global/id/ICTV19952208","ICTV19952208@prod")</f>
        <v/>
      </c>
    </row>
    <row r="753">
      <c r="A753" t="n">
        <v>17</v>
      </c>
      <c r="B753" t="n">
        <v>19980627</v>
      </c>
      <c r="C753" t="n">
        <v>19952209</v>
      </c>
      <c r="D753" t="inlineStr">
        <is>
          <t>species</t>
        </is>
      </c>
      <c r="E753" t="inlineStr">
        <is>
          <t>Rhizobium phage 7-7-7</t>
        </is>
      </c>
      <c r="G753" t="inlineStr">
        <is>
          <t>Abolished,</t>
        </is>
      </c>
      <c r="L753" s="8">
        <f>HYPERLINK("https://test.ictv.global/id/TN19980627","TN19980627@TEST")</f>
        <v/>
      </c>
      <c r="M753" s="8">
        <f>HYPERLINK("https://test.ictv.global/id/ICTV19952209","ICTV19952209@TEST")</f>
        <v/>
      </c>
      <c r="N753" s="8">
        <f>HYPERLINK("https://ictv.global/id/TN19980627","TN19980627@prod")</f>
        <v/>
      </c>
      <c r="O753" s="8">
        <f>HYPERLINK("https://ictv.global/id/ICTV19952209","ICTV19952209@prod")</f>
        <v/>
      </c>
    </row>
    <row r="754">
      <c r="A754" t="n">
        <v>17</v>
      </c>
      <c r="B754" t="n">
        <v>19980628</v>
      </c>
      <c r="C754" t="n">
        <v>19952210</v>
      </c>
      <c r="D754" t="inlineStr">
        <is>
          <t>species</t>
        </is>
      </c>
      <c r="E754" t="inlineStr">
        <is>
          <t>Rhizobium phage NM1</t>
        </is>
      </c>
      <c r="G754" t="inlineStr">
        <is>
          <t>Abolished,</t>
        </is>
      </c>
      <c r="L754" s="8">
        <f>HYPERLINK("https://test.ictv.global/id/TN19980628","TN19980628@TEST")</f>
        <v/>
      </c>
      <c r="M754" s="8">
        <f>HYPERLINK("https://test.ictv.global/id/ICTV19952210","ICTV19952210@TEST")</f>
        <v/>
      </c>
      <c r="N754" s="8">
        <f>HYPERLINK("https://ictv.global/id/TN19980628","TN19980628@prod")</f>
        <v/>
      </c>
      <c r="O754" s="8">
        <f>HYPERLINK("https://ictv.global/id/ICTV19952210","ICTV19952210@prod")</f>
        <v/>
      </c>
    </row>
    <row r="755">
      <c r="A755" t="n">
        <v>17</v>
      </c>
      <c r="B755" t="n">
        <v>19980629</v>
      </c>
      <c r="C755" t="n">
        <v>19952211</v>
      </c>
      <c r="D755" t="inlineStr">
        <is>
          <t>species</t>
        </is>
      </c>
      <c r="E755" t="inlineStr">
        <is>
          <t>Rhizobium phage NT2</t>
        </is>
      </c>
      <c r="G755" t="inlineStr">
        <is>
          <t>Abolished,</t>
        </is>
      </c>
      <c r="L755" s="8">
        <f>HYPERLINK("https://test.ictv.global/id/TN19980629","TN19980629@TEST")</f>
        <v/>
      </c>
      <c r="M755" s="8">
        <f>HYPERLINK("https://test.ictv.global/id/ICTV19952211","ICTV19952211@TEST")</f>
        <v/>
      </c>
      <c r="N755" s="8">
        <f>HYPERLINK("https://ictv.global/id/TN19980629","TN19980629@prod")</f>
        <v/>
      </c>
      <c r="O755" s="8">
        <f>HYPERLINK("https://ictv.global/id/ICTV19952211","ICTV19952211@prod")</f>
        <v/>
      </c>
    </row>
    <row r="756">
      <c r="A756" t="n">
        <v>17</v>
      </c>
      <c r="B756" t="n">
        <v>19980630</v>
      </c>
      <c r="C756" t="n">
        <v>19952212</v>
      </c>
      <c r="D756" t="inlineStr">
        <is>
          <t>species</t>
        </is>
      </c>
      <c r="E756" t="inlineStr">
        <is>
          <t>Rhizobium phage phi2037/1</t>
        </is>
      </c>
      <c r="G756" t="inlineStr">
        <is>
          <t>Abolished,</t>
        </is>
      </c>
      <c r="L756" s="8">
        <f>HYPERLINK("https://test.ictv.global/id/TN19980630","TN19980630@TEST")</f>
        <v/>
      </c>
      <c r="M756" s="8">
        <f>HYPERLINK("https://test.ictv.global/id/ICTV19952212","ICTV19952212@TEST")</f>
        <v/>
      </c>
      <c r="N756" s="8">
        <f>HYPERLINK("https://ictv.global/id/TN19980630","TN19980630@prod")</f>
        <v/>
      </c>
      <c r="O756" s="8">
        <f>HYPERLINK("https://ictv.global/id/ICTV19952212","ICTV19952212@prod")</f>
        <v/>
      </c>
    </row>
    <row r="757">
      <c r="A757" t="n">
        <v>17</v>
      </c>
      <c r="B757" t="n">
        <v>19980631</v>
      </c>
      <c r="C757" t="n">
        <v>19952213</v>
      </c>
      <c r="D757" t="inlineStr">
        <is>
          <t>species</t>
        </is>
      </c>
      <c r="E757" t="inlineStr">
        <is>
          <t>Staphylococcus phage 107</t>
        </is>
      </c>
      <c r="G757" t="inlineStr">
        <is>
          <t>Abolished,</t>
        </is>
      </c>
      <c r="L757" s="8">
        <f>HYPERLINK("https://test.ictv.global/id/TN19980631","TN19980631@TEST")</f>
        <v/>
      </c>
      <c r="M757" s="8">
        <f>HYPERLINK("https://test.ictv.global/id/ICTV19952213","ICTV19952213@TEST")</f>
        <v/>
      </c>
      <c r="N757" s="8">
        <f>HYPERLINK("https://ictv.global/id/TN19980631","TN19980631@prod")</f>
        <v/>
      </c>
      <c r="O757" s="8">
        <f>HYPERLINK("https://ictv.global/id/ICTV19952213","ICTV19952213@prod")</f>
        <v/>
      </c>
    </row>
    <row r="758">
      <c r="A758" t="n">
        <v>17</v>
      </c>
      <c r="B758" t="n">
        <v>19980632</v>
      </c>
      <c r="C758" t="n">
        <v>19962279</v>
      </c>
      <c r="D758" t="inlineStr">
        <is>
          <t>species</t>
        </is>
      </c>
      <c r="E758" t="inlineStr">
        <is>
          <t>Staphylococcus phage 1139</t>
        </is>
      </c>
      <c r="G758" t="inlineStr">
        <is>
          <t>Abolished,</t>
        </is>
      </c>
      <c r="L758" s="8">
        <f>HYPERLINK("https://test.ictv.global/id/TN19980632","TN19980632@TEST")</f>
        <v/>
      </c>
      <c r="M758" s="8">
        <f>HYPERLINK("https://test.ictv.global/id/ICTV19962279","ICTV19962279@TEST")</f>
        <v/>
      </c>
      <c r="N758" s="8">
        <f>HYPERLINK("https://ictv.global/id/TN19980632","TN19980632@prod")</f>
        <v/>
      </c>
      <c r="O758" s="8">
        <f>HYPERLINK("https://ictv.global/id/ICTV19962279","ICTV19962279@prod")</f>
        <v/>
      </c>
    </row>
    <row r="759">
      <c r="A759" t="n">
        <v>17</v>
      </c>
      <c r="B759" t="n">
        <v>19980633</v>
      </c>
      <c r="C759" t="n">
        <v>19962280</v>
      </c>
      <c r="D759" t="inlineStr">
        <is>
          <t>species</t>
        </is>
      </c>
      <c r="E759" t="inlineStr">
        <is>
          <t>Staphylococcus phage 1154A</t>
        </is>
      </c>
      <c r="G759" t="inlineStr">
        <is>
          <t>Abolished,</t>
        </is>
      </c>
      <c r="L759" s="8">
        <f>HYPERLINK("https://test.ictv.global/id/TN19980633","TN19980633@TEST")</f>
        <v/>
      </c>
      <c r="M759" s="8">
        <f>HYPERLINK("https://test.ictv.global/id/ICTV19962280","ICTV19962280@TEST")</f>
        <v/>
      </c>
      <c r="N759" s="8">
        <f>HYPERLINK("https://ictv.global/id/TN19980633","TN19980633@prod")</f>
        <v/>
      </c>
      <c r="O759" s="8">
        <f>HYPERLINK("https://ictv.global/id/ICTV19962280","ICTV19962280@prod")</f>
        <v/>
      </c>
    </row>
    <row r="760">
      <c r="A760" t="n">
        <v>17</v>
      </c>
      <c r="B760" t="n">
        <v>19980634</v>
      </c>
      <c r="C760" t="n">
        <v>19952214</v>
      </c>
      <c r="D760" t="inlineStr">
        <is>
          <t>species</t>
        </is>
      </c>
      <c r="E760" t="inlineStr">
        <is>
          <t>Staphylococcus phage 187</t>
        </is>
      </c>
      <c r="F760" t="inlineStr">
        <is>
          <t>AY954950</t>
        </is>
      </c>
      <c r="G760" t="inlineStr">
        <is>
          <t>Abolished,</t>
        </is>
      </c>
      <c r="L760" s="8">
        <f>HYPERLINK("https://test.ictv.global/id/TN19980634","TN19980634@TEST")</f>
        <v/>
      </c>
      <c r="M760" s="8">
        <f>HYPERLINK("https://test.ictv.global/id/ICTV19952214","ICTV19952214@TEST")</f>
        <v/>
      </c>
      <c r="N760" s="8">
        <f>HYPERLINK("https://ictv.global/id/TN19980634","TN19980634@prod")</f>
        <v/>
      </c>
      <c r="O760" s="8">
        <f>HYPERLINK("https://ictv.global/id/ICTV19952214","ICTV19952214@prod")</f>
        <v/>
      </c>
    </row>
    <row r="761">
      <c r="A761" t="n">
        <v>17</v>
      </c>
      <c r="B761" t="n">
        <v>19980635</v>
      </c>
      <c r="C761" t="n">
        <v>19952215</v>
      </c>
      <c r="D761" t="inlineStr">
        <is>
          <t>species</t>
        </is>
      </c>
      <c r="E761" t="inlineStr">
        <is>
          <t>Staphylococcus phage 2848A</t>
        </is>
      </c>
      <c r="G761" t="inlineStr">
        <is>
          <t>Abolished,</t>
        </is>
      </c>
      <c r="L761" s="8">
        <f>HYPERLINK("https://test.ictv.global/id/TN19980635","TN19980635@TEST")</f>
        <v/>
      </c>
      <c r="M761" s="8">
        <f>HYPERLINK("https://test.ictv.global/id/ICTV19952215","ICTV19952215@TEST")</f>
        <v/>
      </c>
      <c r="N761" s="8">
        <f>HYPERLINK("https://ictv.global/id/TN19980635","TN19980635@prod")</f>
        <v/>
      </c>
      <c r="O761" s="8">
        <f>HYPERLINK("https://ictv.global/id/ICTV19952215","ICTV19952215@prod")</f>
        <v/>
      </c>
    </row>
    <row r="762">
      <c r="A762" t="n">
        <v>17</v>
      </c>
      <c r="B762" t="n">
        <v>19980636</v>
      </c>
      <c r="C762" t="n">
        <v>19962283</v>
      </c>
      <c r="D762" t="inlineStr">
        <is>
          <t>species</t>
        </is>
      </c>
      <c r="E762" t="inlineStr">
        <is>
          <t>Staphylococcus phage 392</t>
        </is>
      </c>
      <c r="G762" t="inlineStr">
        <is>
          <t>Abolished,</t>
        </is>
      </c>
      <c r="L762" s="8">
        <f>HYPERLINK("https://test.ictv.global/id/TN19980636","TN19980636@TEST")</f>
        <v/>
      </c>
      <c r="M762" s="8">
        <f>HYPERLINK("https://test.ictv.global/id/ICTV19962283","ICTV19962283@TEST")</f>
        <v/>
      </c>
      <c r="N762" s="8">
        <f>HYPERLINK("https://ictv.global/id/TN19980636","TN19980636@prod")</f>
        <v/>
      </c>
      <c r="O762" s="8">
        <f>HYPERLINK("https://ictv.global/id/ICTV19962283","ICTV19962283@prod")</f>
        <v/>
      </c>
    </row>
    <row r="763">
      <c r="A763" t="n">
        <v>17</v>
      </c>
      <c r="B763" t="n">
        <v>19980637</v>
      </c>
      <c r="C763" t="n">
        <v>19952216</v>
      </c>
      <c r="D763" t="inlineStr">
        <is>
          <t>species</t>
        </is>
      </c>
      <c r="E763" t="inlineStr">
        <is>
          <t>Staphylococcus phage 3A</t>
        </is>
      </c>
      <c r="F763" t="inlineStr">
        <is>
          <t>AY954956</t>
        </is>
      </c>
      <c r="G763" t="inlineStr">
        <is>
          <t>Abolished,</t>
        </is>
      </c>
      <c r="L763" s="8">
        <f>HYPERLINK("https://test.ictv.global/id/TN19980637","TN19980637@TEST")</f>
        <v/>
      </c>
      <c r="M763" s="8">
        <f>HYPERLINK("https://test.ictv.global/id/ICTV19952216","ICTV19952216@TEST")</f>
        <v/>
      </c>
      <c r="N763" s="8">
        <f>HYPERLINK("https://ictv.global/id/TN19980637","TN19980637@prod")</f>
        <v/>
      </c>
      <c r="O763" s="8">
        <f>HYPERLINK("https://ictv.global/id/ICTV19952216","ICTV19952216@prod")</f>
        <v/>
      </c>
    </row>
    <row r="764">
      <c r="A764" t="n">
        <v>17</v>
      </c>
      <c r="B764" t="n">
        <v>19980638</v>
      </c>
      <c r="C764" t="n">
        <v>19952217</v>
      </c>
      <c r="D764" t="inlineStr">
        <is>
          <t>species</t>
        </is>
      </c>
      <c r="E764" t="inlineStr">
        <is>
          <t>Staphylococcus phage 77</t>
        </is>
      </c>
      <c r="F764" t="inlineStr">
        <is>
          <t>AY508486</t>
        </is>
      </c>
      <c r="G764" t="inlineStr">
        <is>
          <t>Abolished,</t>
        </is>
      </c>
      <c r="L764" s="8">
        <f>HYPERLINK("https://test.ictv.global/id/TN19980638","TN19980638@TEST")</f>
        <v/>
      </c>
      <c r="M764" s="8">
        <f>HYPERLINK("https://test.ictv.global/id/ICTV19952217","ICTV19952217@TEST")</f>
        <v/>
      </c>
      <c r="N764" s="8">
        <f>HYPERLINK("https://ictv.global/id/TN19980638","TN19980638@prod")</f>
        <v/>
      </c>
      <c r="O764" s="8">
        <f>HYPERLINK("https://ictv.global/id/ICTV19952217","ICTV19952217@prod")</f>
        <v/>
      </c>
    </row>
    <row r="765">
      <c r="A765" t="n">
        <v>17</v>
      </c>
      <c r="B765" t="n">
        <v>19980639</v>
      </c>
      <c r="C765" t="n">
        <v>19952218</v>
      </c>
      <c r="D765" t="inlineStr">
        <is>
          <t>species</t>
        </is>
      </c>
      <c r="E765" t="inlineStr">
        <is>
          <t>Staphylococcus phage B11-M15</t>
        </is>
      </c>
      <c r="G765" t="inlineStr">
        <is>
          <t>Abolished,</t>
        </is>
      </c>
      <c r="L765" s="8">
        <f>HYPERLINK("https://test.ictv.global/id/TN19980639","TN19980639@TEST")</f>
        <v/>
      </c>
      <c r="M765" s="8">
        <f>HYPERLINK("https://test.ictv.global/id/ICTV19952218","ICTV19952218@TEST")</f>
        <v/>
      </c>
      <c r="N765" s="8">
        <f>HYPERLINK("https://ictv.global/id/TN19980639","TN19980639@prod")</f>
        <v/>
      </c>
      <c r="O765" s="8">
        <f>HYPERLINK("https://ictv.global/id/ICTV19952218","ICTV19952218@prod")</f>
        <v/>
      </c>
    </row>
    <row r="766">
      <c r="A766" t="n">
        <v>17</v>
      </c>
      <c r="B766" t="n">
        <v>19980640</v>
      </c>
      <c r="C766" t="n">
        <v>19952219</v>
      </c>
      <c r="D766" t="inlineStr">
        <is>
          <t>species</t>
        </is>
      </c>
      <c r="E766" t="inlineStr">
        <is>
          <t>Streptococcus phage 24</t>
        </is>
      </c>
      <c r="G766" t="inlineStr">
        <is>
          <t>Abolished,</t>
        </is>
      </c>
      <c r="L766" s="8">
        <f>HYPERLINK("https://test.ictv.global/id/TN19980640","TN19980640@TEST")</f>
        <v/>
      </c>
      <c r="M766" s="8">
        <f>HYPERLINK("https://test.ictv.global/id/ICTV19952219","ICTV19952219@TEST")</f>
        <v/>
      </c>
      <c r="N766" s="8">
        <f>HYPERLINK("https://ictv.global/id/TN19980640","TN19980640@prod")</f>
        <v/>
      </c>
      <c r="O766" s="8">
        <f>HYPERLINK("https://ictv.global/id/ICTV19952219","ICTV19952219@prod")</f>
        <v/>
      </c>
    </row>
    <row r="767">
      <c r="A767" t="n">
        <v>17</v>
      </c>
      <c r="B767" t="n">
        <v>19980641</v>
      </c>
      <c r="C767" t="n">
        <v>19952220</v>
      </c>
      <c r="D767" t="inlineStr">
        <is>
          <t>species</t>
        </is>
      </c>
      <c r="E767" t="inlineStr">
        <is>
          <t>Streptococcus phage A25</t>
        </is>
      </c>
      <c r="G767" t="inlineStr">
        <is>
          <t>Abolished,</t>
        </is>
      </c>
      <c r="L767" s="8">
        <f>HYPERLINK("https://test.ictv.global/id/TN19980641","TN19980641@TEST")</f>
        <v/>
      </c>
      <c r="M767" s="8">
        <f>HYPERLINK("https://test.ictv.global/id/ICTV19952220","ICTV19952220@TEST")</f>
        <v/>
      </c>
      <c r="N767" s="8">
        <f>HYPERLINK("https://ictv.global/id/TN19980641","TN19980641@prod")</f>
        <v/>
      </c>
      <c r="O767" s="8">
        <f>HYPERLINK("https://ictv.global/id/ICTV19952220","ICTV19952220@prod")</f>
        <v/>
      </c>
    </row>
    <row r="768">
      <c r="A768" t="n">
        <v>17</v>
      </c>
      <c r="B768" t="n">
        <v>19980642</v>
      </c>
      <c r="C768" t="n">
        <v>19952221</v>
      </c>
      <c r="D768" t="inlineStr">
        <is>
          <t>species</t>
        </is>
      </c>
      <c r="E768" t="inlineStr">
        <is>
          <t>Streptococcus phage omega8</t>
        </is>
      </c>
      <c r="G768" t="inlineStr">
        <is>
          <t>Abolished,</t>
        </is>
      </c>
      <c r="L768" s="8">
        <f>HYPERLINK("https://test.ictv.global/id/TN19980642","TN19980642@TEST")</f>
        <v/>
      </c>
      <c r="M768" s="8">
        <f>HYPERLINK("https://test.ictv.global/id/ICTV19952221","ICTV19952221@TEST")</f>
        <v/>
      </c>
      <c r="N768" s="8">
        <f>HYPERLINK("https://ictv.global/id/TN19980642","TN19980642@prod")</f>
        <v/>
      </c>
      <c r="O768" s="8">
        <f>HYPERLINK("https://ictv.global/id/ICTV19952221","ICTV19952221@prod")</f>
        <v/>
      </c>
    </row>
    <row r="769">
      <c r="A769" t="n">
        <v>17</v>
      </c>
      <c r="B769" t="n">
        <v>19980643</v>
      </c>
      <c r="C769" t="n">
        <v>19952222</v>
      </c>
      <c r="D769" t="inlineStr">
        <is>
          <t>species</t>
        </is>
      </c>
      <c r="E769" t="inlineStr">
        <is>
          <t>Streptococcus phage PE1</t>
        </is>
      </c>
      <c r="G769" t="inlineStr">
        <is>
          <t>Abolished,</t>
        </is>
      </c>
      <c r="L769" s="8">
        <f>HYPERLINK("https://test.ictv.global/id/TN19980643","TN19980643@TEST")</f>
        <v/>
      </c>
      <c r="M769" s="8">
        <f>HYPERLINK("https://test.ictv.global/id/ICTV19952222","ICTV19952222@TEST")</f>
        <v/>
      </c>
      <c r="N769" s="8">
        <f>HYPERLINK("https://ictv.global/id/TN19980643","TN19980643@prod")</f>
        <v/>
      </c>
      <c r="O769" s="8">
        <f>HYPERLINK("https://ictv.global/id/ICTV19952222","ICTV19952222@prod")</f>
        <v/>
      </c>
    </row>
    <row r="770">
      <c r="A770" t="n">
        <v>17</v>
      </c>
      <c r="B770" t="n">
        <v>19980644</v>
      </c>
      <c r="C770" t="n">
        <v>19952223</v>
      </c>
      <c r="D770" t="inlineStr">
        <is>
          <t>species</t>
        </is>
      </c>
      <c r="E770" t="inlineStr">
        <is>
          <t>Streptococcus phage VD13</t>
        </is>
      </c>
      <c r="G770" t="inlineStr">
        <is>
          <t>Abolished,</t>
        </is>
      </c>
      <c r="L770" s="8">
        <f>HYPERLINK("https://test.ictv.global/id/TN19980644","TN19980644@TEST")</f>
        <v/>
      </c>
      <c r="M770" s="8">
        <f>HYPERLINK("https://test.ictv.global/id/ICTV19952223","ICTV19952223@TEST")</f>
        <v/>
      </c>
      <c r="N770" s="8">
        <f>HYPERLINK("https://ictv.global/id/TN19980644","TN19980644@prod")</f>
        <v/>
      </c>
      <c r="O770" s="8">
        <f>HYPERLINK("https://ictv.global/id/ICTV19952223","ICTV19952223@prod")</f>
        <v/>
      </c>
    </row>
    <row r="771">
      <c r="A771" t="n">
        <v>17</v>
      </c>
      <c r="B771" t="n">
        <v>19980645</v>
      </c>
      <c r="C771" t="n">
        <v>19952224</v>
      </c>
      <c r="D771" t="inlineStr">
        <is>
          <t>species</t>
        </is>
      </c>
      <c r="E771" t="inlineStr">
        <is>
          <t>Vibrio phage alpha3a</t>
        </is>
      </c>
      <c r="G771" t="inlineStr">
        <is>
          <t>Abolished,</t>
        </is>
      </c>
      <c r="L771" s="8">
        <f>HYPERLINK("https://test.ictv.global/id/TN19980645","TN19980645@TEST")</f>
        <v/>
      </c>
      <c r="M771" s="8">
        <f>HYPERLINK("https://test.ictv.global/id/ICTV19952224","ICTV19952224@TEST")</f>
        <v/>
      </c>
      <c r="N771" s="8">
        <f>HYPERLINK("https://ictv.global/id/TN19980645","TN19980645@prod")</f>
        <v/>
      </c>
      <c r="O771" s="8">
        <f>HYPERLINK("https://ictv.global/id/ICTV19952224","ICTV19952224@prod")</f>
        <v/>
      </c>
    </row>
    <row r="772">
      <c r="A772" t="n">
        <v>17</v>
      </c>
      <c r="B772" t="n">
        <v>19980646</v>
      </c>
      <c r="C772" t="n">
        <v>19952225</v>
      </c>
      <c r="D772" t="inlineStr">
        <is>
          <t>species</t>
        </is>
      </c>
      <c r="E772" t="inlineStr">
        <is>
          <t>Vibrio phage IV</t>
        </is>
      </c>
      <c r="G772" t="inlineStr">
        <is>
          <t>Abolished,</t>
        </is>
      </c>
      <c r="L772" s="8">
        <f>HYPERLINK("https://test.ictv.global/id/TN19980646","TN19980646@TEST")</f>
        <v/>
      </c>
      <c r="M772" s="8">
        <f>HYPERLINK("https://test.ictv.global/id/ICTV19952225","ICTV19952225@TEST")</f>
        <v/>
      </c>
      <c r="N772" s="8">
        <f>HYPERLINK("https://ictv.global/id/TN19980646","TN19980646@prod")</f>
        <v/>
      </c>
      <c r="O772" s="8">
        <f>HYPERLINK("https://ictv.global/id/ICTV19952225","ICTV19952225@prod")</f>
        <v/>
      </c>
    </row>
    <row r="773">
      <c r="A773" t="n">
        <v>17</v>
      </c>
      <c r="B773" t="n">
        <v>19980647</v>
      </c>
      <c r="C773" t="n">
        <v>19952226</v>
      </c>
      <c r="D773" t="inlineStr">
        <is>
          <t>species</t>
        </is>
      </c>
      <c r="E773" t="inlineStr">
        <is>
          <t>Vibrio phage OXN-52P</t>
        </is>
      </c>
      <c r="G773" t="inlineStr">
        <is>
          <t>Abolished,</t>
        </is>
      </c>
      <c r="L773" s="8">
        <f>HYPERLINK("https://test.ictv.global/id/TN19980647","TN19980647@TEST")</f>
        <v/>
      </c>
      <c r="M773" s="8">
        <f>HYPERLINK("https://test.ictv.global/id/ICTV19952226","ICTV19952226@TEST")</f>
        <v/>
      </c>
      <c r="N773" s="8">
        <f>HYPERLINK("https://ictv.global/id/TN19980647","TN19980647@prod")</f>
        <v/>
      </c>
      <c r="O773" s="8">
        <f>HYPERLINK("https://ictv.global/id/ICTV19952226","ICTV19952226@prod")</f>
        <v/>
      </c>
    </row>
    <row r="774">
      <c r="A774" t="n">
        <v>17</v>
      </c>
      <c r="B774" t="n">
        <v>19980648</v>
      </c>
      <c r="C774" t="n">
        <v>19952227</v>
      </c>
      <c r="D774" t="inlineStr">
        <is>
          <t>species</t>
        </is>
      </c>
      <c r="E774" t="inlineStr">
        <is>
          <t>Vibrio phage VP11</t>
        </is>
      </c>
      <c r="G774" t="inlineStr">
        <is>
          <t>Abolished,</t>
        </is>
      </c>
      <c r="L774" s="8">
        <f>HYPERLINK("https://test.ictv.global/id/TN19980648","TN19980648@TEST")</f>
        <v/>
      </c>
      <c r="M774" s="8">
        <f>HYPERLINK("https://test.ictv.global/id/ICTV19952227","ICTV19952227@TEST")</f>
        <v/>
      </c>
      <c r="N774" s="8">
        <f>HYPERLINK("https://ictv.global/id/TN19980648","TN19980648@prod")</f>
        <v/>
      </c>
      <c r="O774" s="8">
        <f>HYPERLINK("https://ictv.global/id/ICTV19952227","ICTV19952227@prod")</f>
        <v/>
      </c>
    </row>
    <row r="775">
      <c r="A775" t="n">
        <v>17</v>
      </c>
      <c r="B775" t="n">
        <v>19980649</v>
      </c>
      <c r="C775" t="n">
        <v>19952228</v>
      </c>
      <c r="D775" t="inlineStr">
        <is>
          <t>species</t>
        </is>
      </c>
      <c r="E775" t="inlineStr">
        <is>
          <t>Vibrio phage VP3</t>
        </is>
      </c>
      <c r="G775" t="inlineStr">
        <is>
          <t>Abolished,</t>
        </is>
      </c>
      <c r="L775" s="8">
        <f>HYPERLINK("https://test.ictv.global/id/TN19980649","TN19980649@TEST")</f>
        <v/>
      </c>
      <c r="M775" s="8">
        <f>HYPERLINK("https://test.ictv.global/id/ICTV19952228","ICTV19952228@TEST")</f>
        <v/>
      </c>
      <c r="N775" s="8">
        <f>HYPERLINK("https://ictv.global/id/TN19980649","TN19980649@prod")</f>
        <v/>
      </c>
      <c r="O775" s="8">
        <f>HYPERLINK("https://ictv.global/id/ICTV19952228","ICTV19952228@prod")</f>
        <v/>
      </c>
    </row>
    <row r="776">
      <c r="A776" t="n">
        <v>17</v>
      </c>
      <c r="B776" t="n">
        <v>19980650</v>
      </c>
      <c r="C776" t="n">
        <v>19952229</v>
      </c>
      <c r="D776" t="inlineStr">
        <is>
          <t>species</t>
        </is>
      </c>
      <c r="E776" t="inlineStr">
        <is>
          <t>Vibrio phage VP5</t>
        </is>
      </c>
      <c r="G776" t="inlineStr">
        <is>
          <t>Abolished,</t>
        </is>
      </c>
      <c r="L776" s="8">
        <f>HYPERLINK("https://test.ictv.global/id/TN19980650","TN19980650@TEST")</f>
        <v/>
      </c>
      <c r="M776" s="8">
        <f>HYPERLINK("https://test.ictv.global/id/ICTV19952229","ICTV19952229@TEST")</f>
        <v/>
      </c>
      <c r="N776" s="8">
        <f>HYPERLINK("https://ictv.global/id/TN19980650","TN19980650@prod")</f>
        <v/>
      </c>
      <c r="O776" s="8">
        <f>HYPERLINK("https://ictv.global/id/ICTV19952229","ICTV19952229@prod")</f>
        <v/>
      </c>
    </row>
    <row r="777">
      <c r="A777" t="n">
        <v>17</v>
      </c>
      <c r="B777" t="n">
        <v>19980658</v>
      </c>
      <c r="C777" t="n">
        <v>19950290</v>
      </c>
      <c r="D777" t="inlineStr">
        <is>
          <t>species</t>
        </is>
      </c>
      <c r="E777" t="inlineStr">
        <is>
          <t>Dolphin distemper virus</t>
        </is>
      </c>
      <c r="G777" t="inlineStr">
        <is>
          <t>Merged,</t>
        </is>
      </c>
      <c r="H777" t="inlineStr">
        <is>
          <t>Cetacean morbillivirus virus</t>
        </is>
      </c>
      <c r="I777" t="inlineStr">
        <is>
          <t>species</t>
        </is>
      </c>
      <c r="J777" t="n">
        <v>20073054</v>
      </c>
      <c r="K777" t="n">
        <v>19990415</v>
      </c>
      <c r="L777" s="8">
        <f>HYPERLINK("https://test.ictv.global/id/TN19980658","TN19980658@TEST")</f>
        <v/>
      </c>
      <c r="M777" s="8">
        <f>HYPERLINK("https://test.ictv.global/id/ICTV19950290","ICTV19950290@TEST")</f>
        <v/>
      </c>
      <c r="N777" s="8">
        <f>HYPERLINK("https://ictv.global/id/TN19980658","TN19980658@prod")</f>
        <v/>
      </c>
      <c r="O777" s="8">
        <f>HYPERLINK("https://ictv.global/id/ICTV19950290","ICTV19950290@prod")</f>
        <v/>
      </c>
    </row>
    <row r="778">
      <c r="A778" t="n">
        <v>17</v>
      </c>
      <c r="B778" t="n">
        <v>19980662</v>
      </c>
      <c r="C778" t="n">
        <v>19950294</v>
      </c>
      <c r="D778" t="inlineStr">
        <is>
          <t>species</t>
        </is>
      </c>
      <c r="E778" t="inlineStr">
        <is>
          <t>Porpoise distemper virus</t>
        </is>
      </c>
      <c r="G778" t="inlineStr">
        <is>
          <t>Merged,</t>
        </is>
      </c>
      <c r="H778" t="inlineStr">
        <is>
          <t>Cetacean morbillivirus virus</t>
        </is>
      </c>
      <c r="I778" t="inlineStr">
        <is>
          <t>species</t>
        </is>
      </c>
      <c r="J778" t="n">
        <v>20073054</v>
      </c>
      <c r="K778" t="n">
        <v>19990415</v>
      </c>
      <c r="L778" s="8">
        <f>HYPERLINK("https://test.ictv.global/id/TN19980662","TN19980662@TEST")</f>
        <v/>
      </c>
      <c r="M778" s="8">
        <f>HYPERLINK("https://test.ictv.global/id/ICTV19950294","ICTV19950294@TEST")</f>
        <v/>
      </c>
      <c r="N778" s="8">
        <f>HYPERLINK("https://ictv.global/id/TN19980662","TN19980662@prod")</f>
        <v/>
      </c>
      <c r="O778" s="8">
        <f>HYPERLINK("https://ictv.global/id/ICTV19950294","ICTV19950294@prod")</f>
        <v/>
      </c>
    </row>
    <row r="779">
      <c r="A779" t="n">
        <v>17</v>
      </c>
      <c r="B779" t="n">
        <v>19980678</v>
      </c>
      <c r="C779" t="n">
        <v>19950310</v>
      </c>
      <c r="D779" t="inlineStr">
        <is>
          <t>species</t>
        </is>
      </c>
      <c r="E779" t="inlineStr">
        <is>
          <t>Human parainfluenza virus 4a</t>
        </is>
      </c>
      <c r="G779" t="inlineStr">
        <is>
          <t>Merged,</t>
        </is>
      </c>
      <c r="H779" t="inlineStr">
        <is>
          <t>Human parainfluenza virus 4</t>
        </is>
      </c>
      <c r="I779" t="inlineStr">
        <is>
          <t>species</t>
        </is>
      </c>
      <c r="J779" t="n">
        <v>19990434</v>
      </c>
      <c r="K779" t="n">
        <v>19990434</v>
      </c>
      <c r="L779" s="8">
        <f>HYPERLINK("https://test.ictv.global/id/TN19980678","TN19980678@TEST")</f>
        <v/>
      </c>
      <c r="M779" s="8">
        <f>HYPERLINK("https://test.ictv.global/id/ICTV19950310","ICTV19950310@TEST")</f>
        <v/>
      </c>
      <c r="N779" s="8">
        <f>HYPERLINK("https://ictv.global/id/TN19980678","TN19980678@prod")</f>
        <v/>
      </c>
      <c r="O779" s="8">
        <f>HYPERLINK("https://ictv.global/id/ICTV19950310","ICTV19950310@prod")</f>
        <v/>
      </c>
    </row>
    <row r="780">
      <c r="A780" t="n">
        <v>17</v>
      </c>
      <c r="B780" t="n">
        <v>19980679</v>
      </c>
      <c r="C780" t="n">
        <v>19950311</v>
      </c>
      <c r="D780" t="inlineStr">
        <is>
          <t>species</t>
        </is>
      </c>
      <c r="E780" t="inlineStr">
        <is>
          <t>Human parainfluenza virus 4b</t>
        </is>
      </c>
      <c r="G780" t="inlineStr">
        <is>
          <t>Merged,</t>
        </is>
      </c>
      <c r="H780" t="inlineStr">
        <is>
          <t>Human parainfluenza virus 4</t>
        </is>
      </c>
      <c r="I780" t="inlineStr">
        <is>
          <t>species</t>
        </is>
      </c>
      <c r="J780" t="n">
        <v>19990434</v>
      </c>
      <c r="K780" t="n">
        <v>19990434</v>
      </c>
      <c r="L780" s="8">
        <f>HYPERLINK("https://test.ictv.global/id/TN19980679","TN19980679@TEST")</f>
        <v/>
      </c>
      <c r="M780" s="8">
        <f>HYPERLINK("https://test.ictv.global/id/ICTV19950311","ICTV19950311@TEST")</f>
        <v/>
      </c>
      <c r="N780" s="8">
        <f>HYPERLINK("https://ictv.global/id/TN19980679","TN19980679@prod")</f>
        <v/>
      </c>
      <c r="O780" s="8">
        <f>HYPERLINK("https://ictv.global/id/ICTV19950311","ICTV19950311@prod")</f>
        <v/>
      </c>
    </row>
    <row r="781">
      <c r="A781" t="n">
        <v>17</v>
      </c>
      <c r="B781" t="n">
        <v>19980713</v>
      </c>
      <c r="C781" t="n">
        <v>19950344</v>
      </c>
      <c r="D781" t="inlineStr">
        <is>
          <t>species</t>
        </is>
      </c>
      <c r="E781" t="inlineStr">
        <is>
          <t>Bahia Grande virus</t>
        </is>
      </c>
      <c r="G781" t="inlineStr">
        <is>
          <t>Abolished,</t>
        </is>
      </c>
      <c r="L781" s="8">
        <f>HYPERLINK("https://test.ictv.global/id/TN19980713","TN19980713@TEST")</f>
        <v/>
      </c>
      <c r="M781" s="8">
        <f>HYPERLINK("https://test.ictv.global/id/ICTV19950344","ICTV19950344@TEST")</f>
        <v/>
      </c>
      <c r="N781" s="8">
        <f>HYPERLINK("https://ictv.global/id/TN19980713","TN19980713@prod")</f>
        <v/>
      </c>
      <c r="O781" s="8">
        <f>HYPERLINK("https://ictv.global/id/ICTV19950344","ICTV19950344@prod")</f>
        <v/>
      </c>
    </row>
    <row r="782">
      <c r="A782" t="n">
        <v>17</v>
      </c>
      <c r="B782" t="n">
        <v>19980714</v>
      </c>
      <c r="C782" t="n">
        <v>19950345</v>
      </c>
      <c r="D782" t="inlineStr">
        <is>
          <t>species</t>
        </is>
      </c>
      <c r="E782" t="inlineStr">
        <is>
          <t>Hart Park virus</t>
        </is>
      </c>
      <c r="G782" t="inlineStr">
        <is>
          <t>Abolished,</t>
        </is>
      </c>
      <c r="L782" s="8">
        <f>HYPERLINK("https://test.ictv.global/id/TN19980714","TN19980714@TEST")</f>
        <v/>
      </c>
      <c r="M782" s="8">
        <f>HYPERLINK("https://test.ictv.global/id/ICTV19950345","ICTV19950345@TEST")</f>
        <v/>
      </c>
      <c r="N782" s="8">
        <f>HYPERLINK("https://ictv.global/id/TN19980714","TN19980714@prod")</f>
        <v/>
      </c>
      <c r="O782" s="8">
        <f>HYPERLINK("https://ictv.global/id/ICTV19950345","ICTV19950345@prod")</f>
        <v/>
      </c>
    </row>
    <row r="783">
      <c r="A783" t="n">
        <v>17</v>
      </c>
      <c r="B783" t="n">
        <v>19980715</v>
      </c>
      <c r="C783" t="n">
        <v>19950346</v>
      </c>
      <c r="D783" t="inlineStr">
        <is>
          <t>species</t>
        </is>
      </c>
      <c r="E783" t="inlineStr">
        <is>
          <t>Kern Canyon virus</t>
        </is>
      </c>
      <c r="G783" t="inlineStr">
        <is>
          <t>Abolished,</t>
        </is>
      </c>
      <c r="L783" s="8">
        <f>HYPERLINK("https://test.ictv.global/id/TN19980715","TN19980715@TEST")</f>
        <v/>
      </c>
      <c r="M783" s="8">
        <f>HYPERLINK("https://test.ictv.global/id/ICTV19950346","ICTV19950346@TEST")</f>
        <v/>
      </c>
      <c r="N783" s="8">
        <f>HYPERLINK("https://ictv.global/id/TN19980715","TN19980715@prod")</f>
        <v/>
      </c>
      <c r="O783" s="8">
        <f>HYPERLINK("https://ictv.global/id/ICTV19950346","ICTV19950346@prod")</f>
        <v/>
      </c>
    </row>
    <row r="784">
      <c r="A784" t="n">
        <v>17</v>
      </c>
      <c r="B784" t="n">
        <v>19980716</v>
      </c>
      <c r="C784" t="n">
        <v>19950347</v>
      </c>
      <c r="D784" t="inlineStr">
        <is>
          <t>species</t>
        </is>
      </c>
      <c r="E784" t="inlineStr">
        <is>
          <t>Le Dantec virus</t>
        </is>
      </c>
      <c r="G784" t="inlineStr">
        <is>
          <t>Abolished,</t>
        </is>
      </c>
      <c r="L784" s="8">
        <f>HYPERLINK("https://test.ictv.global/id/TN19980716","TN19980716@TEST")</f>
        <v/>
      </c>
      <c r="M784" s="8">
        <f>HYPERLINK("https://test.ictv.global/id/ICTV19950347","ICTV19950347@TEST")</f>
        <v/>
      </c>
      <c r="N784" s="8">
        <f>HYPERLINK("https://ictv.global/id/TN19980716","TN19980716@prod")</f>
        <v/>
      </c>
      <c r="O784" s="8">
        <f>HYPERLINK("https://ictv.global/id/ICTV19950347","ICTV19950347@prod")</f>
        <v/>
      </c>
    </row>
    <row r="785">
      <c r="A785" t="n">
        <v>17</v>
      </c>
      <c r="B785" t="n">
        <v>19980717</v>
      </c>
      <c r="C785" t="n">
        <v>19950348</v>
      </c>
      <c r="D785" t="inlineStr">
        <is>
          <t>species</t>
        </is>
      </c>
      <c r="E785" t="inlineStr">
        <is>
          <t>Sawgrass virus</t>
        </is>
      </c>
      <c r="G785" t="inlineStr">
        <is>
          <t>Abolished,</t>
        </is>
      </c>
      <c r="L785" s="8">
        <f>HYPERLINK("https://test.ictv.global/id/TN19980717","TN19980717@TEST")</f>
        <v/>
      </c>
      <c r="M785" s="8">
        <f>HYPERLINK("https://test.ictv.global/id/ICTV19950348","ICTV19950348@TEST")</f>
        <v/>
      </c>
      <c r="N785" s="8">
        <f>HYPERLINK("https://ictv.global/id/TN19980717","TN19980717@prod")</f>
        <v/>
      </c>
      <c r="O785" s="8">
        <f>HYPERLINK("https://ictv.global/id/ICTV19950348","ICTV19950348@prod")</f>
        <v/>
      </c>
    </row>
    <row r="786">
      <c r="A786" t="n">
        <v>17</v>
      </c>
      <c r="B786" t="n">
        <v>19980718</v>
      </c>
      <c r="C786" t="n">
        <v>19950349</v>
      </c>
      <c r="D786" t="inlineStr">
        <is>
          <t>species</t>
        </is>
      </c>
      <c r="E786" t="inlineStr">
        <is>
          <t>Timbo virus</t>
        </is>
      </c>
      <c r="G786" t="inlineStr">
        <is>
          <t>Abolished,</t>
        </is>
      </c>
      <c r="L786" s="8">
        <f>HYPERLINK("https://test.ictv.global/id/TN19980718","TN19980718@TEST")</f>
        <v/>
      </c>
      <c r="M786" s="8">
        <f>HYPERLINK("https://test.ictv.global/id/ICTV19950349","ICTV19950349@TEST")</f>
        <v/>
      </c>
      <c r="N786" s="8">
        <f>HYPERLINK("https://ictv.global/id/TN19980718","TN19980718@prod")</f>
        <v/>
      </c>
      <c r="O786" s="8">
        <f>HYPERLINK("https://ictv.global/id/ICTV19950349","ICTV19950349@prod")</f>
        <v/>
      </c>
    </row>
    <row r="787">
      <c r="A787" t="n">
        <v>17</v>
      </c>
      <c r="B787" t="n">
        <v>19980745</v>
      </c>
      <c r="C787" t="n">
        <v>19810169</v>
      </c>
      <c r="D787" t="inlineStr">
        <is>
          <t>species</t>
        </is>
      </c>
      <c r="E787" t="inlineStr">
        <is>
          <t>Duck adenovirus 1</t>
        </is>
      </c>
      <c r="G787" t="inlineStr">
        <is>
          <t>Abolished,</t>
        </is>
      </c>
      <c r="L787" s="8">
        <f>HYPERLINK("https://test.ictv.global/id/TN19980745","TN19980745@TEST")</f>
        <v/>
      </c>
      <c r="M787" s="8">
        <f>HYPERLINK("https://test.ictv.global/id/ICTV19810169","ICTV19810169@TEST")</f>
        <v/>
      </c>
      <c r="N787" s="8">
        <f>HYPERLINK("https://ictv.global/id/TN19980745","TN19980745@prod")</f>
        <v/>
      </c>
      <c r="O787" s="8">
        <f>HYPERLINK("https://ictv.global/id/ICTV19810169","ICTV19810169@prod")</f>
        <v/>
      </c>
    </row>
    <row r="788">
      <c r="A788" t="n">
        <v>17</v>
      </c>
      <c r="B788" t="n">
        <v>19980746</v>
      </c>
      <c r="C788" t="n">
        <v>19910294</v>
      </c>
      <c r="D788" t="inlineStr">
        <is>
          <t>species</t>
        </is>
      </c>
      <c r="E788" t="inlineStr">
        <is>
          <t>Duck adenovirus 2</t>
        </is>
      </c>
      <c r="G788" t="inlineStr">
        <is>
          <t>Abolished,</t>
        </is>
      </c>
      <c r="L788" s="8">
        <f>HYPERLINK("https://test.ictv.global/id/TN19980746","TN19980746@TEST")</f>
        <v/>
      </c>
      <c r="M788" s="8">
        <f>HYPERLINK("https://test.ictv.global/id/ICTV19910294","ICTV19910294@TEST")</f>
        <v/>
      </c>
      <c r="N788" s="8">
        <f>HYPERLINK("https://ictv.global/id/TN19980746","TN19980746@prod")</f>
        <v/>
      </c>
      <c r="O788" s="8">
        <f>HYPERLINK("https://ictv.global/id/ICTV19910294","ICTV19910294@prod")</f>
        <v/>
      </c>
    </row>
    <row r="789">
      <c r="A789" t="n">
        <v>17</v>
      </c>
      <c r="B789" t="n">
        <v>19980748</v>
      </c>
      <c r="C789" t="n">
        <v>19950361</v>
      </c>
      <c r="D789" t="inlineStr">
        <is>
          <t>species</t>
        </is>
      </c>
      <c r="E789" t="inlineStr">
        <is>
          <t>Fowl adenovirus 10</t>
        </is>
      </c>
      <c r="G789" t="inlineStr">
        <is>
          <t>Merged,</t>
        </is>
      </c>
      <c r="H789" t="inlineStr">
        <is>
          <t>Fowl adenovirus C</t>
        </is>
      </c>
      <c r="I789" t="inlineStr">
        <is>
          <t>species</t>
        </is>
      </c>
      <c r="J789" t="n">
        <v>19990504</v>
      </c>
      <c r="K789" t="n">
        <v>19990504</v>
      </c>
      <c r="L789" s="8">
        <f>HYPERLINK("https://test.ictv.global/id/TN19980748","TN19980748@TEST")</f>
        <v/>
      </c>
      <c r="M789" s="8">
        <f>HYPERLINK("https://test.ictv.global/id/ICTV19950361","ICTV19950361@TEST")</f>
        <v/>
      </c>
      <c r="N789" s="8">
        <f>HYPERLINK("https://ictv.global/id/TN19980748","TN19980748@prod")</f>
        <v/>
      </c>
      <c r="O789" s="8">
        <f>HYPERLINK("https://ictv.global/id/ICTV19950361","ICTV19950361@prod")</f>
        <v/>
      </c>
    </row>
    <row r="790">
      <c r="A790" t="n">
        <v>17</v>
      </c>
      <c r="B790" t="n">
        <v>19980749</v>
      </c>
      <c r="C790" t="n">
        <v>19950362</v>
      </c>
      <c r="D790" t="inlineStr">
        <is>
          <t>species</t>
        </is>
      </c>
      <c r="E790" t="inlineStr">
        <is>
          <t>Fowl adenovirus 11</t>
        </is>
      </c>
      <c r="G790" t="inlineStr">
        <is>
          <t>Merged,</t>
        </is>
      </c>
      <c r="H790" t="inlineStr">
        <is>
          <t>Fowl adenovirus D</t>
        </is>
      </c>
      <c r="I790" t="inlineStr">
        <is>
          <t>species</t>
        </is>
      </c>
      <c r="J790" t="n">
        <v>19990505</v>
      </c>
      <c r="K790" t="n">
        <v>19990505</v>
      </c>
      <c r="L790" s="8">
        <f>HYPERLINK("https://test.ictv.global/id/TN19980749","TN19980749@TEST")</f>
        <v/>
      </c>
      <c r="M790" s="8">
        <f>HYPERLINK("https://test.ictv.global/id/ICTV19950362","ICTV19950362@TEST")</f>
        <v/>
      </c>
      <c r="N790" s="8">
        <f>HYPERLINK("https://ictv.global/id/TN19980749","TN19980749@prod")</f>
        <v/>
      </c>
      <c r="O790" s="8">
        <f>HYPERLINK("https://ictv.global/id/ICTV19950362","ICTV19950362@prod")</f>
        <v/>
      </c>
    </row>
    <row r="791">
      <c r="A791" t="n">
        <v>17</v>
      </c>
      <c r="B791" t="n">
        <v>19980750</v>
      </c>
      <c r="C791" t="n">
        <v>19950363</v>
      </c>
      <c r="D791" t="inlineStr">
        <is>
          <t>species</t>
        </is>
      </c>
      <c r="E791" t="inlineStr">
        <is>
          <t>Fowl adenovirus 12</t>
        </is>
      </c>
      <c r="G791" t="inlineStr">
        <is>
          <t>Abolished,</t>
        </is>
      </c>
      <c r="L791" s="8">
        <f>HYPERLINK("https://test.ictv.global/id/TN19980750","TN19980750@TEST")</f>
        <v/>
      </c>
      <c r="M791" s="8">
        <f>HYPERLINK("https://test.ictv.global/id/ICTV19950363","ICTV19950363@TEST")</f>
        <v/>
      </c>
      <c r="N791" s="8">
        <f>HYPERLINK("https://ictv.global/id/TN19980750","TN19980750@prod")</f>
        <v/>
      </c>
      <c r="O791" s="8">
        <f>HYPERLINK("https://ictv.global/id/ICTV19950363","ICTV19950363@prod")</f>
        <v/>
      </c>
    </row>
    <row r="792">
      <c r="A792" t="n">
        <v>17</v>
      </c>
      <c r="B792" t="n">
        <v>19980751</v>
      </c>
      <c r="C792" t="n">
        <v>19810171</v>
      </c>
      <c r="D792" t="inlineStr">
        <is>
          <t>species</t>
        </is>
      </c>
      <c r="E792" t="inlineStr">
        <is>
          <t>Fowl adenovirus 2</t>
        </is>
      </c>
      <c r="G792" t="inlineStr">
        <is>
          <t>Merged,</t>
        </is>
      </c>
      <c r="H792" t="inlineStr">
        <is>
          <t>Fowl adenovirus D</t>
        </is>
      </c>
      <c r="I792" t="inlineStr">
        <is>
          <t>species</t>
        </is>
      </c>
      <c r="J792" t="n">
        <v>19990505</v>
      </c>
      <c r="K792" t="n">
        <v>19990505</v>
      </c>
      <c r="L792" s="8">
        <f>HYPERLINK("https://test.ictv.global/id/TN19980751","TN19980751@TEST")</f>
        <v/>
      </c>
      <c r="M792" s="8">
        <f>HYPERLINK("https://test.ictv.global/id/ICTV19810171","ICTV19810171@TEST")</f>
        <v/>
      </c>
      <c r="N792" s="8">
        <f>HYPERLINK("https://ictv.global/id/TN19980751","TN19980751@prod")</f>
        <v/>
      </c>
      <c r="O792" s="8">
        <f>HYPERLINK("https://ictv.global/id/ICTV19810171","ICTV19810171@prod")</f>
        <v/>
      </c>
    </row>
    <row r="793">
      <c r="A793" t="n">
        <v>17</v>
      </c>
      <c r="B793" t="n">
        <v>19980752</v>
      </c>
      <c r="C793" t="n">
        <v>19950365</v>
      </c>
      <c r="D793" t="inlineStr">
        <is>
          <t>species</t>
        </is>
      </c>
      <c r="E793" t="inlineStr">
        <is>
          <t>Fowl adenovirus 3</t>
        </is>
      </c>
      <c r="G793" t="inlineStr">
        <is>
          <t>Merged,</t>
        </is>
      </c>
      <c r="H793" t="inlineStr">
        <is>
          <t>Fowl adenovirus D</t>
        </is>
      </c>
      <c r="I793" t="inlineStr">
        <is>
          <t>species</t>
        </is>
      </c>
      <c r="J793" t="n">
        <v>19990505</v>
      </c>
      <c r="K793" t="n">
        <v>19990505</v>
      </c>
      <c r="L793" s="8">
        <f>HYPERLINK("https://test.ictv.global/id/TN19980752","TN19980752@TEST")</f>
        <v/>
      </c>
      <c r="M793" s="8">
        <f>HYPERLINK("https://test.ictv.global/id/ICTV19950365","ICTV19950365@TEST")</f>
        <v/>
      </c>
      <c r="N793" s="8">
        <f>HYPERLINK("https://ictv.global/id/TN19980752","TN19980752@prod")</f>
        <v/>
      </c>
      <c r="O793" s="8">
        <f>HYPERLINK("https://ictv.global/id/ICTV19950365","ICTV19950365@prod")</f>
        <v/>
      </c>
    </row>
    <row r="794">
      <c r="A794" t="n">
        <v>17</v>
      </c>
      <c r="B794" t="n">
        <v>19980753</v>
      </c>
      <c r="C794" t="n">
        <v>19950366</v>
      </c>
      <c r="D794" t="inlineStr">
        <is>
          <t>species</t>
        </is>
      </c>
      <c r="E794" t="inlineStr">
        <is>
          <t>Fowl adenovirus 4</t>
        </is>
      </c>
      <c r="G794" t="inlineStr">
        <is>
          <t>Merged,</t>
        </is>
      </c>
      <c r="H794" t="inlineStr">
        <is>
          <t>Fowl adenovirus C</t>
        </is>
      </c>
      <c r="I794" t="inlineStr">
        <is>
          <t>species</t>
        </is>
      </c>
      <c r="J794" t="n">
        <v>19990504</v>
      </c>
      <c r="K794" t="n">
        <v>19990504</v>
      </c>
      <c r="L794" s="8">
        <f>HYPERLINK("https://test.ictv.global/id/TN19980753","TN19980753@TEST")</f>
        <v/>
      </c>
      <c r="M794" s="8">
        <f>HYPERLINK("https://test.ictv.global/id/ICTV19950366","ICTV19950366@TEST")</f>
        <v/>
      </c>
      <c r="N794" s="8">
        <f>HYPERLINK("https://ictv.global/id/TN19980753","TN19980753@prod")</f>
        <v/>
      </c>
      <c r="O794" s="8">
        <f>HYPERLINK("https://ictv.global/id/ICTV19950366","ICTV19950366@prod")</f>
        <v/>
      </c>
    </row>
    <row r="795">
      <c r="A795" t="n">
        <v>17</v>
      </c>
      <c r="B795" t="n">
        <v>19980755</v>
      </c>
      <c r="C795" t="n">
        <v>19950368</v>
      </c>
      <c r="D795" t="inlineStr">
        <is>
          <t>species</t>
        </is>
      </c>
      <c r="E795" t="inlineStr">
        <is>
          <t>Fowl adenovirus 6</t>
        </is>
      </c>
      <c r="G795" t="inlineStr">
        <is>
          <t>Merged,</t>
        </is>
      </c>
      <c r="H795" t="inlineStr">
        <is>
          <t>Fowl adenovirus E</t>
        </is>
      </c>
      <c r="I795" t="inlineStr">
        <is>
          <t>species</t>
        </is>
      </c>
      <c r="J795" t="n">
        <v>19990506</v>
      </c>
      <c r="K795" t="n">
        <v>19990506</v>
      </c>
      <c r="L795" s="8">
        <f>HYPERLINK("https://test.ictv.global/id/TN19980755","TN19980755@TEST")</f>
        <v/>
      </c>
      <c r="M795" s="8">
        <f>HYPERLINK("https://test.ictv.global/id/ICTV19950368","ICTV19950368@TEST")</f>
        <v/>
      </c>
      <c r="N795" s="8">
        <f>HYPERLINK("https://ictv.global/id/TN19980755","TN19980755@prod")</f>
        <v/>
      </c>
      <c r="O795" s="8">
        <f>HYPERLINK("https://ictv.global/id/ICTV19950368","ICTV19950368@prod")</f>
        <v/>
      </c>
    </row>
    <row r="796">
      <c r="A796" t="n">
        <v>17</v>
      </c>
      <c r="B796" t="n">
        <v>19980756</v>
      </c>
      <c r="C796" t="n">
        <v>19950369</v>
      </c>
      <c r="D796" t="inlineStr">
        <is>
          <t>species</t>
        </is>
      </c>
      <c r="E796" t="inlineStr">
        <is>
          <t>Fowl adenovirus 7</t>
        </is>
      </c>
      <c r="G796" t="inlineStr">
        <is>
          <t>Merged,</t>
        </is>
      </c>
      <c r="H796" t="inlineStr">
        <is>
          <t>Fowl adenovirus E</t>
        </is>
      </c>
      <c r="I796" t="inlineStr">
        <is>
          <t>species</t>
        </is>
      </c>
      <c r="J796" t="n">
        <v>19990506</v>
      </c>
      <c r="K796" t="n">
        <v>19990506</v>
      </c>
      <c r="L796" s="8">
        <f>HYPERLINK("https://test.ictv.global/id/TN19980756","TN19980756@TEST")</f>
        <v/>
      </c>
      <c r="M796" s="8">
        <f>HYPERLINK("https://test.ictv.global/id/ICTV19950369","ICTV19950369@TEST")</f>
        <v/>
      </c>
      <c r="N796" s="8">
        <f>HYPERLINK("https://ictv.global/id/TN19980756","TN19980756@prod")</f>
        <v/>
      </c>
      <c r="O796" s="8">
        <f>HYPERLINK("https://ictv.global/id/ICTV19950369","ICTV19950369@prod")</f>
        <v/>
      </c>
    </row>
    <row r="797">
      <c r="A797" t="n">
        <v>17</v>
      </c>
      <c r="B797" t="n">
        <v>19980757</v>
      </c>
      <c r="C797" t="n">
        <v>19950370</v>
      </c>
      <c r="D797" t="inlineStr">
        <is>
          <t>species</t>
        </is>
      </c>
      <c r="E797" t="inlineStr">
        <is>
          <t>Fowl adenovirus 8</t>
        </is>
      </c>
      <c r="G797" t="inlineStr">
        <is>
          <t>Merged,</t>
        </is>
      </c>
      <c r="H797" t="inlineStr">
        <is>
          <t>Fowl adenovirus E</t>
        </is>
      </c>
      <c r="I797" t="inlineStr">
        <is>
          <t>species</t>
        </is>
      </c>
      <c r="J797" t="n">
        <v>19990506</v>
      </c>
      <c r="K797" t="n">
        <v>19990506</v>
      </c>
      <c r="L797" s="8">
        <f>HYPERLINK("https://test.ictv.global/id/TN19980757","TN19980757@TEST")</f>
        <v/>
      </c>
      <c r="M797" s="8">
        <f>HYPERLINK("https://test.ictv.global/id/ICTV19950370","ICTV19950370@TEST")</f>
        <v/>
      </c>
      <c r="N797" s="8">
        <f>HYPERLINK("https://ictv.global/id/TN19980757","TN19980757@prod")</f>
        <v/>
      </c>
      <c r="O797" s="8">
        <f>HYPERLINK("https://ictv.global/id/ICTV19950370","ICTV19950370@prod")</f>
        <v/>
      </c>
    </row>
    <row r="798">
      <c r="A798" t="n">
        <v>17</v>
      </c>
      <c r="B798" t="n">
        <v>19980758</v>
      </c>
      <c r="C798" t="n">
        <v>19950371</v>
      </c>
      <c r="D798" t="inlineStr">
        <is>
          <t>species</t>
        </is>
      </c>
      <c r="E798" t="inlineStr">
        <is>
          <t>Fowl adenovirus 9</t>
        </is>
      </c>
      <c r="G798" t="inlineStr">
        <is>
          <t>Merged,</t>
        </is>
      </c>
      <c r="H798" t="inlineStr">
        <is>
          <t>Fowl adenovirus D</t>
        </is>
      </c>
      <c r="I798" t="inlineStr">
        <is>
          <t>species</t>
        </is>
      </c>
      <c r="J798" t="n">
        <v>19990505</v>
      </c>
      <c r="K798" t="n">
        <v>19990505</v>
      </c>
      <c r="L798" s="8">
        <f>HYPERLINK("https://test.ictv.global/id/TN19980758","TN19980758@TEST")</f>
        <v/>
      </c>
      <c r="M798" s="8">
        <f>HYPERLINK("https://test.ictv.global/id/ICTV19950371","ICTV19950371@TEST")</f>
        <v/>
      </c>
      <c r="N798" s="8">
        <f>HYPERLINK("https://ictv.global/id/TN19980758","TN19980758@prod")</f>
        <v/>
      </c>
      <c r="O798" s="8">
        <f>HYPERLINK("https://ictv.global/id/ICTV19950371","ICTV19950371@prod")</f>
        <v/>
      </c>
    </row>
    <row r="799">
      <c r="A799" t="n">
        <v>17</v>
      </c>
      <c r="B799" t="n">
        <v>19980759</v>
      </c>
      <c r="C799" t="n">
        <v>19810179</v>
      </c>
      <c r="D799" t="inlineStr">
        <is>
          <t>species</t>
        </is>
      </c>
      <c r="E799" t="inlineStr">
        <is>
          <t>Goose adenovirus 1</t>
        </is>
      </c>
      <c r="G799" t="inlineStr">
        <is>
          <t>Merged,</t>
        </is>
      </c>
      <c r="H799" t="inlineStr">
        <is>
          <t>Goose adenovirus</t>
        </is>
      </c>
      <c r="I799" t="inlineStr">
        <is>
          <t>species</t>
        </is>
      </c>
      <c r="J799" t="n">
        <v>19990507</v>
      </c>
      <c r="K799" t="n">
        <v>19990507</v>
      </c>
      <c r="L799" s="8">
        <f>HYPERLINK("https://test.ictv.global/id/TN19980759","TN19980759@TEST")</f>
        <v/>
      </c>
      <c r="M799" s="8">
        <f>HYPERLINK("https://test.ictv.global/id/ICTV19810179","ICTV19810179@TEST")</f>
        <v/>
      </c>
      <c r="N799" s="8">
        <f>HYPERLINK("https://ictv.global/id/TN19980759","TN19980759@prod")</f>
        <v/>
      </c>
      <c r="O799" s="8">
        <f>HYPERLINK("https://ictv.global/id/ICTV19810179","ICTV19810179@prod")</f>
        <v/>
      </c>
    </row>
    <row r="800">
      <c r="A800" t="n">
        <v>17</v>
      </c>
      <c r="B800" t="n">
        <v>19980760</v>
      </c>
      <c r="C800" t="n">
        <v>19910298</v>
      </c>
      <c r="D800" t="inlineStr">
        <is>
          <t>species</t>
        </is>
      </c>
      <c r="E800" t="inlineStr">
        <is>
          <t>Goose adenovirus 2</t>
        </is>
      </c>
      <c r="G800" t="inlineStr">
        <is>
          <t>Merged,</t>
        </is>
      </c>
      <c r="H800" t="inlineStr">
        <is>
          <t>Goose adenovirus</t>
        </is>
      </c>
      <c r="I800" t="inlineStr">
        <is>
          <t>species</t>
        </is>
      </c>
      <c r="J800" t="n">
        <v>19990507</v>
      </c>
      <c r="K800" t="n">
        <v>19990507</v>
      </c>
      <c r="L800" s="8">
        <f>HYPERLINK("https://test.ictv.global/id/TN19980760","TN19980760@TEST")</f>
        <v/>
      </c>
      <c r="M800" s="8">
        <f>HYPERLINK("https://test.ictv.global/id/ICTV19910298","ICTV19910298@TEST")</f>
        <v/>
      </c>
      <c r="N800" s="8">
        <f>HYPERLINK("https://ictv.global/id/TN19980760","TN19980760@prod")</f>
        <v/>
      </c>
      <c r="O800" s="8">
        <f>HYPERLINK("https://ictv.global/id/ICTV19910298","ICTV19910298@prod")</f>
        <v/>
      </c>
    </row>
    <row r="801">
      <c r="A801" t="n">
        <v>17</v>
      </c>
      <c r="B801" t="n">
        <v>19980761</v>
      </c>
      <c r="C801" t="n">
        <v>19910299</v>
      </c>
      <c r="D801" t="inlineStr">
        <is>
          <t>species</t>
        </is>
      </c>
      <c r="E801" t="inlineStr">
        <is>
          <t>Goose adenovirus 3</t>
        </is>
      </c>
      <c r="G801" t="inlineStr">
        <is>
          <t>Merged,</t>
        </is>
      </c>
      <c r="H801" t="inlineStr">
        <is>
          <t>Goose adenovirus</t>
        </is>
      </c>
      <c r="I801" t="inlineStr">
        <is>
          <t>species</t>
        </is>
      </c>
      <c r="J801" t="n">
        <v>19990507</v>
      </c>
      <c r="K801" t="n">
        <v>19990507</v>
      </c>
      <c r="L801" s="8">
        <f>HYPERLINK("https://test.ictv.global/id/TN19980761","TN19980761@TEST")</f>
        <v/>
      </c>
      <c r="M801" s="8">
        <f>HYPERLINK("https://test.ictv.global/id/ICTV19910299","ICTV19910299@TEST")</f>
        <v/>
      </c>
      <c r="N801" s="8">
        <f>HYPERLINK("https://ictv.global/id/TN19980761","TN19980761@prod")</f>
        <v/>
      </c>
      <c r="O801" s="8">
        <f>HYPERLINK("https://ictv.global/id/ICTV19910299","ICTV19910299@prod")</f>
        <v/>
      </c>
    </row>
    <row r="802">
      <c r="A802" t="n">
        <v>17</v>
      </c>
      <c r="B802" t="n">
        <v>19980762</v>
      </c>
      <c r="C802" t="n">
        <v>19810180</v>
      </c>
      <c r="D802" t="inlineStr">
        <is>
          <t>species</t>
        </is>
      </c>
      <c r="E802" t="inlineStr">
        <is>
          <t>Pheasant adenovirus 1</t>
        </is>
      </c>
      <c r="G802" t="inlineStr">
        <is>
          <t>Abolished,</t>
        </is>
      </c>
      <c r="L802" s="8">
        <f>HYPERLINK("https://test.ictv.global/id/TN19980762","TN19980762@TEST")</f>
        <v/>
      </c>
      <c r="M802" s="8">
        <f>HYPERLINK("https://test.ictv.global/id/ICTV19810180","ICTV19810180@TEST")</f>
        <v/>
      </c>
      <c r="N802" s="8">
        <f>HYPERLINK("https://ictv.global/id/TN19980762","TN19980762@prod")</f>
        <v/>
      </c>
      <c r="O802" s="8">
        <f>HYPERLINK("https://ictv.global/id/ICTV19810180","ICTV19810180@prod")</f>
        <v/>
      </c>
    </row>
    <row r="803">
      <c r="A803" t="n">
        <v>17</v>
      </c>
      <c r="B803" t="n">
        <v>19980763</v>
      </c>
      <c r="C803" t="n">
        <v>19810181</v>
      </c>
      <c r="D803" t="inlineStr">
        <is>
          <t>species</t>
        </is>
      </c>
      <c r="E803" t="inlineStr">
        <is>
          <t>Turkey adenovirus 1</t>
        </is>
      </c>
      <c r="G803" t="inlineStr">
        <is>
          <t>Abolished,</t>
        </is>
      </c>
      <c r="L803" s="8">
        <f>HYPERLINK("https://test.ictv.global/id/TN19980763","TN19980763@TEST")</f>
        <v/>
      </c>
      <c r="M803" s="8">
        <f>HYPERLINK("https://test.ictv.global/id/ICTV19810181","ICTV19810181@TEST")</f>
        <v/>
      </c>
      <c r="N803" s="8">
        <f>HYPERLINK("https://ictv.global/id/TN19980763","TN19980763@prod")</f>
        <v/>
      </c>
      <c r="O803" s="8">
        <f>HYPERLINK("https://ictv.global/id/ICTV19810181","ICTV19810181@prod")</f>
        <v/>
      </c>
    </row>
    <row r="804">
      <c r="A804" t="n">
        <v>17</v>
      </c>
      <c r="B804" t="n">
        <v>19980764</v>
      </c>
      <c r="C804" t="n">
        <v>19810182</v>
      </c>
      <c r="D804" t="inlineStr">
        <is>
          <t>species</t>
        </is>
      </c>
      <c r="E804" t="inlineStr">
        <is>
          <t>Turkey adenovirus 2</t>
        </is>
      </c>
      <c r="G804" t="inlineStr">
        <is>
          <t>Abolished,</t>
        </is>
      </c>
      <c r="L804" s="8">
        <f>HYPERLINK("https://test.ictv.global/id/TN19980764","TN19980764@TEST")</f>
        <v/>
      </c>
      <c r="M804" s="8">
        <f>HYPERLINK("https://test.ictv.global/id/ICTV19810182","ICTV19810182@TEST")</f>
        <v/>
      </c>
      <c r="N804" s="8">
        <f>HYPERLINK("https://ictv.global/id/TN19980764","TN19980764@prod")</f>
        <v/>
      </c>
      <c r="O804" s="8">
        <f>HYPERLINK("https://ictv.global/id/ICTV19810182","ICTV19810182@prod")</f>
        <v/>
      </c>
    </row>
    <row r="805">
      <c r="A805" t="n">
        <v>17</v>
      </c>
      <c r="B805" t="n">
        <v>19980765</v>
      </c>
      <c r="C805" t="n">
        <v>19910303</v>
      </c>
      <c r="D805" t="inlineStr">
        <is>
          <t>species</t>
        </is>
      </c>
      <c r="E805" t="inlineStr">
        <is>
          <t>Turkey adenovirus 3</t>
        </is>
      </c>
      <c r="G805" t="inlineStr">
        <is>
          <t>Abolished,</t>
        </is>
      </c>
      <c r="L805" s="8">
        <f>HYPERLINK("https://test.ictv.global/id/TN19980765","TN19980765@TEST")</f>
        <v/>
      </c>
      <c r="M805" s="8">
        <f>HYPERLINK("https://test.ictv.global/id/ICTV19910303","ICTV19910303@TEST")</f>
        <v/>
      </c>
      <c r="N805" s="8">
        <f>HYPERLINK("https://ictv.global/id/TN19980765","TN19980765@prod")</f>
        <v/>
      </c>
      <c r="O805" s="8">
        <f>HYPERLINK("https://ictv.global/id/ICTV19910303","ICTV19910303@prod")</f>
        <v/>
      </c>
    </row>
    <row r="806">
      <c r="A806" t="n">
        <v>17</v>
      </c>
      <c r="B806" t="n">
        <v>19980767</v>
      </c>
      <c r="C806" t="n">
        <v>19810184</v>
      </c>
      <c r="D806" t="inlineStr">
        <is>
          <t>species</t>
        </is>
      </c>
      <c r="E806" t="inlineStr">
        <is>
          <t>Bovine adenovirus 2</t>
        </is>
      </c>
      <c r="G806" t="inlineStr">
        <is>
          <t>Merged,</t>
        </is>
      </c>
      <c r="H806" t="inlineStr">
        <is>
          <t>Ovine adenovirus A</t>
        </is>
      </c>
      <c r="I806" t="inlineStr">
        <is>
          <t>species</t>
        </is>
      </c>
      <c r="J806" t="n">
        <v>19990521</v>
      </c>
      <c r="K806" t="n">
        <v>19990521</v>
      </c>
      <c r="L806" s="8">
        <f>HYPERLINK("https://test.ictv.global/id/TN19980767","TN19980767@TEST")</f>
        <v/>
      </c>
      <c r="M806" s="8">
        <f>HYPERLINK("https://test.ictv.global/id/ICTV19810184","ICTV19810184@TEST")</f>
        <v/>
      </c>
      <c r="N806" s="8">
        <f>HYPERLINK("https://ictv.global/id/TN19980767","TN19980767@prod")</f>
        <v/>
      </c>
      <c r="O806" s="8">
        <f>HYPERLINK("https://ictv.global/id/ICTV19810184","ICTV19810184@prod")</f>
        <v/>
      </c>
    </row>
    <row r="807">
      <c r="A807" t="n">
        <v>17</v>
      </c>
      <c r="B807" t="n">
        <v>19980769</v>
      </c>
      <c r="C807" t="n">
        <v>19810186</v>
      </c>
      <c r="D807" t="inlineStr">
        <is>
          <t>species</t>
        </is>
      </c>
      <c r="E807" t="inlineStr">
        <is>
          <t>Bovine adenovirus 4</t>
        </is>
      </c>
      <c r="G807" t="inlineStr">
        <is>
          <t>Abolished,</t>
        </is>
      </c>
      <c r="L807" s="8">
        <f>HYPERLINK("https://test.ictv.global/id/TN19980769","TN19980769@TEST")</f>
        <v/>
      </c>
      <c r="M807" s="8">
        <f>HYPERLINK("https://test.ictv.global/id/ICTV19810186","ICTV19810186@TEST")</f>
        <v/>
      </c>
      <c r="N807" s="8">
        <f>HYPERLINK("https://ictv.global/id/TN19980769","TN19980769@prod")</f>
        <v/>
      </c>
      <c r="O807" s="8">
        <f>HYPERLINK("https://ictv.global/id/ICTV19810186","ICTV19810186@prod")</f>
        <v/>
      </c>
    </row>
    <row r="808">
      <c r="A808" t="n">
        <v>17</v>
      </c>
      <c r="B808" t="n">
        <v>19980770</v>
      </c>
      <c r="C808" t="n">
        <v>19810187</v>
      </c>
      <c r="D808" t="inlineStr">
        <is>
          <t>species</t>
        </is>
      </c>
      <c r="E808" t="inlineStr">
        <is>
          <t>Bovine adenovirus 5</t>
        </is>
      </c>
      <c r="G808" t="inlineStr">
        <is>
          <t>Abolished,</t>
        </is>
      </c>
      <c r="L808" s="8">
        <f>HYPERLINK("https://test.ictv.global/id/TN19980770","TN19980770@TEST")</f>
        <v/>
      </c>
      <c r="M808" s="8">
        <f>HYPERLINK("https://test.ictv.global/id/ICTV19810187","ICTV19810187@TEST")</f>
        <v/>
      </c>
      <c r="N808" s="8">
        <f>HYPERLINK("https://ictv.global/id/TN19980770","TN19980770@prod")</f>
        <v/>
      </c>
      <c r="O808" s="8">
        <f>HYPERLINK("https://ictv.global/id/ICTV19810187","ICTV19810187@prod")</f>
        <v/>
      </c>
    </row>
    <row r="809">
      <c r="A809" t="n">
        <v>17</v>
      </c>
      <c r="B809" t="n">
        <v>19980771</v>
      </c>
      <c r="C809" t="n">
        <v>19810188</v>
      </c>
      <c r="D809" t="inlineStr">
        <is>
          <t>species</t>
        </is>
      </c>
      <c r="E809" t="inlineStr">
        <is>
          <t>Bovine adenovirus 6</t>
        </is>
      </c>
      <c r="G809" t="inlineStr">
        <is>
          <t>Abolished,</t>
        </is>
      </c>
      <c r="L809" s="8">
        <f>HYPERLINK("https://test.ictv.global/id/TN19980771","TN19980771@TEST")</f>
        <v/>
      </c>
      <c r="M809" s="8">
        <f>HYPERLINK("https://test.ictv.global/id/ICTV19810188","ICTV19810188@TEST")</f>
        <v/>
      </c>
      <c r="N809" s="8">
        <f>HYPERLINK("https://ictv.global/id/TN19980771","TN19980771@prod")</f>
        <v/>
      </c>
      <c r="O809" s="8">
        <f>HYPERLINK("https://ictv.global/id/ICTV19810188","ICTV19810188@prod")</f>
        <v/>
      </c>
    </row>
    <row r="810">
      <c r="A810" t="n">
        <v>17</v>
      </c>
      <c r="B810" t="n">
        <v>19980772</v>
      </c>
      <c r="C810" t="n">
        <v>19810189</v>
      </c>
      <c r="D810" t="inlineStr">
        <is>
          <t>species</t>
        </is>
      </c>
      <c r="E810" t="inlineStr">
        <is>
          <t>Bovine adenovirus 7</t>
        </is>
      </c>
      <c r="G810" t="inlineStr">
        <is>
          <t>Abolished,</t>
        </is>
      </c>
      <c r="L810" s="8">
        <f>HYPERLINK("https://test.ictv.global/id/TN19980772","TN19980772@TEST")</f>
        <v/>
      </c>
      <c r="M810" s="8">
        <f>HYPERLINK("https://test.ictv.global/id/ICTV19810189","ICTV19810189@TEST")</f>
        <v/>
      </c>
      <c r="N810" s="8">
        <f>HYPERLINK("https://ictv.global/id/TN19980772","TN19980772@prod")</f>
        <v/>
      </c>
      <c r="O810" s="8">
        <f>HYPERLINK("https://ictv.global/id/ICTV19810189","ICTV19810189@prod")</f>
        <v/>
      </c>
    </row>
    <row r="811">
      <c r="A811" t="n">
        <v>17</v>
      </c>
      <c r="B811" t="n">
        <v>19980773</v>
      </c>
      <c r="C811" t="n">
        <v>19810190</v>
      </c>
      <c r="D811" t="inlineStr">
        <is>
          <t>species</t>
        </is>
      </c>
      <c r="E811" t="inlineStr">
        <is>
          <t>Bovine adenovirus 8</t>
        </is>
      </c>
      <c r="G811" t="inlineStr">
        <is>
          <t>Abolished,</t>
        </is>
      </c>
      <c r="L811" s="8">
        <f>HYPERLINK("https://test.ictv.global/id/TN19980773","TN19980773@TEST")</f>
        <v/>
      </c>
      <c r="M811" s="8">
        <f>HYPERLINK("https://test.ictv.global/id/ICTV19810190","ICTV19810190@TEST")</f>
        <v/>
      </c>
      <c r="N811" s="8">
        <f>HYPERLINK("https://ictv.global/id/TN19980773","TN19980773@prod")</f>
        <v/>
      </c>
      <c r="O811" s="8">
        <f>HYPERLINK("https://ictv.global/id/ICTV19810190","ICTV19810190@prod")</f>
        <v/>
      </c>
    </row>
    <row r="812">
      <c r="A812" t="n">
        <v>17</v>
      </c>
      <c r="B812" t="n">
        <v>19980774</v>
      </c>
      <c r="C812" t="n">
        <v>19810191</v>
      </c>
      <c r="D812" t="inlineStr">
        <is>
          <t>species</t>
        </is>
      </c>
      <c r="E812" t="inlineStr">
        <is>
          <t>Bovine adenovirus 9</t>
        </is>
      </c>
      <c r="G812" t="inlineStr">
        <is>
          <t>Merged,Assigned as Type Species,</t>
        </is>
      </c>
      <c r="H812" t="inlineStr">
        <is>
          <t>Human adenovirus C</t>
        </is>
      </c>
      <c r="I812" t="inlineStr">
        <is>
          <t>species</t>
        </is>
      </c>
      <c r="J812" t="n">
        <v>19990516</v>
      </c>
      <c r="K812" t="n">
        <v>19990516</v>
      </c>
      <c r="L812" s="8">
        <f>HYPERLINK("https://test.ictv.global/id/TN19980774","TN19980774@TEST")</f>
        <v/>
      </c>
      <c r="M812" s="8">
        <f>HYPERLINK("https://test.ictv.global/id/ICTV19810191","ICTV19810191@TEST")</f>
        <v/>
      </c>
      <c r="N812" s="8">
        <f>HYPERLINK("https://ictv.global/id/TN19980774","TN19980774@prod")</f>
        <v/>
      </c>
      <c r="O812" s="8">
        <f>HYPERLINK("https://ictv.global/id/ICTV19810191","ICTV19810191@prod")</f>
        <v/>
      </c>
    </row>
    <row r="813">
      <c r="A813" t="n">
        <v>17</v>
      </c>
      <c r="B813" t="n">
        <v>19980775</v>
      </c>
      <c r="C813" t="n">
        <v>19760117</v>
      </c>
      <c r="D813" t="inlineStr">
        <is>
          <t>species</t>
        </is>
      </c>
      <c r="E813" t="inlineStr">
        <is>
          <t>Canine adenovirus 1</t>
        </is>
      </c>
      <c r="G813" t="inlineStr">
        <is>
          <t>Merged,</t>
        </is>
      </c>
      <c r="H813" t="inlineStr">
        <is>
          <t>Canine adenovirus</t>
        </is>
      </c>
      <c r="I813" t="inlineStr">
        <is>
          <t>species</t>
        </is>
      </c>
      <c r="J813" t="n">
        <v>19990511</v>
      </c>
      <c r="K813" t="n">
        <v>19990511</v>
      </c>
      <c r="L813" s="8">
        <f>HYPERLINK("https://test.ictv.global/id/TN19980775","TN19980775@TEST")</f>
        <v/>
      </c>
      <c r="M813" s="8">
        <f>HYPERLINK("https://test.ictv.global/id/ICTV19760117","ICTV19760117@TEST")</f>
        <v/>
      </c>
      <c r="N813" s="8">
        <f>HYPERLINK("https://ictv.global/id/TN19980775","TN19980775@prod")</f>
        <v/>
      </c>
      <c r="O813" s="8">
        <f>HYPERLINK("https://ictv.global/id/ICTV19760117","ICTV19760117@prod")</f>
        <v/>
      </c>
    </row>
    <row r="814">
      <c r="A814" t="n">
        <v>17</v>
      </c>
      <c r="B814" t="n">
        <v>19980776</v>
      </c>
      <c r="C814" t="n">
        <v>19910315</v>
      </c>
      <c r="D814" t="inlineStr">
        <is>
          <t>species</t>
        </is>
      </c>
      <c r="E814" t="inlineStr">
        <is>
          <t>Canine adenovirus 2</t>
        </is>
      </c>
      <c r="G814" t="inlineStr">
        <is>
          <t>Merged,</t>
        </is>
      </c>
      <c r="H814" t="inlineStr">
        <is>
          <t>Canine adenovirus</t>
        </is>
      </c>
      <c r="I814" t="inlineStr">
        <is>
          <t>species</t>
        </is>
      </c>
      <c r="J814" t="n">
        <v>19990511</v>
      </c>
      <c r="K814" t="n">
        <v>19990511</v>
      </c>
      <c r="L814" s="8">
        <f>HYPERLINK("https://test.ictv.global/id/TN19980776","TN19980776@TEST")</f>
        <v/>
      </c>
      <c r="M814" s="8">
        <f>HYPERLINK("https://test.ictv.global/id/ICTV19910315","ICTV19910315@TEST")</f>
        <v/>
      </c>
      <c r="N814" s="8">
        <f>HYPERLINK("https://ictv.global/id/TN19980776","TN19980776@prod")</f>
        <v/>
      </c>
      <c r="O814" s="8">
        <f>HYPERLINK("https://ictv.global/id/ICTV19910315","ICTV19910315@prod")</f>
        <v/>
      </c>
    </row>
    <row r="815">
      <c r="A815" t="n">
        <v>17</v>
      </c>
      <c r="B815" t="n">
        <v>19980777</v>
      </c>
      <c r="C815" t="n">
        <v>19810193</v>
      </c>
      <c r="D815" t="inlineStr">
        <is>
          <t>species</t>
        </is>
      </c>
      <c r="E815" t="inlineStr">
        <is>
          <t>Caprine adenovirus 1</t>
        </is>
      </c>
      <c r="G815" t="inlineStr">
        <is>
          <t>Abolished,</t>
        </is>
      </c>
      <c r="L815" s="8">
        <f>HYPERLINK("https://test.ictv.global/id/TN19980777","TN19980777@TEST")</f>
        <v/>
      </c>
      <c r="M815" s="8">
        <f>HYPERLINK("https://test.ictv.global/id/ICTV19810193","ICTV19810193@TEST")</f>
        <v/>
      </c>
      <c r="N815" s="8">
        <f>HYPERLINK("https://ictv.global/id/TN19980777","TN19980777@prod")</f>
        <v/>
      </c>
      <c r="O815" s="8">
        <f>HYPERLINK("https://ictv.global/id/ICTV19810193","ICTV19810193@prod")</f>
        <v/>
      </c>
    </row>
    <row r="816">
      <c r="A816" t="n">
        <v>17</v>
      </c>
      <c r="B816" t="n">
        <v>19980779</v>
      </c>
      <c r="C816" t="n">
        <v>19710071</v>
      </c>
      <c r="D816" t="inlineStr">
        <is>
          <t>species</t>
        </is>
      </c>
      <c r="E816" t="inlineStr">
        <is>
          <t>Human adenovirus 1</t>
        </is>
      </c>
      <c r="G816" t="inlineStr">
        <is>
          <t>Merged,Assigned as Type Species,</t>
        </is>
      </c>
      <c r="H816" t="inlineStr">
        <is>
          <t>Human adenovirus C</t>
        </is>
      </c>
      <c r="I816" t="inlineStr">
        <is>
          <t>species</t>
        </is>
      </c>
      <c r="J816" t="n">
        <v>19990516</v>
      </c>
      <c r="K816" t="n">
        <v>19990516</v>
      </c>
      <c r="L816" s="8">
        <f>HYPERLINK("https://test.ictv.global/id/TN19980779","TN19980779@TEST")</f>
        <v/>
      </c>
      <c r="M816" s="8">
        <f>HYPERLINK("https://test.ictv.global/id/ICTV19710071","ICTV19710071@TEST")</f>
        <v/>
      </c>
      <c r="N816" s="8">
        <f>HYPERLINK("https://ictv.global/id/TN19980779","TN19980779@prod")</f>
        <v/>
      </c>
      <c r="O816" s="8">
        <f>HYPERLINK("https://ictv.global/id/ICTV19710071","ICTV19710071@prod")</f>
        <v/>
      </c>
    </row>
    <row r="817">
      <c r="A817" t="n">
        <v>17</v>
      </c>
      <c r="B817" t="n">
        <v>19980780</v>
      </c>
      <c r="C817" t="n">
        <v>19810196</v>
      </c>
      <c r="D817" t="inlineStr">
        <is>
          <t>species</t>
        </is>
      </c>
      <c r="E817" t="inlineStr">
        <is>
          <t>Human adenovirus 10</t>
        </is>
      </c>
      <c r="G817" t="inlineStr">
        <is>
          <t>Merged,</t>
        </is>
      </c>
      <c r="H817" t="inlineStr">
        <is>
          <t>Human adenovirus D</t>
        </is>
      </c>
      <c r="I817" t="inlineStr">
        <is>
          <t>species</t>
        </is>
      </c>
      <c r="J817" t="n">
        <v>19990517</v>
      </c>
      <c r="K817" t="n">
        <v>19990517</v>
      </c>
      <c r="L817" s="8">
        <f>HYPERLINK("https://test.ictv.global/id/TN19980780","TN19980780@TEST")</f>
        <v/>
      </c>
      <c r="M817" s="8">
        <f>HYPERLINK("https://test.ictv.global/id/ICTV19810196","ICTV19810196@TEST")</f>
        <v/>
      </c>
      <c r="N817" s="8">
        <f>HYPERLINK("https://ictv.global/id/TN19980780","TN19980780@prod")</f>
        <v/>
      </c>
      <c r="O817" s="8">
        <f>HYPERLINK("https://ictv.global/id/ICTV19810196","ICTV19810196@prod")</f>
        <v/>
      </c>
    </row>
    <row r="818">
      <c r="A818" t="n">
        <v>17</v>
      </c>
      <c r="B818" t="n">
        <v>19980781</v>
      </c>
      <c r="C818" t="n">
        <v>19810197</v>
      </c>
      <c r="D818" t="inlineStr">
        <is>
          <t>species</t>
        </is>
      </c>
      <c r="E818" t="inlineStr">
        <is>
          <t>Human adenovirus 11</t>
        </is>
      </c>
      <c r="G818" t="inlineStr">
        <is>
          <t>Merged,</t>
        </is>
      </c>
      <c r="H818" t="inlineStr">
        <is>
          <t>Human adenovirus B</t>
        </is>
      </c>
      <c r="I818" t="inlineStr">
        <is>
          <t>species</t>
        </is>
      </c>
      <c r="J818" t="n">
        <v>19990515</v>
      </c>
      <c r="K818" t="n">
        <v>19990515</v>
      </c>
      <c r="L818" s="8">
        <f>HYPERLINK("https://test.ictv.global/id/TN19980781","TN19980781@TEST")</f>
        <v/>
      </c>
      <c r="M818" s="8">
        <f>HYPERLINK("https://test.ictv.global/id/ICTV19810197","ICTV19810197@TEST")</f>
        <v/>
      </c>
      <c r="N818" s="8">
        <f>HYPERLINK("https://ictv.global/id/TN19980781","TN19980781@prod")</f>
        <v/>
      </c>
      <c r="O818" s="8">
        <f>HYPERLINK("https://ictv.global/id/ICTV19810197","ICTV19810197@prod")</f>
        <v/>
      </c>
    </row>
    <row r="819">
      <c r="A819" t="n">
        <v>17</v>
      </c>
      <c r="B819" t="n">
        <v>19980782</v>
      </c>
      <c r="C819" t="n">
        <v>19810198</v>
      </c>
      <c r="D819" t="inlineStr">
        <is>
          <t>species</t>
        </is>
      </c>
      <c r="E819" t="inlineStr">
        <is>
          <t>Human adenovirus 12</t>
        </is>
      </c>
      <c r="G819" t="inlineStr">
        <is>
          <t>Merged,</t>
        </is>
      </c>
      <c r="H819" t="inlineStr">
        <is>
          <t>Human adenovirus A</t>
        </is>
      </c>
      <c r="I819" t="inlineStr">
        <is>
          <t>species</t>
        </is>
      </c>
      <c r="J819" t="n">
        <v>19990514</v>
      </c>
      <c r="K819" t="n">
        <v>19990514</v>
      </c>
      <c r="L819" s="8">
        <f>HYPERLINK("https://test.ictv.global/id/TN19980782","TN19980782@TEST")</f>
        <v/>
      </c>
      <c r="M819" s="8">
        <f>HYPERLINK("https://test.ictv.global/id/ICTV19810198","ICTV19810198@TEST")</f>
        <v/>
      </c>
      <c r="N819" s="8">
        <f>HYPERLINK("https://ictv.global/id/TN19980782","TN19980782@prod")</f>
        <v/>
      </c>
      <c r="O819" s="8">
        <f>HYPERLINK("https://ictv.global/id/ICTV19810198","ICTV19810198@prod")</f>
        <v/>
      </c>
    </row>
    <row r="820">
      <c r="A820" t="n">
        <v>17</v>
      </c>
      <c r="B820" t="n">
        <v>19980783</v>
      </c>
      <c r="C820" t="n">
        <v>19810199</v>
      </c>
      <c r="D820" t="inlineStr">
        <is>
          <t>species</t>
        </is>
      </c>
      <c r="E820" t="inlineStr">
        <is>
          <t>Human adenovirus 13</t>
        </is>
      </c>
      <c r="G820" t="inlineStr">
        <is>
          <t>Merged,</t>
        </is>
      </c>
      <c r="H820" t="inlineStr">
        <is>
          <t>Human adenovirus D</t>
        </is>
      </c>
      <c r="I820" t="inlineStr">
        <is>
          <t>species</t>
        </is>
      </c>
      <c r="J820" t="n">
        <v>19990517</v>
      </c>
      <c r="K820" t="n">
        <v>19990517</v>
      </c>
      <c r="L820" s="8">
        <f>HYPERLINK("https://test.ictv.global/id/TN19980783","TN19980783@TEST")</f>
        <v/>
      </c>
      <c r="M820" s="8">
        <f>HYPERLINK("https://test.ictv.global/id/ICTV19810199","ICTV19810199@TEST")</f>
        <v/>
      </c>
      <c r="N820" s="8">
        <f>HYPERLINK("https://ictv.global/id/TN19980783","TN19980783@prod")</f>
        <v/>
      </c>
      <c r="O820" s="8">
        <f>HYPERLINK("https://ictv.global/id/ICTV19810199","ICTV19810199@prod")</f>
        <v/>
      </c>
    </row>
    <row r="821">
      <c r="A821" t="n">
        <v>17</v>
      </c>
      <c r="B821" t="n">
        <v>19980784</v>
      </c>
      <c r="C821" t="n">
        <v>19810200</v>
      </c>
      <c r="D821" t="inlineStr">
        <is>
          <t>species</t>
        </is>
      </c>
      <c r="E821" t="inlineStr">
        <is>
          <t>Human adenovirus 14</t>
        </is>
      </c>
      <c r="G821" t="inlineStr">
        <is>
          <t>Merged,</t>
        </is>
      </c>
      <c r="H821" t="inlineStr">
        <is>
          <t>Human adenovirus B</t>
        </is>
      </c>
      <c r="I821" t="inlineStr">
        <is>
          <t>species</t>
        </is>
      </c>
      <c r="J821" t="n">
        <v>19990515</v>
      </c>
      <c r="K821" t="n">
        <v>19990515</v>
      </c>
      <c r="L821" s="8">
        <f>HYPERLINK("https://test.ictv.global/id/TN19980784","TN19980784@TEST")</f>
        <v/>
      </c>
      <c r="M821" s="8">
        <f>HYPERLINK("https://test.ictv.global/id/ICTV19810200","ICTV19810200@TEST")</f>
        <v/>
      </c>
      <c r="N821" s="8">
        <f>HYPERLINK("https://ictv.global/id/TN19980784","TN19980784@prod")</f>
        <v/>
      </c>
      <c r="O821" s="8">
        <f>HYPERLINK("https://ictv.global/id/ICTV19810200","ICTV19810200@prod")</f>
        <v/>
      </c>
    </row>
    <row r="822">
      <c r="A822" t="n">
        <v>17</v>
      </c>
      <c r="B822" t="n">
        <v>19980785</v>
      </c>
      <c r="C822" t="n">
        <v>19810201</v>
      </c>
      <c r="D822" t="inlineStr">
        <is>
          <t>species</t>
        </is>
      </c>
      <c r="E822" t="inlineStr">
        <is>
          <t>Human adenovirus 15</t>
        </is>
      </c>
      <c r="G822" t="inlineStr">
        <is>
          <t>Merged,</t>
        </is>
      </c>
      <c r="H822" t="inlineStr">
        <is>
          <t>Human adenovirus D</t>
        </is>
      </c>
      <c r="I822" t="inlineStr">
        <is>
          <t>species</t>
        </is>
      </c>
      <c r="J822" t="n">
        <v>19990517</v>
      </c>
      <c r="K822" t="n">
        <v>19990517</v>
      </c>
      <c r="L822" s="8">
        <f>HYPERLINK("https://test.ictv.global/id/TN19980785","TN19980785@TEST")</f>
        <v/>
      </c>
      <c r="M822" s="8">
        <f>HYPERLINK("https://test.ictv.global/id/ICTV19810201","ICTV19810201@TEST")</f>
        <v/>
      </c>
      <c r="N822" s="8">
        <f>HYPERLINK("https://ictv.global/id/TN19980785","TN19980785@prod")</f>
        <v/>
      </c>
      <c r="O822" s="8">
        <f>HYPERLINK("https://ictv.global/id/ICTV19810201","ICTV19810201@prod")</f>
        <v/>
      </c>
    </row>
    <row r="823">
      <c r="A823" t="n">
        <v>17</v>
      </c>
      <c r="B823" t="n">
        <v>19980786</v>
      </c>
      <c r="C823" t="n">
        <v>19810202</v>
      </c>
      <c r="D823" t="inlineStr">
        <is>
          <t>species</t>
        </is>
      </c>
      <c r="E823" t="inlineStr">
        <is>
          <t>Human adenovirus 16</t>
        </is>
      </c>
      <c r="G823" t="inlineStr">
        <is>
          <t>Merged,</t>
        </is>
      </c>
      <c r="H823" t="inlineStr">
        <is>
          <t>Human adenovirus B</t>
        </is>
      </c>
      <c r="I823" t="inlineStr">
        <is>
          <t>species</t>
        </is>
      </c>
      <c r="J823" t="n">
        <v>19990515</v>
      </c>
      <c r="K823" t="n">
        <v>19990515</v>
      </c>
      <c r="L823" s="8">
        <f>HYPERLINK("https://test.ictv.global/id/TN19980786","TN19980786@TEST")</f>
        <v/>
      </c>
      <c r="M823" s="8">
        <f>HYPERLINK("https://test.ictv.global/id/ICTV19810202","ICTV19810202@TEST")</f>
        <v/>
      </c>
      <c r="N823" s="8">
        <f>HYPERLINK("https://ictv.global/id/TN19980786","TN19980786@prod")</f>
        <v/>
      </c>
      <c r="O823" s="8">
        <f>HYPERLINK("https://ictv.global/id/ICTV19810202","ICTV19810202@prod")</f>
        <v/>
      </c>
    </row>
    <row r="824">
      <c r="A824" t="n">
        <v>17</v>
      </c>
      <c r="B824" t="n">
        <v>19980787</v>
      </c>
      <c r="C824" t="n">
        <v>19810203</v>
      </c>
      <c r="D824" t="inlineStr">
        <is>
          <t>species</t>
        </is>
      </c>
      <c r="E824" t="inlineStr">
        <is>
          <t>Human adenovirus 17</t>
        </is>
      </c>
      <c r="G824" t="inlineStr">
        <is>
          <t>Merged,</t>
        </is>
      </c>
      <c r="H824" t="inlineStr">
        <is>
          <t>Human adenovirus D</t>
        </is>
      </c>
      <c r="I824" t="inlineStr">
        <is>
          <t>species</t>
        </is>
      </c>
      <c r="J824" t="n">
        <v>19990517</v>
      </c>
      <c r="K824" t="n">
        <v>19990517</v>
      </c>
      <c r="L824" s="8">
        <f>HYPERLINK("https://test.ictv.global/id/TN19980787","TN19980787@TEST")</f>
        <v/>
      </c>
      <c r="M824" s="8">
        <f>HYPERLINK("https://test.ictv.global/id/ICTV19810203","ICTV19810203@TEST")</f>
        <v/>
      </c>
      <c r="N824" s="8">
        <f>HYPERLINK("https://ictv.global/id/TN19980787","TN19980787@prod")</f>
        <v/>
      </c>
      <c r="O824" s="8">
        <f>HYPERLINK("https://ictv.global/id/ICTV19810203","ICTV19810203@prod")</f>
        <v/>
      </c>
    </row>
    <row r="825">
      <c r="A825" t="n">
        <v>17</v>
      </c>
      <c r="B825" t="n">
        <v>19980788</v>
      </c>
      <c r="C825" t="n">
        <v>19810204</v>
      </c>
      <c r="D825" t="inlineStr">
        <is>
          <t>species</t>
        </is>
      </c>
      <c r="E825" t="inlineStr">
        <is>
          <t>Human adenovirus 18</t>
        </is>
      </c>
      <c r="G825" t="inlineStr">
        <is>
          <t>Merged,</t>
        </is>
      </c>
      <c r="H825" t="inlineStr">
        <is>
          <t>Human adenovirus A</t>
        </is>
      </c>
      <c r="I825" t="inlineStr">
        <is>
          <t>species</t>
        </is>
      </c>
      <c r="J825" t="n">
        <v>19990514</v>
      </c>
      <c r="K825" t="n">
        <v>19990514</v>
      </c>
      <c r="L825" s="8">
        <f>HYPERLINK("https://test.ictv.global/id/TN19980788","TN19980788@TEST")</f>
        <v/>
      </c>
      <c r="M825" s="8">
        <f>HYPERLINK("https://test.ictv.global/id/ICTV19810204","ICTV19810204@TEST")</f>
        <v/>
      </c>
      <c r="N825" s="8">
        <f>HYPERLINK("https://ictv.global/id/TN19980788","TN19980788@prod")</f>
        <v/>
      </c>
      <c r="O825" s="8">
        <f>HYPERLINK("https://ictv.global/id/ICTV19810204","ICTV19810204@prod")</f>
        <v/>
      </c>
    </row>
    <row r="826">
      <c r="A826" t="n">
        <v>17</v>
      </c>
      <c r="B826" t="n">
        <v>19980789</v>
      </c>
      <c r="C826" t="n">
        <v>19810205</v>
      </c>
      <c r="D826" t="inlineStr">
        <is>
          <t>species</t>
        </is>
      </c>
      <c r="E826" t="inlineStr">
        <is>
          <t>Human adenovirus 19</t>
        </is>
      </c>
      <c r="G826" t="inlineStr">
        <is>
          <t>Merged,</t>
        </is>
      </c>
      <c r="H826" t="inlineStr">
        <is>
          <t>Human adenovirus D</t>
        </is>
      </c>
      <c r="I826" t="inlineStr">
        <is>
          <t>species</t>
        </is>
      </c>
      <c r="J826" t="n">
        <v>19990517</v>
      </c>
      <c r="K826" t="n">
        <v>19990517</v>
      </c>
      <c r="L826" s="8">
        <f>HYPERLINK("https://test.ictv.global/id/TN19980789","TN19980789@TEST")</f>
        <v/>
      </c>
      <c r="M826" s="8">
        <f>HYPERLINK("https://test.ictv.global/id/ICTV19810205","ICTV19810205@TEST")</f>
        <v/>
      </c>
      <c r="N826" s="8">
        <f>HYPERLINK("https://ictv.global/id/TN19980789","TN19980789@prod")</f>
        <v/>
      </c>
      <c r="O826" s="8">
        <f>HYPERLINK("https://ictv.global/id/ICTV19810205","ICTV19810205@prod")</f>
        <v/>
      </c>
    </row>
    <row r="827">
      <c r="A827" t="n">
        <v>17</v>
      </c>
      <c r="B827" t="n">
        <v>19980790</v>
      </c>
      <c r="C827" t="n">
        <v>19760115</v>
      </c>
      <c r="D827" t="inlineStr">
        <is>
          <t>species</t>
        </is>
      </c>
      <c r="E827" t="inlineStr">
        <is>
          <t>Human adenovirus 2</t>
        </is>
      </c>
      <c r="G827" t="inlineStr">
        <is>
          <t>Merged,</t>
        </is>
      </c>
      <c r="H827" t="inlineStr">
        <is>
          <t>Human adenovirus C</t>
        </is>
      </c>
      <c r="I827" t="inlineStr">
        <is>
          <t>species</t>
        </is>
      </c>
      <c r="J827" t="n">
        <v>19990516</v>
      </c>
      <c r="K827" t="n">
        <v>19990516</v>
      </c>
      <c r="L827" s="8">
        <f>HYPERLINK("https://test.ictv.global/id/TN19980790","TN19980790@TEST")</f>
        <v/>
      </c>
      <c r="M827" s="8">
        <f>HYPERLINK("https://test.ictv.global/id/ICTV19760115","ICTV19760115@TEST")</f>
        <v/>
      </c>
      <c r="N827" s="8">
        <f>HYPERLINK("https://ictv.global/id/TN19980790","TN19980790@prod")</f>
        <v/>
      </c>
      <c r="O827" s="8">
        <f>HYPERLINK("https://ictv.global/id/ICTV19760115","ICTV19760115@prod")</f>
        <v/>
      </c>
    </row>
    <row r="828">
      <c r="A828" t="n">
        <v>17</v>
      </c>
      <c r="B828" t="n">
        <v>19980791</v>
      </c>
      <c r="C828" t="n">
        <v>19810207</v>
      </c>
      <c r="D828" t="inlineStr">
        <is>
          <t>species</t>
        </is>
      </c>
      <c r="E828" t="inlineStr">
        <is>
          <t>Human adenovirus 20</t>
        </is>
      </c>
      <c r="G828" t="inlineStr">
        <is>
          <t>Merged,</t>
        </is>
      </c>
      <c r="H828" t="inlineStr">
        <is>
          <t>Human adenovirus D</t>
        </is>
      </c>
      <c r="I828" t="inlineStr">
        <is>
          <t>species</t>
        </is>
      </c>
      <c r="J828" t="n">
        <v>19990517</v>
      </c>
      <c r="K828" t="n">
        <v>19990517</v>
      </c>
      <c r="L828" s="8">
        <f>HYPERLINK("https://test.ictv.global/id/TN19980791","TN19980791@TEST")</f>
        <v/>
      </c>
      <c r="M828" s="8">
        <f>HYPERLINK("https://test.ictv.global/id/ICTV19810207","ICTV19810207@TEST")</f>
        <v/>
      </c>
      <c r="N828" s="8">
        <f>HYPERLINK("https://ictv.global/id/TN19980791","TN19980791@prod")</f>
        <v/>
      </c>
      <c r="O828" s="8">
        <f>HYPERLINK("https://ictv.global/id/ICTV19810207","ICTV19810207@prod")</f>
        <v/>
      </c>
    </row>
    <row r="829">
      <c r="A829" t="n">
        <v>17</v>
      </c>
      <c r="B829" t="n">
        <v>19980792</v>
      </c>
      <c r="C829" t="n">
        <v>19810208</v>
      </c>
      <c r="D829" t="inlineStr">
        <is>
          <t>species</t>
        </is>
      </c>
      <c r="E829" t="inlineStr">
        <is>
          <t>Human adenovirus 21</t>
        </is>
      </c>
      <c r="G829" t="inlineStr">
        <is>
          <t>Merged,</t>
        </is>
      </c>
      <c r="H829" t="inlineStr">
        <is>
          <t>Human adenovirus B</t>
        </is>
      </c>
      <c r="I829" t="inlineStr">
        <is>
          <t>species</t>
        </is>
      </c>
      <c r="J829" t="n">
        <v>19990515</v>
      </c>
      <c r="K829" t="n">
        <v>19990515</v>
      </c>
      <c r="L829" s="8">
        <f>HYPERLINK("https://test.ictv.global/id/TN19980792","TN19980792@TEST")</f>
        <v/>
      </c>
      <c r="M829" s="8">
        <f>HYPERLINK("https://test.ictv.global/id/ICTV19810208","ICTV19810208@TEST")</f>
        <v/>
      </c>
      <c r="N829" s="8">
        <f>HYPERLINK("https://ictv.global/id/TN19980792","TN19980792@prod")</f>
        <v/>
      </c>
      <c r="O829" s="8">
        <f>HYPERLINK("https://ictv.global/id/ICTV19810208","ICTV19810208@prod")</f>
        <v/>
      </c>
    </row>
    <row r="830">
      <c r="A830" t="n">
        <v>17</v>
      </c>
      <c r="B830" t="n">
        <v>19980793</v>
      </c>
      <c r="C830" t="n">
        <v>19810209</v>
      </c>
      <c r="D830" t="inlineStr">
        <is>
          <t>species</t>
        </is>
      </c>
      <c r="E830" t="inlineStr">
        <is>
          <t>Human adenovirus 22</t>
        </is>
      </c>
      <c r="G830" t="inlineStr">
        <is>
          <t>Merged,</t>
        </is>
      </c>
      <c r="H830" t="inlineStr">
        <is>
          <t>Human adenovirus D</t>
        </is>
      </c>
      <c r="I830" t="inlineStr">
        <is>
          <t>species</t>
        </is>
      </c>
      <c r="J830" t="n">
        <v>19990517</v>
      </c>
      <c r="K830" t="n">
        <v>19990517</v>
      </c>
      <c r="L830" s="8">
        <f>HYPERLINK("https://test.ictv.global/id/TN19980793","TN19980793@TEST")</f>
        <v/>
      </c>
      <c r="M830" s="8">
        <f>HYPERLINK("https://test.ictv.global/id/ICTV19810209","ICTV19810209@TEST")</f>
        <v/>
      </c>
      <c r="N830" s="8">
        <f>HYPERLINK("https://ictv.global/id/TN19980793","TN19980793@prod")</f>
        <v/>
      </c>
      <c r="O830" s="8">
        <f>HYPERLINK("https://ictv.global/id/ICTV19810209","ICTV19810209@prod")</f>
        <v/>
      </c>
    </row>
    <row r="831">
      <c r="A831" t="n">
        <v>17</v>
      </c>
      <c r="B831" t="n">
        <v>19980794</v>
      </c>
      <c r="C831" t="n">
        <v>19810210</v>
      </c>
      <c r="D831" t="inlineStr">
        <is>
          <t>species</t>
        </is>
      </c>
      <c r="E831" t="inlineStr">
        <is>
          <t>Human adenovirus 23</t>
        </is>
      </c>
      <c r="G831" t="inlineStr">
        <is>
          <t>Merged,</t>
        </is>
      </c>
      <c r="H831" t="inlineStr">
        <is>
          <t>Human adenovirus D</t>
        </is>
      </c>
      <c r="I831" t="inlineStr">
        <is>
          <t>species</t>
        </is>
      </c>
      <c r="J831" t="n">
        <v>19990517</v>
      </c>
      <c r="K831" t="n">
        <v>19990517</v>
      </c>
      <c r="L831" s="8">
        <f>HYPERLINK("https://test.ictv.global/id/TN19980794","TN19980794@TEST")</f>
        <v/>
      </c>
      <c r="M831" s="8">
        <f>HYPERLINK("https://test.ictv.global/id/ICTV19810210","ICTV19810210@TEST")</f>
        <v/>
      </c>
      <c r="N831" s="8">
        <f>HYPERLINK("https://ictv.global/id/TN19980794","TN19980794@prod")</f>
        <v/>
      </c>
      <c r="O831" s="8">
        <f>HYPERLINK("https://ictv.global/id/ICTV19810210","ICTV19810210@prod")</f>
        <v/>
      </c>
    </row>
    <row r="832">
      <c r="A832" t="n">
        <v>17</v>
      </c>
      <c r="B832" t="n">
        <v>19980795</v>
      </c>
      <c r="C832" t="n">
        <v>19810211</v>
      </c>
      <c r="D832" t="inlineStr">
        <is>
          <t>species</t>
        </is>
      </c>
      <c r="E832" t="inlineStr">
        <is>
          <t>Human adenovirus 24</t>
        </is>
      </c>
      <c r="G832" t="inlineStr">
        <is>
          <t>Merged,</t>
        </is>
      </c>
      <c r="H832" t="inlineStr">
        <is>
          <t>Human adenovirus D</t>
        </is>
      </c>
      <c r="I832" t="inlineStr">
        <is>
          <t>species</t>
        </is>
      </c>
      <c r="J832" t="n">
        <v>19990517</v>
      </c>
      <c r="K832" t="n">
        <v>19990517</v>
      </c>
      <c r="L832" s="8">
        <f>HYPERLINK("https://test.ictv.global/id/TN19980795","TN19980795@TEST")</f>
        <v/>
      </c>
      <c r="M832" s="8">
        <f>HYPERLINK("https://test.ictv.global/id/ICTV19810211","ICTV19810211@TEST")</f>
        <v/>
      </c>
      <c r="N832" s="8">
        <f>HYPERLINK("https://ictv.global/id/TN19980795","TN19980795@prod")</f>
        <v/>
      </c>
      <c r="O832" s="8">
        <f>HYPERLINK("https://ictv.global/id/ICTV19810211","ICTV19810211@prod")</f>
        <v/>
      </c>
    </row>
    <row r="833">
      <c r="A833" t="n">
        <v>17</v>
      </c>
      <c r="B833" t="n">
        <v>19980796</v>
      </c>
      <c r="C833" t="n">
        <v>19810212</v>
      </c>
      <c r="D833" t="inlineStr">
        <is>
          <t>species</t>
        </is>
      </c>
      <c r="E833" t="inlineStr">
        <is>
          <t>Human adenovirus 25</t>
        </is>
      </c>
      <c r="G833" t="inlineStr">
        <is>
          <t>Merged,</t>
        </is>
      </c>
      <c r="H833" t="inlineStr">
        <is>
          <t>Human adenovirus D</t>
        </is>
      </c>
      <c r="I833" t="inlineStr">
        <is>
          <t>species</t>
        </is>
      </c>
      <c r="J833" t="n">
        <v>19990517</v>
      </c>
      <c r="K833" t="n">
        <v>19990517</v>
      </c>
      <c r="L833" s="8">
        <f>HYPERLINK("https://test.ictv.global/id/TN19980796","TN19980796@TEST")</f>
        <v/>
      </c>
      <c r="M833" s="8">
        <f>HYPERLINK("https://test.ictv.global/id/ICTV19810212","ICTV19810212@TEST")</f>
        <v/>
      </c>
      <c r="N833" s="8">
        <f>HYPERLINK("https://ictv.global/id/TN19980796","TN19980796@prod")</f>
        <v/>
      </c>
      <c r="O833" s="8">
        <f>HYPERLINK("https://ictv.global/id/ICTV19810212","ICTV19810212@prod")</f>
        <v/>
      </c>
    </row>
    <row r="834">
      <c r="A834" t="n">
        <v>17</v>
      </c>
      <c r="B834" t="n">
        <v>19980797</v>
      </c>
      <c r="C834" t="n">
        <v>19810213</v>
      </c>
      <c r="D834" t="inlineStr">
        <is>
          <t>species</t>
        </is>
      </c>
      <c r="E834" t="inlineStr">
        <is>
          <t>Human adenovirus 26</t>
        </is>
      </c>
      <c r="G834" t="inlineStr">
        <is>
          <t>Merged,</t>
        </is>
      </c>
      <c r="H834" t="inlineStr">
        <is>
          <t>Human adenovirus D</t>
        </is>
      </c>
      <c r="I834" t="inlineStr">
        <is>
          <t>species</t>
        </is>
      </c>
      <c r="J834" t="n">
        <v>19990517</v>
      </c>
      <c r="K834" t="n">
        <v>19990517</v>
      </c>
      <c r="L834" s="8">
        <f>HYPERLINK("https://test.ictv.global/id/TN19980797","TN19980797@TEST")</f>
        <v/>
      </c>
      <c r="M834" s="8">
        <f>HYPERLINK("https://test.ictv.global/id/ICTV19810213","ICTV19810213@TEST")</f>
        <v/>
      </c>
      <c r="N834" s="8">
        <f>HYPERLINK("https://ictv.global/id/TN19980797","TN19980797@prod")</f>
        <v/>
      </c>
      <c r="O834" s="8">
        <f>HYPERLINK("https://ictv.global/id/ICTV19810213","ICTV19810213@prod")</f>
        <v/>
      </c>
    </row>
    <row r="835">
      <c r="A835" t="n">
        <v>17</v>
      </c>
      <c r="B835" t="n">
        <v>19980798</v>
      </c>
      <c r="C835" t="n">
        <v>19810214</v>
      </c>
      <c r="D835" t="inlineStr">
        <is>
          <t>species</t>
        </is>
      </c>
      <c r="E835" t="inlineStr">
        <is>
          <t>Human adenovirus 27</t>
        </is>
      </c>
      <c r="G835" t="inlineStr">
        <is>
          <t>Merged,</t>
        </is>
      </c>
      <c r="H835" t="inlineStr">
        <is>
          <t>Human adenovirus D</t>
        </is>
      </c>
      <c r="I835" t="inlineStr">
        <is>
          <t>species</t>
        </is>
      </c>
      <c r="J835" t="n">
        <v>19990517</v>
      </c>
      <c r="K835" t="n">
        <v>19990517</v>
      </c>
      <c r="L835" s="8">
        <f>HYPERLINK("https://test.ictv.global/id/TN19980798","TN19980798@TEST")</f>
        <v/>
      </c>
      <c r="M835" s="8">
        <f>HYPERLINK("https://test.ictv.global/id/ICTV19810214","ICTV19810214@TEST")</f>
        <v/>
      </c>
      <c r="N835" s="8">
        <f>HYPERLINK("https://ictv.global/id/TN19980798","TN19980798@prod")</f>
        <v/>
      </c>
      <c r="O835" s="8">
        <f>HYPERLINK("https://ictv.global/id/ICTV19810214","ICTV19810214@prod")</f>
        <v/>
      </c>
    </row>
    <row r="836">
      <c r="A836" t="n">
        <v>17</v>
      </c>
      <c r="B836" t="n">
        <v>19980799</v>
      </c>
      <c r="C836" t="n">
        <v>19810215</v>
      </c>
      <c r="D836" t="inlineStr">
        <is>
          <t>species</t>
        </is>
      </c>
      <c r="E836" t="inlineStr">
        <is>
          <t>Human adenovirus 28</t>
        </is>
      </c>
      <c r="G836" t="inlineStr">
        <is>
          <t>Merged,</t>
        </is>
      </c>
      <c r="H836" t="inlineStr">
        <is>
          <t>Human adenovirus D</t>
        </is>
      </c>
      <c r="I836" t="inlineStr">
        <is>
          <t>species</t>
        </is>
      </c>
      <c r="J836" t="n">
        <v>19990517</v>
      </c>
      <c r="K836" t="n">
        <v>19990517</v>
      </c>
      <c r="L836" s="8">
        <f>HYPERLINK("https://test.ictv.global/id/TN19980799","TN19980799@TEST")</f>
        <v/>
      </c>
      <c r="M836" s="8">
        <f>HYPERLINK("https://test.ictv.global/id/ICTV19810215","ICTV19810215@TEST")</f>
        <v/>
      </c>
      <c r="N836" s="8">
        <f>HYPERLINK("https://ictv.global/id/TN19980799","TN19980799@prod")</f>
        <v/>
      </c>
      <c r="O836" s="8">
        <f>HYPERLINK("https://ictv.global/id/ICTV19810215","ICTV19810215@prod")</f>
        <v/>
      </c>
    </row>
    <row r="837">
      <c r="A837" t="n">
        <v>17</v>
      </c>
      <c r="B837" t="n">
        <v>19980800</v>
      </c>
      <c r="C837" t="n">
        <v>19810216</v>
      </c>
      <c r="D837" t="inlineStr">
        <is>
          <t>species</t>
        </is>
      </c>
      <c r="E837" t="inlineStr">
        <is>
          <t>Human adenovirus 29</t>
        </is>
      </c>
      <c r="G837" t="inlineStr">
        <is>
          <t>Merged,</t>
        </is>
      </c>
      <c r="H837" t="inlineStr">
        <is>
          <t>Human adenovirus D</t>
        </is>
      </c>
      <c r="I837" t="inlineStr">
        <is>
          <t>species</t>
        </is>
      </c>
      <c r="J837" t="n">
        <v>19990517</v>
      </c>
      <c r="K837" t="n">
        <v>19990517</v>
      </c>
      <c r="L837" s="8">
        <f>HYPERLINK("https://test.ictv.global/id/TN19980800","TN19980800@TEST")</f>
        <v/>
      </c>
      <c r="M837" s="8">
        <f>HYPERLINK("https://test.ictv.global/id/ICTV19810216","ICTV19810216@TEST")</f>
        <v/>
      </c>
      <c r="N837" s="8">
        <f>HYPERLINK("https://ictv.global/id/TN19980800","TN19980800@prod")</f>
        <v/>
      </c>
      <c r="O837" s="8">
        <f>HYPERLINK("https://ictv.global/id/ICTV19810216","ICTV19810216@prod")</f>
        <v/>
      </c>
    </row>
    <row r="838">
      <c r="A838" t="n">
        <v>17</v>
      </c>
      <c r="B838" t="n">
        <v>19980801</v>
      </c>
      <c r="C838" t="n">
        <v>19810217</v>
      </c>
      <c r="D838" t="inlineStr">
        <is>
          <t>species</t>
        </is>
      </c>
      <c r="E838" t="inlineStr">
        <is>
          <t>Human adenovirus 3</t>
        </is>
      </c>
      <c r="G838" t="inlineStr">
        <is>
          <t>Merged,</t>
        </is>
      </c>
      <c r="H838" t="inlineStr">
        <is>
          <t>Human adenovirus B</t>
        </is>
      </c>
      <c r="I838" t="inlineStr">
        <is>
          <t>species</t>
        </is>
      </c>
      <c r="J838" t="n">
        <v>19990515</v>
      </c>
      <c r="K838" t="n">
        <v>19990515</v>
      </c>
      <c r="L838" s="8">
        <f>HYPERLINK("https://test.ictv.global/id/TN19980801","TN19980801@TEST")</f>
        <v/>
      </c>
      <c r="M838" s="8">
        <f>HYPERLINK("https://test.ictv.global/id/ICTV19810217","ICTV19810217@TEST")</f>
        <v/>
      </c>
      <c r="N838" s="8">
        <f>HYPERLINK("https://ictv.global/id/TN19980801","TN19980801@prod")</f>
        <v/>
      </c>
      <c r="O838" s="8">
        <f>HYPERLINK("https://ictv.global/id/ICTV19810217","ICTV19810217@prod")</f>
        <v/>
      </c>
    </row>
    <row r="839">
      <c r="A839" t="n">
        <v>17</v>
      </c>
      <c r="B839" t="n">
        <v>19980802</v>
      </c>
      <c r="C839" t="n">
        <v>19810218</v>
      </c>
      <c r="D839" t="inlineStr">
        <is>
          <t>species</t>
        </is>
      </c>
      <c r="E839" t="inlineStr">
        <is>
          <t>Human adenovirus 30</t>
        </is>
      </c>
      <c r="G839" t="inlineStr">
        <is>
          <t>Merged,</t>
        </is>
      </c>
      <c r="H839" t="inlineStr">
        <is>
          <t>Human adenovirus D</t>
        </is>
      </c>
      <c r="I839" t="inlineStr">
        <is>
          <t>species</t>
        </is>
      </c>
      <c r="J839" t="n">
        <v>19990517</v>
      </c>
      <c r="K839" t="n">
        <v>19990517</v>
      </c>
      <c r="L839" s="8">
        <f>HYPERLINK("https://test.ictv.global/id/TN19980802","TN19980802@TEST")</f>
        <v/>
      </c>
      <c r="M839" s="8">
        <f>HYPERLINK("https://test.ictv.global/id/ICTV19810218","ICTV19810218@TEST")</f>
        <v/>
      </c>
      <c r="N839" s="8">
        <f>HYPERLINK("https://ictv.global/id/TN19980802","TN19980802@prod")</f>
        <v/>
      </c>
      <c r="O839" s="8">
        <f>HYPERLINK("https://ictv.global/id/ICTV19810218","ICTV19810218@prod")</f>
        <v/>
      </c>
    </row>
    <row r="840">
      <c r="A840" t="n">
        <v>17</v>
      </c>
      <c r="B840" t="n">
        <v>19980803</v>
      </c>
      <c r="C840" t="n">
        <v>19810219</v>
      </c>
      <c r="D840" t="inlineStr">
        <is>
          <t>species</t>
        </is>
      </c>
      <c r="E840" t="inlineStr">
        <is>
          <t>Human adenovirus 31</t>
        </is>
      </c>
      <c r="G840" t="inlineStr">
        <is>
          <t>Merged,</t>
        </is>
      </c>
      <c r="H840" t="inlineStr">
        <is>
          <t>Human adenovirus A</t>
        </is>
      </c>
      <c r="I840" t="inlineStr">
        <is>
          <t>species</t>
        </is>
      </c>
      <c r="J840" t="n">
        <v>19990514</v>
      </c>
      <c r="K840" t="n">
        <v>19990514</v>
      </c>
      <c r="L840" s="8">
        <f>HYPERLINK("https://test.ictv.global/id/TN19980803","TN19980803@TEST")</f>
        <v/>
      </c>
      <c r="M840" s="8">
        <f>HYPERLINK("https://test.ictv.global/id/ICTV19810219","ICTV19810219@TEST")</f>
        <v/>
      </c>
      <c r="N840" s="8">
        <f>HYPERLINK("https://ictv.global/id/TN19980803","TN19980803@prod")</f>
        <v/>
      </c>
      <c r="O840" s="8">
        <f>HYPERLINK("https://ictv.global/id/ICTV19810219","ICTV19810219@prod")</f>
        <v/>
      </c>
    </row>
    <row r="841">
      <c r="A841" t="n">
        <v>17</v>
      </c>
      <c r="B841" t="n">
        <v>19980804</v>
      </c>
      <c r="C841" t="n">
        <v>19810220</v>
      </c>
      <c r="D841" t="inlineStr">
        <is>
          <t>species</t>
        </is>
      </c>
      <c r="E841" t="inlineStr">
        <is>
          <t>Human adenovirus 32</t>
        </is>
      </c>
      <c r="G841" t="inlineStr">
        <is>
          <t>Merged,</t>
        </is>
      </c>
      <c r="H841" t="inlineStr">
        <is>
          <t>Human adenovirus D</t>
        </is>
      </c>
      <c r="I841" t="inlineStr">
        <is>
          <t>species</t>
        </is>
      </c>
      <c r="J841" t="n">
        <v>19990517</v>
      </c>
      <c r="K841" t="n">
        <v>19990517</v>
      </c>
      <c r="L841" s="8">
        <f>HYPERLINK("https://test.ictv.global/id/TN19980804","TN19980804@TEST")</f>
        <v/>
      </c>
      <c r="M841" s="8">
        <f>HYPERLINK("https://test.ictv.global/id/ICTV19810220","ICTV19810220@TEST")</f>
        <v/>
      </c>
      <c r="N841" s="8">
        <f>HYPERLINK("https://ictv.global/id/TN19980804","TN19980804@prod")</f>
        <v/>
      </c>
      <c r="O841" s="8">
        <f>HYPERLINK("https://ictv.global/id/ICTV19810220","ICTV19810220@prod")</f>
        <v/>
      </c>
    </row>
    <row r="842">
      <c r="A842" t="n">
        <v>17</v>
      </c>
      <c r="B842" t="n">
        <v>19980805</v>
      </c>
      <c r="C842" t="n">
        <v>19810221</v>
      </c>
      <c r="D842" t="inlineStr">
        <is>
          <t>species</t>
        </is>
      </c>
      <c r="E842" t="inlineStr">
        <is>
          <t>Human adenovirus 33</t>
        </is>
      </c>
      <c r="G842" t="inlineStr">
        <is>
          <t>Merged,</t>
        </is>
      </c>
      <c r="H842" t="inlineStr">
        <is>
          <t>Human adenovirus D</t>
        </is>
      </c>
      <c r="I842" t="inlineStr">
        <is>
          <t>species</t>
        </is>
      </c>
      <c r="J842" t="n">
        <v>19990517</v>
      </c>
      <c r="K842" t="n">
        <v>19990517</v>
      </c>
      <c r="L842" s="8">
        <f>HYPERLINK("https://test.ictv.global/id/TN19980805","TN19980805@TEST")</f>
        <v/>
      </c>
      <c r="M842" s="8">
        <f>HYPERLINK("https://test.ictv.global/id/ICTV19810221","ICTV19810221@TEST")</f>
        <v/>
      </c>
      <c r="N842" s="8">
        <f>HYPERLINK("https://ictv.global/id/TN19980805","TN19980805@prod")</f>
        <v/>
      </c>
      <c r="O842" s="8">
        <f>HYPERLINK("https://ictv.global/id/ICTV19810221","ICTV19810221@prod")</f>
        <v/>
      </c>
    </row>
    <row r="843">
      <c r="A843" t="n">
        <v>17</v>
      </c>
      <c r="B843" t="n">
        <v>19980806</v>
      </c>
      <c r="C843" t="n">
        <v>19810222</v>
      </c>
      <c r="D843" t="inlineStr">
        <is>
          <t>species</t>
        </is>
      </c>
      <c r="E843" t="inlineStr">
        <is>
          <t>Human adenovirus 34</t>
        </is>
      </c>
      <c r="G843" t="inlineStr">
        <is>
          <t>Merged,</t>
        </is>
      </c>
      <c r="H843" t="inlineStr">
        <is>
          <t>Human adenovirus B</t>
        </is>
      </c>
      <c r="I843" t="inlineStr">
        <is>
          <t>species</t>
        </is>
      </c>
      <c r="J843" t="n">
        <v>19990515</v>
      </c>
      <c r="K843" t="n">
        <v>19990515</v>
      </c>
      <c r="L843" s="8">
        <f>HYPERLINK("https://test.ictv.global/id/TN19980806","TN19980806@TEST")</f>
        <v/>
      </c>
      <c r="M843" s="8">
        <f>HYPERLINK("https://test.ictv.global/id/ICTV19810222","ICTV19810222@TEST")</f>
        <v/>
      </c>
      <c r="N843" s="8">
        <f>HYPERLINK("https://ictv.global/id/TN19980806","TN19980806@prod")</f>
        <v/>
      </c>
      <c r="O843" s="8">
        <f>HYPERLINK("https://ictv.global/id/ICTV19810222","ICTV19810222@prod")</f>
        <v/>
      </c>
    </row>
    <row r="844">
      <c r="A844" t="n">
        <v>17</v>
      </c>
      <c r="B844" t="n">
        <v>19980807</v>
      </c>
      <c r="C844" t="n">
        <v>19910346</v>
      </c>
      <c r="D844" t="inlineStr">
        <is>
          <t>species</t>
        </is>
      </c>
      <c r="E844" t="inlineStr">
        <is>
          <t>Human adenovirus 35</t>
        </is>
      </c>
      <c r="G844" t="inlineStr">
        <is>
          <t>Merged,</t>
        </is>
      </c>
      <c r="H844" t="inlineStr">
        <is>
          <t>Human adenovirus B</t>
        </is>
      </c>
      <c r="I844" t="inlineStr">
        <is>
          <t>species</t>
        </is>
      </c>
      <c r="J844" t="n">
        <v>19990515</v>
      </c>
      <c r="K844" t="n">
        <v>19990515</v>
      </c>
      <c r="L844" s="8">
        <f>HYPERLINK("https://test.ictv.global/id/TN19980807","TN19980807@TEST")</f>
        <v/>
      </c>
      <c r="M844" s="8">
        <f>HYPERLINK("https://test.ictv.global/id/ICTV19910346","ICTV19910346@TEST")</f>
        <v/>
      </c>
      <c r="N844" s="8">
        <f>HYPERLINK("https://ictv.global/id/TN19980807","TN19980807@prod")</f>
        <v/>
      </c>
      <c r="O844" s="8">
        <f>HYPERLINK("https://ictv.global/id/ICTV19910346","ICTV19910346@prod")</f>
        <v/>
      </c>
    </row>
    <row r="845">
      <c r="A845" t="n">
        <v>17</v>
      </c>
      <c r="B845" t="n">
        <v>19980808</v>
      </c>
      <c r="C845" t="n">
        <v>19910347</v>
      </c>
      <c r="D845" t="inlineStr">
        <is>
          <t>species</t>
        </is>
      </c>
      <c r="E845" t="inlineStr">
        <is>
          <t>Human adenovirus 36</t>
        </is>
      </c>
      <c r="G845" t="inlineStr">
        <is>
          <t>Merged,</t>
        </is>
      </c>
      <c r="H845" t="inlineStr">
        <is>
          <t>Human adenovirus D</t>
        </is>
      </c>
      <c r="I845" t="inlineStr">
        <is>
          <t>species</t>
        </is>
      </c>
      <c r="J845" t="n">
        <v>19990517</v>
      </c>
      <c r="K845" t="n">
        <v>19990517</v>
      </c>
      <c r="L845" s="8">
        <f>HYPERLINK("https://test.ictv.global/id/TN19980808","TN19980808@TEST")</f>
        <v/>
      </c>
      <c r="M845" s="8">
        <f>HYPERLINK("https://test.ictv.global/id/ICTV19910347","ICTV19910347@TEST")</f>
        <v/>
      </c>
      <c r="N845" s="8">
        <f>HYPERLINK("https://ictv.global/id/TN19980808","TN19980808@prod")</f>
        <v/>
      </c>
      <c r="O845" s="8">
        <f>HYPERLINK("https://ictv.global/id/ICTV19910347","ICTV19910347@prod")</f>
        <v/>
      </c>
    </row>
    <row r="846">
      <c r="A846" t="n">
        <v>17</v>
      </c>
      <c r="B846" t="n">
        <v>19980809</v>
      </c>
      <c r="C846" t="n">
        <v>19910348</v>
      </c>
      <c r="D846" t="inlineStr">
        <is>
          <t>species</t>
        </is>
      </c>
      <c r="E846" t="inlineStr">
        <is>
          <t>Human adenovirus 37</t>
        </is>
      </c>
      <c r="G846" t="inlineStr">
        <is>
          <t>Merged,</t>
        </is>
      </c>
      <c r="H846" t="inlineStr">
        <is>
          <t>Human adenovirus D</t>
        </is>
      </c>
      <c r="I846" t="inlineStr">
        <is>
          <t>species</t>
        </is>
      </c>
      <c r="J846" t="n">
        <v>19990517</v>
      </c>
      <c r="K846" t="n">
        <v>19990517</v>
      </c>
      <c r="L846" s="8">
        <f>HYPERLINK("https://test.ictv.global/id/TN19980809","TN19980809@TEST")</f>
        <v/>
      </c>
      <c r="M846" s="8">
        <f>HYPERLINK("https://test.ictv.global/id/ICTV19910348","ICTV19910348@TEST")</f>
        <v/>
      </c>
      <c r="N846" s="8">
        <f>HYPERLINK("https://ictv.global/id/TN19980809","TN19980809@prod")</f>
        <v/>
      </c>
      <c r="O846" s="8">
        <f>HYPERLINK("https://ictv.global/id/ICTV19910348","ICTV19910348@prod")</f>
        <v/>
      </c>
    </row>
    <row r="847">
      <c r="A847" t="n">
        <v>17</v>
      </c>
      <c r="B847" t="n">
        <v>19980810</v>
      </c>
      <c r="C847" t="n">
        <v>19910349</v>
      </c>
      <c r="D847" t="inlineStr">
        <is>
          <t>species</t>
        </is>
      </c>
      <c r="E847" t="inlineStr">
        <is>
          <t>Human adenovirus 38</t>
        </is>
      </c>
      <c r="G847" t="inlineStr">
        <is>
          <t>Merged,</t>
        </is>
      </c>
      <c r="H847" t="inlineStr">
        <is>
          <t>Human adenovirus D</t>
        </is>
      </c>
      <c r="I847" t="inlineStr">
        <is>
          <t>species</t>
        </is>
      </c>
      <c r="J847" t="n">
        <v>19990517</v>
      </c>
      <c r="K847" t="n">
        <v>19990517</v>
      </c>
      <c r="L847" s="8">
        <f>HYPERLINK("https://test.ictv.global/id/TN19980810","TN19980810@TEST")</f>
        <v/>
      </c>
      <c r="M847" s="8">
        <f>HYPERLINK("https://test.ictv.global/id/ICTV19910349","ICTV19910349@TEST")</f>
        <v/>
      </c>
      <c r="N847" s="8">
        <f>HYPERLINK("https://ictv.global/id/TN19980810","TN19980810@prod")</f>
        <v/>
      </c>
      <c r="O847" s="8">
        <f>HYPERLINK("https://ictv.global/id/ICTV19910349","ICTV19910349@prod")</f>
        <v/>
      </c>
    </row>
    <row r="848">
      <c r="A848" t="n">
        <v>17</v>
      </c>
      <c r="B848" t="n">
        <v>19980811</v>
      </c>
      <c r="C848" t="n">
        <v>19910350</v>
      </c>
      <c r="D848" t="inlineStr">
        <is>
          <t>species</t>
        </is>
      </c>
      <c r="E848" t="inlineStr">
        <is>
          <t>Human adenovirus 39</t>
        </is>
      </c>
      <c r="G848" t="inlineStr">
        <is>
          <t>Merged,</t>
        </is>
      </c>
      <c r="H848" t="inlineStr">
        <is>
          <t>Human adenovirus D</t>
        </is>
      </c>
      <c r="I848" t="inlineStr">
        <is>
          <t>species</t>
        </is>
      </c>
      <c r="J848" t="n">
        <v>19990517</v>
      </c>
      <c r="K848" t="n">
        <v>19990517</v>
      </c>
      <c r="L848" s="8">
        <f>HYPERLINK("https://test.ictv.global/id/TN19980811","TN19980811@TEST")</f>
        <v/>
      </c>
      <c r="M848" s="8">
        <f>HYPERLINK("https://test.ictv.global/id/ICTV19910350","ICTV19910350@TEST")</f>
        <v/>
      </c>
      <c r="N848" s="8">
        <f>HYPERLINK("https://ictv.global/id/TN19980811","TN19980811@prod")</f>
        <v/>
      </c>
      <c r="O848" s="8">
        <f>HYPERLINK("https://ictv.global/id/ICTV19910350","ICTV19910350@prod")</f>
        <v/>
      </c>
    </row>
    <row r="849">
      <c r="A849" t="n">
        <v>17</v>
      </c>
      <c r="B849" t="n">
        <v>19980812</v>
      </c>
      <c r="C849" t="n">
        <v>19810223</v>
      </c>
      <c r="D849" t="inlineStr">
        <is>
          <t>species</t>
        </is>
      </c>
      <c r="E849" t="inlineStr">
        <is>
          <t>Human adenovirus 4</t>
        </is>
      </c>
      <c r="G849" t="inlineStr">
        <is>
          <t>Merged,</t>
        </is>
      </c>
      <c r="H849" t="inlineStr">
        <is>
          <t>Human adenovirus E</t>
        </is>
      </c>
      <c r="I849" t="inlineStr">
        <is>
          <t>species</t>
        </is>
      </c>
      <c r="J849" t="n">
        <v>19990518</v>
      </c>
      <c r="K849" t="n">
        <v>19990518</v>
      </c>
      <c r="L849" s="8">
        <f>HYPERLINK("https://test.ictv.global/id/TN19980812","TN19980812@TEST")</f>
        <v/>
      </c>
      <c r="M849" s="8">
        <f>HYPERLINK("https://test.ictv.global/id/ICTV19810223","ICTV19810223@TEST")</f>
        <v/>
      </c>
      <c r="N849" s="8">
        <f>HYPERLINK("https://ictv.global/id/TN19980812","TN19980812@prod")</f>
        <v/>
      </c>
      <c r="O849" s="8">
        <f>HYPERLINK("https://ictv.global/id/ICTV19810223","ICTV19810223@prod")</f>
        <v/>
      </c>
    </row>
    <row r="850">
      <c r="A850" t="n">
        <v>17</v>
      </c>
      <c r="B850" t="n">
        <v>19980813</v>
      </c>
      <c r="C850" t="n">
        <v>19910352</v>
      </c>
      <c r="D850" t="inlineStr">
        <is>
          <t>species</t>
        </is>
      </c>
      <c r="E850" t="inlineStr">
        <is>
          <t>Human adenovirus 40</t>
        </is>
      </c>
      <c r="G850" t="inlineStr">
        <is>
          <t>Merged,</t>
        </is>
      </c>
      <c r="H850" t="inlineStr">
        <is>
          <t>Human adenovirus F</t>
        </is>
      </c>
      <c r="I850" t="inlineStr">
        <is>
          <t>species</t>
        </is>
      </c>
      <c r="J850" t="n">
        <v>19990519</v>
      </c>
      <c r="K850" t="n">
        <v>19990519</v>
      </c>
      <c r="L850" s="8">
        <f>HYPERLINK("https://test.ictv.global/id/TN19980813","TN19980813@TEST")</f>
        <v/>
      </c>
      <c r="M850" s="8">
        <f>HYPERLINK("https://test.ictv.global/id/ICTV19910352","ICTV19910352@TEST")</f>
        <v/>
      </c>
      <c r="N850" s="8">
        <f>HYPERLINK("https://ictv.global/id/TN19980813","TN19980813@prod")</f>
        <v/>
      </c>
      <c r="O850" s="8">
        <f>HYPERLINK("https://ictv.global/id/ICTV19910352","ICTV19910352@prod")</f>
        <v/>
      </c>
    </row>
    <row r="851">
      <c r="A851" t="n">
        <v>17</v>
      </c>
      <c r="B851" t="n">
        <v>19980814</v>
      </c>
      <c r="C851" t="n">
        <v>19910353</v>
      </c>
      <c r="D851" t="inlineStr">
        <is>
          <t>species</t>
        </is>
      </c>
      <c r="E851" t="inlineStr">
        <is>
          <t>Human adenovirus 41</t>
        </is>
      </c>
      <c r="G851" t="inlineStr">
        <is>
          <t>Merged,</t>
        </is>
      </c>
      <c r="H851" t="inlineStr">
        <is>
          <t>Human adenovirus F</t>
        </is>
      </c>
      <c r="I851" t="inlineStr">
        <is>
          <t>species</t>
        </is>
      </c>
      <c r="J851" t="n">
        <v>19990519</v>
      </c>
      <c r="K851" t="n">
        <v>19990519</v>
      </c>
      <c r="L851" s="8">
        <f>HYPERLINK("https://test.ictv.global/id/TN19980814","TN19980814@TEST")</f>
        <v/>
      </c>
      <c r="M851" s="8">
        <f>HYPERLINK("https://test.ictv.global/id/ICTV19910353","ICTV19910353@TEST")</f>
        <v/>
      </c>
      <c r="N851" s="8">
        <f>HYPERLINK("https://ictv.global/id/TN19980814","TN19980814@prod")</f>
        <v/>
      </c>
      <c r="O851" s="8">
        <f>HYPERLINK("https://ictv.global/id/ICTV19910353","ICTV19910353@prod")</f>
        <v/>
      </c>
    </row>
    <row r="852">
      <c r="A852" t="n">
        <v>17</v>
      </c>
      <c r="B852" t="n">
        <v>19980815</v>
      </c>
      <c r="C852" t="n">
        <v>19910354</v>
      </c>
      <c r="D852" t="inlineStr">
        <is>
          <t>species</t>
        </is>
      </c>
      <c r="E852" t="inlineStr">
        <is>
          <t>Human adenovirus 42</t>
        </is>
      </c>
      <c r="G852" t="inlineStr">
        <is>
          <t>Merged,</t>
        </is>
      </c>
      <c r="H852" t="inlineStr">
        <is>
          <t>Human adenovirus D</t>
        </is>
      </c>
      <c r="I852" t="inlineStr">
        <is>
          <t>species</t>
        </is>
      </c>
      <c r="J852" t="n">
        <v>19990517</v>
      </c>
      <c r="K852" t="n">
        <v>19990517</v>
      </c>
      <c r="L852" s="8">
        <f>HYPERLINK("https://test.ictv.global/id/TN19980815","TN19980815@TEST")</f>
        <v/>
      </c>
      <c r="M852" s="8">
        <f>HYPERLINK("https://test.ictv.global/id/ICTV19910354","ICTV19910354@TEST")</f>
        <v/>
      </c>
      <c r="N852" s="8">
        <f>HYPERLINK("https://ictv.global/id/TN19980815","TN19980815@prod")</f>
        <v/>
      </c>
      <c r="O852" s="8">
        <f>HYPERLINK("https://ictv.global/id/ICTV19910354","ICTV19910354@prod")</f>
        <v/>
      </c>
    </row>
    <row r="853">
      <c r="A853" t="n">
        <v>17</v>
      </c>
      <c r="B853" t="n">
        <v>19980816</v>
      </c>
      <c r="C853" t="n">
        <v>19910355</v>
      </c>
      <c r="D853" t="inlineStr">
        <is>
          <t>species</t>
        </is>
      </c>
      <c r="E853" t="inlineStr">
        <is>
          <t>Human adenovirus 43</t>
        </is>
      </c>
      <c r="G853" t="inlineStr">
        <is>
          <t>Merged,</t>
        </is>
      </c>
      <c r="H853" t="inlineStr">
        <is>
          <t>Human adenovirus D</t>
        </is>
      </c>
      <c r="I853" t="inlineStr">
        <is>
          <t>species</t>
        </is>
      </c>
      <c r="J853" t="n">
        <v>19990517</v>
      </c>
      <c r="K853" t="n">
        <v>19990517</v>
      </c>
      <c r="L853" s="8">
        <f>HYPERLINK("https://test.ictv.global/id/TN19980816","TN19980816@TEST")</f>
        <v/>
      </c>
      <c r="M853" s="8">
        <f>HYPERLINK("https://test.ictv.global/id/ICTV19910355","ICTV19910355@TEST")</f>
        <v/>
      </c>
      <c r="N853" s="8">
        <f>HYPERLINK("https://ictv.global/id/TN19980816","TN19980816@prod")</f>
        <v/>
      </c>
      <c r="O853" s="8">
        <f>HYPERLINK("https://ictv.global/id/ICTV19910355","ICTV19910355@prod")</f>
        <v/>
      </c>
    </row>
    <row r="854">
      <c r="A854" t="n">
        <v>17</v>
      </c>
      <c r="B854" t="n">
        <v>19980817</v>
      </c>
      <c r="C854" t="n">
        <v>19910356</v>
      </c>
      <c r="D854" t="inlineStr">
        <is>
          <t>species</t>
        </is>
      </c>
      <c r="E854" t="inlineStr">
        <is>
          <t>Human adenovirus 44</t>
        </is>
      </c>
      <c r="G854" t="inlineStr">
        <is>
          <t>Merged,</t>
        </is>
      </c>
      <c r="H854" t="inlineStr">
        <is>
          <t>Human adenovirus D</t>
        </is>
      </c>
      <c r="I854" t="inlineStr">
        <is>
          <t>species</t>
        </is>
      </c>
      <c r="J854" t="n">
        <v>19990517</v>
      </c>
      <c r="K854" t="n">
        <v>19990517</v>
      </c>
      <c r="L854" s="8">
        <f>HYPERLINK("https://test.ictv.global/id/TN19980817","TN19980817@TEST")</f>
        <v/>
      </c>
      <c r="M854" s="8">
        <f>HYPERLINK("https://test.ictv.global/id/ICTV19910356","ICTV19910356@TEST")</f>
        <v/>
      </c>
      <c r="N854" s="8">
        <f>HYPERLINK("https://ictv.global/id/TN19980817","TN19980817@prod")</f>
        <v/>
      </c>
      <c r="O854" s="8">
        <f>HYPERLINK("https://ictv.global/id/ICTV19910356","ICTV19910356@prod")</f>
        <v/>
      </c>
    </row>
    <row r="855">
      <c r="A855" t="n">
        <v>17</v>
      </c>
      <c r="B855" t="n">
        <v>19980818</v>
      </c>
      <c r="C855" t="n">
        <v>19910357</v>
      </c>
      <c r="D855" t="inlineStr">
        <is>
          <t>species</t>
        </is>
      </c>
      <c r="E855" t="inlineStr">
        <is>
          <t>Human adenovirus 45</t>
        </is>
      </c>
      <c r="G855" t="inlineStr">
        <is>
          <t>Merged,</t>
        </is>
      </c>
      <c r="H855" t="inlineStr">
        <is>
          <t>Human adenovirus D</t>
        </is>
      </c>
      <c r="I855" t="inlineStr">
        <is>
          <t>species</t>
        </is>
      </c>
      <c r="J855" t="n">
        <v>19990517</v>
      </c>
      <c r="K855" t="n">
        <v>19990517</v>
      </c>
      <c r="L855" s="8">
        <f>HYPERLINK("https://test.ictv.global/id/TN19980818","TN19980818@TEST")</f>
        <v/>
      </c>
      <c r="M855" s="8">
        <f>HYPERLINK("https://test.ictv.global/id/ICTV19910357","ICTV19910357@TEST")</f>
        <v/>
      </c>
      <c r="N855" s="8">
        <f>HYPERLINK("https://ictv.global/id/TN19980818","TN19980818@prod")</f>
        <v/>
      </c>
      <c r="O855" s="8">
        <f>HYPERLINK("https://ictv.global/id/ICTV19910357","ICTV19910357@prod")</f>
        <v/>
      </c>
    </row>
    <row r="856">
      <c r="A856" t="n">
        <v>17</v>
      </c>
      <c r="B856" t="n">
        <v>19980819</v>
      </c>
      <c r="C856" t="n">
        <v>19910358</v>
      </c>
      <c r="D856" t="inlineStr">
        <is>
          <t>species</t>
        </is>
      </c>
      <c r="E856" t="inlineStr">
        <is>
          <t>Human adenovirus 46</t>
        </is>
      </c>
      <c r="G856" t="inlineStr">
        <is>
          <t>Merged,</t>
        </is>
      </c>
      <c r="H856" t="inlineStr">
        <is>
          <t>Human adenovirus D</t>
        </is>
      </c>
      <c r="I856" t="inlineStr">
        <is>
          <t>species</t>
        </is>
      </c>
      <c r="J856" t="n">
        <v>19990517</v>
      </c>
      <c r="K856" t="n">
        <v>19990517</v>
      </c>
      <c r="L856" s="8">
        <f>HYPERLINK("https://test.ictv.global/id/TN19980819","TN19980819@TEST")</f>
        <v/>
      </c>
      <c r="M856" s="8">
        <f>HYPERLINK("https://test.ictv.global/id/ICTV19910358","ICTV19910358@TEST")</f>
        <v/>
      </c>
      <c r="N856" s="8">
        <f>HYPERLINK("https://ictv.global/id/TN19980819","TN19980819@prod")</f>
        <v/>
      </c>
      <c r="O856" s="8">
        <f>HYPERLINK("https://ictv.global/id/ICTV19910358","ICTV19910358@prod")</f>
        <v/>
      </c>
    </row>
    <row r="857">
      <c r="A857" t="n">
        <v>17</v>
      </c>
      <c r="B857" t="n">
        <v>19980820</v>
      </c>
      <c r="C857" t="n">
        <v>19910359</v>
      </c>
      <c r="D857" t="inlineStr">
        <is>
          <t>species</t>
        </is>
      </c>
      <c r="E857" t="inlineStr">
        <is>
          <t>Human adenovirus 47</t>
        </is>
      </c>
      <c r="G857" t="inlineStr">
        <is>
          <t>Merged,</t>
        </is>
      </c>
      <c r="H857" t="inlineStr">
        <is>
          <t>Human adenovirus D</t>
        </is>
      </c>
      <c r="I857" t="inlineStr">
        <is>
          <t>species</t>
        </is>
      </c>
      <c r="J857" t="n">
        <v>19990517</v>
      </c>
      <c r="K857" t="n">
        <v>19990517</v>
      </c>
      <c r="L857" s="8">
        <f>HYPERLINK("https://test.ictv.global/id/TN19980820","TN19980820@TEST")</f>
        <v/>
      </c>
      <c r="M857" s="8">
        <f>HYPERLINK("https://test.ictv.global/id/ICTV19910359","ICTV19910359@TEST")</f>
        <v/>
      </c>
      <c r="N857" s="8">
        <f>HYPERLINK("https://ictv.global/id/TN19980820","TN19980820@prod")</f>
        <v/>
      </c>
      <c r="O857" s="8">
        <f>HYPERLINK("https://ictv.global/id/ICTV19910359","ICTV19910359@prod")</f>
        <v/>
      </c>
    </row>
    <row r="858">
      <c r="A858" t="n">
        <v>17</v>
      </c>
      <c r="B858" t="n">
        <v>19980821</v>
      </c>
      <c r="C858" t="n">
        <v>19810224</v>
      </c>
      <c r="D858" t="inlineStr">
        <is>
          <t>species</t>
        </is>
      </c>
      <c r="E858" t="inlineStr">
        <is>
          <t>Human adenovirus 5</t>
        </is>
      </c>
      <c r="G858" t="inlineStr">
        <is>
          <t>Merged,Assigned as Type Species,</t>
        </is>
      </c>
      <c r="H858" t="inlineStr">
        <is>
          <t>Human adenovirus C</t>
        </is>
      </c>
      <c r="I858" t="inlineStr">
        <is>
          <t>species</t>
        </is>
      </c>
      <c r="J858" t="n">
        <v>19990516</v>
      </c>
      <c r="K858" t="n">
        <v>19990516</v>
      </c>
      <c r="L858" s="8">
        <f>HYPERLINK("https://test.ictv.global/id/TN19980821","TN19980821@TEST")</f>
        <v/>
      </c>
      <c r="M858" s="8">
        <f>HYPERLINK("https://test.ictv.global/id/ICTV19810224","ICTV19810224@TEST")</f>
        <v/>
      </c>
      <c r="N858" s="8">
        <f>HYPERLINK("https://ictv.global/id/TN19980821","TN19980821@prod")</f>
        <v/>
      </c>
      <c r="O858" s="8">
        <f>HYPERLINK("https://ictv.global/id/ICTV19810224","ICTV19810224@prod")</f>
        <v/>
      </c>
    </row>
    <row r="859">
      <c r="A859" t="n">
        <v>17</v>
      </c>
      <c r="B859" t="n">
        <v>19980822</v>
      </c>
      <c r="C859" t="n">
        <v>19810225</v>
      </c>
      <c r="D859" t="inlineStr">
        <is>
          <t>species</t>
        </is>
      </c>
      <c r="E859" t="inlineStr">
        <is>
          <t>Human adenovirus 6</t>
        </is>
      </c>
      <c r="G859" t="inlineStr">
        <is>
          <t>Merged,Assigned as Type Species,</t>
        </is>
      </c>
      <c r="H859" t="inlineStr">
        <is>
          <t>Human adenovirus C</t>
        </is>
      </c>
      <c r="I859" t="inlineStr">
        <is>
          <t>species</t>
        </is>
      </c>
      <c r="J859" t="n">
        <v>19990516</v>
      </c>
      <c r="K859" t="n">
        <v>19990516</v>
      </c>
      <c r="L859" s="8">
        <f>HYPERLINK("https://test.ictv.global/id/TN19980822","TN19980822@TEST")</f>
        <v/>
      </c>
      <c r="M859" s="8">
        <f>HYPERLINK("https://test.ictv.global/id/ICTV19810225","ICTV19810225@TEST")</f>
        <v/>
      </c>
      <c r="N859" s="8">
        <f>HYPERLINK("https://ictv.global/id/TN19980822","TN19980822@prod")</f>
        <v/>
      </c>
      <c r="O859" s="8">
        <f>HYPERLINK("https://ictv.global/id/ICTV19810225","ICTV19810225@prod")</f>
        <v/>
      </c>
    </row>
    <row r="860">
      <c r="A860" t="n">
        <v>17</v>
      </c>
      <c r="B860" t="n">
        <v>19980823</v>
      </c>
      <c r="C860" t="n">
        <v>19810226</v>
      </c>
      <c r="D860" t="inlineStr">
        <is>
          <t>species</t>
        </is>
      </c>
      <c r="E860" t="inlineStr">
        <is>
          <t>Human adenovirus 7</t>
        </is>
      </c>
      <c r="G860" t="inlineStr">
        <is>
          <t>Merged,</t>
        </is>
      </c>
      <c r="H860" t="inlineStr">
        <is>
          <t>Human adenovirus B</t>
        </is>
      </c>
      <c r="I860" t="inlineStr">
        <is>
          <t>species</t>
        </is>
      </c>
      <c r="J860" t="n">
        <v>19990515</v>
      </c>
      <c r="K860" t="n">
        <v>19990515</v>
      </c>
      <c r="L860" s="8">
        <f>HYPERLINK("https://test.ictv.global/id/TN19980823","TN19980823@TEST")</f>
        <v/>
      </c>
      <c r="M860" s="8">
        <f>HYPERLINK("https://test.ictv.global/id/ICTV19810226","ICTV19810226@TEST")</f>
        <v/>
      </c>
      <c r="N860" s="8">
        <f>HYPERLINK("https://ictv.global/id/TN19980823","TN19980823@prod")</f>
        <v/>
      </c>
      <c r="O860" s="8">
        <f>HYPERLINK("https://ictv.global/id/ICTV19810226","ICTV19810226@prod")</f>
        <v/>
      </c>
    </row>
    <row r="861">
      <c r="A861" t="n">
        <v>17</v>
      </c>
      <c r="B861" t="n">
        <v>19980824</v>
      </c>
      <c r="C861" t="n">
        <v>19810227</v>
      </c>
      <c r="D861" t="inlineStr">
        <is>
          <t>species</t>
        </is>
      </c>
      <c r="E861" t="inlineStr">
        <is>
          <t>Human adenovirus 8</t>
        </is>
      </c>
      <c r="G861" t="inlineStr">
        <is>
          <t>Merged,</t>
        </is>
      </c>
      <c r="H861" t="inlineStr">
        <is>
          <t>Human adenovirus D</t>
        </is>
      </c>
      <c r="I861" t="inlineStr">
        <is>
          <t>species</t>
        </is>
      </c>
      <c r="J861" t="n">
        <v>19990517</v>
      </c>
      <c r="K861" t="n">
        <v>19990517</v>
      </c>
      <c r="L861" s="8">
        <f>HYPERLINK("https://test.ictv.global/id/TN19980824","TN19980824@TEST")</f>
        <v/>
      </c>
      <c r="M861" s="8">
        <f>HYPERLINK("https://test.ictv.global/id/ICTV19810227","ICTV19810227@TEST")</f>
        <v/>
      </c>
      <c r="N861" s="8">
        <f>HYPERLINK("https://ictv.global/id/TN19980824","TN19980824@prod")</f>
        <v/>
      </c>
      <c r="O861" s="8">
        <f>HYPERLINK("https://ictv.global/id/ICTV19810227","ICTV19810227@prod")</f>
        <v/>
      </c>
    </row>
    <row r="862">
      <c r="A862" t="n">
        <v>17</v>
      </c>
      <c r="B862" t="n">
        <v>19980825</v>
      </c>
      <c r="C862" t="n">
        <v>19810228</v>
      </c>
      <c r="D862" t="inlineStr">
        <is>
          <t>species</t>
        </is>
      </c>
      <c r="E862" t="inlineStr">
        <is>
          <t>Human adenovirus 9</t>
        </is>
      </c>
      <c r="G862" t="inlineStr">
        <is>
          <t>Merged,</t>
        </is>
      </c>
      <c r="H862" t="inlineStr">
        <is>
          <t>Human adenovirus D</t>
        </is>
      </c>
      <c r="I862" t="inlineStr">
        <is>
          <t>species</t>
        </is>
      </c>
      <c r="J862" t="n">
        <v>19990517</v>
      </c>
      <c r="K862" t="n">
        <v>19990517</v>
      </c>
      <c r="L862" s="8">
        <f>HYPERLINK("https://test.ictv.global/id/TN19980825","TN19980825@TEST")</f>
        <v/>
      </c>
      <c r="M862" s="8">
        <f>HYPERLINK("https://test.ictv.global/id/ICTV19810228","ICTV19810228@TEST")</f>
        <v/>
      </c>
      <c r="N862" s="8">
        <f>HYPERLINK("https://ictv.global/id/TN19980825","TN19980825@prod")</f>
        <v/>
      </c>
      <c r="O862" s="8">
        <f>HYPERLINK("https://ictv.global/id/ICTV19810228","ICTV19810228@prod")</f>
        <v/>
      </c>
    </row>
    <row r="863">
      <c r="A863" t="n">
        <v>17</v>
      </c>
      <c r="B863" t="n">
        <v>19980827</v>
      </c>
      <c r="C863" t="n">
        <v>19910366</v>
      </c>
      <c r="D863" t="inlineStr">
        <is>
          <t>species</t>
        </is>
      </c>
      <c r="E863" t="inlineStr">
        <is>
          <t>Murine adenovirus 2</t>
        </is>
      </c>
      <c r="G863" t="inlineStr">
        <is>
          <t>Abolished,</t>
        </is>
      </c>
      <c r="L863" s="8">
        <f>HYPERLINK("https://test.ictv.global/id/TN19980827","TN19980827@TEST")</f>
        <v/>
      </c>
      <c r="M863" s="8">
        <f>HYPERLINK("https://test.ictv.global/id/ICTV19910366","ICTV19910366@TEST")</f>
        <v/>
      </c>
      <c r="N863" s="8">
        <f>HYPERLINK("https://ictv.global/id/TN19980827","TN19980827@prod")</f>
        <v/>
      </c>
      <c r="O863" s="8">
        <f>HYPERLINK("https://ictv.global/id/ICTV19910366","ICTV19910366@prod")</f>
        <v/>
      </c>
    </row>
    <row r="864">
      <c r="A864" t="n">
        <v>17</v>
      </c>
      <c r="B864" t="n">
        <v>19980829</v>
      </c>
      <c r="C864" t="n">
        <v>19810231</v>
      </c>
      <c r="D864" t="inlineStr">
        <is>
          <t>species</t>
        </is>
      </c>
      <c r="E864" t="inlineStr">
        <is>
          <t>Ovine adenovirus 2</t>
        </is>
      </c>
      <c r="G864" t="inlineStr">
        <is>
          <t>Merged,</t>
        </is>
      </c>
      <c r="H864" t="inlineStr">
        <is>
          <t>Ovine adenovirus A</t>
        </is>
      </c>
      <c r="I864" t="inlineStr">
        <is>
          <t>species</t>
        </is>
      </c>
      <c r="J864" t="n">
        <v>19990521</v>
      </c>
      <c r="K864" t="n">
        <v>19990521</v>
      </c>
      <c r="L864" s="8">
        <f>HYPERLINK("https://test.ictv.global/id/TN19980829","TN19980829@TEST")</f>
        <v/>
      </c>
      <c r="M864" s="8">
        <f>HYPERLINK("https://test.ictv.global/id/ICTV19810231","ICTV19810231@TEST")</f>
        <v/>
      </c>
      <c r="N864" s="8">
        <f>HYPERLINK("https://ictv.global/id/TN19980829","TN19980829@prod")</f>
        <v/>
      </c>
      <c r="O864" s="8">
        <f>HYPERLINK("https://ictv.global/id/ICTV19810231","ICTV19810231@prod")</f>
        <v/>
      </c>
    </row>
    <row r="865">
      <c r="A865" t="n">
        <v>17</v>
      </c>
      <c r="B865" t="n">
        <v>19980830</v>
      </c>
      <c r="C865" t="n">
        <v>19810232</v>
      </c>
      <c r="D865" t="inlineStr">
        <is>
          <t>species</t>
        </is>
      </c>
      <c r="E865" t="inlineStr">
        <is>
          <t>Ovine adenovirus 3</t>
        </is>
      </c>
      <c r="G865" t="inlineStr">
        <is>
          <t>Merged,</t>
        </is>
      </c>
      <c r="H865" t="inlineStr">
        <is>
          <t>Ovine adenovirus A</t>
        </is>
      </c>
      <c r="I865" t="inlineStr">
        <is>
          <t>species</t>
        </is>
      </c>
      <c r="J865" t="n">
        <v>19990521</v>
      </c>
      <c r="K865" t="n">
        <v>19990521</v>
      </c>
      <c r="L865" s="8">
        <f>HYPERLINK("https://test.ictv.global/id/TN19980830","TN19980830@TEST")</f>
        <v/>
      </c>
      <c r="M865" s="8">
        <f>HYPERLINK("https://test.ictv.global/id/ICTV19810232","ICTV19810232@TEST")</f>
        <v/>
      </c>
      <c r="N865" s="8">
        <f>HYPERLINK("https://ictv.global/id/TN19980830","TN19980830@prod")</f>
        <v/>
      </c>
      <c r="O865" s="8">
        <f>HYPERLINK("https://ictv.global/id/ICTV19810232","ICTV19810232@prod")</f>
        <v/>
      </c>
    </row>
    <row r="866">
      <c r="A866" t="n">
        <v>17</v>
      </c>
      <c r="B866" t="n">
        <v>19980831</v>
      </c>
      <c r="C866" t="n">
        <v>19810233</v>
      </c>
      <c r="D866" t="inlineStr">
        <is>
          <t>species</t>
        </is>
      </c>
      <c r="E866" t="inlineStr">
        <is>
          <t>Ovine adenovirus 4</t>
        </is>
      </c>
      <c r="G866" t="inlineStr">
        <is>
          <t>Merged,</t>
        </is>
      </c>
      <c r="H866" t="inlineStr">
        <is>
          <t>Ovine adenovirus A</t>
        </is>
      </c>
      <c r="I866" t="inlineStr">
        <is>
          <t>species</t>
        </is>
      </c>
      <c r="J866" t="n">
        <v>19990521</v>
      </c>
      <c r="K866" t="n">
        <v>19990521</v>
      </c>
      <c r="L866" s="8">
        <f>HYPERLINK("https://test.ictv.global/id/TN19980831","TN19980831@TEST")</f>
        <v/>
      </c>
      <c r="M866" s="8">
        <f>HYPERLINK("https://test.ictv.global/id/ICTV19810233","ICTV19810233@TEST")</f>
        <v/>
      </c>
      <c r="N866" s="8">
        <f>HYPERLINK("https://ictv.global/id/TN19980831","TN19980831@prod")</f>
        <v/>
      </c>
      <c r="O866" s="8">
        <f>HYPERLINK("https://ictv.global/id/ICTV19810233","ICTV19810233@prod")</f>
        <v/>
      </c>
    </row>
    <row r="867">
      <c r="A867" t="n">
        <v>17</v>
      </c>
      <c r="B867" t="n">
        <v>19980832</v>
      </c>
      <c r="C867" t="n">
        <v>19810234</v>
      </c>
      <c r="D867" t="inlineStr">
        <is>
          <t>species</t>
        </is>
      </c>
      <c r="E867" t="inlineStr">
        <is>
          <t>Ovine adenovirus 5</t>
        </is>
      </c>
      <c r="G867" t="inlineStr">
        <is>
          <t>Merged,</t>
        </is>
      </c>
      <c r="H867" t="inlineStr">
        <is>
          <t>Ovine adenovirus A</t>
        </is>
      </c>
      <c r="I867" t="inlineStr">
        <is>
          <t>species</t>
        </is>
      </c>
      <c r="J867" t="n">
        <v>19990521</v>
      </c>
      <c r="K867" t="n">
        <v>19990521</v>
      </c>
      <c r="L867" s="8">
        <f>HYPERLINK("https://test.ictv.global/id/TN19980832","TN19980832@TEST")</f>
        <v/>
      </c>
      <c r="M867" s="8">
        <f>HYPERLINK("https://test.ictv.global/id/ICTV19810234","ICTV19810234@TEST")</f>
        <v/>
      </c>
      <c r="N867" s="8">
        <f>HYPERLINK("https://ictv.global/id/TN19980832","TN19980832@prod")</f>
        <v/>
      </c>
      <c r="O867" s="8">
        <f>HYPERLINK("https://ictv.global/id/ICTV19810234","ICTV19810234@prod")</f>
        <v/>
      </c>
    </row>
    <row r="868">
      <c r="A868" t="n">
        <v>17</v>
      </c>
      <c r="B868" t="n">
        <v>19980833</v>
      </c>
      <c r="C868" t="n">
        <v>19910372</v>
      </c>
      <c r="D868" t="inlineStr">
        <is>
          <t>species</t>
        </is>
      </c>
      <c r="E868" t="inlineStr">
        <is>
          <t>Ovine adenovirus 6</t>
        </is>
      </c>
      <c r="G868" t="inlineStr">
        <is>
          <t>Abolished,</t>
        </is>
      </c>
      <c r="L868" s="8">
        <f>HYPERLINK("https://test.ictv.global/id/TN19980833","TN19980833@TEST")</f>
        <v/>
      </c>
      <c r="M868" s="8">
        <f>HYPERLINK("https://test.ictv.global/id/ICTV19910372","ICTV19910372@TEST")</f>
        <v/>
      </c>
      <c r="N868" s="8">
        <f>HYPERLINK("https://ictv.global/id/TN19980833","TN19980833@prod")</f>
        <v/>
      </c>
      <c r="O868" s="8">
        <f>HYPERLINK("https://ictv.global/id/ICTV19910372","ICTV19910372@prod")</f>
        <v/>
      </c>
    </row>
    <row r="869">
      <c r="A869" t="n">
        <v>17</v>
      </c>
      <c r="B869" t="n">
        <v>19980834</v>
      </c>
      <c r="C869" t="n">
        <v>19810235</v>
      </c>
      <c r="D869" t="inlineStr">
        <is>
          <t>species</t>
        </is>
      </c>
      <c r="E869" t="inlineStr">
        <is>
          <t>Porcine adenovirus 1</t>
        </is>
      </c>
      <c r="G869" t="inlineStr">
        <is>
          <t>Merged,</t>
        </is>
      </c>
      <c r="H869" t="inlineStr">
        <is>
          <t>Porcine adenovirus A</t>
        </is>
      </c>
      <c r="I869" t="inlineStr">
        <is>
          <t>species</t>
        </is>
      </c>
      <c r="J869" t="n">
        <v>19990523</v>
      </c>
      <c r="K869" t="n">
        <v>19990523</v>
      </c>
      <c r="L869" s="8">
        <f>HYPERLINK("https://test.ictv.global/id/TN19980834","TN19980834@TEST")</f>
        <v/>
      </c>
      <c r="M869" s="8">
        <f>HYPERLINK("https://test.ictv.global/id/ICTV19810235","ICTV19810235@TEST")</f>
        <v/>
      </c>
      <c r="N869" s="8">
        <f>HYPERLINK("https://ictv.global/id/TN19980834","TN19980834@prod")</f>
        <v/>
      </c>
      <c r="O869" s="8">
        <f>HYPERLINK("https://ictv.global/id/ICTV19810235","ICTV19810235@prod")</f>
        <v/>
      </c>
    </row>
    <row r="870">
      <c r="A870" t="n">
        <v>17</v>
      </c>
      <c r="B870" t="n">
        <v>19980835</v>
      </c>
      <c r="C870" t="n">
        <v>19810236</v>
      </c>
      <c r="D870" t="inlineStr">
        <is>
          <t>species</t>
        </is>
      </c>
      <c r="E870" t="inlineStr">
        <is>
          <t>Porcine adenovirus 2</t>
        </is>
      </c>
      <c r="G870" t="inlineStr">
        <is>
          <t>Merged,</t>
        </is>
      </c>
      <c r="H870" t="inlineStr">
        <is>
          <t>Porcine adenovirus A</t>
        </is>
      </c>
      <c r="I870" t="inlineStr">
        <is>
          <t>species</t>
        </is>
      </c>
      <c r="J870" t="n">
        <v>19990523</v>
      </c>
      <c r="K870" t="n">
        <v>19990523</v>
      </c>
      <c r="L870" s="8">
        <f>HYPERLINK("https://test.ictv.global/id/TN19980835","TN19980835@TEST")</f>
        <v/>
      </c>
      <c r="M870" s="8">
        <f>HYPERLINK("https://test.ictv.global/id/ICTV19810236","ICTV19810236@TEST")</f>
        <v/>
      </c>
      <c r="N870" s="8">
        <f>HYPERLINK("https://ictv.global/id/TN19980835","TN19980835@prod")</f>
        <v/>
      </c>
      <c r="O870" s="8">
        <f>HYPERLINK("https://ictv.global/id/ICTV19810236","ICTV19810236@prod")</f>
        <v/>
      </c>
    </row>
    <row r="871">
      <c r="A871" t="n">
        <v>17</v>
      </c>
      <c r="B871" t="n">
        <v>19980836</v>
      </c>
      <c r="C871" t="n">
        <v>19810237</v>
      </c>
      <c r="D871" t="inlineStr">
        <is>
          <t>species</t>
        </is>
      </c>
      <c r="E871" t="inlineStr">
        <is>
          <t>Porcine adenovirus 3</t>
        </is>
      </c>
      <c r="G871" t="inlineStr">
        <is>
          <t>Merged,</t>
        </is>
      </c>
      <c r="H871" t="inlineStr">
        <is>
          <t>Porcine adenovirus A</t>
        </is>
      </c>
      <c r="I871" t="inlineStr">
        <is>
          <t>species</t>
        </is>
      </c>
      <c r="J871" t="n">
        <v>19990523</v>
      </c>
      <c r="K871" t="n">
        <v>19990523</v>
      </c>
      <c r="L871" s="8">
        <f>HYPERLINK("https://test.ictv.global/id/TN19980836","TN19980836@TEST")</f>
        <v/>
      </c>
      <c r="M871" s="8">
        <f>HYPERLINK("https://test.ictv.global/id/ICTV19810237","ICTV19810237@TEST")</f>
        <v/>
      </c>
      <c r="N871" s="8">
        <f>HYPERLINK("https://ictv.global/id/TN19980836","TN19980836@prod")</f>
        <v/>
      </c>
      <c r="O871" s="8">
        <f>HYPERLINK("https://ictv.global/id/ICTV19810237","ICTV19810237@prod")</f>
        <v/>
      </c>
    </row>
    <row r="872">
      <c r="A872" t="n">
        <v>17</v>
      </c>
      <c r="B872" t="n">
        <v>19980839</v>
      </c>
      <c r="C872" t="n">
        <v>19950452</v>
      </c>
      <c r="D872" t="inlineStr">
        <is>
          <t>species</t>
        </is>
      </c>
      <c r="E872" t="inlineStr">
        <is>
          <t>Porcine adenovirus 6</t>
        </is>
      </c>
      <c r="G872" t="inlineStr">
        <is>
          <t>Abolished,</t>
        </is>
      </c>
      <c r="L872" s="8">
        <f>HYPERLINK("https://test.ictv.global/id/TN19980839","TN19980839@TEST")</f>
        <v/>
      </c>
      <c r="M872" s="8">
        <f>HYPERLINK("https://test.ictv.global/id/ICTV19950452","ICTV19950452@TEST")</f>
        <v/>
      </c>
      <c r="N872" s="8">
        <f>HYPERLINK("https://ictv.global/id/TN19980839","TN19980839@prod")</f>
        <v/>
      </c>
      <c r="O872" s="8">
        <f>HYPERLINK("https://ictv.global/id/ICTV19950452","ICTV19950452@prod")</f>
        <v/>
      </c>
    </row>
    <row r="873">
      <c r="A873" t="n">
        <v>17</v>
      </c>
      <c r="B873" t="n">
        <v>19980840</v>
      </c>
      <c r="C873" t="n">
        <v>19910377</v>
      </c>
      <c r="D873" t="inlineStr">
        <is>
          <t>species</t>
        </is>
      </c>
      <c r="E873" t="inlineStr">
        <is>
          <t>Simian adenovirus 1</t>
        </is>
      </c>
      <c r="G873" t="inlineStr">
        <is>
          <t>Abolished,</t>
        </is>
      </c>
      <c r="L873" s="8">
        <f>HYPERLINK("https://test.ictv.global/id/TN19980840","TN19980840@TEST")</f>
        <v/>
      </c>
      <c r="M873" s="8">
        <f>HYPERLINK("https://test.ictv.global/id/ICTV19910377","ICTV19910377@TEST")</f>
        <v/>
      </c>
      <c r="N873" s="8">
        <f>HYPERLINK("https://ictv.global/id/TN19980840","TN19980840@prod")</f>
        <v/>
      </c>
      <c r="O873" s="8">
        <f>HYPERLINK("https://ictv.global/id/ICTV19910377","ICTV19910377@prod")</f>
        <v/>
      </c>
    </row>
    <row r="874">
      <c r="A874" t="n">
        <v>17</v>
      </c>
      <c r="B874" t="n">
        <v>19980841</v>
      </c>
      <c r="C874" t="n">
        <v>19910378</v>
      </c>
      <c r="D874" t="inlineStr">
        <is>
          <t>species</t>
        </is>
      </c>
      <c r="E874" t="inlineStr">
        <is>
          <t>Simian adenovirus 10</t>
        </is>
      </c>
      <c r="G874" t="inlineStr">
        <is>
          <t>Merged,</t>
        </is>
      </c>
      <c r="H874" t="inlineStr">
        <is>
          <t>Human adenovirus A</t>
        </is>
      </c>
      <c r="I874" t="inlineStr">
        <is>
          <t>species</t>
        </is>
      </c>
      <c r="J874" t="n">
        <v>19990514</v>
      </c>
      <c r="K874" t="n">
        <v>19990514</v>
      </c>
      <c r="L874" s="8">
        <f>HYPERLINK("https://test.ictv.global/id/TN19980841","TN19980841@TEST")</f>
        <v/>
      </c>
      <c r="M874" s="8">
        <f>HYPERLINK("https://test.ictv.global/id/ICTV19910378","ICTV19910378@TEST")</f>
        <v/>
      </c>
      <c r="N874" s="8">
        <f>HYPERLINK("https://ictv.global/id/TN19980841","TN19980841@prod")</f>
        <v/>
      </c>
      <c r="O874" s="8">
        <f>HYPERLINK("https://ictv.global/id/ICTV19910378","ICTV19910378@prod")</f>
        <v/>
      </c>
    </row>
    <row r="875">
      <c r="A875" t="n">
        <v>17</v>
      </c>
      <c r="B875" t="n">
        <v>19980842</v>
      </c>
      <c r="C875" t="n">
        <v>19910379</v>
      </c>
      <c r="D875" t="inlineStr">
        <is>
          <t>species</t>
        </is>
      </c>
      <c r="E875" t="inlineStr">
        <is>
          <t>Simian adenovirus 11</t>
        </is>
      </c>
      <c r="G875" t="inlineStr">
        <is>
          <t>Merged,</t>
        </is>
      </c>
      <c r="H875" t="inlineStr">
        <is>
          <t>Human adenovirus A</t>
        </is>
      </c>
      <c r="I875" t="inlineStr">
        <is>
          <t>species</t>
        </is>
      </c>
      <c r="J875" t="n">
        <v>19990514</v>
      </c>
      <c r="K875" t="n">
        <v>19990514</v>
      </c>
      <c r="L875" s="8">
        <f>HYPERLINK("https://test.ictv.global/id/TN19980842","TN19980842@TEST")</f>
        <v/>
      </c>
      <c r="M875" s="8">
        <f>HYPERLINK("https://test.ictv.global/id/ICTV19910379","ICTV19910379@TEST")</f>
        <v/>
      </c>
      <c r="N875" s="8">
        <f>HYPERLINK("https://ictv.global/id/TN19980842","TN19980842@prod")</f>
        <v/>
      </c>
      <c r="O875" s="8">
        <f>HYPERLINK("https://ictv.global/id/ICTV19910379","ICTV19910379@prod")</f>
        <v/>
      </c>
    </row>
    <row r="876">
      <c r="A876" t="n">
        <v>17</v>
      </c>
      <c r="B876" t="n">
        <v>19980843</v>
      </c>
      <c r="C876" t="n">
        <v>19910380</v>
      </c>
      <c r="D876" t="inlineStr">
        <is>
          <t>species</t>
        </is>
      </c>
      <c r="E876" t="inlineStr">
        <is>
          <t>Simian adenovirus 12</t>
        </is>
      </c>
      <c r="G876" t="inlineStr">
        <is>
          <t>Abolished,</t>
        </is>
      </c>
      <c r="L876" s="8">
        <f>HYPERLINK("https://test.ictv.global/id/TN19980843","TN19980843@TEST")</f>
        <v/>
      </c>
      <c r="M876" s="8">
        <f>HYPERLINK("https://test.ictv.global/id/ICTV19910380","ICTV19910380@TEST")</f>
        <v/>
      </c>
      <c r="N876" s="8">
        <f>HYPERLINK("https://ictv.global/id/TN19980843","TN19980843@prod")</f>
        <v/>
      </c>
      <c r="O876" s="8">
        <f>HYPERLINK("https://ictv.global/id/ICTV19910380","ICTV19910380@prod")</f>
        <v/>
      </c>
    </row>
    <row r="877">
      <c r="A877" t="n">
        <v>17</v>
      </c>
      <c r="B877" t="n">
        <v>19980844</v>
      </c>
      <c r="C877" t="n">
        <v>19910381</v>
      </c>
      <c r="D877" t="inlineStr">
        <is>
          <t>species</t>
        </is>
      </c>
      <c r="E877" t="inlineStr">
        <is>
          <t>Simian adenovirus 13</t>
        </is>
      </c>
      <c r="G877" t="inlineStr">
        <is>
          <t>Merged,Assigned as Type Species,</t>
        </is>
      </c>
      <c r="H877" t="inlineStr">
        <is>
          <t>Human adenovirus C</t>
        </is>
      </c>
      <c r="I877" t="inlineStr">
        <is>
          <t>species</t>
        </is>
      </c>
      <c r="J877" t="n">
        <v>19990516</v>
      </c>
      <c r="K877" t="n">
        <v>19990516</v>
      </c>
      <c r="L877" s="8">
        <f>HYPERLINK("https://test.ictv.global/id/TN19980844","TN19980844@TEST")</f>
        <v/>
      </c>
      <c r="M877" s="8">
        <f>HYPERLINK("https://test.ictv.global/id/ICTV19910381","ICTV19910381@TEST")</f>
        <v/>
      </c>
      <c r="N877" s="8">
        <f>HYPERLINK("https://ictv.global/id/TN19980844","TN19980844@prod")</f>
        <v/>
      </c>
      <c r="O877" s="8">
        <f>HYPERLINK("https://ictv.global/id/ICTV19910381","ICTV19910381@prod")</f>
        <v/>
      </c>
    </row>
    <row r="878">
      <c r="A878" t="n">
        <v>17</v>
      </c>
      <c r="B878" t="n">
        <v>19980845</v>
      </c>
      <c r="C878" t="n">
        <v>19910382</v>
      </c>
      <c r="D878" t="inlineStr">
        <is>
          <t>species</t>
        </is>
      </c>
      <c r="E878" t="inlineStr">
        <is>
          <t>Simian adenovirus 14</t>
        </is>
      </c>
      <c r="G878" t="inlineStr">
        <is>
          <t>Merged,</t>
        </is>
      </c>
      <c r="H878" t="inlineStr">
        <is>
          <t>Human adenovirus A</t>
        </is>
      </c>
      <c r="I878" t="inlineStr">
        <is>
          <t>species</t>
        </is>
      </c>
      <c r="J878" t="n">
        <v>19990514</v>
      </c>
      <c r="K878" t="n">
        <v>19990514</v>
      </c>
      <c r="L878" s="8">
        <f>HYPERLINK("https://test.ictv.global/id/TN19980845","TN19980845@TEST")</f>
        <v/>
      </c>
      <c r="M878" s="8">
        <f>HYPERLINK("https://test.ictv.global/id/ICTV19910382","ICTV19910382@TEST")</f>
        <v/>
      </c>
      <c r="N878" s="8">
        <f>HYPERLINK("https://ictv.global/id/TN19980845","TN19980845@prod")</f>
        <v/>
      </c>
      <c r="O878" s="8">
        <f>HYPERLINK("https://ictv.global/id/ICTV19910382","ICTV19910382@prod")</f>
        <v/>
      </c>
    </row>
    <row r="879">
      <c r="A879" t="n">
        <v>17</v>
      </c>
      <c r="B879" t="n">
        <v>19980846</v>
      </c>
      <c r="C879" t="n">
        <v>19910383</v>
      </c>
      <c r="D879" t="inlineStr">
        <is>
          <t>species</t>
        </is>
      </c>
      <c r="E879" t="inlineStr">
        <is>
          <t>Simian adenovirus 15</t>
        </is>
      </c>
      <c r="G879" t="inlineStr">
        <is>
          <t>Abolished,</t>
        </is>
      </c>
      <c r="L879" s="8">
        <f>HYPERLINK("https://test.ictv.global/id/TN19980846","TN19980846@TEST")</f>
        <v/>
      </c>
      <c r="M879" s="8">
        <f>HYPERLINK("https://test.ictv.global/id/ICTV19910383","ICTV19910383@TEST")</f>
        <v/>
      </c>
      <c r="N879" s="8">
        <f>HYPERLINK("https://ictv.global/id/TN19980846","TN19980846@prod")</f>
        <v/>
      </c>
      <c r="O879" s="8">
        <f>HYPERLINK("https://ictv.global/id/ICTV19910383","ICTV19910383@prod")</f>
        <v/>
      </c>
    </row>
    <row r="880">
      <c r="A880" t="n">
        <v>17</v>
      </c>
      <c r="B880" t="n">
        <v>19980847</v>
      </c>
      <c r="C880" t="n">
        <v>19910384</v>
      </c>
      <c r="D880" t="inlineStr">
        <is>
          <t>species</t>
        </is>
      </c>
      <c r="E880" t="inlineStr">
        <is>
          <t>Simian adenovirus 16</t>
        </is>
      </c>
      <c r="G880" t="inlineStr">
        <is>
          <t>Merged,</t>
        </is>
      </c>
      <c r="H880" t="inlineStr">
        <is>
          <t>Human adenovirus F</t>
        </is>
      </c>
      <c r="I880" t="inlineStr">
        <is>
          <t>species</t>
        </is>
      </c>
      <c r="J880" t="n">
        <v>19990519</v>
      </c>
      <c r="K880" t="n">
        <v>19990519</v>
      </c>
      <c r="L880" s="8">
        <f>HYPERLINK("https://test.ictv.global/id/TN19980847","TN19980847@TEST")</f>
        <v/>
      </c>
      <c r="M880" s="8">
        <f>HYPERLINK("https://test.ictv.global/id/ICTV19910384","ICTV19910384@TEST")</f>
        <v/>
      </c>
      <c r="N880" s="8">
        <f>HYPERLINK("https://ictv.global/id/TN19980847","TN19980847@prod")</f>
        <v/>
      </c>
      <c r="O880" s="8">
        <f>HYPERLINK("https://ictv.global/id/ICTV19910384","ICTV19910384@prod")</f>
        <v/>
      </c>
    </row>
    <row r="881">
      <c r="A881" t="n">
        <v>17</v>
      </c>
      <c r="B881" t="n">
        <v>19980848</v>
      </c>
      <c r="C881" t="n">
        <v>19910385</v>
      </c>
      <c r="D881" t="inlineStr">
        <is>
          <t>species</t>
        </is>
      </c>
      <c r="E881" t="inlineStr">
        <is>
          <t>Simian adenovirus 17</t>
        </is>
      </c>
      <c r="G881" t="inlineStr">
        <is>
          <t>Abolished,</t>
        </is>
      </c>
      <c r="L881" s="8">
        <f>HYPERLINK("https://test.ictv.global/id/TN19980848","TN19980848@TEST")</f>
        <v/>
      </c>
      <c r="M881" s="8">
        <f>HYPERLINK("https://test.ictv.global/id/ICTV19910385","ICTV19910385@TEST")</f>
        <v/>
      </c>
      <c r="N881" s="8">
        <f>HYPERLINK("https://ictv.global/id/TN19980848","TN19980848@prod")</f>
        <v/>
      </c>
      <c r="O881" s="8">
        <f>HYPERLINK("https://ictv.global/id/ICTV19910385","ICTV19910385@prod")</f>
        <v/>
      </c>
    </row>
    <row r="882">
      <c r="A882" t="n">
        <v>17</v>
      </c>
      <c r="B882" t="n">
        <v>19980849</v>
      </c>
      <c r="C882" t="n">
        <v>19910386</v>
      </c>
      <c r="D882" t="inlineStr">
        <is>
          <t>species</t>
        </is>
      </c>
      <c r="E882" t="inlineStr">
        <is>
          <t>Simian adenovirus 18</t>
        </is>
      </c>
      <c r="G882" t="inlineStr">
        <is>
          <t>Abolished,</t>
        </is>
      </c>
      <c r="L882" s="8">
        <f>HYPERLINK("https://test.ictv.global/id/TN19980849","TN19980849@TEST")</f>
        <v/>
      </c>
      <c r="M882" s="8">
        <f>HYPERLINK("https://test.ictv.global/id/ICTV19910386","ICTV19910386@TEST")</f>
        <v/>
      </c>
      <c r="N882" s="8">
        <f>HYPERLINK("https://ictv.global/id/TN19980849","TN19980849@prod")</f>
        <v/>
      </c>
      <c r="O882" s="8">
        <f>HYPERLINK("https://ictv.global/id/ICTV19910386","ICTV19910386@prod")</f>
        <v/>
      </c>
    </row>
    <row r="883">
      <c r="A883" t="n">
        <v>17</v>
      </c>
      <c r="B883" t="n">
        <v>19980850</v>
      </c>
      <c r="C883" t="n">
        <v>19910387</v>
      </c>
      <c r="D883" t="inlineStr">
        <is>
          <t>species</t>
        </is>
      </c>
      <c r="E883" t="inlineStr">
        <is>
          <t>Simian adenovirus 19</t>
        </is>
      </c>
      <c r="G883" t="inlineStr">
        <is>
          <t>Merged,</t>
        </is>
      </c>
      <c r="H883" t="inlineStr">
        <is>
          <t>Human adenovirus F</t>
        </is>
      </c>
      <c r="I883" t="inlineStr">
        <is>
          <t>species</t>
        </is>
      </c>
      <c r="J883" t="n">
        <v>19990519</v>
      </c>
      <c r="K883" t="n">
        <v>19990519</v>
      </c>
      <c r="L883" s="8">
        <f>HYPERLINK("https://test.ictv.global/id/TN19980850","TN19980850@TEST")</f>
        <v/>
      </c>
      <c r="M883" s="8">
        <f>HYPERLINK("https://test.ictv.global/id/ICTV19910387","ICTV19910387@TEST")</f>
        <v/>
      </c>
      <c r="N883" s="8">
        <f>HYPERLINK("https://ictv.global/id/TN19980850","TN19980850@prod")</f>
        <v/>
      </c>
      <c r="O883" s="8">
        <f>HYPERLINK("https://ictv.global/id/ICTV19910387","ICTV19910387@prod")</f>
        <v/>
      </c>
    </row>
    <row r="884">
      <c r="A884" t="n">
        <v>17</v>
      </c>
      <c r="B884" t="n">
        <v>19980851</v>
      </c>
      <c r="C884" t="n">
        <v>19910388</v>
      </c>
      <c r="D884" t="inlineStr">
        <is>
          <t>species</t>
        </is>
      </c>
      <c r="E884" t="inlineStr">
        <is>
          <t>Simian adenovirus 2</t>
        </is>
      </c>
      <c r="G884" t="inlineStr">
        <is>
          <t>Merged,</t>
        </is>
      </c>
      <c r="H884" t="inlineStr">
        <is>
          <t>Human adenovirus A</t>
        </is>
      </c>
      <c r="I884" t="inlineStr">
        <is>
          <t>species</t>
        </is>
      </c>
      <c r="J884" t="n">
        <v>19990514</v>
      </c>
      <c r="K884" t="n">
        <v>19990514</v>
      </c>
      <c r="L884" s="8">
        <f>HYPERLINK("https://test.ictv.global/id/TN19980851","TN19980851@TEST")</f>
        <v/>
      </c>
      <c r="M884" s="8">
        <f>HYPERLINK("https://test.ictv.global/id/ICTV19910388","ICTV19910388@TEST")</f>
        <v/>
      </c>
      <c r="N884" s="8">
        <f>HYPERLINK("https://ictv.global/id/TN19980851","TN19980851@prod")</f>
        <v/>
      </c>
      <c r="O884" s="8">
        <f>HYPERLINK("https://ictv.global/id/ICTV19910388","ICTV19910388@prod")</f>
        <v/>
      </c>
    </row>
    <row r="885">
      <c r="A885" t="n">
        <v>17</v>
      </c>
      <c r="B885" t="n">
        <v>19980852</v>
      </c>
      <c r="C885" t="n">
        <v>19910389</v>
      </c>
      <c r="D885" t="inlineStr">
        <is>
          <t>species</t>
        </is>
      </c>
      <c r="E885" t="inlineStr">
        <is>
          <t>Simian adenovirus 20</t>
        </is>
      </c>
      <c r="G885" t="inlineStr">
        <is>
          <t>Abolished,</t>
        </is>
      </c>
      <c r="L885" s="8">
        <f>HYPERLINK("https://test.ictv.global/id/TN19980852","TN19980852@TEST")</f>
        <v/>
      </c>
      <c r="M885" s="8">
        <f>HYPERLINK("https://test.ictv.global/id/ICTV19910389","ICTV19910389@TEST")</f>
        <v/>
      </c>
      <c r="N885" s="8">
        <f>HYPERLINK("https://ictv.global/id/TN19980852","TN19980852@prod")</f>
        <v/>
      </c>
      <c r="O885" s="8">
        <f>HYPERLINK("https://ictv.global/id/ICTV19910389","ICTV19910389@prod")</f>
        <v/>
      </c>
    </row>
    <row r="886">
      <c r="A886" t="n">
        <v>17</v>
      </c>
      <c r="B886" t="n">
        <v>19980853</v>
      </c>
      <c r="C886" t="n">
        <v>19910390</v>
      </c>
      <c r="D886" t="inlineStr">
        <is>
          <t>species</t>
        </is>
      </c>
      <c r="E886" t="inlineStr">
        <is>
          <t>Simian adenovirus 21</t>
        </is>
      </c>
      <c r="G886" t="inlineStr">
        <is>
          <t>Merged,</t>
        </is>
      </c>
      <c r="H886" t="inlineStr">
        <is>
          <t>Human adenovirus B</t>
        </is>
      </c>
      <c r="I886" t="inlineStr">
        <is>
          <t>species</t>
        </is>
      </c>
      <c r="J886" t="n">
        <v>19990515</v>
      </c>
      <c r="K886" t="n">
        <v>19990515</v>
      </c>
      <c r="L886" s="8">
        <f>HYPERLINK("https://test.ictv.global/id/TN19980853","TN19980853@TEST")</f>
        <v/>
      </c>
      <c r="M886" s="8">
        <f>HYPERLINK("https://test.ictv.global/id/ICTV19910390","ICTV19910390@TEST")</f>
        <v/>
      </c>
      <c r="N886" s="8">
        <f>HYPERLINK("https://ictv.global/id/TN19980853","TN19980853@prod")</f>
        <v/>
      </c>
      <c r="O886" s="8">
        <f>HYPERLINK("https://ictv.global/id/ICTV19910390","ICTV19910390@prod")</f>
        <v/>
      </c>
    </row>
    <row r="887">
      <c r="A887" t="n">
        <v>17</v>
      </c>
      <c r="B887" t="n">
        <v>19980854</v>
      </c>
      <c r="C887" t="n">
        <v>19910391</v>
      </c>
      <c r="D887" t="inlineStr">
        <is>
          <t>species</t>
        </is>
      </c>
      <c r="E887" t="inlineStr">
        <is>
          <t>Simian adenovirus 22</t>
        </is>
      </c>
      <c r="G887" t="inlineStr">
        <is>
          <t>Merged,</t>
        </is>
      </c>
      <c r="H887" t="inlineStr">
        <is>
          <t>Human adenovirus E</t>
        </is>
      </c>
      <c r="I887" t="inlineStr">
        <is>
          <t>species</t>
        </is>
      </c>
      <c r="J887" t="n">
        <v>19990518</v>
      </c>
      <c r="K887" t="n">
        <v>19990518</v>
      </c>
      <c r="L887" s="8">
        <f>HYPERLINK("https://test.ictv.global/id/TN19980854","TN19980854@TEST")</f>
        <v/>
      </c>
      <c r="M887" s="8">
        <f>HYPERLINK("https://test.ictv.global/id/ICTV19910391","ICTV19910391@TEST")</f>
        <v/>
      </c>
      <c r="N887" s="8">
        <f>HYPERLINK("https://ictv.global/id/TN19980854","TN19980854@prod")</f>
        <v/>
      </c>
      <c r="O887" s="8">
        <f>HYPERLINK("https://ictv.global/id/ICTV19910391","ICTV19910391@prod")</f>
        <v/>
      </c>
    </row>
    <row r="888">
      <c r="A888" t="n">
        <v>17</v>
      </c>
      <c r="B888" t="n">
        <v>19980855</v>
      </c>
      <c r="C888" t="n">
        <v>19910392</v>
      </c>
      <c r="D888" t="inlineStr">
        <is>
          <t>species</t>
        </is>
      </c>
      <c r="E888" t="inlineStr">
        <is>
          <t>Simian adenovirus 23</t>
        </is>
      </c>
      <c r="G888" t="inlineStr">
        <is>
          <t>Merged,</t>
        </is>
      </c>
      <c r="H888" t="inlineStr">
        <is>
          <t>Human adenovirus E</t>
        </is>
      </c>
      <c r="I888" t="inlineStr">
        <is>
          <t>species</t>
        </is>
      </c>
      <c r="J888" t="n">
        <v>19990518</v>
      </c>
      <c r="K888" t="n">
        <v>19990518</v>
      </c>
      <c r="L888" s="8">
        <f>HYPERLINK("https://test.ictv.global/id/TN19980855","TN19980855@TEST")</f>
        <v/>
      </c>
      <c r="M888" s="8">
        <f>HYPERLINK("https://test.ictv.global/id/ICTV19910392","ICTV19910392@TEST")</f>
        <v/>
      </c>
      <c r="N888" s="8">
        <f>HYPERLINK("https://ictv.global/id/TN19980855","TN19980855@prod")</f>
        <v/>
      </c>
      <c r="O888" s="8">
        <f>HYPERLINK("https://ictv.global/id/ICTV19910392","ICTV19910392@prod")</f>
        <v/>
      </c>
    </row>
    <row r="889">
      <c r="A889" t="n">
        <v>17</v>
      </c>
      <c r="B889" t="n">
        <v>19980856</v>
      </c>
      <c r="C889" t="n">
        <v>19910393</v>
      </c>
      <c r="D889" t="inlineStr">
        <is>
          <t>species</t>
        </is>
      </c>
      <c r="E889" t="inlineStr">
        <is>
          <t>Simian adenovirus 24</t>
        </is>
      </c>
      <c r="G889" t="inlineStr">
        <is>
          <t>Merged,</t>
        </is>
      </c>
      <c r="H889" t="inlineStr">
        <is>
          <t>Human adenovirus E</t>
        </is>
      </c>
      <c r="I889" t="inlineStr">
        <is>
          <t>species</t>
        </is>
      </c>
      <c r="J889" t="n">
        <v>19990518</v>
      </c>
      <c r="K889" t="n">
        <v>19990518</v>
      </c>
      <c r="L889" s="8">
        <f>HYPERLINK("https://test.ictv.global/id/TN19980856","TN19980856@TEST")</f>
        <v/>
      </c>
      <c r="M889" s="8">
        <f>HYPERLINK("https://test.ictv.global/id/ICTV19910393","ICTV19910393@TEST")</f>
        <v/>
      </c>
      <c r="N889" s="8">
        <f>HYPERLINK("https://ictv.global/id/TN19980856","TN19980856@prod")</f>
        <v/>
      </c>
      <c r="O889" s="8">
        <f>HYPERLINK("https://ictv.global/id/ICTV19910393","ICTV19910393@prod")</f>
        <v/>
      </c>
    </row>
    <row r="890">
      <c r="A890" t="n">
        <v>17</v>
      </c>
      <c r="B890" t="n">
        <v>19980857</v>
      </c>
      <c r="C890" t="n">
        <v>19910394</v>
      </c>
      <c r="D890" t="inlineStr">
        <is>
          <t>species</t>
        </is>
      </c>
      <c r="E890" t="inlineStr">
        <is>
          <t>Simian adenovirus 25</t>
        </is>
      </c>
      <c r="G890" t="inlineStr">
        <is>
          <t>Merged,</t>
        </is>
      </c>
      <c r="H890" t="inlineStr">
        <is>
          <t>Human adenovirus E</t>
        </is>
      </c>
      <c r="I890" t="inlineStr">
        <is>
          <t>species</t>
        </is>
      </c>
      <c r="J890" t="n">
        <v>19990518</v>
      </c>
      <c r="K890" t="n">
        <v>19990518</v>
      </c>
      <c r="L890" s="8">
        <f>HYPERLINK("https://test.ictv.global/id/TN19980857","TN19980857@TEST")</f>
        <v/>
      </c>
      <c r="M890" s="8">
        <f>HYPERLINK("https://test.ictv.global/id/ICTV19910394","ICTV19910394@TEST")</f>
        <v/>
      </c>
      <c r="N890" s="8">
        <f>HYPERLINK("https://ictv.global/id/TN19980857","TN19980857@prod")</f>
        <v/>
      </c>
      <c r="O890" s="8">
        <f>HYPERLINK("https://ictv.global/id/ICTV19910394","ICTV19910394@prod")</f>
        <v/>
      </c>
    </row>
    <row r="891">
      <c r="A891" t="n">
        <v>17</v>
      </c>
      <c r="B891" t="n">
        <v>19980858</v>
      </c>
      <c r="C891" t="n">
        <v>19910395</v>
      </c>
      <c r="D891" t="inlineStr">
        <is>
          <t>species</t>
        </is>
      </c>
      <c r="E891" t="inlineStr">
        <is>
          <t>Simian adenovirus 26</t>
        </is>
      </c>
      <c r="G891" t="inlineStr">
        <is>
          <t>Abolished,</t>
        </is>
      </c>
      <c r="L891" s="8">
        <f>HYPERLINK("https://test.ictv.global/id/TN19980858","TN19980858@TEST")</f>
        <v/>
      </c>
      <c r="M891" s="8">
        <f>HYPERLINK("https://test.ictv.global/id/ICTV19910395","ICTV19910395@TEST")</f>
        <v/>
      </c>
      <c r="N891" s="8">
        <f>HYPERLINK("https://ictv.global/id/TN19980858","TN19980858@prod")</f>
        <v/>
      </c>
      <c r="O891" s="8">
        <f>HYPERLINK("https://ictv.global/id/ICTV19910395","ICTV19910395@prod")</f>
        <v/>
      </c>
    </row>
    <row r="892">
      <c r="A892" t="n">
        <v>17</v>
      </c>
      <c r="B892" t="n">
        <v>19980859</v>
      </c>
      <c r="C892" t="n">
        <v>19910396</v>
      </c>
      <c r="D892" t="inlineStr">
        <is>
          <t>species</t>
        </is>
      </c>
      <c r="E892" t="inlineStr">
        <is>
          <t>Simian adenovirus 27</t>
        </is>
      </c>
      <c r="G892" t="inlineStr">
        <is>
          <t>Abolished,</t>
        </is>
      </c>
      <c r="L892" s="8">
        <f>HYPERLINK("https://test.ictv.global/id/TN19980859","TN19980859@TEST")</f>
        <v/>
      </c>
      <c r="M892" s="8">
        <f>HYPERLINK("https://test.ictv.global/id/ICTV19910396","ICTV19910396@TEST")</f>
        <v/>
      </c>
      <c r="N892" s="8">
        <f>HYPERLINK("https://ictv.global/id/TN19980859","TN19980859@prod")</f>
        <v/>
      </c>
      <c r="O892" s="8">
        <f>HYPERLINK("https://ictv.global/id/ICTV19910396","ICTV19910396@prod")</f>
        <v/>
      </c>
    </row>
    <row r="893">
      <c r="A893" t="n">
        <v>17</v>
      </c>
      <c r="B893" t="n">
        <v>19980860</v>
      </c>
      <c r="C893" t="n">
        <v>19910397</v>
      </c>
      <c r="D893" t="inlineStr">
        <is>
          <t>species</t>
        </is>
      </c>
      <c r="E893" t="inlineStr">
        <is>
          <t>Simian adenovirus 3</t>
        </is>
      </c>
      <c r="G893" t="inlineStr">
        <is>
          <t>Merged,</t>
        </is>
      </c>
      <c r="H893" t="inlineStr">
        <is>
          <t>Human adenovirus A</t>
        </is>
      </c>
      <c r="I893" t="inlineStr">
        <is>
          <t>species</t>
        </is>
      </c>
      <c r="J893" t="n">
        <v>19990514</v>
      </c>
      <c r="K893" t="n">
        <v>19990514</v>
      </c>
      <c r="L893" s="8">
        <f>HYPERLINK("https://test.ictv.global/id/TN19980860","TN19980860@TEST")</f>
        <v/>
      </c>
      <c r="M893" s="8">
        <f>HYPERLINK("https://test.ictv.global/id/ICTV19910397","ICTV19910397@TEST")</f>
        <v/>
      </c>
      <c r="N893" s="8">
        <f>HYPERLINK("https://ictv.global/id/TN19980860","TN19980860@prod")</f>
        <v/>
      </c>
      <c r="O893" s="8">
        <f>HYPERLINK("https://ictv.global/id/ICTV19910397","ICTV19910397@prod")</f>
        <v/>
      </c>
    </row>
    <row r="894">
      <c r="A894" t="n">
        <v>17</v>
      </c>
      <c r="B894" t="n">
        <v>19980861</v>
      </c>
      <c r="C894" t="n">
        <v>19910398</v>
      </c>
      <c r="D894" t="inlineStr">
        <is>
          <t>species</t>
        </is>
      </c>
      <c r="E894" t="inlineStr">
        <is>
          <t>Simian adenovirus 4</t>
        </is>
      </c>
      <c r="G894" t="inlineStr">
        <is>
          <t>Merged,</t>
        </is>
      </c>
      <c r="H894" t="inlineStr">
        <is>
          <t>Human adenovirus A</t>
        </is>
      </c>
      <c r="I894" t="inlineStr">
        <is>
          <t>species</t>
        </is>
      </c>
      <c r="J894" t="n">
        <v>19990514</v>
      </c>
      <c r="K894" t="n">
        <v>19990514</v>
      </c>
      <c r="L894" s="8">
        <f>HYPERLINK("https://test.ictv.global/id/TN19980861","TN19980861@TEST")</f>
        <v/>
      </c>
      <c r="M894" s="8">
        <f>HYPERLINK("https://test.ictv.global/id/ICTV19910398","ICTV19910398@TEST")</f>
        <v/>
      </c>
      <c r="N894" s="8">
        <f>HYPERLINK("https://ictv.global/id/TN19980861","TN19980861@prod")</f>
        <v/>
      </c>
      <c r="O894" s="8">
        <f>HYPERLINK("https://ictv.global/id/ICTV19910398","ICTV19910398@prod")</f>
        <v/>
      </c>
    </row>
    <row r="895">
      <c r="A895" t="n">
        <v>17</v>
      </c>
      <c r="B895" t="n">
        <v>19980862</v>
      </c>
      <c r="C895" t="n">
        <v>19910399</v>
      </c>
      <c r="D895" t="inlineStr">
        <is>
          <t>species</t>
        </is>
      </c>
      <c r="E895" t="inlineStr">
        <is>
          <t>Simian adenovirus 5</t>
        </is>
      </c>
      <c r="G895" t="inlineStr">
        <is>
          <t>Abolished,</t>
        </is>
      </c>
      <c r="L895" s="8">
        <f>HYPERLINK("https://test.ictv.global/id/TN19980862","TN19980862@TEST")</f>
        <v/>
      </c>
      <c r="M895" s="8">
        <f>HYPERLINK("https://test.ictv.global/id/ICTV19910399","ICTV19910399@TEST")</f>
        <v/>
      </c>
      <c r="N895" s="8">
        <f>HYPERLINK("https://ictv.global/id/TN19980862","TN19980862@prod")</f>
        <v/>
      </c>
      <c r="O895" s="8">
        <f>HYPERLINK("https://ictv.global/id/ICTV19910399","ICTV19910399@prod")</f>
        <v/>
      </c>
    </row>
    <row r="896">
      <c r="A896" t="n">
        <v>17</v>
      </c>
      <c r="B896" t="n">
        <v>19980863</v>
      </c>
      <c r="C896" t="n">
        <v>19910400</v>
      </c>
      <c r="D896" t="inlineStr">
        <is>
          <t>species</t>
        </is>
      </c>
      <c r="E896" t="inlineStr">
        <is>
          <t>Simian adenovirus 6</t>
        </is>
      </c>
      <c r="G896" t="inlineStr">
        <is>
          <t>Merged,</t>
        </is>
      </c>
      <c r="H896" t="inlineStr">
        <is>
          <t>Human adenovirus A</t>
        </is>
      </c>
      <c r="I896" t="inlineStr">
        <is>
          <t>species</t>
        </is>
      </c>
      <c r="J896" t="n">
        <v>19990514</v>
      </c>
      <c r="K896" t="n">
        <v>19990514</v>
      </c>
      <c r="L896" s="8">
        <f>HYPERLINK("https://test.ictv.global/id/TN19980863","TN19980863@TEST")</f>
        <v/>
      </c>
      <c r="M896" s="8">
        <f>HYPERLINK("https://test.ictv.global/id/ICTV19910400","ICTV19910400@TEST")</f>
        <v/>
      </c>
      <c r="N896" s="8">
        <f>HYPERLINK("https://ictv.global/id/TN19980863","TN19980863@prod")</f>
        <v/>
      </c>
      <c r="O896" s="8">
        <f>HYPERLINK("https://ictv.global/id/ICTV19910400","ICTV19910400@prod")</f>
        <v/>
      </c>
    </row>
    <row r="897">
      <c r="A897" t="n">
        <v>17</v>
      </c>
      <c r="B897" t="n">
        <v>19980864</v>
      </c>
      <c r="C897" t="n">
        <v>19910401</v>
      </c>
      <c r="D897" t="inlineStr">
        <is>
          <t>species</t>
        </is>
      </c>
      <c r="E897" t="inlineStr">
        <is>
          <t>Simian adenovirus 7</t>
        </is>
      </c>
      <c r="G897" t="inlineStr">
        <is>
          <t>Abolished,</t>
        </is>
      </c>
      <c r="L897" s="8">
        <f>HYPERLINK("https://test.ictv.global/id/TN19980864","TN19980864@TEST")</f>
        <v/>
      </c>
      <c r="M897" s="8">
        <f>HYPERLINK("https://test.ictv.global/id/ICTV19910401","ICTV19910401@TEST")</f>
        <v/>
      </c>
      <c r="N897" s="8">
        <f>HYPERLINK("https://ictv.global/id/TN19980864","TN19980864@prod")</f>
        <v/>
      </c>
      <c r="O897" s="8">
        <f>HYPERLINK("https://ictv.global/id/ICTV19910401","ICTV19910401@prod")</f>
        <v/>
      </c>
    </row>
    <row r="898">
      <c r="A898" t="n">
        <v>17</v>
      </c>
      <c r="B898" t="n">
        <v>19980865</v>
      </c>
      <c r="C898" t="n">
        <v>19910402</v>
      </c>
      <c r="D898" t="inlineStr">
        <is>
          <t>species</t>
        </is>
      </c>
      <c r="E898" t="inlineStr">
        <is>
          <t>Simian adenovirus 8</t>
        </is>
      </c>
      <c r="G898" t="inlineStr">
        <is>
          <t>Abolished,</t>
        </is>
      </c>
      <c r="L898" s="8">
        <f>HYPERLINK("https://test.ictv.global/id/TN19980865","TN19980865@TEST")</f>
        <v/>
      </c>
      <c r="M898" s="8">
        <f>HYPERLINK("https://test.ictv.global/id/ICTV19910402","ICTV19910402@TEST")</f>
        <v/>
      </c>
      <c r="N898" s="8">
        <f>HYPERLINK("https://ictv.global/id/TN19980865","TN19980865@prod")</f>
        <v/>
      </c>
      <c r="O898" s="8">
        <f>HYPERLINK("https://ictv.global/id/ICTV19910402","ICTV19910402@prod")</f>
        <v/>
      </c>
    </row>
    <row r="899">
      <c r="A899" t="n">
        <v>17</v>
      </c>
      <c r="B899" t="n">
        <v>19980866</v>
      </c>
      <c r="C899" t="n">
        <v>19910403</v>
      </c>
      <c r="D899" t="inlineStr">
        <is>
          <t>species</t>
        </is>
      </c>
      <c r="E899" t="inlineStr">
        <is>
          <t>Simian adenovirus 9</t>
        </is>
      </c>
      <c r="G899" t="inlineStr">
        <is>
          <t>Merged,</t>
        </is>
      </c>
      <c r="H899" t="inlineStr">
        <is>
          <t>Human adenovirus A</t>
        </is>
      </c>
      <c r="I899" t="inlineStr">
        <is>
          <t>species</t>
        </is>
      </c>
      <c r="J899" t="n">
        <v>19990514</v>
      </c>
      <c r="K899" t="n">
        <v>19990514</v>
      </c>
      <c r="L899" s="8">
        <f>HYPERLINK("https://test.ictv.global/id/TN19980866","TN19980866@TEST")</f>
        <v/>
      </c>
      <c r="M899" s="8">
        <f>HYPERLINK("https://test.ictv.global/id/ICTV19910403","ICTV19910403@TEST")</f>
        <v/>
      </c>
      <c r="N899" s="8">
        <f>HYPERLINK("https://ictv.global/id/TN19980866","TN19980866@prod")</f>
        <v/>
      </c>
      <c r="O899" s="8">
        <f>HYPERLINK("https://ictv.global/id/ICTV19910403","ICTV19910403@prod")</f>
        <v/>
      </c>
    </row>
    <row r="900">
      <c r="A900" t="n">
        <v>17</v>
      </c>
      <c r="B900" t="n">
        <v>19980884</v>
      </c>
      <c r="C900" t="n">
        <v>19980884</v>
      </c>
      <c r="D900" t="inlineStr">
        <is>
          <t>species</t>
        </is>
      </c>
      <c r="E900" t="inlineStr">
        <is>
          <t>Autographa precationis ascovirus</t>
        </is>
      </c>
      <c r="G900" t="inlineStr">
        <is>
          <t>Abolished,</t>
        </is>
      </c>
      <c r="L900" s="8">
        <f>HYPERLINK("https://test.ictv.global/id/TN19980884","TN19980884@TEST")</f>
        <v/>
      </c>
      <c r="M900" s="8">
        <f>HYPERLINK("https://test.ictv.global/id/ICTV19980884","ICTV19980884@TEST")</f>
        <v/>
      </c>
      <c r="N900" s="8">
        <f>HYPERLINK("https://ictv.global/id/TN19980884","TN19980884@prod")</f>
        <v/>
      </c>
      <c r="O900" s="8">
        <f>HYPERLINK("https://ictv.global/id/ICTV19980884","ICTV19980884@prod")</f>
        <v/>
      </c>
    </row>
    <row r="901">
      <c r="A901" t="n">
        <v>17</v>
      </c>
      <c r="B901" t="n">
        <v>19980889</v>
      </c>
      <c r="C901" t="n">
        <v>19950497</v>
      </c>
      <c r="D901" t="inlineStr">
        <is>
          <t>species</t>
        </is>
      </c>
      <c r="E901" t="inlineStr">
        <is>
          <t>Bovine astrovirus 1</t>
        </is>
      </c>
      <c r="G901" t="inlineStr">
        <is>
          <t>Merged,</t>
        </is>
      </c>
      <c r="H901" t="inlineStr">
        <is>
          <t>Bovine astrovirus</t>
        </is>
      </c>
      <c r="I901" t="inlineStr">
        <is>
          <t>species</t>
        </is>
      </c>
      <c r="J901" t="n">
        <v>19990551</v>
      </c>
      <c r="K901" t="n">
        <v>19990551</v>
      </c>
      <c r="L901" s="8">
        <f>HYPERLINK("https://test.ictv.global/id/TN19980889","TN19980889@TEST")</f>
        <v/>
      </c>
      <c r="M901" s="8">
        <f>HYPERLINK("https://test.ictv.global/id/ICTV19950497","ICTV19950497@TEST")</f>
        <v/>
      </c>
      <c r="N901" s="8">
        <f>HYPERLINK("https://ictv.global/id/TN19980889","TN19980889@prod")</f>
        <v/>
      </c>
      <c r="O901" s="8">
        <f>HYPERLINK("https://ictv.global/id/ICTV19950497","ICTV19950497@prod")</f>
        <v/>
      </c>
    </row>
    <row r="902">
      <c r="A902" t="n">
        <v>17</v>
      </c>
      <c r="B902" t="n">
        <v>19980890</v>
      </c>
      <c r="C902" t="n">
        <v>19950498</v>
      </c>
      <c r="D902" t="inlineStr">
        <is>
          <t>species</t>
        </is>
      </c>
      <c r="E902" t="inlineStr">
        <is>
          <t>Bovine astrovirus 2</t>
        </is>
      </c>
      <c r="G902" t="inlineStr">
        <is>
          <t>Merged,</t>
        </is>
      </c>
      <c r="H902" t="inlineStr">
        <is>
          <t>Bovine astrovirus</t>
        </is>
      </c>
      <c r="I902" t="inlineStr">
        <is>
          <t>species</t>
        </is>
      </c>
      <c r="J902" t="n">
        <v>19990551</v>
      </c>
      <c r="K902" t="n">
        <v>19990551</v>
      </c>
      <c r="L902" s="8">
        <f>HYPERLINK("https://test.ictv.global/id/TN19980890","TN19980890@TEST")</f>
        <v/>
      </c>
      <c r="M902" s="8">
        <f>HYPERLINK("https://test.ictv.global/id/ICTV19950498","ICTV19950498@TEST")</f>
        <v/>
      </c>
      <c r="N902" s="8">
        <f>HYPERLINK("https://ictv.global/id/TN19980890","TN19980890@prod")</f>
        <v/>
      </c>
      <c r="O902" s="8">
        <f>HYPERLINK("https://ictv.global/id/ICTV19950498","ICTV19950498@prod")</f>
        <v/>
      </c>
    </row>
    <row r="903">
      <c r="A903" t="n">
        <v>17</v>
      </c>
      <c r="B903" t="n">
        <v>19980892</v>
      </c>
      <c r="C903" t="n">
        <v>19950500</v>
      </c>
      <c r="D903" t="inlineStr">
        <is>
          <t>species</t>
        </is>
      </c>
      <c r="E903" t="inlineStr">
        <is>
          <t>Human astrovirus 1</t>
        </is>
      </c>
      <c r="G903" t="inlineStr">
        <is>
          <t>Merged,</t>
        </is>
      </c>
      <c r="H903" t="inlineStr">
        <is>
          <t>Human astrovirus</t>
        </is>
      </c>
      <c r="I903" t="inlineStr">
        <is>
          <t>species</t>
        </is>
      </c>
      <c r="J903" t="n">
        <v>19990554</v>
      </c>
      <c r="K903" t="n">
        <v>19990554</v>
      </c>
      <c r="L903" s="8">
        <f>HYPERLINK("https://test.ictv.global/id/TN19980892","TN19980892@TEST")</f>
        <v/>
      </c>
      <c r="M903" s="8">
        <f>HYPERLINK("https://test.ictv.global/id/ICTV19950500","ICTV19950500@TEST")</f>
        <v/>
      </c>
      <c r="N903" s="8">
        <f>HYPERLINK("https://ictv.global/id/TN19980892","TN19980892@prod")</f>
        <v/>
      </c>
      <c r="O903" s="8">
        <f>HYPERLINK("https://ictv.global/id/ICTV19950500","ICTV19950500@prod")</f>
        <v/>
      </c>
    </row>
    <row r="904">
      <c r="A904" t="n">
        <v>17</v>
      </c>
      <c r="B904" t="n">
        <v>19980893</v>
      </c>
      <c r="C904" t="n">
        <v>19950501</v>
      </c>
      <c r="D904" t="inlineStr">
        <is>
          <t>species</t>
        </is>
      </c>
      <c r="E904" t="inlineStr">
        <is>
          <t>Human astrovirus 2</t>
        </is>
      </c>
      <c r="G904" t="inlineStr">
        <is>
          <t>Merged,Assigned as Type Species,</t>
        </is>
      </c>
      <c r="H904" t="inlineStr">
        <is>
          <t>Human astrovirus</t>
        </is>
      </c>
      <c r="I904" t="inlineStr">
        <is>
          <t>species</t>
        </is>
      </c>
      <c r="J904" t="n">
        <v>19990554</v>
      </c>
      <c r="K904" t="n">
        <v>19990554</v>
      </c>
      <c r="L904" s="8">
        <f>HYPERLINK("https://test.ictv.global/id/TN19980893","TN19980893@TEST")</f>
        <v/>
      </c>
      <c r="M904" s="8">
        <f>HYPERLINK("https://test.ictv.global/id/ICTV19950501","ICTV19950501@TEST")</f>
        <v/>
      </c>
      <c r="N904" s="8">
        <f>HYPERLINK("https://ictv.global/id/TN19980893","TN19980893@prod")</f>
        <v/>
      </c>
      <c r="O904" s="8">
        <f>HYPERLINK("https://ictv.global/id/ICTV19950501","ICTV19950501@prod")</f>
        <v/>
      </c>
    </row>
    <row r="905">
      <c r="A905" t="n">
        <v>17</v>
      </c>
      <c r="B905" t="n">
        <v>19980894</v>
      </c>
      <c r="C905" t="n">
        <v>19950502</v>
      </c>
      <c r="D905" t="inlineStr">
        <is>
          <t>species</t>
        </is>
      </c>
      <c r="E905" t="inlineStr">
        <is>
          <t>Human astrovirus 3</t>
        </is>
      </c>
      <c r="G905" t="inlineStr">
        <is>
          <t>Merged,Assigned as Type Species,</t>
        </is>
      </c>
      <c r="H905" t="inlineStr">
        <is>
          <t>Human astrovirus</t>
        </is>
      </c>
      <c r="I905" t="inlineStr">
        <is>
          <t>species</t>
        </is>
      </c>
      <c r="J905" t="n">
        <v>19990554</v>
      </c>
      <c r="K905" t="n">
        <v>19990554</v>
      </c>
      <c r="L905" s="8">
        <f>HYPERLINK("https://test.ictv.global/id/TN19980894","TN19980894@TEST")</f>
        <v/>
      </c>
      <c r="M905" s="8">
        <f>HYPERLINK("https://test.ictv.global/id/ICTV19950502","ICTV19950502@TEST")</f>
        <v/>
      </c>
      <c r="N905" s="8">
        <f>HYPERLINK("https://ictv.global/id/TN19980894","TN19980894@prod")</f>
        <v/>
      </c>
      <c r="O905" s="8">
        <f>HYPERLINK("https://ictv.global/id/ICTV19950502","ICTV19950502@prod")</f>
        <v/>
      </c>
    </row>
    <row r="906">
      <c r="A906" t="n">
        <v>17</v>
      </c>
      <c r="B906" t="n">
        <v>19980895</v>
      </c>
      <c r="C906" t="n">
        <v>19950503</v>
      </c>
      <c r="D906" t="inlineStr">
        <is>
          <t>species</t>
        </is>
      </c>
      <c r="E906" t="inlineStr">
        <is>
          <t>Human astrovirus 4</t>
        </is>
      </c>
      <c r="G906" t="inlineStr">
        <is>
          <t>Merged,Assigned as Type Species,</t>
        </is>
      </c>
      <c r="H906" t="inlineStr">
        <is>
          <t>Human astrovirus</t>
        </is>
      </c>
      <c r="I906" t="inlineStr">
        <is>
          <t>species</t>
        </is>
      </c>
      <c r="J906" t="n">
        <v>19990554</v>
      </c>
      <c r="K906" t="n">
        <v>19990554</v>
      </c>
      <c r="L906" s="8">
        <f>HYPERLINK("https://test.ictv.global/id/TN19980895","TN19980895@TEST")</f>
        <v/>
      </c>
      <c r="M906" s="8">
        <f>HYPERLINK("https://test.ictv.global/id/ICTV19950503","ICTV19950503@TEST")</f>
        <v/>
      </c>
      <c r="N906" s="8">
        <f>HYPERLINK("https://ictv.global/id/TN19980895","TN19980895@prod")</f>
        <v/>
      </c>
      <c r="O906" s="8">
        <f>HYPERLINK("https://ictv.global/id/ICTV19950503","ICTV19950503@prod")</f>
        <v/>
      </c>
    </row>
    <row r="907">
      <c r="A907" t="n">
        <v>17</v>
      </c>
      <c r="B907" t="n">
        <v>19980896</v>
      </c>
      <c r="C907" t="n">
        <v>19950504</v>
      </c>
      <c r="D907" t="inlineStr">
        <is>
          <t>species</t>
        </is>
      </c>
      <c r="E907" t="inlineStr">
        <is>
          <t>Human astrovirus 5</t>
        </is>
      </c>
      <c r="G907" t="inlineStr">
        <is>
          <t>Merged,Assigned as Type Species,</t>
        </is>
      </c>
      <c r="H907" t="inlineStr">
        <is>
          <t>Human astrovirus</t>
        </is>
      </c>
      <c r="I907" t="inlineStr">
        <is>
          <t>species</t>
        </is>
      </c>
      <c r="J907" t="n">
        <v>19990554</v>
      </c>
      <c r="K907" t="n">
        <v>19990554</v>
      </c>
      <c r="L907" s="8">
        <f>HYPERLINK("https://test.ictv.global/id/TN19980896","TN19980896@TEST")</f>
        <v/>
      </c>
      <c r="M907" s="8">
        <f>HYPERLINK("https://test.ictv.global/id/ICTV19950504","ICTV19950504@TEST")</f>
        <v/>
      </c>
      <c r="N907" s="8">
        <f>HYPERLINK("https://ictv.global/id/TN19980896","TN19980896@prod")</f>
        <v/>
      </c>
      <c r="O907" s="8">
        <f>HYPERLINK("https://ictv.global/id/ICTV19950504","ICTV19950504@prod")</f>
        <v/>
      </c>
    </row>
    <row r="908">
      <c r="A908" t="n">
        <v>17</v>
      </c>
      <c r="B908" t="n">
        <v>19980902</v>
      </c>
      <c r="C908" t="n">
        <v>19990561</v>
      </c>
      <c r="D908" t="inlineStr">
        <is>
          <t>species</t>
        </is>
      </c>
      <c r="E908" t="inlineStr">
        <is>
          <t>Artogeia rapae granulovirus</t>
        </is>
      </c>
      <c r="F908" t="inlineStr"/>
      <c r="G908" t="inlineStr">
        <is>
          <t>Merged,</t>
        </is>
      </c>
      <c r="H908" t="inlineStr">
        <is>
          <t>Artogeia rapae granulovirus</t>
        </is>
      </c>
      <c r="I908" t="inlineStr">
        <is>
          <t>species</t>
        </is>
      </c>
      <c r="J908" t="n">
        <v>19990561</v>
      </c>
      <c r="K908" t="n">
        <v>19990561</v>
      </c>
      <c r="L908" s="8">
        <f>HYPERLINK("https://test.ictv.global/id/TN19980902","TN19980902@TEST")</f>
        <v/>
      </c>
      <c r="M908" s="8">
        <f>HYPERLINK("https://test.ictv.global/id/ICTV19990561","ICTV19990561@TEST")</f>
        <v/>
      </c>
      <c r="N908" s="8">
        <f>HYPERLINK("https://ictv.global/id/TN19980902","TN19980902@prod")</f>
        <v/>
      </c>
      <c r="O908" s="8">
        <f>HYPERLINK("https://ictv.global/id/ICTV19990561","ICTV19990561@prod")</f>
        <v/>
      </c>
    </row>
    <row r="909">
      <c r="A909" t="n">
        <v>17</v>
      </c>
      <c r="B909" t="n">
        <v>19980904</v>
      </c>
      <c r="C909" t="n">
        <v>19910420</v>
      </c>
      <c r="D909" t="inlineStr">
        <is>
          <t>species</t>
        </is>
      </c>
      <c r="E909" t="inlineStr">
        <is>
          <t>Pieris brassicae granulovirus</t>
        </is>
      </c>
      <c r="G909" t="inlineStr">
        <is>
          <t>Merged,</t>
        </is>
      </c>
      <c r="H909" t="inlineStr">
        <is>
          <t>Artogeia rapae granulovirus</t>
        </is>
      </c>
      <c r="I909" t="inlineStr">
        <is>
          <t>species</t>
        </is>
      </c>
      <c r="J909" t="n">
        <v>19990561</v>
      </c>
      <c r="K909" t="n">
        <v>19990561</v>
      </c>
      <c r="L909" s="8">
        <f>HYPERLINK("https://test.ictv.global/id/TN19980904","TN19980904@TEST")</f>
        <v/>
      </c>
      <c r="M909" s="8">
        <f>HYPERLINK("https://test.ictv.global/id/ICTV19910420","ICTV19910420@TEST")</f>
        <v/>
      </c>
      <c r="N909" s="8">
        <f>HYPERLINK("https://ictv.global/id/TN19980904","TN19980904@prod")</f>
        <v/>
      </c>
      <c r="O909" s="8">
        <f>HYPERLINK("https://ictv.global/id/ICTV19910420","ICTV19910420@prod")</f>
        <v/>
      </c>
    </row>
    <row r="910">
      <c r="A910" t="n">
        <v>17</v>
      </c>
      <c r="B910" t="n">
        <v>19980908</v>
      </c>
      <c r="C910" t="n">
        <v>19990567</v>
      </c>
      <c r="D910" t="inlineStr">
        <is>
          <t>species</t>
        </is>
      </c>
      <c r="E910" t="inlineStr">
        <is>
          <t>Autographa californica multiple nucleopolyhedrovirus</t>
        </is>
      </c>
      <c r="F910" t="inlineStr"/>
      <c r="G910" t="inlineStr">
        <is>
          <t>Merged,</t>
        </is>
      </c>
      <c r="H910" t="inlineStr">
        <is>
          <t>Autographa californica multiple nucleopolyhedrovirus</t>
        </is>
      </c>
      <c r="I910" t="inlineStr">
        <is>
          <t>species</t>
        </is>
      </c>
      <c r="J910" t="n">
        <v>19990567</v>
      </c>
      <c r="K910" t="n">
        <v>19990567</v>
      </c>
      <c r="L910" s="8">
        <f>HYPERLINK("https://test.ictv.global/id/TN19980908","TN19980908@TEST")</f>
        <v/>
      </c>
      <c r="M910" s="8">
        <f>HYPERLINK("https://test.ictv.global/id/ICTV19990567","ICTV19990567@TEST")</f>
        <v/>
      </c>
      <c r="N910" s="8">
        <f>HYPERLINK("https://ictv.global/id/TN19980908","TN19980908@prod")</f>
        <v/>
      </c>
      <c r="O910" s="8">
        <f>HYPERLINK("https://ictv.global/id/ICTV19990567","ICTV19990567@prod")</f>
        <v/>
      </c>
    </row>
    <row r="911">
      <c r="A911" t="n">
        <v>17</v>
      </c>
      <c r="B911" t="n">
        <v>19980911</v>
      </c>
      <c r="C911" t="n">
        <v>19950516</v>
      </c>
      <c r="D911" t="inlineStr">
        <is>
          <t>species</t>
        </is>
      </c>
      <c r="E911" t="inlineStr">
        <is>
          <t>Galleria mellonealla multiple nucleopolyhedrovirus</t>
        </is>
      </c>
      <c r="G911" t="inlineStr">
        <is>
          <t>Merged,Assigned as Type Species,</t>
        </is>
      </c>
      <c r="H911" t="inlineStr">
        <is>
          <t>Autographa californica multiple nucleopolyhedrovirus</t>
        </is>
      </c>
      <c r="I911" t="inlineStr">
        <is>
          <t>species</t>
        </is>
      </c>
      <c r="J911" t="n">
        <v>19990567</v>
      </c>
      <c r="K911" t="n">
        <v>19990567</v>
      </c>
      <c r="L911" s="8">
        <f>HYPERLINK("https://test.ictv.global/id/TN19980911","TN19980911@TEST")</f>
        <v/>
      </c>
      <c r="M911" s="8">
        <f>HYPERLINK("https://test.ictv.global/id/ICTV19950516","ICTV19950516@TEST")</f>
        <v/>
      </c>
      <c r="N911" s="8">
        <f>HYPERLINK("https://ictv.global/id/TN19980911","TN19980911@prod")</f>
        <v/>
      </c>
      <c r="O911" s="8">
        <f>HYPERLINK("https://ictv.global/id/ICTV19950516","ICTV19950516@prod")</f>
        <v/>
      </c>
    </row>
    <row r="912">
      <c r="A912" t="n">
        <v>17</v>
      </c>
      <c r="B912" t="n">
        <v>19980916</v>
      </c>
      <c r="C912" t="n">
        <v>19950521</v>
      </c>
      <c r="D912" t="inlineStr">
        <is>
          <t>species</t>
        </is>
      </c>
      <c r="E912" t="inlineStr">
        <is>
          <t>Orgyia pseudotsugata single nucleopolyhedrovirus</t>
        </is>
      </c>
      <c r="G912" t="inlineStr">
        <is>
          <t>Abolished,</t>
        </is>
      </c>
      <c r="L912" s="8">
        <f>HYPERLINK("https://test.ictv.global/id/TN19980916","TN19980916@TEST")</f>
        <v/>
      </c>
      <c r="M912" s="8">
        <f>HYPERLINK("https://test.ictv.global/id/ICTV19950521","ICTV19950521@TEST")</f>
        <v/>
      </c>
      <c r="N912" s="8">
        <f>HYPERLINK("https://ictv.global/id/TN19980916","TN19980916@prod")</f>
        <v/>
      </c>
      <c r="O912" s="8">
        <f>HYPERLINK("https://ictv.global/id/ICTV19950521","ICTV19950521@prod")</f>
        <v/>
      </c>
    </row>
    <row r="913">
      <c r="A913" t="n">
        <v>17</v>
      </c>
      <c r="B913" t="n">
        <v>19980917</v>
      </c>
      <c r="C913" t="n">
        <v>19950522</v>
      </c>
      <c r="D913" t="inlineStr">
        <is>
          <t>species</t>
        </is>
      </c>
      <c r="E913" t="inlineStr">
        <is>
          <t>Rachiplusia ou multiple nucleopolyhedrovirus</t>
        </is>
      </c>
      <c r="G913" t="inlineStr">
        <is>
          <t>Merged,Assigned as Type Species,</t>
        </is>
      </c>
      <c r="H913" t="inlineStr">
        <is>
          <t>Autographa californica multiple nucleopolyhedrovirus</t>
        </is>
      </c>
      <c r="I913" t="inlineStr">
        <is>
          <t>species</t>
        </is>
      </c>
      <c r="J913" t="n">
        <v>19990567</v>
      </c>
      <c r="K913" t="n">
        <v>19990567</v>
      </c>
      <c r="L913" s="8">
        <f>HYPERLINK("https://test.ictv.global/id/TN19980917","TN19980917@TEST")</f>
        <v/>
      </c>
      <c r="M913" s="8">
        <f>HYPERLINK("https://test.ictv.global/id/ICTV19950522","ICTV19950522@TEST")</f>
        <v/>
      </c>
      <c r="N913" s="8">
        <f>HYPERLINK("https://ictv.global/id/TN19980917","TN19980917@prod")</f>
        <v/>
      </c>
      <c r="O913" s="8">
        <f>HYPERLINK("https://ictv.global/id/ICTV19950522","ICTV19950522@prod")</f>
        <v/>
      </c>
    </row>
    <row r="914">
      <c r="A914" t="n">
        <v>17</v>
      </c>
      <c r="B914" t="n">
        <v>19980920</v>
      </c>
      <c r="C914" t="n">
        <v>19950525</v>
      </c>
      <c r="D914" t="inlineStr">
        <is>
          <t>species</t>
        </is>
      </c>
      <c r="E914" t="inlineStr">
        <is>
          <t>Trichoplusia ni multiple nucleopolyhedrovirus</t>
        </is>
      </c>
      <c r="G914" t="inlineStr">
        <is>
          <t>Merged,Assigned as Type Species,</t>
        </is>
      </c>
      <c r="H914" t="inlineStr">
        <is>
          <t>Autographa californica multiple nucleopolyhedrovirus</t>
        </is>
      </c>
      <c r="I914" t="inlineStr">
        <is>
          <t>species</t>
        </is>
      </c>
      <c r="J914" t="n">
        <v>19990567</v>
      </c>
      <c r="K914" t="n">
        <v>19990567</v>
      </c>
      <c r="L914" s="8">
        <f>HYPERLINK("https://test.ictv.global/id/TN19980920","TN19980920@TEST")</f>
        <v/>
      </c>
      <c r="M914" s="8">
        <f>HYPERLINK("https://test.ictv.global/id/ICTV19950525","ICTV19950525@TEST")</f>
        <v/>
      </c>
      <c r="N914" s="8">
        <f>HYPERLINK("https://ictv.global/id/TN19980920","TN19980920@prod")</f>
        <v/>
      </c>
      <c r="O914" s="8">
        <f>HYPERLINK("https://ictv.global/id/ICTV19950525","ICTV19950525@prod")</f>
        <v/>
      </c>
    </row>
    <row r="915">
      <c r="A915" t="n">
        <v>17</v>
      </c>
      <c r="B915" t="n">
        <v>19980953</v>
      </c>
      <c r="C915" t="n">
        <v>19910437</v>
      </c>
      <c r="D915" t="inlineStr">
        <is>
          <t>species</t>
        </is>
      </c>
      <c r="E915" t="inlineStr">
        <is>
          <t>63U11 virus</t>
        </is>
      </c>
      <c r="G915" t="inlineStr">
        <is>
          <t>Merged,</t>
        </is>
      </c>
      <c r="H915" t="inlineStr">
        <is>
          <t>Marituba virus</t>
        </is>
      </c>
      <c r="I915" t="inlineStr">
        <is>
          <t>species</t>
        </is>
      </c>
      <c r="J915" t="n">
        <v>19990639</v>
      </c>
      <c r="K915" t="n">
        <v>19990639</v>
      </c>
      <c r="L915" s="8">
        <f>HYPERLINK("https://test.ictv.global/id/TN19980953","TN19980953@TEST")</f>
        <v/>
      </c>
      <c r="M915" s="8">
        <f>HYPERLINK("https://test.ictv.global/id/ICTV19910437","ICTV19910437@TEST")</f>
        <v/>
      </c>
      <c r="N915" s="8">
        <f>HYPERLINK("https://ictv.global/id/TN19980953","TN19980953@prod")</f>
        <v/>
      </c>
      <c r="O915" s="8">
        <f>HYPERLINK("https://ictv.global/id/ICTV19910437","ICTV19910437@prod")</f>
        <v/>
      </c>
    </row>
    <row r="916">
      <c r="A916" t="n">
        <v>17</v>
      </c>
      <c r="B916" t="n">
        <v>19980954</v>
      </c>
      <c r="C916" t="n">
        <v>19910438</v>
      </c>
      <c r="D916" t="inlineStr">
        <is>
          <t>species</t>
        </is>
      </c>
      <c r="E916" t="inlineStr">
        <is>
          <t>75V-2374 virus</t>
        </is>
      </c>
      <c r="G916" t="inlineStr">
        <is>
          <t>Merged,</t>
        </is>
      </c>
      <c r="H916" t="inlineStr">
        <is>
          <t>Alajuela virus</t>
        </is>
      </c>
      <c r="I916" t="inlineStr">
        <is>
          <t>species</t>
        </is>
      </c>
      <c r="J916" t="n">
        <v>19990613</v>
      </c>
      <c r="K916" t="n">
        <v>19990613</v>
      </c>
      <c r="L916" s="8">
        <f>HYPERLINK("https://test.ictv.global/id/TN19980954","TN19980954@TEST")</f>
        <v/>
      </c>
      <c r="M916" s="8">
        <f>HYPERLINK("https://test.ictv.global/id/ICTV19910438","ICTV19910438@TEST")</f>
        <v/>
      </c>
      <c r="N916" s="8">
        <f>HYPERLINK("https://ictv.global/id/TN19980954","TN19980954@prod")</f>
        <v/>
      </c>
      <c r="O916" s="8">
        <f>HYPERLINK("https://ictv.global/id/ICTV19910438","ICTV19910438@prod")</f>
        <v/>
      </c>
    </row>
    <row r="917">
      <c r="A917" t="n">
        <v>17</v>
      </c>
      <c r="B917" t="n">
        <v>19980955</v>
      </c>
      <c r="C917" t="n">
        <v>19910439</v>
      </c>
      <c r="D917" t="inlineStr">
        <is>
          <t>species</t>
        </is>
      </c>
      <c r="E917" t="inlineStr">
        <is>
          <t>75V-2621 virus</t>
        </is>
      </c>
      <c r="G917" t="inlineStr">
        <is>
          <t>Merged,</t>
        </is>
      </c>
      <c r="H917" t="inlineStr">
        <is>
          <t>Gamboa virus</t>
        </is>
      </c>
      <c r="I917" t="inlineStr">
        <is>
          <t>species</t>
        </is>
      </c>
      <c r="J917" t="n">
        <v>19990630</v>
      </c>
      <c r="K917" t="n">
        <v>19990630</v>
      </c>
      <c r="L917" s="8">
        <f>HYPERLINK("https://test.ictv.global/id/TN19980955","TN19980955@TEST")</f>
        <v/>
      </c>
      <c r="M917" s="8">
        <f>HYPERLINK("https://test.ictv.global/id/ICTV19910439","ICTV19910439@TEST")</f>
        <v/>
      </c>
      <c r="N917" s="8">
        <f>HYPERLINK("https://ictv.global/id/TN19980955","TN19980955@prod")</f>
        <v/>
      </c>
      <c r="O917" s="8">
        <f>HYPERLINK("https://ictv.global/id/ICTV19910439","ICTV19910439@prod")</f>
        <v/>
      </c>
    </row>
    <row r="918">
      <c r="A918" t="n">
        <v>17</v>
      </c>
      <c r="B918" t="n">
        <v>19980956</v>
      </c>
      <c r="C918" t="n">
        <v>19910440</v>
      </c>
      <c r="D918" t="inlineStr">
        <is>
          <t>species</t>
        </is>
      </c>
      <c r="E918" t="inlineStr">
        <is>
          <t>78V-2441 virus</t>
        </is>
      </c>
      <c r="G918" t="inlineStr">
        <is>
          <t>Merged,</t>
        </is>
      </c>
      <c r="H918" t="inlineStr">
        <is>
          <t>Alajuela virus</t>
        </is>
      </c>
      <c r="I918" t="inlineStr">
        <is>
          <t>species</t>
        </is>
      </c>
      <c r="J918" t="n">
        <v>19990613</v>
      </c>
      <c r="K918" t="n">
        <v>19990613</v>
      </c>
      <c r="L918" s="8">
        <f>HYPERLINK("https://test.ictv.global/id/TN19980956","TN19980956@TEST")</f>
        <v/>
      </c>
      <c r="M918" s="8">
        <f>HYPERLINK("https://test.ictv.global/id/ICTV19910440","ICTV19910440@TEST")</f>
        <v/>
      </c>
      <c r="N918" s="8">
        <f>HYPERLINK("https://ictv.global/id/TN19980956","TN19980956@prod")</f>
        <v/>
      </c>
      <c r="O918" s="8">
        <f>HYPERLINK("https://ictv.global/id/ICTV19910440","ICTV19910440@prod")</f>
        <v/>
      </c>
    </row>
    <row r="919">
      <c r="A919" t="n">
        <v>17</v>
      </c>
      <c r="B919" t="n">
        <v>19980957</v>
      </c>
      <c r="C919" t="n">
        <v>19910441</v>
      </c>
      <c r="D919" t="inlineStr">
        <is>
          <t>species</t>
        </is>
      </c>
      <c r="E919" t="inlineStr">
        <is>
          <t>Abras virus</t>
        </is>
      </c>
      <c r="G919" t="inlineStr">
        <is>
          <t>Merged,</t>
        </is>
      </c>
      <c r="H919" t="inlineStr">
        <is>
          <t>Patois virus</t>
        </is>
      </c>
      <c r="I919" t="inlineStr">
        <is>
          <t>species</t>
        </is>
      </c>
      <c r="J919" t="n">
        <v>19990646</v>
      </c>
      <c r="K919" t="n">
        <v>19990646</v>
      </c>
      <c r="L919" s="8">
        <f>HYPERLINK("https://test.ictv.global/id/TN19980957","TN19980957@TEST")</f>
        <v/>
      </c>
      <c r="M919" s="8">
        <f>HYPERLINK("https://test.ictv.global/id/ICTV19910441","ICTV19910441@TEST")</f>
        <v/>
      </c>
      <c r="N919" s="8">
        <f>HYPERLINK("https://ictv.global/id/TN19980957","TN19980957@prod")</f>
        <v/>
      </c>
      <c r="O919" s="8">
        <f>HYPERLINK("https://ictv.global/id/ICTV19910441","ICTV19910441@prod")</f>
        <v/>
      </c>
    </row>
    <row r="920">
      <c r="A920" t="n">
        <v>17</v>
      </c>
      <c r="B920" t="n">
        <v>19980958</v>
      </c>
      <c r="C920" t="n">
        <v>19990611</v>
      </c>
      <c r="D920" t="inlineStr">
        <is>
          <t>species</t>
        </is>
      </c>
      <c r="E920" t="inlineStr">
        <is>
          <t>Acara virus</t>
        </is>
      </c>
      <c r="F920" t="inlineStr"/>
      <c r="G920" t="inlineStr">
        <is>
          <t>Merged,</t>
        </is>
      </c>
      <c r="H920" t="inlineStr">
        <is>
          <t>Acara virus</t>
        </is>
      </c>
      <c r="I920" t="inlineStr">
        <is>
          <t>species</t>
        </is>
      </c>
      <c r="J920" t="n">
        <v>19990611</v>
      </c>
      <c r="K920" t="n">
        <v>19990611</v>
      </c>
      <c r="L920" s="8">
        <f>HYPERLINK("https://test.ictv.global/id/TN19980958","TN19980958@TEST")</f>
        <v/>
      </c>
      <c r="M920" s="8">
        <f>HYPERLINK("https://test.ictv.global/id/ICTV19990611","ICTV19990611@TEST")</f>
        <v/>
      </c>
      <c r="N920" s="8">
        <f>HYPERLINK("https://ictv.global/id/TN19980958","TN19980958@prod")</f>
        <v/>
      </c>
      <c r="O920" s="8">
        <f>HYPERLINK("https://ictv.global/id/ICTV19990611","ICTV19990611@prod")</f>
        <v/>
      </c>
    </row>
    <row r="921">
      <c r="A921" t="n">
        <v>17</v>
      </c>
      <c r="B921" t="n">
        <v>19980959</v>
      </c>
      <c r="C921" t="n">
        <v>19910443</v>
      </c>
      <c r="D921" t="inlineStr">
        <is>
          <t>species</t>
        </is>
      </c>
      <c r="E921" t="inlineStr">
        <is>
          <t>Ag83-1746 virus</t>
        </is>
      </c>
      <c r="G921" t="inlineStr">
        <is>
          <t>Merged,Assigned as Type Species,</t>
        </is>
      </c>
      <c r="H921" t="inlineStr">
        <is>
          <t>Bunyamwera virus</t>
        </is>
      </c>
      <c r="I921" t="inlineStr">
        <is>
          <t>species</t>
        </is>
      </c>
      <c r="J921" t="n">
        <v>19990622</v>
      </c>
      <c r="K921" t="n">
        <v>19990622</v>
      </c>
      <c r="L921" s="8">
        <f>HYPERLINK("https://test.ictv.global/id/TN19980959","TN19980959@TEST")</f>
        <v/>
      </c>
      <c r="M921" s="8">
        <f>HYPERLINK("https://test.ictv.global/id/ICTV19910443","ICTV19910443@TEST")</f>
        <v/>
      </c>
      <c r="N921" s="8">
        <f>HYPERLINK("https://ictv.global/id/TN19980959","TN19980959@prod")</f>
        <v/>
      </c>
      <c r="O921" s="8">
        <f>HYPERLINK("https://ictv.global/id/ICTV19910443","ICTV19910443@prod")</f>
        <v/>
      </c>
    </row>
    <row r="922">
      <c r="A922" t="n">
        <v>17</v>
      </c>
      <c r="B922" t="n">
        <v>19980960</v>
      </c>
      <c r="C922" t="n">
        <v>19910444</v>
      </c>
      <c r="D922" t="inlineStr">
        <is>
          <t>species</t>
        </is>
      </c>
      <c r="E922" t="inlineStr">
        <is>
          <t>AG83-497 virus</t>
        </is>
      </c>
      <c r="G922" t="inlineStr">
        <is>
          <t>Merged,</t>
        </is>
      </c>
      <c r="H922" t="inlineStr">
        <is>
          <t>California encephalitis virus</t>
        </is>
      </c>
      <c r="I922" t="inlineStr">
        <is>
          <t>species</t>
        </is>
      </c>
      <c r="J922" t="n">
        <v>19990625</v>
      </c>
      <c r="K922" t="n">
        <v>19990625</v>
      </c>
      <c r="L922" s="8">
        <f>HYPERLINK("https://test.ictv.global/id/TN19980960","TN19980960@TEST")</f>
        <v/>
      </c>
      <c r="M922" s="8">
        <f>HYPERLINK("https://test.ictv.global/id/ICTV19910444","ICTV19910444@TEST")</f>
        <v/>
      </c>
      <c r="N922" s="8">
        <f>HYPERLINK("https://ictv.global/id/TN19980960","TN19980960@prod")</f>
        <v/>
      </c>
      <c r="O922" s="8">
        <f>HYPERLINK("https://ictv.global/id/ICTV19910444","ICTV19910444@prod")</f>
        <v/>
      </c>
    </row>
    <row r="923">
      <c r="A923" t="n">
        <v>17</v>
      </c>
      <c r="B923" t="n">
        <v>19980961</v>
      </c>
      <c r="C923" t="n">
        <v>19760139</v>
      </c>
      <c r="D923" t="inlineStr">
        <is>
          <t>species</t>
        </is>
      </c>
      <c r="E923" t="inlineStr">
        <is>
          <t>Aino virus</t>
        </is>
      </c>
      <c r="G923" t="inlineStr">
        <is>
          <t>Merged,</t>
        </is>
      </c>
      <c r="H923" t="inlineStr">
        <is>
          <t>Shuni virus</t>
        </is>
      </c>
      <c r="I923" t="inlineStr">
        <is>
          <t>species</t>
        </is>
      </c>
      <c r="J923" t="n">
        <v>19990649</v>
      </c>
      <c r="K923" t="n">
        <v>19990649</v>
      </c>
      <c r="L923" s="8">
        <f>HYPERLINK("https://test.ictv.global/id/TN19980961","TN19980961@TEST")</f>
        <v/>
      </c>
      <c r="M923" s="8">
        <f>HYPERLINK("https://test.ictv.global/id/ICTV19760139","ICTV19760139@TEST")</f>
        <v/>
      </c>
      <c r="N923" s="8">
        <f>HYPERLINK("https://ictv.global/id/TN19980961","TN19980961@prod")</f>
        <v/>
      </c>
      <c r="O923" s="8">
        <f>HYPERLINK("https://ictv.global/id/ICTV19760139","ICTV19760139@prod")</f>
        <v/>
      </c>
    </row>
    <row r="924">
      <c r="A924" t="n">
        <v>17</v>
      </c>
      <c r="B924" t="n">
        <v>19980962</v>
      </c>
      <c r="C924" t="n">
        <v>19990612</v>
      </c>
      <c r="D924" t="inlineStr">
        <is>
          <t>species</t>
        </is>
      </c>
      <c r="E924" t="inlineStr">
        <is>
          <t>Akabane virus</t>
        </is>
      </c>
      <c r="F924" t="inlineStr"/>
      <c r="G924" t="inlineStr">
        <is>
          <t>Merged,</t>
        </is>
      </c>
      <c r="H924" t="inlineStr">
        <is>
          <t>Akabane virus</t>
        </is>
      </c>
      <c r="I924" t="inlineStr">
        <is>
          <t>species</t>
        </is>
      </c>
      <c r="J924" t="n">
        <v>19990612</v>
      </c>
      <c r="K924" t="n">
        <v>19990612</v>
      </c>
      <c r="L924" s="8">
        <f>HYPERLINK("https://test.ictv.global/id/TN19980962","TN19980962@TEST")</f>
        <v/>
      </c>
      <c r="M924" s="8">
        <f>HYPERLINK("https://test.ictv.global/id/ICTV19990612","ICTV19990612@TEST")</f>
        <v/>
      </c>
      <c r="N924" s="8">
        <f>HYPERLINK("https://ictv.global/id/TN19980962","TN19980962@prod")</f>
        <v/>
      </c>
      <c r="O924" s="8">
        <f>HYPERLINK("https://ictv.global/id/ICTV19990612","ICTV19990612@prod")</f>
        <v/>
      </c>
    </row>
    <row r="925">
      <c r="A925" t="n">
        <v>17</v>
      </c>
      <c r="B925" t="n">
        <v>19980963</v>
      </c>
      <c r="C925" t="n">
        <v>19990613</v>
      </c>
      <c r="D925" t="inlineStr">
        <is>
          <t>species</t>
        </is>
      </c>
      <c r="E925" t="inlineStr">
        <is>
          <t>Alajuela virus</t>
        </is>
      </c>
      <c r="F925" t="inlineStr"/>
      <c r="G925" t="inlineStr">
        <is>
          <t>Merged,</t>
        </is>
      </c>
      <c r="H925" t="inlineStr">
        <is>
          <t>Alajuela virus</t>
        </is>
      </c>
      <c r="I925" t="inlineStr">
        <is>
          <t>species</t>
        </is>
      </c>
      <c r="J925" t="n">
        <v>19990613</v>
      </c>
      <c r="K925" t="n">
        <v>19990613</v>
      </c>
      <c r="L925" s="8">
        <f>HYPERLINK("https://test.ictv.global/id/TN19980963","TN19980963@TEST")</f>
        <v/>
      </c>
      <c r="M925" s="8">
        <f>HYPERLINK("https://test.ictv.global/id/ICTV19990613","ICTV19990613@TEST")</f>
        <v/>
      </c>
      <c r="N925" s="8">
        <f>HYPERLINK("https://ictv.global/id/TN19980963","TN19980963@prod")</f>
        <v/>
      </c>
      <c r="O925" s="8">
        <f>HYPERLINK("https://ictv.global/id/ICTV19990613","ICTV19990613@prod")</f>
        <v/>
      </c>
    </row>
    <row r="926">
      <c r="A926" t="n">
        <v>17</v>
      </c>
      <c r="B926" t="n">
        <v>19980964</v>
      </c>
      <c r="C926" t="n">
        <v>19820261</v>
      </c>
      <c r="D926" t="inlineStr">
        <is>
          <t>species</t>
        </is>
      </c>
      <c r="E926" t="inlineStr">
        <is>
          <t>Ananindeua virus</t>
        </is>
      </c>
      <c r="G926" t="inlineStr">
        <is>
          <t>Merged,</t>
        </is>
      </c>
      <c r="H926" t="inlineStr">
        <is>
          <t>Guama virus</t>
        </is>
      </c>
      <c r="I926" t="inlineStr">
        <is>
          <t>species</t>
        </is>
      </c>
      <c r="J926" t="n">
        <v>19990632</v>
      </c>
      <c r="K926" t="n">
        <v>19990632</v>
      </c>
      <c r="L926" s="8">
        <f>HYPERLINK("https://test.ictv.global/id/TN19980964","TN19980964@TEST")</f>
        <v/>
      </c>
      <c r="M926" s="8">
        <f>HYPERLINK("https://test.ictv.global/id/ICTV19820261","ICTV19820261@TEST")</f>
        <v/>
      </c>
      <c r="N926" s="8">
        <f>HYPERLINK("https://ictv.global/id/TN19980964","TN19980964@prod")</f>
        <v/>
      </c>
      <c r="O926" s="8">
        <f>HYPERLINK("https://ictv.global/id/ICTV19820261","ICTV19820261@prod")</f>
        <v/>
      </c>
    </row>
    <row r="927">
      <c r="A927" t="n">
        <v>17</v>
      </c>
      <c r="B927" t="n">
        <v>19980965</v>
      </c>
      <c r="C927" t="n">
        <v>19760141</v>
      </c>
      <c r="D927" t="inlineStr">
        <is>
          <t>species</t>
        </is>
      </c>
      <c r="E927" t="inlineStr">
        <is>
          <t>Anhembi virus</t>
        </is>
      </c>
      <c r="G927" t="inlineStr">
        <is>
          <t>Merged,</t>
        </is>
      </c>
      <c r="H927" t="inlineStr">
        <is>
          <t>Wyeomyia virus</t>
        </is>
      </c>
      <c r="I927" t="inlineStr">
        <is>
          <t>species</t>
        </is>
      </c>
      <c r="J927" t="n">
        <v>19990656</v>
      </c>
      <c r="K927" t="n">
        <v>19990656</v>
      </c>
      <c r="L927" s="8">
        <f>HYPERLINK("https://test.ictv.global/id/TN19980965","TN19980965@TEST")</f>
        <v/>
      </c>
      <c r="M927" s="8">
        <f>HYPERLINK("https://test.ictv.global/id/ICTV19760141","ICTV19760141@TEST")</f>
        <v/>
      </c>
      <c r="N927" s="8">
        <f>HYPERLINK("https://ictv.global/id/TN19980965","TN19980965@prod")</f>
        <v/>
      </c>
      <c r="O927" s="8">
        <f>HYPERLINK("https://ictv.global/id/ICTV19760141","ICTV19760141@prod")</f>
        <v/>
      </c>
    </row>
    <row r="928">
      <c r="A928" t="n">
        <v>17</v>
      </c>
      <c r="B928" t="n">
        <v>19980966</v>
      </c>
      <c r="C928" t="n">
        <v>19990614</v>
      </c>
      <c r="D928" t="inlineStr">
        <is>
          <t>species</t>
        </is>
      </c>
      <c r="E928" t="inlineStr">
        <is>
          <t>Anopheles A virus</t>
        </is>
      </c>
      <c r="F928" t="inlineStr"/>
      <c r="G928" t="inlineStr">
        <is>
          <t>Merged,</t>
        </is>
      </c>
      <c r="H928" t="inlineStr">
        <is>
          <t>Anopheles A virus</t>
        </is>
      </c>
      <c r="I928" t="inlineStr">
        <is>
          <t>species</t>
        </is>
      </c>
      <c r="J928" t="n">
        <v>19990614</v>
      </c>
      <c r="K928" t="n">
        <v>19990614</v>
      </c>
      <c r="L928" s="8">
        <f>HYPERLINK("https://test.ictv.global/id/TN19980966","TN19980966@TEST")</f>
        <v/>
      </c>
      <c r="M928" s="8">
        <f>HYPERLINK("https://test.ictv.global/id/ICTV19990614","ICTV19990614@TEST")</f>
        <v/>
      </c>
      <c r="N928" s="8">
        <f>HYPERLINK("https://ictv.global/id/TN19980966","TN19980966@prod")</f>
        <v/>
      </c>
      <c r="O928" s="8">
        <f>HYPERLINK("https://ictv.global/id/ICTV19990614","ICTV19990614@prod")</f>
        <v/>
      </c>
    </row>
    <row r="929">
      <c r="A929" t="n">
        <v>17</v>
      </c>
      <c r="B929" t="n">
        <v>19980967</v>
      </c>
      <c r="C929" t="n">
        <v>19990615</v>
      </c>
      <c r="D929" t="inlineStr">
        <is>
          <t>species</t>
        </is>
      </c>
      <c r="E929" t="inlineStr">
        <is>
          <t>Anopheles B virus</t>
        </is>
      </c>
      <c r="F929" t="inlineStr"/>
      <c r="G929" t="inlineStr">
        <is>
          <t>Merged,</t>
        </is>
      </c>
      <c r="H929" t="inlineStr">
        <is>
          <t>Anopheles B virus</t>
        </is>
      </c>
      <c r="I929" t="inlineStr">
        <is>
          <t>species</t>
        </is>
      </c>
      <c r="J929" t="n">
        <v>19990615</v>
      </c>
      <c r="K929" t="n">
        <v>19990615</v>
      </c>
      <c r="L929" s="8">
        <f>HYPERLINK("https://test.ictv.global/id/TN19980967","TN19980967@TEST")</f>
        <v/>
      </c>
      <c r="M929" s="8">
        <f>HYPERLINK("https://test.ictv.global/id/ICTV19990615","ICTV19990615@TEST")</f>
        <v/>
      </c>
      <c r="N929" s="8">
        <f>HYPERLINK("https://ictv.global/id/TN19980967","TN19980967@prod")</f>
        <v/>
      </c>
      <c r="O929" s="8">
        <f>HYPERLINK("https://ictv.global/id/ICTV19990615","ICTV19990615@prod")</f>
        <v/>
      </c>
    </row>
    <row r="930">
      <c r="A930" t="n">
        <v>17</v>
      </c>
      <c r="B930" t="n">
        <v>19980968</v>
      </c>
      <c r="C930" t="n">
        <v>19760142</v>
      </c>
      <c r="D930" t="inlineStr">
        <is>
          <t>species</t>
        </is>
      </c>
      <c r="E930" t="inlineStr">
        <is>
          <t>Apeu virus</t>
        </is>
      </c>
      <c r="G930" t="inlineStr">
        <is>
          <t>Merged,</t>
        </is>
      </c>
      <c r="H930" t="inlineStr">
        <is>
          <t>Caraparu virus</t>
        </is>
      </c>
      <c r="I930" t="inlineStr">
        <is>
          <t>species</t>
        </is>
      </c>
      <c r="J930" t="n">
        <v>19990627</v>
      </c>
      <c r="K930" t="n">
        <v>19990627</v>
      </c>
      <c r="L930" s="8">
        <f>HYPERLINK("https://test.ictv.global/id/TN19980968","TN19980968@TEST")</f>
        <v/>
      </c>
      <c r="M930" s="8">
        <f>HYPERLINK("https://test.ictv.global/id/ICTV19760142","ICTV19760142@TEST")</f>
        <v/>
      </c>
      <c r="N930" s="8">
        <f>HYPERLINK("https://ictv.global/id/TN19980968","TN19980968@prod")</f>
        <v/>
      </c>
      <c r="O930" s="8">
        <f>HYPERLINK("https://ictv.global/id/ICTV19760142","ICTV19760142@prod")</f>
        <v/>
      </c>
    </row>
    <row r="931">
      <c r="A931" t="n">
        <v>17</v>
      </c>
      <c r="B931" t="n">
        <v>19980969</v>
      </c>
      <c r="C931" t="n">
        <v>19910453</v>
      </c>
      <c r="D931" t="inlineStr">
        <is>
          <t>species</t>
        </is>
      </c>
      <c r="E931" t="inlineStr">
        <is>
          <t>Babahoyo virus</t>
        </is>
      </c>
      <c r="G931" t="inlineStr">
        <is>
          <t>Merged,</t>
        </is>
      </c>
      <c r="H931" t="inlineStr">
        <is>
          <t>Patois virus</t>
        </is>
      </c>
      <c r="I931" t="inlineStr">
        <is>
          <t>species</t>
        </is>
      </c>
      <c r="J931" t="n">
        <v>19990646</v>
      </c>
      <c r="K931" t="n">
        <v>19990646</v>
      </c>
      <c r="L931" s="8">
        <f>HYPERLINK("https://test.ictv.global/id/TN19980969","TN19980969@TEST")</f>
        <v/>
      </c>
      <c r="M931" s="8">
        <f>HYPERLINK("https://test.ictv.global/id/ICTV19910453","ICTV19910453@TEST")</f>
        <v/>
      </c>
      <c r="N931" s="8">
        <f>HYPERLINK("https://ictv.global/id/TN19980969","TN19980969@prod")</f>
        <v/>
      </c>
      <c r="O931" s="8">
        <f>HYPERLINK("https://ictv.global/id/ICTV19910453","ICTV19910453@prod")</f>
        <v/>
      </c>
    </row>
    <row r="932">
      <c r="A932" t="n">
        <v>17</v>
      </c>
      <c r="B932" t="n">
        <v>19980970</v>
      </c>
      <c r="C932" t="n">
        <v>19760143</v>
      </c>
      <c r="D932" t="inlineStr">
        <is>
          <t>species</t>
        </is>
      </c>
      <c r="E932" t="inlineStr">
        <is>
          <t>Bahig virus</t>
        </is>
      </c>
      <c r="G932" t="inlineStr">
        <is>
          <t>Merged,</t>
        </is>
      </c>
      <c r="H932" t="inlineStr">
        <is>
          <t>Tete virus</t>
        </is>
      </c>
      <c r="I932" t="inlineStr">
        <is>
          <t>species</t>
        </is>
      </c>
      <c r="J932" t="n">
        <v>19990652</v>
      </c>
      <c r="K932" t="n">
        <v>19990652</v>
      </c>
      <c r="L932" s="8">
        <f>HYPERLINK("https://test.ictv.global/id/TN19980970","TN19980970@TEST")</f>
        <v/>
      </c>
      <c r="M932" s="8">
        <f>HYPERLINK("https://test.ictv.global/id/ICTV19760143","ICTV19760143@TEST")</f>
        <v/>
      </c>
      <c r="N932" s="8">
        <f>HYPERLINK("https://ictv.global/id/TN19980970","TN19980970@prod")</f>
        <v/>
      </c>
      <c r="O932" s="8">
        <f>HYPERLINK("https://ictv.global/id/ICTV19760143","ICTV19760143@prod")</f>
        <v/>
      </c>
    </row>
    <row r="933">
      <c r="A933" t="n">
        <v>17</v>
      </c>
      <c r="B933" t="n">
        <v>19980971</v>
      </c>
      <c r="C933" t="n">
        <v>19990616</v>
      </c>
      <c r="D933" t="inlineStr">
        <is>
          <t>species</t>
        </is>
      </c>
      <c r="E933" t="inlineStr">
        <is>
          <t>Bakau virus</t>
        </is>
      </c>
      <c r="F933" t="inlineStr"/>
      <c r="G933" t="inlineStr">
        <is>
          <t>Merged,</t>
        </is>
      </c>
      <c r="H933" t="inlineStr">
        <is>
          <t>Bakau virus</t>
        </is>
      </c>
      <c r="I933" t="inlineStr">
        <is>
          <t>species</t>
        </is>
      </c>
      <c r="J933" t="n">
        <v>19990616</v>
      </c>
      <c r="K933" t="n">
        <v>19990616</v>
      </c>
      <c r="L933" s="8">
        <f>HYPERLINK("https://test.ictv.global/id/TN19980971","TN19980971@TEST")</f>
        <v/>
      </c>
      <c r="M933" s="8">
        <f>HYPERLINK("https://test.ictv.global/id/ICTV19990616","ICTV19990616@TEST")</f>
        <v/>
      </c>
      <c r="N933" s="8">
        <f>HYPERLINK("https://ictv.global/id/TN19980971","TN19980971@prod")</f>
        <v/>
      </c>
      <c r="O933" s="8">
        <f>HYPERLINK("https://ictv.global/id/ICTV19990616","ICTV19990616@prod")</f>
        <v/>
      </c>
    </row>
    <row r="934">
      <c r="A934" t="n">
        <v>17</v>
      </c>
      <c r="B934" t="n">
        <v>19980972</v>
      </c>
      <c r="C934" t="n">
        <v>19760144</v>
      </c>
      <c r="D934" t="inlineStr">
        <is>
          <t>species</t>
        </is>
      </c>
      <c r="E934" t="inlineStr">
        <is>
          <t>Batai virus</t>
        </is>
      </c>
      <c r="G934" t="inlineStr">
        <is>
          <t>Merged,Assigned as Type Species,</t>
        </is>
      </c>
      <c r="H934" t="inlineStr">
        <is>
          <t>Bunyamwera virus</t>
        </is>
      </c>
      <c r="I934" t="inlineStr">
        <is>
          <t>species</t>
        </is>
      </c>
      <c r="J934" t="n">
        <v>19990622</v>
      </c>
      <c r="K934" t="n">
        <v>19990622</v>
      </c>
      <c r="L934" s="8">
        <f>HYPERLINK("https://test.ictv.global/id/TN19980972","TN19980972@TEST")</f>
        <v/>
      </c>
      <c r="M934" s="8">
        <f>HYPERLINK("https://test.ictv.global/id/ICTV19760144","ICTV19760144@TEST")</f>
        <v/>
      </c>
      <c r="N934" s="8">
        <f>HYPERLINK("https://ictv.global/id/TN19980972","TN19980972@prod")</f>
        <v/>
      </c>
      <c r="O934" s="8">
        <f>HYPERLINK("https://ictv.global/id/ICTV19760144","ICTV19760144@prod")</f>
        <v/>
      </c>
    </row>
    <row r="935">
      <c r="A935" t="n">
        <v>17</v>
      </c>
      <c r="B935" t="n">
        <v>19980974</v>
      </c>
      <c r="C935" t="n">
        <v>19910458</v>
      </c>
      <c r="D935" t="inlineStr">
        <is>
          <t>species</t>
        </is>
      </c>
      <c r="E935" t="inlineStr">
        <is>
          <t>BeAr328208 virus</t>
        </is>
      </c>
      <c r="G935" t="inlineStr">
        <is>
          <t>Merged,</t>
        </is>
      </c>
      <c r="H935" t="inlineStr">
        <is>
          <t>Wyeomyia virus</t>
        </is>
      </c>
      <c r="I935" t="inlineStr">
        <is>
          <t>species</t>
        </is>
      </c>
      <c r="J935" t="n">
        <v>19990656</v>
      </c>
      <c r="K935" t="n">
        <v>19990656</v>
      </c>
      <c r="L935" s="8">
        <f>HYPERLINK("https://test.ictv.global/id/TN19980974","TN19980974@TEST")</f>
        <v/>
      </c>
      <c r="M935" s="8">
        <f>HYPERLINK("https://test.ictv.global/id/ICTV19910458","ICTV19910458@TEST")</f>
        <v/>
      </c>
      <c r="N935" s="8">
        <f>HYPERLINK("https://ictv.global/id/TN19980974","TN19980974@prod")</f>
        <v/>
      </c>
      <c r="O935" s="8">
        <f>HYPERLINK("https://ictv.global/id/ICTV19910458","ICTV19910458@prod")</f>
        <v/>
      </c>
    </row>
    <row r="936">
      <c r="A936" t="n">
        <v>17</v>
      </c>
      <c r="B936" t="n">
        <v>19980976</v>
      </c>
      <c r="C936" t="n">
        <v>19820271</v>
      </c>
      <c r="D936" t="inlineStr">
        <is>
          <t>species</t>
        </is>
      </c>
      <c r="E936" t="inlineStr">
        <is>
          <t>Benfica virus</t>
        </is>
      </c>
      <c r="G936" t="inlineStr">
        <is>
          <t>Merged,</t>
        </is>
      </c>
      <c r="H936" t="inlineStr">
        <is>
          <t>Bushbush virus</t>
        </is>
      </c>
      <c r="I936" t="inlineStr">
        <is>
          <t>species</t>
        </is>
      </c>
      <c r="J936" t="n">
        <v>19990623</v>
      </c>
      <c r="K936" t="n">
        <v>19990623</v>
      </c>
      <c r="L936" s="8">
        <f>HYPERLINK("https://test.ictv.global/id/TN19980976","TN19980976@TEST")</f>
        <v/>
      </c>
      <c r="M936" s="8">
        <f>HYPERLINK("https://test.ictv.global/id/ICTV19820271","ICTV19820271@TEST")</f>
        <v/>
      </c>
      <c r="N936" s="8">
        <f>HYPERLINK("https://ictv.global/id/TN19980976","TN19980976@prod")</f>
        <v/>
      </c>
      <c r="O936" s="8">
        <f>HYPERLINK("https://ictv.global/id/ICTV19820271","ICTV19820271@prod")</f>
        <v/>
      </c>
    </row>
    <row r="937">
      <c r="A937" t="n">
        <v>17</v>
      </c>
      <c r="B937" t="n">
        <v>19980977</v>
      </c>
      <c r="C937" t="n">
        <v>19990619</v>
      </c>
      <c r="D937" t="inlineStr">
        <is>
          <t>species</t>
        </is>
      </c>
      <c r="E937" t="inlineStr">
        <is>
          <t>Bertioga virus</t>
        </is>
      </c>
      <c r="F937" t="inlineStr"/>
      <c r="G937" t="inlineStr">
        <is>
          <t>Merged,</t>
        </is>
      </c>
      <c r="H937" t="inlineStr">
        <is>
          <t>Bertioga virus</t>
        </is>
      </c>
      <c r="I937" t="inlineStr">
        <is>
          <t>species</t>
        </is>
      </c>
      <c r="J937" t="n">
        <v>19990619</v>
      </c>
      <c r="K937" t="n">
        <v>19990619</v>
      </c>
      <c r="L937" s="8">
        <f>HYPERLINK("https://test.ictv.global/id/TN19980977","TN19980977@TEST")</f>
        <v/>
      </c>
      <c r="M937" s="8">
        <f>HYPERLINK("https://test.ictv.global/id/ICTV19990619","ICTV19990619@TEST")</f>
        <v/>
      </c>
      <c r="N937" s="8">
        <f>HYPERLINK("https://ictv.global/id/TN19980977","TN19980977@prod")</f>
        <v/>
      </c>
      <c r="O937" s="8">
        <f>HYPERLINK("https://ictv.global/id/ICTV19990619","ICTV19990619@prod")</f>
        <v/>
      </c>
    </row>
    <row r="938">
      <c r="A938" t="n">
        <v>17</v>
      </c>
      <c r="B938" t="n">
        <v>19980979</v>
      </c>
      <c r="C938" t="n">
        <v>19760147</v>
      </c>
      <c r="D938" t="inlineStr">
        <is>
          <t>species</t>
        </is>
      </c>
      <c r="E938" t="inlineStr">
        <is>
          <t>Birao virus</t>
        </is>
      </c>
      <c r="G938" t="inlineStr">
        <is>
          <t>Merged,Assigned as Type Species,</t>
        </is>
      </c>
      <c r="H938" t="inlineStr">
        <is>
          <t>Bunyamwera virus</t>
        </is>
      </c>
      <c r="I938" t="inlineStr">
        <is>
          <t>species</t>
        </is>
      </c>
      <c r="J938" t="n">
        <v>19990622</v>
      </c>
      <c r="K938" t="n">
        <v>19990622</v>
      </c>
      <c r="L938" s="8">
        <f>HYPERLINK("https://test.ictv.global/id/TN19980979","TN19980979@TEST")</f>
        <v/>
      </c>
      <c r="M938" s="8">
        <f>HYPERLINK("https://test.ictv.global/id/ICTV19760147","ICTV19760147@TEST")</f>
        <v/>
      </c>
      <c r="N938" s="8">
        <f>HYPERLINK("https://ictv.global/id/TN19980979","TN19980979@prod")</f>
        <v/>
      </c>
      <c r="O938" s="8">
        <f>HYPERLINK("https://ictv.global/id/ICTV19760147","ICTV19760147@prod")</f>
        <v/>
      </c>
    </row>
    <row r="939">
      <c r="A939" t="n">
        <v>17</v>
      </c>
      <c r="B939" t="n">
        <v>19980980</v>
      </c>
      <c r="C939" t="n">
        <v>19820275</v>
      </c>
      <c r="D939" t="inlineStr">
        <is>
          <t>species</t>
        </is>
      </c>
      <c r="E939" t="inlineStr">
        <is>
          <t>Bobia virus</t>
        </is>
      </c>
      <c r="G939" t="inlineStr">
        <is>
          <t>Merged,</t>
        </is>
      </c>
      <c r="H939" t="inlineStr">
        <is>
          <t>Olifantsvlei virus</t>
        </is>
      </c>
      <c r="I939" t="inlineStr">
        <is>
          <t>species</t>
        </is>
      </c>
      <c r="J939" t="n">
        <v>19990643</v>
      </c>
      <c r="K939" t="n">
        <v>19990643</v>
      </c>
      <c r="L939" s="8">
        <f>HYPERLINK("https://test.ictv.global/id/TN19980980","TN19980980@TEST")</f>
        <v/>
      </c>
      <c r="M939" s="8">
        <f>HYPERLINK("https://test.ictv.global/id/ICTV19820275","ICTV19820275@TEST")</f>
        <v/>
      </c>
      <c r="N939" s="8">
        <f>HYPERLINK("https://ictv.global/id/TN19980980","TN19980980@prod")</f>
        <v/>
      </c>
      <c r="O939" s="8">
        <f>HYPERLINK("https://ictv.global/id/ICTV19820275","ICTV19820275@prod")</f>
        <v/>
      </c>
    </row>
    <row r="940">
      <c r="A940" t="n">
        <v>17</v>
      </c>
      <c r="B940" t="n">
        <v>19980981</v>
      </c>
      <c r="C940" t="n">
        <v>19790273</v>
      </c>
      <c r="D940" t="inlineStr">
        <is>
          <t>species</t>
        </is>
      </c>
      <c r="E940" t="inlineStr">
        <is>
          <t>Boraceia virus</t>
        </is>
      </c>
      <c r="G940" t="inlineStr">
        <is>
          <t>Merged,</t>
        </is>
      </c>
      <c r="H940" t="inlineStr">
        <is>
          <t>Anopheles B virus</t>
        </is>
      </c>
      <c r="I940" t="inlineStr">
        <is>
          <t>species</t>
        </is>
      </c>
      <c r="J940" t="n">
        <v>19990615</v>
      </c>
      <c r="K940" t="n">
        <v>19990615</v>
      </c>
      <c r="L940" s="8">
        <f>HYPERLINK("https://test.ictv.global/id/TN19980981","TN19980981@TEST")</f>
        <v/>
      </c>
      <c r="M940" s="8">
        <f>HYPERLINK("https://test.ictv.global/id/ICTV19790273","ICTV19790273@TEST")</f>
        <v/>
      </c>
      <c r="N940" s="8">
        <f>HYPERLINK("https://ictv.global/id/TN19980981","TN19980981@prod")</f>
        <v/>
      </c>
      <c r="O940" s="8">
        <f>HYPERLINK("https://ictv.global/id/ICTV19790273","ICTV19790273@prod")</f>
        <v/>
      </c>
    </row>
    <row r="941">
      <c r="A941" t="n">
        <v>17</v>
      </c>
      <c r="B941" t="n">
        <v>19980983</v>
      </c>
      <c r="C941" t="n">
        <v>19910467</v>
      </c>
      <c r="D941" t="inlineStr">
        <is>
          <t>species</t>
        </is>
      </c>
      <c r="E941" t="inlineStr">
        <is>
          <t>Bozo virus</t>
        </is>
      </c>
      <c r="G941" t="inlineStr">
        <is>
          <t>Merged,Assigned as Type Species,</t>
        </is>
      </c>
      <c r="H941" t="inlineStr">
        <is>
          <t>Bunyamwera virus</t>
        </is>
      </c>
      <c r="I941" t="inlineStr">
        <is>
          <t>species</t>
        </is>
      </c>
      <c r="J941" t="n">
        <v>19990622</v>
      </c>
      <c r="K941" t="n">
        <v>19990622</v>
      </c>
      <c r="L941" s="8">
        <f>HYPERLINK("https://test.ictv.global/id/TN19980983","TN19980983@TEST")</f>
        <v/>
      </c>
      <c r="M941" s="8">
        <f>HYPERLINK("https://test.ictv.global/id/ICTV19910467","ICTV19910467@TEST")</f>
        <v/>
      </c>
      <c r="N941" s="8">
        <f>HYPERLINK("https://ictv.global/id/TN19980983","TN19980983@prod")</f>
        <v/>
      </c>
      <c r="O941" s="8">
        <f>HYPERLINK("https://ictv.global/id/ICTV19910467","ICTV19910467@prod")</f>
        <v/>
      </c>
    </row>
    <row r="942">
      <c r="A942" t="n">
        <v>17</v>
      </c>
      <c r="B942" t="n">
        <v>19980984</v>
      </c>
      <c r="C942" t="n">
        <v>19910468</v>
      </c>
      <c r="D942" t="inlineStr">
        <is>
          <t>species</t>
        </is>
      </c>
      <c r="E942" t="inlineStr">
        <is>
          <t>Bruconha virus</t>
        </is>
      </c>
      <c r="G942" t="inlineStr">
        <is>
          <t>Merged,</t>
        </is>
      </c>
      <c r="H942" t="inlineStr">
        <is>
          <t>Caraparu virus</t>
        </is>
      </c>
      <c r="I942" t="inlineStr">
        <is>
          <t>species</t>
        </is>
      </c>
      <c r="J942" t="n">
        <v>19990627</v>
      </c>
      <c r="K942" t="n">
        <v>19990627</v>
      </c>
      <c r="L942" s="8">
        <f>HYPERLINK("https://test.ictv.global/id/TN19980984","TN19980984@TEST")</f>
        <v/>
      </c>
      <c r="M942" s="8">
        <f>HYPERLINK("https://test.ictv.global/id/ICTV19910468","ICTV19910468@TEST")</f>
        <v/>
      </c>
      <c r="N942" s="8">
        <f>HYPERLINK("https://ictv.global/id/TN19980984","TN19980984@prod")</f>
        <v/>
      </c>
      <c r="O942" s="8">
        <f>HYPERLINK("https://ictv.global/id/ICTV19910468","ICTV19910468@prod")</f>
        <v/>
      </c>
    </row>
    <row r="943">
      <c r="A943" t="n">
        <v>17</v>
      </c>
      <c r="B943" t="n">
        <v>19980985</v>
      </c>
      <c r="C943" t="n">
        <v>19910469</v>
      </c>
      <c r="D943" t="inlineStr">
        <is>
          <t>species</t>
        </is>
      </c>
      <c r="E943" t="inlineStr">
        <is>
          <t>Brus Laguna virus</t>
        </is>
      </c>
      <c r="G943" t="inlineStr">
        <is>
          <t>Abolished,</t>
        </is>
      </c>
      <c r="L943" s="8">
        <f>HYPERLINK("https://test.ictv.global/id/TN19980985","TN19980985@TEST")</f>
        <v/>
      </c>
      <c r="M943" s="8">
        <f>HYPERLINK("https://test.ictv.global/id/ICTV19910469","ICTV19910469@TEST")</f>
        <v/>
      </c>
      <c r="N943" s="8">
        <f>HYPERLINK("https://ictv.global/id/TN19980985","TN19980985@prod")</f>
        <v/>
      </c>
      <c r="O943" s="8">
        <f>HYPERLINK("https://ictv.global/id/ICTV19910469","ICTV19910469@prod")</f>
        <v/>
      </c>
    </row>
    <row r="944">
      <c r="A944" t="n">
        <v>17</v>
      </c>
      <c r="B944" t="n">
        <v>19980986</v>
      </c>
      <c r="C944" t="n">
        <v>19990622</v>
      </c>
      <c r="D944" t="inlineStr">
        <is>
          <t>species</t>
        </is>
      </c>
      <c r="E944" t="inlineStr">
        <is>
          <t>Bunyamwera virus</t>
        </is>
      </c>
      <c r="F944" t="inlineStr"/>
      <c r="G944" t="inlineStr">
        <is>
          <t>Merged,</t>
        </is>
      </c>
      <c r="H944" t="inlineStr">
        <is>
          <t>Bunyamwera virus</t>
        </is>
      </c>
      <c r="I944" t="inlineStr">
        <is>
          <t>species</t>
        </is>
      </c>
      <c r="J944" t="n">
        <v>19990622</v>
      </c>
      <c r="K944" t="n">
        <v>19990622</v>
      </c>
      <c r="L944" s="8">
        <f>HYPERLINK("https://test.ictv.global/id/TN19980986","TN19980986@TEST")</f>
        <v/>
      </c>
      <c r="M944" s="8">
        <f>HYPERLINK("https://test.ictv.global/id/ICTV19990622","ICTV19990622@TEST")</f>
        <v/>
      </c>
      <c r="N944" s="8">
        <f>HYPERLINK("https://ictv.global/id/TN19980986","TN19980986@prod")</f>
        <v/>
      </c>
      <c r="O944" s="8">
        <f>HYPERLINK("https://ictv.global/id/ICTV19990622","ICTV19990622@prod")</f>
        <v/>
      </c>
    </row>
    <row r="945">
      <c r="A945" t="n">
        <v>17</v>
      </c>
      <c r="B945" t="n">
        <v>19980987</v>
      </c>
      <c r="C945" t="n">
        <v>19990623</v>
      </c>
      <c r="D945" t="inlineStr">
        <is>
          <t>species</t>
        </is>
      </c>
      <c r="E945" t="inlineStr">
        <is>
          <t>Bushbush virus</t>
        </is>
      </c>
      <c r="F945" t="inlineStr"/>
      <c r="G945" t="inlineStr">
        <is>
          <t>Merged,</t>
        </is>
      </c>
      <c r="H945" t="inlineStr">
        <is>
          <t>Bushbush virus</t>
        </is>
      </c>
      <c r="I945" t="inlineStr">
        <is>
          <t>species</t>
        </is>
      </c>
      <c r="J945" t="n">
        <v>19990623</v>
      </c>
      <c r="K945" t="n">
        <v>19990623</v>
      </c>
      <c r="L945" s="8">
        <f>HYPERLINK("https://test.ictv.global/id/TN19980987","TN19980987@TEST")</f>
        <v/>
      </c>
      <c r="M945" s="8">
        <f>HYPERLINK("https://test.ictv.global/id/ICTV19990623","ICTV19990623@TEST")</f>
        <v/>
      </c>
      <c r="N945" s="8">
        <f>HYPERLINK("https://ictv.global/id/TN19980987","TN19980987@prod")</f>
        <v/>
      </c>
      <c r="O945" s="8">
        <f>HYPERLINK("https://ictv.global/id/ICTV19990623","ICTV19990623@prod")</f>
        <v/>
      </c>
    </row>
    <row r="946">
      <c r="A946" t="n">
        <v>17</v>
      </c>
      <c r="B946" t="n">
        <v>19980988</v>
      </c>
      <c r="C946" t="n">
        <v>19760152</v>
      </c>
      <c r="D946" t="inlineStr">
        <is>
          <t>species</t>
        </is>
      </c>
      <c r="E946" t="inlineStr">
        <is>
          <t>Buttonwillow virus</t>
        </is>
      </c>
      <c r="G946" t="inlineStr">
        <is>
          <t>Merged,</t>
        </is>
      </c>
      <c r="H946" t="inlineStr">
        <is>
          <t>Manzanilla virus</t>
        </is>
      </c>
      <c r="I946" t="inlineStr">
        <is>
          <t>species</t>
        </is>
      </c>
      <c r="J946" t="n">
        <v>19990638</v>
      </c>
      <c r="K946" t="n">
        <v>19990638</v>
      </c>
      <c r="L946" s="8">
        <f>HYPERLINK("https://test.ictv.global/id/TN19980988","TN19980988@TEST")</f>
        <v/>
      </c>
      <c r="M946" s="8">
        <f>HYPERLINK("https://test.ictv.global/id/ICTV19760152","ICTV19760152@TEST")</f>
        <v/>
      </c>
      <c r="N946" s="8">
        <f>HYPERLINK("https://ictv.global/id/TN19980988","TN19980988@prod")</f>
        <v/>
      </c>
      <c r="O946" s="8">
        <f>HYPERLINK("https://ictv.global/id/ICTV19760152","ICTV19760152@prod")</f>
        <v/>
      </c>
    </row>
    <row r="947">
      <c r="A947" t="n">
        <v>17</v>
      </c>
      <c r="B947" t="n">
        <v>19980989</v>
      </c>
      <c r="C947" t="n">
        <v>19990624</v>
      </c>
      <c r="D947" t="inlineStr">
        <is>
          <t>species</t>
        </is>
      </c>
      <c r="E947" t="inlineStr">
        <is>
          <t>Bwamba virus</t>
        </is>
      </c>
      <c r="F947" t="inlineStr"/>
      <c r="G947" t="inlineStr">
        <is>
          <t>Merged,</t>
        </is>
      </c>
      <c r="H947" t="inlineStr">
        <is>
          <t>Bwamba virus</t>
        </is>
      </c>
      <c r="I947" t="inlineStr">
        <is>
          <t>species</t>
        </is>
      </c>
      <c r="J947" t="n">
        <v>19990624</v>
      </c>
      <c r="K947" t="n">
        <v>19990624</v>
      </c>
      <c r="L947" s="8">
        <f>HYPERLINK("https://test.ictv.global/id/TN19980989","TN19980989@TEST")</f>
        <v/>
      </c>
      <c r="M947" s="8">
        <f>HYPERLINK("https://test.ictv.global/id/ICTV19990624","ICTV19990624@TEST")</f>
        <v/>
      </c>
      <c r="N947" s="8">
        <f>HYPERLINK("https://ictv.global/id/TN19980989","TN19980989@prod")</f>
        <v/>
      </c>
      <c r="O947" s="8">
        <f>HYPERLINK("https://ictv.global/id/ICTV19990624","ICTV19990624@prod")</f>
        <v/>
      </c>
    </row>
    <row r="948">
      <c r="A948" t="n">
        <v>17</v>
      </c>
      <c r="B948" t="n">
        <v>19980990</v>
      </c>
      <c r="C948" t="n">
        <v>19760154</v>
      </c>
      <c r="D948" t="inlineStr">
        <is>
          <t>species</t>
        </is>
      </c>
      <c r="E948" t="inlineStr">
        <is>
          <t>Cache Valley virus</t>
        </is>
      </c>
      <c r="G948" t="inlineStr">
        <is>
          <t>Merged,Assigned as Type Species,</t>
        </is>
      </c>
      <c r="H948" t="inlineStr">
        <is>
          <t>Bunyamwera virus</t>
        </is>
      </c>
      <c r="I948" t="inlineStr">
        <is>
          <t>species</t>
        </is>
      </c>
      <c r="J948" t="n">
        <v>19990622</v>
      </c>
      <c r="K948" t="n">
        <v>19990622</v>
      </c>
      <c r="L948" s="8">
        <f>HYPERLINK("https://test.ictv.global/id/TN19980990","TN19980990@TEST")</f>
        <v/>
      </c>
      <c r="M948" s="8">
        <f>HYPERLINK("https://test.ictv.global/id/ICTV19760154","ICTV19760154@TEST")</f>
        <v/>
      </c>
      <c r="N948" s="8">
        <f>HYPERLINK("https://ictv.global/id/TN19980990","TN19980990@prod")</f>
        <v/>
      </c>
      <c r="O948" s="8">
        <f>HYPERLINK("https://ictv.global/id/ICTV19760154","ICTV19760154@prod")</f>
        <v/>
      </c>
    </row>
    <row r="949">
      <c r="A949" t="n">
        <v>17</v>
      </c>
      <c r="B949" t="n">
        <v>19980991</v>
      </c>
      <c r="C949" t="n">
        <v>19990625</v>
      </c>
      <c r="D949" t="inlineStr">
        <is>
          <t>species</t>
        </is>
      </c>
      <c r="E949" t="inlineStr">
        <is>
          <t>California encephalitis virus</t>
        </is>
      </c>
      <c r="F949" t="inlineStr"/>
      <c r="G949" t="inlineStr">
        <is>
          <t>Merged,</t>
        </is>
      </c>
      <c r="H949" t="inlineStr">
        <is>
          <t>California encephalitis virus</t>
        </is>
      </c>
      <c r="I949" t="inlineStr">
        <is>
          <t>species</t>
        </is>
      </c>
      <c r="J949" t="n">
        <v>19990625</v>
      </c>
      <c r="K949" t="n">
        <v>19990625</v>
      </c>
      <c r="L949" s="8">
        <f>HYPERLINK("https://test.ictv.global/id/TN19980991","TN19980991@TEST")</f>
        <v/>
      </c>
      <c r="M949" s="8">
        <f>HYPERLINK("https://test.ictv.global/id/ICTV19990625","ICTV19990625@TEST")</f>
        <v/>
      </c>
      <c r="N949" s="8">
        <f>HYPERLINK("https://ictv.global/id/TN19980991","TN19980991@prod")</f>
        <v/>
      </c>
      <c r="O949" s="8">
        <f>HYPERLINK("https://ictv.global/id/ICTV19990625","ICTV19990625@prod")</f>
        <v/>
      </c>
    </row>
    <row r="950">
      <c r="A950" t="n">
        <v>17</v>
      </c>
      <c r="B950" t="n">
        <v>19980992</v>
      </c>
      <c r="C950" t="n">
        <v>19910476</v>
      </c>
      <c r="D950" t="inlineStr">
        <is>
          <t>species</t>
        </is>
      </c>
      <c r="E950" t="inlineStr">
        <is>
          <t>Cananeia virus</t>
        </is>
      </c>
      <c r="G950" t="inlineStr">
        <is>
          <t>Merged,</t>
        </is>
      </c>
      <c r="H950" t="inlineStr">
        <is>
          <t>Bertioga virus</t>
        </is>
      </c>
      <c r="I950" t="inlineStr">
        <is>
          <t>species</t>
        </is>
      </c>
      <c r="J950" t="n">
        <v>19990619</v>
      </c>
      <c r="K950" t="n">
        <v>19990619</v>
      </c>
      <c r="L950" s="8">
        <f>HYPERLINK("https://test.ictv.global/id/TN19980992","TN19980992@TEST")</f>
        <v/>
      </c>
      <c r="M950" s="8">
        <f>HYPERLINK("https://test.ictv.global/id/ICTV19910476","ICTV19910476@TEST")</f>
        <v/>
      </c>
      <c r="N950" s="8">
        <f>HYPERLINK("https://ictv.global/id/TN19980992","TN19980992@prod")</f>
        <v/>
      </c>
      <c r="O950" s="8">
        <f>HYPERLINK("https://ictv.global/id/ICTV19910476","ICTV19910476@prod")</f>
        <v/>
      </c>
    </row>
    <row r="951">
      <c r="A951" t="n">
        <v>17</v>
      </c>
      <c r="B951" t="n">
        <v>19980994</v>
      </c>
      <c r="C951" t="n">
        <v>19990627</v>
      </c>
      <c r="D951" t="inlineStr">
        <is>
          <t>species</t>
        </is>
      </c>
      <c r="E951" t="inlineStr">
        <is>
          <t>Caraparu virus</t>
        </is>
      </c>
      <c r="F951" t="inlineStr"/>
      <c r="G951" t="inlineStr">
        <is>
          <t>Merged,</t>
        </is>
      </c>
      <c r="H951" t="inlineStr">
        <is>
          <t>Caraparu virus</t>
        </is>
      </c>
      <c r="I951" t="inlineStr">
        <is>
          <t>species</t>
        </is>
      </c>
      <c r="J951" t="n">
        <v>19990627</v>
      </c>
      <c r="K951" t="n">
        <v>19990627</v>
      </c>
      <c r="L951" s="8">
        <f>HYPERLINK("https://test.ictv.global/id/TN19980994","TN19980994@TEST")</f>
        <v/>
      </c>
      <c r="M951" s="8">
        <f>HYPERLINK("https://test.ictv.global/id/ICTV19990627","ICTV19990627@TEST")</f>
        <v/>
      </c>
      <c r="N951" s="8">
        <f>HYPERLINK("https://ictv.global/id/TN19980994","TN19980994@prod")</f>
        <v/>
      </c>
      <c r="O951" s="8">
        <f>HYPERLINK("https://ictv.global/id/ICTV19990627","ICTV19990627@prod")</f>
        <v/>
      </c>
    </row>
    <row r="952">
      <c r="A952" t="n">
        <v>17</v>
      </c>
      <c r="B952" t="n">
        <v>19980996</v>
      </c>
      <c r="C952" t="n">
        <v>19910480</v>
      </c>
      <c r="D952" t="inlineStr">
        <is>
          <t>species</t>
        </is>
      </c>
      <c r="E952" t="inlineStr">
        <is>
          <t>CbaAr426 virus</t>
        </is>
      </c>
      <c r="G952" t="inlineStr">
        <is>
          <t>Merged,Assigned as Type Species,</t>
        </is>
      </c>
      <c r="H952" t="inlineStr">
        <is>
          <t>Bunyamwera virus</t>
        </is>
      </c>
      <c r="I952" t="inlineStr">
        <is>
          <t>species</t>
        </is>
      </c>
      <c r="J952" t="n">
        <v>19990622</v>
      </c>
      <c r="K952" t="n">
        <v>19990622</v>
      </c>
      <c r="L952" s="8">
        <f>HYPERLINK("https://test.ictv.global/id/TN19980996","TN19980996@TEST")</f>
        <v/>
      </c>
      <c r="M952" s="8">
        <f>HYPERLINK("https://test.ictv.global/id/ICTV19910480","ICTV19910480@TEST")</f>
        <v/>
      </c>
      <c r="N952" s="8">
        <f>HYPERLINK("https://ictv.global/id/TN19980996","TN19980996@prod")</f>
        <v/>
      </c>
      <c r="O952" s="8">
        <f>HYPERLINK("https://ictv.global/id/ICTV19910480","ICTV19910480@prod")</f>
        <v/>
      </c>
    </row>
    <row r="953">
      <c r="A953" t="n">
        <v>17</v>
      </c>
      <c r="B953" t="n">
        <v>19980997</v>
      </c>
      <c r="C953" t="n">
        <v>19910481</v>
      </c>
      <c r="D953" t="inlineStr">
        <is>
          <t>species</t>
        </is>
      </c>
      <c r="E953" t="inlineStr">
        <is>
          <t>CoAr1071 virus</t>
        </is>
      </c>
      <c r="G953" t="inlineStr">
        <is>
          <t>Merged,</t>
        </is>
      </c>
      <c r="H953" t="inlineStr">
        <is>
          <t>Tacaiuma virus</t>
        </is>
      </c>
      <c r="I953" t="inlineStr">
        <is>
          <t>species</t>
        </is>
      </c>
      <c r="J953" t="n">
        <v>19990651</v>
      </c>
      <c r="K953" t="n">
        <v>19990651</v>
      </c>
      <c r="L953" s="8">
        <f>HYPERLINK("https://test.ictv.global/id/TN19980997","TN19980997@TEST")</f>
        <v/>
      </c>
      <c r="M953" s="8">
        <f>HYPERLINK("https://test.ictv.global/id/ICTV19910481","ICTV19910481@TEST")</f>
        <v/>
      </c>
      <c r="N953" s="8">
        <f>HYPERLINK("https://ictv.global/id/TN19980997","TN19980997@prod")</f>
        <v/>
      </c>
      <c r="O953" s="8">
        <f>HYPERLINK("https://ictv.global/id/ICTV19910481","ICTV19910481@prod")</f>
        <v/>
      </c>
    </row>
    <row r="954">
      <c r="A954" t="n">
        <v>17</v>
      </c>
      <c r="B954" t="n">
        <v>19980998</v>
      </c>
      <c r="C954" t="n">
        <v>19910482</v>
      </c>
      <c r="D954" t="inlineStr">
        <is>
          <t>species</t>
        </is>
      </c>
      <c r="E954" t="inlineStr">
        <is>
          <t>CoAr3624 virus</t>
        </is>
      </c>
      <c r="G954" t="inlineStr">
        <is>
          <t>Merged,</t>
        </is>
      </c>
      <c r="H954" t="inlineStr">
        <is>
          <t>Anopheles A virus</t>
        </is>
      </c>
      <c r="I954" t="inlineStr">
        <is>
          <t>species</t>
        </is>
      </c>
      <c r="J954" t="n">
        <v>19990614</v>
      </c>
      <c r="K954" t="n">
        <v>19990614</v>
      </c>
      <c r="L954" s="8">
        <f>HYPERLINK("https://test.ictv.global/id/TN19980998","TN19980998@TEST")</f>
        <v/>
      </c>
      <c r="M954" s="8">
        <f>HYPERLINK("https://test.ictv.global/id/ICTV19910482","ICTV19910482@TEST")</f>
        <v/>
      </c>
      <c r="N954" s="8">
        <f>HYPERLINK("https://ictv.global/id/TN19980998","TN19980998@prod")</f>
        <v/>
      </c>
      <c r="O954" s="8">
        <f>HYPERLINK("https://ictv.global/id/ICTV19910482","ICTV19910482@prod")</f>
        <v/>
      </c>
    </row>
    <row r="955">
      <c r="A955" t="n">
        <v>17</v>
      </c>
      <c r="B955" t="n">
        <v>19980999</v>
      </c>
      <c r="C955" t="n">
        <v>19910483</v>
      </c>
      <c r="D955" t="inlineStr">
        <is>
          <t>species</t>
        </is>
      </c>
      <c r="E955" t="inlineStr">
        <is>
          <t>CoAr3627 virus</t>
        </is>
      </c>
      <c r="G955" t="inlineStr">
        <is>
          <t>Merged,</t>
        </is>
      </c>
      <c r="H955" t="inlineStr">
        <is>
          <t>Tacaiuma virus</t>
        </is>
      </c>
      <c r="I955" t="inlineStr">
        <is>
          <t>species</t>
        </is>
      </c>
      <c r="J955" t="n">
        <v>19990651</v>
      </c>
      <c r="K955" t="n">
        <v>19990651</v>
      </c>
      <c r="L955" s="8">
        <f>HYPERLINK("https://test.ictv.global/id/TN19980999","TN19980999@TEST")</f>
        <v/>
      </c>
      <c r="M955" s="8">
        <f>HYPERLINK("https://test.ictv.global/id/ICTV19910483","ICTV19910483@TEST")</f>
        <v/>
      </c>
      <c r="N955" s="8">
        <f>HYPERLINK("https://ictv.global/id/TN19980999","TN19980999@prod")</f>
        <v/>
      </c>
      <c r="O955" s="8">
        <f>HYPERLINK("https://ictv.global/id/ICTV19910483","ICTV19910483@prod")</f>
        <v/>
      </c>
    </row>
    <row r="956">
      <c r="A956" t="n">
        <v>17</v>
      </c>
      <c r="B956" t="n">
        <v>19981000</v>
      </c>
      <c r="C956" t="n">
        <v>19910484</v>
      </c>
      <c r="D956" t="inlineStr">
        <is>
          <t>species</t>
        </is>
      </c>
      <c r="E956" t="inlineStr">
        <is>
          <t>CoAr57389 virus</t>
        </is>
      </c>
      <c r="G956" t="inlineStr">
        <is>
          <t>Merged,</t>
        </is>
      </c>
      <c r="H956" t="inlineStr">
        <is>
          <t>Anopheles A virus</t>
        </is>
      </c>
      <c r="I956" t="inlineStr">
        <is>
          <t>species</t>
        </is>
      </c>
      <c r="J956" t="n">
        <v>19990614</v>
      </c>
      <c r="K956" t="n">
        <v>19990614</v>
      </c>
      <c r="L956" s="8">
        <f>HYPERLINK("https://test.ictv.global/id/TN19981000","TN19981000@TEST")</f>
        <v/>
      </c>
      <c r="M956" s="8">
        <f>HYPERLINK("https://test.ictv.global/id/ICTV19910484","ICTV19910484@TEST")</f>
        <v/>
      </c>
      <c r="N956" s="8">
        <f>HYPERLINK("https://ictv.global/id/TN19981000","TN19981000@prod")</f>
        <v/>
      </c>
      <c r="O956" s="8">
        <f>HYPERLINK("https://ictv.global/id/ICTV19910484","ICTV19910484@prod")</f>
        <v/>
      </c>
    </row>
    <row r="957">
      <c r="A957" t="n">
        <v>17</v>
      </c>
      <c r="B957" t="n">
        <v>19981001</v>
      </c>
      <c r="C957" t="n">
        <v>19910485</v>
      </c>
      <c r="D957" t="inlineStr">
        <is>
          <t>species</t>
        </is>
      </c>
      <c r="E957" t="inlineStr">
        <is>
          <t>Dabakala virus</t>
        </is>
      </c>
      <c r="G957" t="inlineStr">
        <is>
          <t>Merged,</t>
        </is>
      </c>
      <c r="H957" t="inlineStr">
        <is>
          <t>Olifantsvlei virus</t>
        </is>
      </c>
      <c r="I957" t="inlineStr">
        <is>
          <t>species</t>
        </is>
      </c>
      <c r="J957" t="n">
        <v>19990643</v>
      </c>
      <c r="K957" t="n">
        <v>19990643</v>
      </c>
      <c r="L957" s="8">
        <f>HYPERLINK("https://test.ictv.global/id/TN19981001","TN19981001@TEST")</f>
        <v/>
      </c>
      <c r="M957" s="8">
        <f>HYPERLINK("https://test.ictv.global/id/ICTV19910485","ICTV19910485@TEST")</f>
        <v/>
      </c>
      <c r="N957" s="8">
        <f>HYPERLINK("https://ictv.global/id/TN19981001","TN19981001@prod")</f>
        <v/>
      </c>
      <c r="O957" s="8">
        <f>HYPERLINK("https://ictv.global/id/ICTV19910485","ICTV19910485@prod")</f>
        <v/>
      </c>
    </row>
    <row r="958">
      <c r="A958" t="n">
        <v>17</v>
      </c>
      <c r="B958" t="n">
        <v>19981002</v>
      </c>
      <c r="C958" t="n">
        <v>19820288</v>
      </c>
      <c r="D958" t="inlineStr">
        <is>
          <t>species</t>
        </is>
      </c>
      <c r="E958" t="inlineStr">
        <is>
          <t>Douglas virus</t>
        </is>
      </c>
      <c r="G958" t="inlineStr">
        <is>
          <t>Merged,</t>
        </is>
      </c>
      <c r="H958" t="inlineStr">
        <is>
          <t>Sathuperi virus</t>
        </is>
      </c>
      <c r="I958" t="inlineStr">
        <is>
          <t>species</t>
        </is>
      </c>
      <c r="J958" t="n">
        <v>19990647</v>
      </c>
      <c r="K958" t="n">
        <v>19990647</v>
      </c>
      <c r="L958" s="8">
        <f>HYPERLINK("https://test.ictv.global/id/TN19981002","TN19981002@TEST")</f>
        <v/>
      </c>
      <c r="M958" s="8">
        <f>HYPERLINK("https://test.ictv.global/id/ICTV19820288","ICTV19820288@TEST")</f>
        <v/>
      </c>
      <c r="N958" s="8">
        <f>HYPERLINK("https://ictv.global/id/TN19981002","TN19981002@prod")</f>
        <v/>
      </c>
      <c r="O958" s="8">
        <f>HYPERLINK("https://ictv.global/id/ICTV19820288","ICTV19820288@prod")</f>
        <v/>
      </c>
    </row>
    <row r="959">
      <c r="A959" t="n">
        <v>17</v>
      </c>
      <c r="B959" t="n">
        <v>19981003</v>
      </c>
      <c r="C959" t="n">
        <v>19910487</v>
      </c>
      <c r="D959" t="inlineStr">
        <is>
          <t>species</t>
        </is>
      </c>
      <c r="E959" t="inlineStr">
        <is>
          <t>Eret-147 virus</t>
        </is>
      </c>
      <c r="G959" t="inlineStr">
        <is>
          <t>Merged,</t>
        </is>
      </c>
      <c r="H959" t="inlineStr">
        <is>
          <t>Nyando virus</t>
        </is>
      </c>
      <c r="I959" t="inlineStr">
        <is>
          <t>species</t>
        </is>
      </c>
      <c r="J959" t="n">
        <v>19990642</v>
      </c>
      <c r="K959" t="n">
        <v>19990642</v>
      </c>
      <c r="L959" s="8">
        <f>HYPERLINK("https://test.ictv.global/id/TN19981003","TN19981003@TEST")</f>
        <v/>
      </c>
      <c r="M959" s="8">
        <f>HYPERLINK("https://test.ictv.global/id/ICTV19910487","ICTV19910487@TEST")</f>
        <v/>
      </c>
      <c r="N959" s="8">
        <f>HYPERLINK("https://ictv.global/id/TN19981003","TN19981003@prod")</f>
        <v/>
      </c>
      <c r="O959" s="8">
        <f>HYPERLINK("https://ictv.global/id/ICTV19910487","ICTV19910487@prod")</f>
        <v/>
      </c>
    </row>
    <row r="960">
      <c r="A960" t="n">
        <v>17</v>
      </c>
      <c r="B960" t="n">
        <v>19981005</v>
      </c>
      <c r="C960" t="n">
        <v>19910489</v>
      </c>
      <c r="D960" t="inlineStr">
        <is>
          <t>species</t>
        </is>
      </c>
      <c r="E960" t="inlineStr">
        <is>
          <t>Facey's Paddock virus</t>
        </is>
      </c>
      <c r="G960" t="inlineStr">
        <is>
          <t>Merged,</t>
        </is>
      </c>
      <c r="H960" t="inlineStr">
        <is>
          <t>Oropouche virus</t>
        </is>
      </c>
      <c r="I960" t="inlineStr">
        <is>
          <t>species</t>
        </is>
      </c>
      <c r="J960" t="n">
        <v>19990645</v>
      </c>
      <c r="K960" t="n">
        <v>19990645</v>
      </c>
      <c r="L960" s="8">
        <f>HYPERLINK("https://test.ictv.global/id/TN19981005","TN19981005@TEST")</f>
        <v/>
      </c>
      <c r="M960" s="8">
        <f>HYPERLINK("https://test.ictv.global/id/ICTV19910489","ICTV19910489@TEST")</f>
        <v/>
      </c>
      <c r="N960" s="8">
        <f>HYPERLINK("https://ictv.global/id/TN19981005","TN19981005@prod")</f>
        <v/>
      </c>
      <c r="O960" s="8">
        <f>HYPERLINK("https://ictv.global/id/ICTV19910489","ICTV19910489@prod")</f>
        <v/>
      </c>
    </row>
    <row r="961">
      <c r="A961" t="n">
        <v>17</v>
      </c>
      <c r="B961" t="n">
        <v>19981006</v>
      </c>
      <c r="C961" t="n">
        <v>19910490</v>
      </c>
      <c r="D961" t="inlineStr">
        <is>
          <t>species</t>
        </is>
      </c>
      <c r="E961" t="inlineStr">
        <is>
          <t>Fort Sherman virus</t>
        </is>
      </c>
      <c r="G961" t="inlineStr">
        <is>
          <t>Merged,Assigned as Type Species,</t>
        </is>
      </c>
      <c r="H961" t="inlineStr">
        <is>
          <t>Bunyamwera virus</t>
        </is>
      </c>
      <c r="I961" t="inlineStr">
        <is>
          <t>species</t>
        </is>
      </c>
      <c r="J961" t="n">
        <v>19990622</v>
      </c>
      <c r="K961" t="n">
        <v>19990622</v>
      </c>
      <c r="L961" s="8">
        <f>HYPERLINK("https://test.ictv.global/id/TN19981006","TN19981006@TEST")</f>
        <v/>
      </c>
      <c r="M961" s="8">
        <f>HYPERLINK("https://test.ictv.global/id/ICTV19910490","ICTV19910490@TEST")</f>
        <v/>
      </c>
      <c r="N961" s="8">
        <f>HYPERLINK("https://ictv.global/id/TN19981006","TN19981006@prod")</f>
        <v/>
      </c>
      <c r="O961" s="8">
        <f>HYPERLINK("https://ictv.global/id/ICTV19910490","ICTV19910490@prod")</f>
        <v/>
      </c>
    </row>
    <row r="962">
      <c r="A962" t="n">
        <v>17</v>
      </c>
      <c r="B962" t="n">
        <v>19981007</v>
      </c>
      <c r="C962" t="n">
        <v>19990630</v>
      </c>
      <c r="D962" t="inlineStr">
        <is>
          <t>species</t>
        </is>
      </c>
      <c r="E962" t="inlineStr">
        <is>
          <t>Gamboa virus</t>
        </is>
      </c>
      <c r="F962" t="inlineStr"/>
      <c r="G962" t="inlineStr">
        <is>
          <t>Merged,</t>
        </is>
      </c>
      <c r="H962" t="inlineStr">
        <is>
          <t>Gamboa virus</t>
        </is>
      </c>
      <c r="I962" t="inlineStr">
        <is>
          <t>species</t>
        </is>
      </c>
      <c r="J962" t="n">
        <v>19990630</v>
      </c>
      <c r="K962" t="n">
        <v>19990630</v>
      </c>
      <c r="L962" s="8">
        <f>HYPERLINK("https://test.ictv.global/id/TN19981007","TN19981007@TEST")</f>
        <v/>
      </c>
      <c r="M962" s="8">
        <f>HYPERLINK("https://test.ictv.global/id/ICTV19990630","ICTV19990630@TEST")</f>
        <v/>
      </c>
      <c r="N962" s="8">
        <f>HYPERLINK("https://ictv.global/id/TN19981007","TN19981007@prod")</f>
        <v/>
      </c>
      <c r="O962" s="8">
        <f>HYPERLINK("https://ictv.global/id/ICTV19990630","ICTV19990630@prod")</f>
        <v/>
      </c>
    </row>
    <row r="963">
      <c r="A963" t="n">
        <v>17</v>
      </c>
      <c r="B963" t="n">
        <v>19981008</v>
      </c>
      <c r="C963" t="n">
        <v>19760161</v>
      </c>
      <c r="D963" t="inlineStr">
        <is>
          <t>species</t>
        </is>
      </c>
      <c r="E963" t="inlineStr">
        <is>
          <t>Germiston virus</t>
        </is>
      </c>
      <c r="G963" t="inlineStr">
        <is>
          <t>Merged,Assigned as Type Species,</t>
        </is>
      </c>
      <c r="H963" t="inlineStr">
        <is>
          <t>Bunyamwera virus</t>
        </is>
      </c>
      <c r="I963" t="inlineStr">
        <is>
          <t>species</t>
        </is>
      </c>
      <c r="J963" t="n">
        <v>19990622</v>
      </c>
      <c r="K963" t="n">
        <v>19990622</v>
      </c>
      <c r="L963" s="8">
        <f>HYPERLINK("https://test.ictv.global/id/TN19981008","TN19981008@TEST")</f>
        <v/>
      </c>
      <c r="M963" s="8">
        <f>HYPERLINK("https://test.ictv.global/id/ICTV19760161","ICTV19760161@TEST")</f>
        <v/>
      </c>
      <c r="N963" s="8">
        <f>HYPERLINK("https://ictv.global/id/TN19981008","TN19981008@prod")</f>
        <v/>
      </c>
      <c r="O963" s="8">
        <f>HYPERLINK("https://ictv.global/id/ICTV19760161","ICTV19760161@prod")</f>
        <v/>
      </c>
    </row>
    <row r="964">
      <c r="A964" t="n">
        <v>17</v>
      </c>
      <c r="B964" t="n">
        <v>19981009</v>
      </c>
      <c r="C964" t="n">
        <v>19910493</v>
      </c>
      <c r="D964" t="inlineStr">
        <is>
          <t>species</t>
        </is>
      </c>
      <c r="E964" t="inlineStr">
        <is>
          <t>GU71u344 virus</t>
        </is>
      </c>
      <c r="G964" t="inlineStr">
        <is>
          <t>Merged,</t>
        </is>
      </c>
      <c r="H964" t="inlineStr">
        <is>
          <t>Bushbush virus</t>
        </is>
      </c>
      <c r="I964" t="inlineStr">
        <is>
          <t>species</t>
        </is>
      </c>
      <c r="J964" t="n">
        <v>19990623</v>
      </c>
      <c r="K964" t="n">
        <v>19990623</v>
      </c>
      <c r="L964" s="8">
        <f>HYPERLINK("https://test.ictv.global/id/TN19981009","TN19981009@TEST")</f>
        <v/>
      </c>
      <c r="M964" s="8">
        <f>HYPERLINK("https://test.ictv.global/id/ICTV19910493","ICTV19910493@TEST")</f>
        <v/>
      </c>
      <c r="N964" s="8">
        <f>HYPERLINK("https://ictv.global/id/TN19981009","TN19981009@prod")</f>
        <v/>
      </c>
      <c r="O964" s="8">
        <f>HYPERLINK("https://ictv.global/id/ICTV19910493","ICTV19910493@prod")</f>
        <v/>
      </c>
    </row>
    <row r="965">
      <c r="A965" t="n">
        <v>17</v>
      </c>
      <c r="B965" t="n">
        <v>19981010</v>
      </c>
      <c r="C965" t="n">
        <v>19910494</v>
      </c>
      <c r="D965" t="inlineStr">
        <is>
          <t>species</t>
        </is>
      </c>
      <c r="E965" t="inlineStr">
        <is>
          <t>GU71u350 virus</t>
        </is>
      </c>
      <c r="G965" t="inlineStr">
        <is>
          <t>Merged,</t>
        </is>
      </c>
      <c r="H965" t="inlineStr">
        <is>
          <t>Guajara virus</t>
        </is>
      </c>
      <c r="I965" t="inlineStr">
        <is>
          <t>species</t>
        </is>
      </c>
      <c r="J965" t="n">
        <v>19990631</v>
      </c>
      <c r="K965" t="n">
        <v>19990631</v>
      </c>
      <c r="L965" s="8">
        <f>HYPERLINK("https://test.ictv.global/id/TN19981010","TN19981010@TEST")</f>
        <v/>
      </c>
      <c r="M965" s="8">
        <f>HYPERLINK("https://test.ictv.global/id/ICTV19910494","ICTV19910494@TEST")</f>
        <v/>
      </c>
      <c r="N965" s="8">
        <f>HYPERLINK("https://ictv.global/id/TN19981010","TN19981010@prod")</f>
        <v/>
      </c>
      <c r="O965" s="8">
        <f>HYPERLINK("https://ictv.global/id/ICTV19910494","ICTV19910494@prod")</f>
        <v/>
      </c>
    </row>
    <row r="966">
      <c r="A966" t="n">
        <v>17</v>
      </c>
      <c r="B966" t="n">
        <v>19981011</v>
      </c>
      <c r="C966" t="n">
        <v>19990631</v>
      </c>
      <c r="D966" t="inlineStr">
        <is>
          <t>species</t>
        </is>
      </c>
      <c r="E966" t="inlineStr">
        <is>
          <t>Guajara virus</t>
        </is>
      </c>
      <c r="F966" t="inlineStr"/>
      <c r="G966" t="inlineStr">
        <is>
          <t>Merged,</t>
        </is>
      </c>
      <c r="H966" t="inlineStr">
        <is>
          <t>Guajara virus</t>
        </is>
      </c>
      <c r="I966" t="inlineStr">
        <is>
          <t>species</t>
        </is>
      </c>
      <c r="J966" t="n">
        <v>19990631</v>
      </c>
      <c r="K966" t="n">
        <v>19990631</v>
      </c>
      <c r="L966" s="8">
        <f>HYPERLINK("https://test.ictv.global/id/TN19981011","TN19981011@TEST")</f>
        <v/>
      </c>
      <c r="M966" s="8">
        <f>HYPERLINK("https://test.ictv.global/id/ICTV19990631","ICTV19990631@TEST")</f>
        <v/>
      </c>
      <c r="N966" s="8">
        <f>HYPERLINK("https://ictv.global/id/TN19981011","TN19981011@prod")</f>
        <v/>
      </c>
      <c r="O966" s="8">
        <f>HYPERLINK("https://ictv.global/id/ICTV19990631","ICTV19990631@prod")</f>
        <v/>
      </c>
    </row>
    <row r="967">
      <c r="A967" t="n">
        <v>17</v>
      </c>
      <c r="B967" t="n">
        <v>19981012</v>
      </c>
      <c r="C967" t="n">
        <v>19990632</v>
      </c>
      <c r="D967" t="inlineStr">
        <is>
          <t>species</t>
        </is>
      </c>
      <c r="E967" t="inlineStr">
        <is>
          <t>Guama virus</t>
        </is>
      </c>
      <c r="F967" t="inlineStr"/>
      <c r="G967" t="inlineStr">
        <is>
          <t>Merged,</t>
        </is>
      </c>
      <c r="H967" t="inlineStr">
        <is>
          <t>Guama virus</t>
        </is>
      </c>
      <c r="I967" t="inlineStr">
        <is>
          <t>species</t>
        </is>
      </c>
      <c r="J967" t="n">
        <v>19990632</v>
      </c>
      <c r="K967" t="n">
        <v>19990632</v>
      </c>
      <c r="L967" s="8">
        <f>HYPERLINK("https://test.ictv.global/id/TN19981012","TN19981012@TEST")</f>
        <v/>
      </c>
      <c r="M967" s="8">
        <f>HYPERLINK("https://test.ictv.global/id/ICTV19990632","ICTV19990632@TEST")</f>
        <v/>
      </c>
      <c r="N967" s="8">
        <f>HYPERLINK("https://ictv.global/id/TN19981012","TN19981012@prod")</f>
        <v/>
      </c>
      <c r="O967" s="8">
        <f>HYPERLINK("https://ictv.global/id/ICTV19990632","ICTV19990632@prod")</f>
        <v/>
      </c>
    </row>
    <row r="968">
      <c r="A968" t="n">
        <v>17</v>
      </c>
      <c r="B968" t="n">
        <v>19981013</v>
      </c>
      <c r="C968" t="n">
        <v>19760164</v>
      </c>
      <c r="D968" t="inlineStr">
        <is>
          <t>species</t>
        </is>
      </c>
      <c r="E968" t="inlineStr">
        <is>
          <t>Guaratuba virus</t>
        </is>
      </c>
      <c r="G968" t="inlineStr">
        <is>
          <t>Merged,</t>
        </is>
      </c>
      <c r="H968" t="inlineStr">
        <is>
          <t>Bertioga virus</t>
        </is>
      </c>
      <c r="I968" t="inlineStr">
        <is>
          <t>species</t>
        </is>
      </c>
      <c r="J968" t="n">
        <v>19990619</v>
      </c>
      <c r="K968" t="n">
        <v>19990619</v>
      </c>
      <c r="L968" s="8">
        <f>HYPERLINK("https://test.ictv.global/id/TN19981013","TN19981013@TEST")</f>
        <v/>
      </c>
      <c r="M968" s="8">
        <f>HYPERLINK("https://test.ictv.global/id/ICTV19760164","ICTV19760164@TEST")</f>
        <v/>
      </c>
      <c r="N968" s="8">
        <f>HYPERLINK("https://ictv.global/id/TN19981013","TN19981013@prod")</f>
        <v/>
      </c>
      <c r="O968" s="8">
        <f>HYPERLINK("https://ictv.global/id/ICTV19760164","ICTV19760164@prod")</f>
        <v/>
      </c>
    </row>
    <row r="969">
      <c r="A969" t="n">
        <v>17</v>
      </c>
      <c r="B969" t="n">
        <v>19981015</v>
      </c>
      <c r="C969" t="n">
        <v>19760166</v>
      </c>
      <c r="D969" t="inlineStr">
        <is>
          <t>species</t>
        </is>
      </c>
      <c r="E969" t="inlineStr">
        <is>
          <t>Gumbo Limbo virus</t>
        </is>
      </c>
      <c r="G969" t="inlineStr">
        <is>
          <t>Merged,</t>
        </is>
      </c>
      <c r="H969" t="inlineStr">
        <is>
          <t>Marituba virus</t>
        </is>
      </c>
      <c r="I969" t="inlineStr">
        <is>
          <t>species</t>
        </is>
      </c>
      <c r="J969" t="n">
        <v>19990639</v>
      </c>
      <c r="K969" t="n">
        <v>19990639</v>
      </c>
      <c r="L969" s="8">
        <f>HYPERLINK("https://test.ictv.global/id/TN19981015","TN19981015@TEST")</f>
        <v/>
      </c>
      <c r="M969" s="8">
        <f>HYPERLINK("https://test.ictv.global/id/ICTV19760166","ICTV19760166@TEST")</f>
        <v/>
      </c>
      <c r="N969" s="8">
        <f>HYPERLINK("https://ictv.global/id/TN19981015","TN19981015@prod")</f>
        <v/>
      </c>
      <c r="O969" s="8">
        <f>HYPERLINK("https://ictv.global/id/ICTV19760166","ICTV19760166@prod")</f>
        <v/>
      </c>
    </row>
    <row r="970">
      <c r="A970" t="n">
        <v>17</v>
      </c>
      <c r="B970" t="n">
        <v>19981016</v>
      </c>
      <c r="C970" t="n">
        <v>19910500</v>
      </c>
      <c r="D970" t="inlineStr">
        <is>
          <t>species</t>
        </is>
      </c>
      <c r="E970" t="inlineStr">
        <is>
          <t>H32580 virus</t>
        </is>
      </c>
      <c r="G970" t="inlineStr">
        <is>
          <t>Merged,</t>
        </is>
      </c>
      <c r="H970" t="inlineStr">
        <is>
          <t>Tacaiuma virus</t>
        </is>
      </c>
      <c r="I970" t="inlineStr">
        <is>
          <t>species</t>
        </is>
      </c>
      <c r="J970" t="n">
        <v>19990651</v>
      </c>
      <c r="K970" t="n">
        <v>19990651</v>
      </c>
      <c r="L970" s="8">
        <f>HYPERLINK("https://test.ictv.global/id/TN19981016","TN19981016@TEST")</f>
        <v/>
      </c>
      <c r="M970" s="8">
        <f>HYPERLINK("https://test.ictv.global/id/ICTV19910500","ICTV19910500@TEST")</f>
        <v/>
      </c>
      <c r="N970" s="8">
        <f>HYPERLINK("https://ictv.global/id/TN19981016","TN19981016@prod")</f>
        <v/>
      </c>
      <c r="O970" s="8">
        <f>HYPERLINK("https://ictv.global/id/ICTV19910500","ICTV19910500@prod")</f>
        <v/>
      </c>
    </row>
    <row r="971">
      <c r="A971" t="n">
        <v>17</v>
      </c>
      <c r="B971" t="n">
        <v>19981017</v>
      </c>
      <c r="C971" t="n">
        <v>19910501</v>
      </c>
      <c r="D971" t="inlineStr">
        <is>
          <t>species</t>
        </is>
      </c>
      <c r="E971" t="inlineStr">
        <is>
          <t>Iaco virus</t>
        </is>
      </c>
      <c r="G971" t="inlineStr">
        <is>
          <t>Merged,Assigned as Type Species,</t>
        </is>
      </c>
      <c r="H971" t="inlineStr">
        <is>
          <t>Bunyamwera virus</t>
        </is>
      </c>
      <c r="I971" t="inlineStr">
        <is>
          <t>species</t>
        </is>
      </c>
      <c r="J971" t="n">
        <v>19990622</v>
      </c>
      <c r="K971" t="n">
        <v>19990622</v>
      </c>
      <c r="L971" s="8">
        <f>HYPERLINK("https://test.ictv.global/id/TN19981017","TN19981017@TEST")</f>
        <v/>
      </c>
      <c r="M971" s="8">
        <f>HYPERLINK("https://test.ictv.global/id/ICTV19910501","ICTV19910501@TEST")</f>
        <v/>
      </c>
      <c r="N971" s="8">
        <f>HYPERLINK("https://ictv.global/id/TN19981017","TN19981017@prod")</f>
        <v/>
      </c>
      <c r="O971" s="8">
        <f>HYPERLINK("https://ictv.global/id/ICTV19910501","ICTV19910501@prod")</f>
        <v/>
      </c>
    </row>
    <row r="972">
      <c r="A972" t="n">
        <v>17</v>
      </c>
      <c r="B972" t="n">
        <v>19981018</v>
      </c>
      <c r="C972" t="n">
        <v>19760167</v>
      </c>
      <c r="D972" t="inlineStr">
        <is>
          <t>species</t>
        </is>
      </c>
      <c r="E972" t="inlineStr">
        <is>
          <t>Ilehsa virus</t>
        </is>
      </c>
      <c r="G972" t="inlineStr">
        <is>
          <t>Merged,Assigned as Type Species,</t>
        </is>
      </c>
      <c r="H972" t="inlineStr">
        <is>
          <t>Bunyamwera virus</t>
        </is>
      </c>
      <c r="I972" t="inlineStr">
        <is>
          <t>species</t>
        </is>
      </c>
      <c r="J972" t="n">
        <v>19990622</v>
      </c>
      <c r="K972" t="n">
        <v>19990622</v>
      </c>
      <c r="L972" s="8">
        <f>HYPERLINK("https://test.ictv.global/id/TN19981018","TN19981018@TEST")</f>
        <v/>
      </c>
      <c r="M972" s="8">
        <f>HYPERLINK("https://test.ictv.global/id/ICTV19760167","ICTV19760167@TEST")</f>
        <v/>
      </c>
      <c r="N972" s="8">
        <f>HYPERLINK("https://ictv.global/id/TN19981018","TN19981018@prod")</f>
        <v/>
      </c>
      <c r="O972" s="8">
        <f>HYPERLINK("https://ictv.global/id/ICTV19760167","ICTV19760167@prod")</f>
        <v/>
      </c>
    </row>
    <row r="973">
      <c r="A973" t="n">
        <v>17</v>
      </c>
      <c r="B973" t="n">
        <v>19981019</v>
      </c>
      <c r="C973" t="n">
        <v>19760168</v>
      </c>
      <c r="D973" t="inlineStr">
        <is>
          <t>species</t>
        </is>
      </c>
      <c r="E973" t="inlineStr">
        <is>
          <t>Ingwavuma virus</t>
        </is>
      </c>
      <c r="G973" t="inlineStr">
        <is>
          <t>Merged,</t>
        </is>
      </c>
      <c r="H973" t="inlineStr">
        <is>
          <t>Manzanilla virus</t>
        </is>
      </c>
      <c r="I973" t="inlineStr">
        <is>
          <t>species</t>
        </is>
      </c>
      <c r="J973" t="n">
        <v>19990638</v>
      </c>
      <c r="K973" t="n">
        <v>19990638</v>
      </c>
      <c r="L973" s="8">
        <f>HYPERLINK("https://test.ictv.global/id/TN19981019","TN19981019@TEST")</f>
        <v/>
      </c>
      <c r="M973" s="8">
        <f>HYPERLINK("https://test.ictv.global/id/ICTV19760168","ICTV19760168@TEST")</f>
        <v/>
      </c>
      <c r="N973" s="8">
        <f>HYPERLINK("https://ictv.global/id/TN19981019","TN19981019@prod")</f>
        <v/>
      </c>
      <c r="O973" s="8">
        <f>HYPERLINK("https://ictv.global/id/ICTV19760168","ICTV19760168@prod")</f>
        <v/>
      </c>
    </row>
    <row r="974">
      <c r="A974" t="n">
        <v>17</v>
      </c>
      <c r="B974" t="n">
        <v>19981020</v>
      </c>
      <c r="C974" t="n">
        <v>19820298</v>
      </c>
      <c r="D974" t="inlineStr">
        <is>
          <t>species</t>
        </is>
      </c>
      <c r="E974" t="inlineStr">
        <is>
          <t>Inini virus</t>
        </is>
      </c>
      <c r="G974" t="inlineStr">
        <is>
          <t>Merged,</t>
        </is>
      </c>
      <c r="H974" t="inlineStr">
        <is>
          <t>Manzanilla virus</t>
        </is>
      </c>
      <c r="I974" t="inlineStr">
        <is>
          <t>species</t>
        </is>
      </c>
      <c r="J974" t="n">
        <v>19990638</v>
      </c>
      <c r="K974" t="n">
        <v>19990638</v>
      </c>
      <c r="L974" s="8">
        <f>HYPERLINK("https://test.ictv.global/id/TN19981020","TN19981020@TEST")</f>
        <v/>
      </c>
      <c r="M974" s="8">
        <f>HYPERLINK("https://test.ictv.global/id/ICTV19820298","ICTV19820298@TEST")</f>
        <v/>
      </c>
      <c r="N974" s="8">
        <f>HYPERLINK("https://ictv.global/id/TN19981020","TN19981020@prod")</f>
        <v/>
      </c>
      <c r="O974" s="8">
        <f>HYPERLINK("https://ictv.global/id/ICTV19820298","ICTV19820298@prod")</f>
        <v/>
      </c>
    </row>
    <row r="975">
      <c r="A975" t="n">
        <v>17</v>
      </c>
      <c r="B975" t="n">
        <v>19981021</v>
      </c>
      <c r="C975" t="n">
        <v>19760169</v>
      </c>
      <c r="D975" t="inlineStr">
        <is>
          <t>species</t>
        </is>
      </c>
      <c r="E975" t="inlineStr">
        <is>
          <t>Inkoo virus</t>
        </is>
      </c>
      <c r="G975" t="inlineStr">
        <is>
          <t>Merged,</t>
        </is>
      </c>
      <c r="H975" t="inlineStr">
        <is>
          <t>California encephalitis virus</t>
        </is>
      </c>
      <c r="I975" t="inlineStr">
        <is>
          <t>species</t>
        </is>
      </c>
      <c r="J975" t="n">
        <v>19990625</v>
      </c>
      <c r="K975" t="n">
        <v>19990625</v>
      </c>
      <c r="L975" s="8">
        <f>HYPERLINK("https://test.ictv.global/id/TN19981021","TN19981021@TEST")</f>
        <v/>
      </c>
      <c r="M975" s="8">
        <f>HYPERLINK("https://test.ictv.global/id/ICTV19760169","ICTV19760169@TEST")</f>
        <v/>
      </c>
      <c r="N975" s="8">
        <f>HYPERLINK("https://ictv.global/id/TN19981021","TN19981021@prod")</f>
        <v/>
      </c>
      <c r="O975" s="8">
        <f>HYPERLINK("https://ictv.global/id/ICTV19760169","ICTV19760169@prod")</f>
        <v/>
      </c>
    </row>
    <row r="976">
      <c r="A976" t="n">
        <v>17</v>
      </c>
      <c r="B976" t="n">
        <v>19981022</v>
      </c>
      <c r="C976" t="n">
        <v>19760170</v>
      </c>
      <c r="D976" t="inlineStr">
        <is>
          <t>species</t>
        </is>
      </c>
      <c r="E976" t="inlineStr">
        <is>
          <t>Itaqui virus</t>
        </is>
      </c>
      <c r="G976" t="inlineStr">
        <is>
          <t>Merged,</t>
        </is>
      </c>
      <c r="H976" t="inlineStr">
        <is>
          <t>Oriboca virus</t>
        </is>
      </c>
      <c r="I976" t="inlineStr">
        <is>
          <t>species</t>
        </is>
      </c>
      <c r="J976" t="n">
        <v>19990644</v>
      </c>
      <c r="K976" t="n">
        <v>19990644</v>
      </c>
      <c r="L976" s="8">
        <f>HYPERLINK("https://test.ictv.global/id/TN19981022","TN19981022@TEST")</f>
        <v/>
      </c>
      <c r="M976" s="8">
        <f>HYPERLINK("https://test.ictv.global/id/ICTV19760170","ICTV19760170@TEST")</f>
        <v/>
      </c>
      <c r="N976" s="8">
        <f>HYPERLINK("https://ictv.global/id/TN19981022","TN19981022@prod")</f>
        <v/>
      </c>
      <c r="O976" s="8">
        <f>HYPERLINK("https://ictv.global/id/ICTV19760170","ICTV19760170@prod")</f>
        <v/>
      </c>
    </row>
    <row r="977">
      <c r="A977" t="n">
        <v>17</v>
      </c>
      <c r="B977" t="n">
        <v>19981023</v>
      </c>
      <c r="C977" t="n">
        <v>19820301</v>
      </c>
      <c r="D977" t="inlineStr">
        <is>
          <t>species</t>
        </is>
      </c>
      <c r="E977" t="inlineStr">
        <is>
          <t>Itimirim virus</t>
        </is>
      </c>
      <c r="G977" t="inlineStr">
        <is>
          <t>Merged,</t>
        </is>
      </c>
      <c r="H977" t="inlineStr">
        <is>
          <t>Bertioga virus</t>
        </is>
      </c>
      <c r="I977" t="inlineStr">
        <is>
          <t>species</t>
        </is>
      </c>
      <c r="J977" t="n">
        <v>19990619</v>
      </c>
      <c r="K977" t="n">
        <v>19990619</v>
      </c>
      <c r="L977" s="8">
        <f>HYPERLINK("https://test.ictv.global/id/TN19981023","TN19981023@TEST")</f>
        <v/>
      </c>
      <c r="M977" s="8">
        <f>HYPERLINK("https://test.ictv.global/id/ICTV19820301","ICTV19820301@TEST")</f>
        <v/>
      </c>
      <c r="N977" s="8">
        <f>HYPERLINK("https://ictv.global/id/TN19981023","TN19981023@prod")</f>
        <v/>
      </c>
      <c r="O977" s="8">
        <f>HYPERLINK("https://ictv.global/id/ICTV19820301","ICTV19820301@prod")</f>
        <v/>
      </c>
    </row>
    <row r="978">
      <c r="A978" t="n">
        <v>17</v>
      </c>
      <c r="B978" t="n">
        <v>19981024</v>
      </c>
      <c r="C978" t="n">
        <v>19760171</v>
      </c>
      <c r="D978" t="inlineStr">
        <is>
          <t>species</t>
        </is>
      </c>
      <c r="E978" t="inlineStr">
        <is>
          <t>Jamestown Canyon virus</t>
        </is>
      </c>
      <c r="G978" t="inlineStr">
        <is>
          <t>Merged,</t>
        </is>
      </c>
      <c r="H978" t="inlineStr">
        <is>
          <t>California encephalitis virus</t>
        </is>
      </c>
      <c r="I978" t="inlineStr">
        <is>
          <t>species</t>
        </is>
      </c>
      <c r="J978" t="n">
        <v>19990625</v>
      </c>
      <c r="K978" t="n">
        <v>19990625</v>
      </c>
      <c r="L978" s="8">
        <f>HYPERLINK("https://test.ictv.global/id/TN19981024","TN19981024@TEST")</f>
        <v/>
      </c>
      <c r="M978" s="8">
        <f>HYPERLINK("https://test.ictv.global/id/ICTV19760171","ICTV19760171@TEST")</f>
        <v/>
      </c>
      <c r="N978" s="8">
        <f>HYPERLINK("https://ictv.global/id/TN19981024","TN19981024@prod")</f>
        <v/>
      </c>
      <c r="O978" s="8">
        <f>HYPERLINK("https://ictv.global/id/ICTV19760171","ICTV19760171@prod")</f>
        <v/>
      </c>
    </row>
    <row r="979">
      <c r="A979" t="n">
        <v>17</v>
      </c>
      <c r="B979" t="n">
        <v>19981025</v>
      </c>
      <c r="C979" t="n">
        <v>19760173</v>
      </c>
      <c r="D979" t="inlineStr">
        <is>
          <t>species</t>
        </is>
      </c>
      <c r="E979" t="inlineStr">
        <is>
          <t>Juan Diaz virus</t>
        </is>
      </c>
      <c r="G979" t="inlineStr">
        <is>
          <t>Merged,</t>
        </is>
      </c>
      <c r="H979" t="inlineStr">
        <is>
          <t>Bushbush virus</t>
        </is>
      </c>
      <c r="I979" t="inlineStr">
        <is>
          <t>species</t>
        </is>
      </c>
      <c r="J979" t="n">
        <v>19990623</v>
      </c>
      <c r="K979" t="n">
        <v>19990623</v>
      </c>
      <c r="L979" s="8">
        <f>HYPERLINK("https://test.ictv.global/id/TN19981025","TN19981025@TEST")</f>
        <v/>
      </c>
      <c r="M979" s="8">
        <f>HYPERLINK("https://test.ictv.global/id/ICTV19760173","ICTV19760173@TEST")</f>
        <v/>
      </c>
      <c r="N979" s="8">
        <f>HYPERLINK("https://ictv.global/id/TN19981025","TN19981025@prod")</f>
        <v/>
      </c>
      <c r="O979" s="8">
        <f>HYPERLINK("https://ictv.global/id/ICTV19760173","ICTV19760173@prod")</f>
        <v/>
      </c>
    </row>
    <row r="980">
      <c r="A980" t="n">
        <v>17</v>
      </c>
      <c r="B980" t="n">
        <v>19981026</v>
      </c>
      <c r="C980" t="n">
        <v>19790213</v>
      </c>
      <c r="D980" t="inlineStr">
        <is>
          <t>species</t>
        </is>
      </c>
      <c r="E980" t="inlineStr">
        <is>
          <t>Kaikalur virus</t>
        </is>
      </c>
      <c r="G980" t="inlineStr">
        <is>
          <t>Merged,</t>
        </is>
      </c>
      <c r="H980" t="inlineStr">
        <is>
          <t>Shuni virus</t>
        </is>
      </c>
      <c r="I980" t="inlineStr">
        <is>
          <t>species</t>
        </is>
      </c>
      <c r="J980" t="n">
        <v>19990649</v>
      </c>
      <c r="K980" t="n">
        <v>19990649</v>
      </c>
      <c r="L980" s="8">
        <f>HYPERLINK("https://test.ictv.global/id/TN19981026","TN19981026@TEST")</f>
        <v/>
      </c>
      <c r="M980" s="8">
        <f>HYPERLINK("https://test.ictv.global/id/ICTV19790213","ICTV19790213@TEST")</f>
        <v/>
      </c>
      <c r="N980" s="8">
        <f>HYPERLINK("https://ictv.global/id/TN19981026","TN19981026@prod")</f>
        <v/>
      </c>
      <c r="O980" s="8">
        <f>HYPERLINK("https://ictv.global/id/ICTV19790213","ICTV19790213@prod")</f>
        <v/>
      </c>
    </row>
    <row r="981">
      <c r="A981" t="n">
        <v>17</v>
      </c>
      <c r="B981" t="n">
        <v>19981028</v>
      </c>
      <c r="C981" t="n">
        <v>19910513</v>
      </c>
      <c r="D981" t="inlineStr">
        <is>
          <t>species</t>
        </is>
      </c>
      <c r="E981" t="inlineStr">
        <is>
          <t>Ketapang virus</t>
        </is>
      </c>
      <c r="G981" t="inlineStr">
        <is>
          <t>Merged,</t>
        </is>
      </c>
      <c r="H981" t="inlineStr">
        <is>
          <t>Bakau virus</t>
        </is>
      </c>
      <c r="I981" t="inlineStr">
        <is>
          <t>species</t>
        </is>
      </c>
      <c r="J981" t="n">
        <v>19990616</v>
      </c>
      <c r="K981" t="n">
        <v>19990616</v>
      </c>
      <c r="L981" s="8">
        <f>HYPERLINK("https://test.ictv.global/id/TN19981028","TN19981028@TEST")</f>
        <v/>
      </c>
      <c r="M981" s="8">
        <f>HYPERLINK("https://test.ictv.global/id/ICTV19910513","ICTV19910513@TEST")</f>
        <v/>
      </c>
      <c r="N981" s="8">
        <f>HYPERLINK("https://ictv.global/id/TN19981028","TN19981028@prod")</f>
        <v/>
      </c>
      <c r="O981" s="8">
        <f>HYPERLINK("https://ictv.global/id/ICTV19910513","ICTV19910513@prod")</f>
        <v/>
      </c>
    </row>
    <row r="982">
      <c r="A982" t="n">
        <v>17</v>
      </c>
      <c r="B982" t="n">
        <v>19981029</v>
      </c>
      <c r="C982" t="n">
        <v>19760177</v>
      </c>
      <c r="D982" t="inlineStr">
        <is>
          <t>species</t>
        </is>
      </c>
      <c r="E982" t="inlineStr">
        <is>
          <t>Keystone virus</t>
        </is>
      </c>
      <c r="G982" t="inlineStr">
        <is>
          <t>Merged,</t>
        </is>
      </c>
      <c r="H982" t="inlineStr">
        <is>
          <t>California encephalitis virus</t>
        </is>
      </c>
      <c r="I982" t="inlineStr">
        <is>
          <t>species</t>
        </is>
      </c>
      <c r="J982" t="n">
        <v>19990625</v>
      </c>
      <c r="K982" t="n">
        <v>19990625</v>
      </c>
      <c r="L982" s="8">
        <f>HYPERLINK("https://test.ictv.global/id/TN19981029","TN19981029@TEST")</f>
        <v/>
      </c>
      <c r="M982" s="8">
        <f>HYPERLINK("https://test.ictv.global/id/ICTV19760177","ICTV19760177@TEST")</f>
        <v/>
      </c>
      <c r="N982" s="8">
        <f>HYPERLINK("https://ictv.global/id/TN19981029","TN19981029@prod")</f>
        <v/>
      </c>
      <c r="O982" s="8">
        <f>HYPERLINK("https://ictv.global/id/ICTV19760177","ICTV19760177@prod")</f>
        <v/>
      </c>
    </row>
    <row r="983">
      <c r="A983" t="n">
        <v>17</v>
      </c>
      <c r="B983" t="n">
        <v>19981030</v>
      </c>
      <c r="C983" t="n">
        <v>19990635</v>
      </c>
      <c r="D983" t="inlineStr">
        <is>
          <t>species</t>
        </is>
      </c>
      <c r="E983" t="inlineStr">
        <is>
          <t>Koongol virus</t>
        </is>
      </c>
      <c r="F983" t="inlineStr"/>
      <c r="G983" t="inlineStr">
        <is>
          <t>Merged,</t>
        </is>
      </c>
      <c r="H983" t="inlineStr">
        <is>
          <t>Koongol virus</t>
        </is>
      </c>
      <c r="I983" t="inlineStr">
        <is>
          <t>species</t>
        </is>
      </c>
      <c r="J983" t="n">
        <v>19990635</v>
      </c>
      <c r="K983" t="n">
        <v>19990635</v>
      </c>
      <c r="L983" s="8">
        <f>HYPERLINK("https://test.ictv.global/id/TN19981030","TN19981030@TEST")</f>
        <v/>
      </c>
      <c r="M983" s="8">
        <f>HYPERLINK("https://test.ictv.global/id/ICTV19990635","ICTV19990635@TEST")</f>
        <v/>
      </c>
      <c r="N983" s="8">
        <f>HYPERLINK("https://ictv.global/id/TN19981030","TN19981030@prod")</f>
        <v/>
      </c>
      <c r="O983" s="8">
        <f>HYPERLINK("https://ictv.global/id/ICTV19990635","ICTV19990635@prod")</f>
        <v/>
      </c>
    </row>
    <row r="984">
      <c r="A984" t="n">
        <v>17</v>
      </c>
      <c r="B984" t="n">
        <v>19981031</v>
      </c>
      <c r="C984" t="n">
        <v>19760179</v>
      </c>
      <c r="D984" t="inlineStr">
        <is>
          <t>species</t>
        </is>
      </c>
      <c r="E984" t="inlineStr">
        <is>
          <t>La Crosse virus</t>
        </is>
      </c>
      <c r="G984" t="inlineStr">
        <is>
          <t>Merged,</t>
        </is>
      </c>
      <c r="H984" t="inlineStr">
        <is>
          <t>California encephalitis virus</t>
        </is>
      </c>
      <c r="I984" t="inlineStr">
        <is>
          <t>species</t>
        </is>
      </c>
      <c r="J984" t="n">
        <v>19990625</v>
      </c>
      <c r="K984" t="n">
        <v>19990625</v>
      </c>
      <c r="L984" s="8">
        <f>HYPERLINK("https://test.ictv.global/id/TN19981031","TN19981031@TEST")</f>
        <v/>
      </c>
      <c r="M984" s="8">
        <f>HYPERLINK("https://test.ictv.global/id/ICTV19760179","ICTV19760179@TEST")</f>
        <v/>
      </c>
      <c r="N984" s="8">
        <f>HYPERLINK("https://ictv.global/id/TN19981031","TN19981031@prod")</f>
        <v/>
      </c>
      <c r="O984" s="8">
        <f>HYPERLINK("https://ictv.global/id/ICTV19760179","ICTV19760179@prod")</f>
        <v/>
      </c>
    </row>
    <row r="985">
      <c r="A985" t="n">
        <v>17</v>
      </c>
      <c r="B985" t="n">
        <v>19981032</v>
      </c>
      <c r="C985" t="n">
        <v>19910517</v>
      </c>
      <c r="D985" t="inlineStr">
        <is>
          <t>species</t>
        </is>
      </c>
      <c r="E985" t="inlineStr">
        <is>
          <t>Las Maloyas virus</t>
        </is>
      </c>
      <c r="G985" t="inlineStr">
        <is>
          <t>Merged,</t>
        </is>
      </c>
      <c r="H985" t="inlineStr">
        <is>
          <t>Anopheles A virus</t>
        </is>
      </c>
      <c r="I985" t="inlineStr">
        <is>
          <t>species</t>
        </is>
      </c>
      <c r="J985" t="n">
        <v>19990614</v>
      </c>
      <c r="K985" t="n">
        <v>19990614</v>
      </c>
      <c r="L985" s="8">
        <f>HYPERLINK("https://test.ictv.global/id/TN19981032","TN19981032@TEST")</f>
        <v/>
      </c>
      <c r="M985" s="8">
        <f>HYPERLINK("https://test.ictv.global/id/ICTV19910517","ICTV19910517@TEST")</f>
        <v/>
      </c>
      <c r="N985" s="8">
        <f>HYPERLINK("https://ictv.global/id/TN19981032","TN19981032@prod")</f>
        <v/>
      </c>
      <c r="O985" s="8">
        <f>HYPERLINK("https://ictv.global/id/ICTV19910517","ICTV19910517@prod")</f>
        <v/>
      </c>
    </row>
    <row r="986">
      <c r="A986" t="n">
        <v>17</v>
      </c>
      <c r="B986" t="n">
        <v>19981033</v>
      </c>
      <c r="C986" t="n">
        <v>19910519</v>
      </c>
      <c r="D986" t="inlineStr">
        <is>
          <t>species</t>
        </is>
      </c>
      <c r="E986" t="inlineStr">
        <is>
          <t>Lednice virus</t>
        </is>
      </c>
      <c r="G986" t="inlineStr">
        <is>
          <t>Merged,</t>
        </is>
      </c>
      <c r="H986" t="inlineStr">
        <is>
          <t>Turlock virus</t>
        </is>
      </c>
      <c r="I986" t="inlineStr">
        <is>
          <t>species</t>
        </is>
      </c>
      <c r="J986" t="n">
        <v>19990655</v>
      </c>
      <c r="K986" t="n">
        <v>19990655</v>
      </c>
      <c r="L986" s="8">
        <f>HYPERLINK("https://test.ictv.global/id/TN19981033","TN19981033@TEST")</f>
        <v/>
      </c>
      <c r="M986" s="8">
        <f>HYPERLINK("https://test.ictv.global/id/ICTV19910519","ICTV19910519@TEST")</f>
        <v/>
      </c>
      <c r="N986" s="8">
        <f>HYPERLINK("https://ictv.global/id/TN19981033","TN19981033@prod")</f>
        <v/>
      </c>
      <c r="O986" s="8">
        <f>HYPERLINK("https://ictv.global/id/ICTV19910519","ICTV19910519@prod")</f>
        <v/>
      </c>
    </row>
    <row r="987">
      <c r="A987" t="n">
        <v>17</v>
      </c>
      <c r="B987" t="n">
        <v>19981034</v>
      </c>
      <c r="C987" t="n">
        <v>19760180</v>
      </c>
      <c r="D987" t="inlineStr">
        <is>
          <t>species</t>
        </is>
      </c>
      <c r="E987" t="inlineStr">
        <is>
          <t>Lokern virus</t>
        </is>
      </c>
      <c r="G987" t="inlineStr">
        <is>
          <t>Merged,Assigned as Type Species,</t>
        </is>
      </c>
      <c r="H987" t="inlineStr">
        <is>
          <t>Bunyamwera virus</t>
        </is>
      </c>
      <c r="I987" t="inlineStr">
        <is>
          <t>species</t>
        </is>
      </c>
      <c r="J987" t="n">
        <v>19990622</v>
      </c>
      <c r="K987" t="n">
        <v>19990622</v>
      </c>
      <c r="L987" s="8">
        <f>HYPERLINK("https://test.ictv.global/id/TN19981034","TN19981034@TEST")</f>
        <v/>
      </c>
      <c r="M987" s="8">
        <f>HYPERLINK("https://test.ictv.global/id/ICTV19760180","ICTV19760180@TEST")</f>
        <v/>
      </c>
      <c r="N987" s="8">
        <f>HYPERLINK("https://ictv.global/id/TN19981034","TN19981034@prod")</f>
        <v/>
      </c>
      <c r="O987" s="8">
        <f>HYPERLINK("https://ictv.global/id/ICTV19760180","ICTV19760180@prod")</f>
        <v/>
      </c>
    </row>
    <row r="988">
      <c r="A988" t="n">
        <v>17</v>
      </c>
      <c r="B988" t="n">
        <v>19981035</v>
      </c>
      <c r="C988" t="n">
        <v>19790219</v>
      </c>
      <c r="D988" t="inlineStr">
        <is>
          <t>species</t>
        </is>
      </c>
      <c r="E988" t="inlineStr">
        <is>
          <t>Lukuni virus</t>
        </is>
      </c>
      <c r="G988" t="inlineStr">
        <is>
          <t>Merged,</t>
        </is>
      </c>
      <c r="H988" t="inlineStr">
        <is>
          <t>Anopheles A virus</t>
        </is>
      </c>
      <c r="I988" t="inlineStr">
        <is>
          <t>species</t>
        </is>
      </c>
      <c r="J988" t="n">
        <v>19990614</v>
      </c>
      <c r="K988" t="n">
        <v>19990614</v>
      </c>
      <c r="L988" s="8">
        <f>HYPERLINK("https://test.ictv.global/id/TN19981035","TN19981035@TEST")</f>
        <v/>
      </c>
      <c r="M988" s="8">
        <f>HYPERLINK("https://test.ictv.global/id/ICTV19790219","ICTV19790219@TEST")</f>
        <v/>
      </c>
      <c r="N988" s="8">
        <f>HYPERLINK("https://ictv.global/id/TN19981035","TN19981035@prod")</f>
        <v/>
      </c>
      <c r="O988" s="8">
        <f>HYPERLINK("https://ictv.global/id/ICTV19790219","ICTV19790219@prod")</f>
        <v/>
      </c>
    </row>
    <row r="989">
      <c r="A989" t="n">
        <v>17</v>
      </c>
      <c r="B989" t="n">
        <v>19981036</v>
      </c>
      <c r="C989" t="n">
        <v>19910522</v>
      </c>
      <c r="D989" t="inlineStr">
        <is>
          <t>species</t>
        </is>
      </c>
      <c r="E989" t="inlineStr">
        <is>
          <t>Macaua virus</t>
        </is>
      </c>
      <c r="G989" t="inlineStr">
        <is>
          <t>Merged,</t>
        </is>
      </c>
      <c r="H989" t="inlineStr">
        <is>
          <t>Wyeomyia virus</t>
        </is>
      </c>
      <c r="I989" t="inlineStr">
        <is>
          <t>species</t>
        </is>
      </c>
      <c r="J989" t="n">
        <v>19990656</v>
      </c>
      <c r="K989" t="n">
        <v>19990656</v>
      </c>
      <c r="L989" s="8">
        <f>HYPERLINK("https://test.ictv.global/id/TN19981036","TN19981036@TEST")</f>
        <v/>
      </c>
      <c r="M989" s="8">
        <f>HYPERLINK("https://test.ictv.global/id/ICTV19910522","ICTV19910522@TEST")</f>
        <v/>
      </c>
      <c r="N989" s="8">
        <f>HYPERLINK("https://ictv.global/id/TN19981036","TN19981036@prod")</f>
        <v/>
      </c>
      <c r="O989" s="8">
        <f>HYPERLINK("https://ictv.global/id/ICTV19910522","ICTV19910522@prod")</f>
        <v/>
      </c>
    </row>
    <row r="990">
      <c r="A990" t="n">
        <v>17</v>
      </c>
      <c r="B990" t="n">
        <v>19981038</v>
      </c>
      <c r="C990" t="n">
        <v>19760182</v>
      </c>
      <c r="D990" t="inlineStr">
        <is>
          <t>species</t>
        </is>
      </c>
      <c r="E990" t="inlineStr">
        <is>
          <t>Maguari virus</t>
        </is>
      </c>
      <c r="G990" t="inlineStr">
        <is>
          <t>Merged,Assigned as Type Species,</t>
        </is>
      </c>
      <c r="H990" t="inlineStr">
        <is>
          <t>Bunyamwera virus</t>
        </is>
      </c>
      <c r="I990" t="inlineStr">
        <is>
          <t>species</t>
        </is>
      </c>
      <c r="J990" t="n">
        <v>19990622</v>
      </c>
      <c r="K990" t="n">
        <v>19990622</v>
      </c>
      <c r="L990" s="8">
        <f>HYPERLINK("https://test.ictv.global/id/TN19981038","TN19981038@TEST")</f>
        <v/>
      </c>
      <c r="M990" s="8">
        <f>HYPERLINK("https://test.ictv.global/id/ICTV19760182","ICTV19760182@TEST")</f>
        <v/>
      </c>
      <c r="N990" s="8">
        <f>HYPERLINK("https://ictv.global/id/TN19981038","TN19981038@prod")</f>
        <v/>
      </c>
      <c r="O990" s="8">
        <f>HYPERLINK("https://ictv.global/id/ICTV19760182","ICTV19760182@prod")</f>
        <v/>
      </c>
    </row>
    <row r="991">
      <c r="A991" t="n">
        <v>17</v>
      </c>
      <c r="B991" t="n">
        <v>19981039</v>
      </c>
      <c r="C991" t="n">
        <v>19760183</v>
      </c>
      <c r="D991" t="inlineStr">
        <is>
          <t>species</t>
        </is>
      </c>
      <c r="E991" t="inlineStr">
        <is>
          <t>Mahogany Hammock virus</t>
        </is>
      </c>
      <c r="G991" t="inlineStr">
        <is>
          <t>Merged,</t>
        </is>
      </c>
      <c r="H991" t="inlineStr">
        <is>
          <t>Guama virus</t>
        </is>
      </c>
      <c r="I991" t="inlineStr">
        <is>
          <t>species</t>
        </is>
      </c>
      <c r="J991" t="n">
        <v>19990632</v>
      </c>
      <c r="K991" t="n">
        <v>19990632</v>
      </c>
      <c r="L991" s="8">
        <f>HYPERLINK("https://test.ictv.global/id/TN19981039","TN19981039@TEST")</f>
        <v/>
      </c>
      <c r="M991" s="8">
        <f>HYPERLINK("https://test.ictv.global/id/ICTV19760183","ICTV19760183@TEST")</f>
        <v/>
      </c>
      <c r="N991" s="8">
        <f>HYPERLINK("https://ictv.global/id/TN19981039","TN19981039@prod")</f>
        <v/>
      </c>
      <c r="O991" s="8">
        <f>HYPERLINK("https://ictv.global/id/ICTV19760183","ICTV19760183@prod")</f>
        <v/>
      </c>
    </row>
    <row r="992">
      <c r="A992" t="n">
        <v>17</v>
      </c>
      <c r="B992" t="n">
        <v>19981041</v>
      </c>
      <c r="C992" t="n">
        <v>19990638</v>
      </c>
      <c r="D992" t="inlineStr">
        <is>
          <t>species</t>
        </is>
      </c>
      <c r="E992" t="inlineStr">
        <is>
          <t>Manzanilla virus</t>
        </is>
      </c>
      <c r="F992" t="inlineStr"/>
      <c r="G992" t="inlineStr">
        <is>
          <t>Merged,</t>
        </is>
      </c>
      <c r="H992" t="inlineStr">
        <is>
          <t>Manzanilla virus</t>
        </is>
      </c>
      <c r="I992" t="inlineStr">
        <is>
          <t>species</t>
        </is>
      </c>
      <c r="J992" t="n">
        <v>19990638</v>
      </c>
      <c r="K992" t="n">
        <v>19990638</v>
      </c>
      <c r="L992" s="8">
        <f>HYPERLINK("https://test.ictv.global/id/TN19981041","TN19981041@TEST")</f>
        <v/>
      </c>
      <c r="M992" s="8">
        <f>HYPERLINK("https://test.ictv.global/id/ICTV19990638","ICTV19990638@TEST")</f>
        <v/>
      </c>
      <c r="N992" s="8">
        <f>HYPERLINK("https://ictv.global/id/TN19981041","TN19981041@prod")</f>
        <v/>
      </c>
      <c r="O992" s="8">
        <f>HYPERLINK("https://ictv.global/id/ICTV19990638","ICTV19990638@prod")</f>
        <v/>
      </c>
    </row>
    <row r="993">
      <c r="A993" t="n">
        <v>17</v>
      </c>
      <c r="B993" t="n">
        <v>19981042</v>
      </c>
      <c r="C993" t="n">
        <v>19990639</v>
      </c>
      <c r="D993" t="inlineStr">
        <is>
          <t>species</t>
        </is>
      </c>
      <c r="E993" t="inlineStr">
        <is>
          <t>Marituba virus</t>
        </is>
      </c>
      <c r="F993" t="inlineStr"/>
      <c r="G993" t="inlineStr">
        <is>
          <t>Merged,</t>
        </is>
      </c>
      <c r="H993" t="inlineStr">
        <is>
          <t>Marituba virus</t>
        </is>
      </c>
      <c r="I993" t="inlineStr">
        <is>
          <t>species</t>
        </is>
      </c>
      <c r="J993" t="n">
        <v>19990639</v>
      </c>
      <c r="K993" t="n">
        <v>19990639</v>
      </c>
      <c r="L993" s="8">
        <f>HYPERLINK("https://test.ictv.global/id/TN19981042","TN19981042@TEST")</f>
        <v/>
      </c>
      <c r="M993" s="8">
        <f>HYPERLINK("https://test.ictv.global/id/ICTV19990639","ICTV19990639@TEST")</f>
        <v/>
      </c>
      <c r="N993" s="8">
        <f>HYPERLINK("https://ictv.global/id/TN19981042","TN19981042@prod")</f>
        <v/>
      </c>
      <c r="O993" s="8">
        <f>HYPERLINK("https://ictv.global/id/ICTV19990639","ICTV19990639@prod")</f>
        <v/>
      </c>
    </row>
    <row r="994">
      <c r="A994" t="n">
        <v>17</v>
      </c>
      <c r="B994" t="n">
        <v>19981043</v>
      </c>
      <c r="C994" t="n">
        <v>19760187</v>
      </c>
      <c r="D994" t="inlineStr">
        <is>
          <t>species</t>
        </is>
      </c>
      <c r="E994" t="inlineStr">
        <is>
          <t>Matruh virus</t>
        </is>
      </c>
      <c r="G994" t="inlineStr">
        <is>
          <t>Merged,</t>
        </is>
      </c>
      <c r="H994" t="inlineStr">
        <is>
          <t>Tete virus</t>
        </is>
      </c>
      <c r="I994" t="inlineStr">
        <is>
          <t>species</t>
        </is>
      </c>
      <c r="J994" t="n">
        <v>19990652</v>
      </c>
      <c r="K994" t="n">
        <v>19990652</v>
      </c>
      <c r="L994" s="8">
        <f>HYPERLINK("https://test.ictv.global/id/TN19981043","TN19981043@TEST")</f>
        <v/>
      </c>
      <c r="M994" s="8">
        <f>HYPERLINK("https://test.ictv.global/id/ICTV19760187","ICTV19760187@TEST")</f>
        <v/>
      </c>
      <c r="N994" s="8">
        <f>HYPERLINK("https://ictv.global/id/TN19981043","TN19981043@prod")</f>
        <v/>
      </c>
      <c r="O994" s="8">
        <f>HYPERLINK("https://ictv.global/id/ICTV19760187","ICTV19760187@prod")</f>
        <v/>
      </c>
    </row>
    <row r="995">
      <c r="A995" t="n">
        <v>17</v>
      </c>
      <c r="B995" t="n">
        <v>19981044</v>
      </c>
      <c r="C995" t="n">
        <v>19910530</v>
      </c>
      <c r="D995" t="inlineStr">
        <is>
          <t>species</t>
        </is>
      </c>
      <c r="E995" t="inlineStr">
        <is>
          <t>Mboke virus</t>
        </is>
      </c>
      <c r="G995" t="inlineStr">
        <is>
          <t>Merged,Assigned as Type Species,</t>
        </is>
      </c>
      <c r="H995" t="inlineStr">
        <is>
          <t>Bunyamwera virus</t>
        </is>
      </c>
      <c r="I995" t="inlineStr">
        <is>
          <t>species</t>
        </is>
      </c>
      <c r="J995" t="n">
        <v>19990622</v>
      </c>
      <c r="K995" t="n">
        <v>19990622</v>
      </c>
      <c r="L995" s="8">
        <f>HYPERLINK("https://test.ictv.global/id/TN19981044","TN19981044@TEST")</f>
        <v/>
      </c>
      <c r="M995" s="8">
        <f>HYPERLINK("https://test.ictv.global/id/ICTV19910530","ICTV19910530@TEST")</f>
        <v/>
      </c>
      <c r="N995" s="8">
        <f>HYPERLINK("https://ictv.global/id/TN19981044","TN19981044@prod")</f>
        <v/>
      </c>
      <c r="O995" s="8">
        <f>HYPERLINK("https://ictv.global/id/ICTV19910530","ICTV19910530@prod")</f>
        <v/>
      </c>
    </row>
    <row r="996">
      <c r="A996" t="n">
        <v>17</v>
      </c>
      <c r="B996" t="n">
        <v>19981045</v>
      </c>
      <c r="C996" t="n">
        <v>19760188</v>
      </c>
      <c r="D996" t="inlineStr">
        <is>
          <t>species</t>
        </is>
      </c>
      <c r="E996" t="inlineStr">
        <is>
          <t>Melao virus</t>
        </is>
      </c>
      <c r="G996" t="inlineStr">
        <is>
          <t>Merged,</t>
        </is>
      </c>
      <c r="H996" t="inlineStr">
        <is>
          <t>California encephalitis virus</t>
        </is>
      </c>
      <c r="I996" t="inlineStr">
        <is>
          <t>species</t>
        </is>
      </c>
      <c r="J996" t="n">
        <v>19990625</v>
      </c>
      <c r="K996" t="n">
        <v>19990625</v>
      </c>
      <c r="L996" s="8">
        <f>HYPERLINK("https://test.ictv.global/id/TN19981045","TN19981045@TEST")</f>
        <v/>
      </c>
      <c r="M996" s="8">
        <f>HYPERLINK("https://test.ictv.global/id/ICTV19760188","ICTV19760188@TEST")</f>
        <v/>
      </c>
      <c r="N996" s="8">
        <f>HYPERLINK("https://ictv.global/id/TN19981045","TN19981045@prod")</f>
        <v/>
      </c>
      <c r="O996" s="8">
        <f>HYPERLINK("https://ictv.global/id/ICTV19760188","ICTV19760188@prod")</f>
        <v/>
      </c>
    </row>
    <row r="997">
      <c r="A997" t="n">
        <v>17</v>
      </c>
      <c r="B997" t="n">
        <v>19981046</v>
      </c>
      <c r="C997" t="n">
        <v>19760189</v>
      </c>
      <c r="D997" t="inlineStr">
        <is>
          <t>species</t>
        </is>
      </c>
      <c r="E997" t="inlineStr">
        <is>
          <t>Mermet virus</t>
        </is>
      </c>
      <c r="G997" t="inlineStr">
        <is>
          <t>Merged,</t>
        </is>
      </c>
      <c r="H997" t="inlineStr">
        <is>
          <t>Manzanilla virus</t>
        </is>
      </c>
      <c r="I997" t="inlineStr">
        <is>
          <t>species</t>
        </is>
      </c>
      <c r="J997" t="n">
        <v>19990638</v>
      </c>
      <c r="K997" t="n">
        <v>19990638</v>
      </c>
      <c r="L997" s="8">
        <f>HYPERLINK("https://test.ictv.global/id/TN19981046","TN19981046@TEST")</f>
        <v/>
      </c>
      <c r="M997" s="8">
        <f>HYPERLINK("https://test.ictv.global/id/ICTV19760189","ICTV19760189@TEST")</f>
        <v/>
      </c>
      <c r="N997" s="8">
        <f>HYPERLINK("https://ictv.global/id/TN19981046","TN19981046@prod")</f>
        <v/>
      </c>
      <c r="O997" s="8">
        <f>HYPERLINK("https://ictv.global/id/ICTV19760189","ICTV19760189@prod")</f>
        <v/>
      </c>
    </row>
    <row r="998">
      <c r="A998" t="n">
        <v>17</v>
      </c>
      <c r="B998" t="n">
        <v>19981047</v>
      </c>
      <c r="C998" t="n">
        <v>19990640</v>
      </c>
      <c r="D998" t="inlineStr">
        <is>
          <t>species</t>
        </is>
      </c>
      <c r="E998" t="inlineStr">
        <is>
          <t>Minatitlan virus</t>
        </is>
      </c>
      <c r="F998" t="inlineStr"/>
      <c r="G998" t="inlineStr">
        <is>
          <t>Merged,</t>
        </is>
      </c>
      <c r="H998" t="inlineStr">
        <is>
          <t>Minatitlan virus</t>
        </is>
      </c>
      <c r="I998" t="inlineStr">
        <is>
          <t>species</t>
        </is>
      </c>
      <c r="J998" t="n">
        <v>19990640</v>
      </c>
      <c r="K998" t="n">
        <v>19990640</v>
      </c>
      <c r="L998" s="8">
        <f>HYPERLINK("https://test.ictv.global/id/TN19981047","TN19981047@TEST")</f>
        <v/>
      </c>
      <c r="M998" s="8">
        <f>HYPERLINK("https://test.ictv.global/id/ICTV19990640","ICTV19990640@TEST")</f>
        <v/>
      </c>
      <c r="N998" s="8">
        <f>HYPERLINK("https://ictv.global/id/TN19981047","TN19981047@prod")</f>
        <v/>
      </c>
      <c r="O998" s="8">
        <f>HYPERLINK("https://ictv.global/id/ICTV19990640","ICTV19990640@prod")</f>
        <v/>
      </c>
    </row>
    <row r="999">
      <c r="A999" t="n">
        <v>17</v>
      </c>
      <c r="B999" t="n">
        <v>19981048</v>
      </c>
      <c r="C999" t="n">
        <v>19760191</v>
      </c>
      <c r="D999" t="inlineStr">
        <is>
          <t>species</t>
        </is>
      </c>
      <c r="E999" t="inlineStr">
        <is>
          <t>Mirim virus</t>
        </is>
      </c>
      <c r="G999" t="inlineStr">
        <is>
          <t>Merged,</t>
        </is>
      </c>
      <c r="H999" t="inlineStr">
        <is>
          <t>Bertioga virus</t>
        </is>
      </c>
      <c r="I999" t="inlineStr">
        <is>
          <t>species</t>
        </is>
      </c>
      <c r="J999" t="n">
        <v>19990619</v>
      </c>
      <c r="K999" t="n">
        <v>19990619</v>
      </c>
      <c r="L999" s="8">
        <f>HYPERLINK("https://test.ictv.global/id/TN19981048","TN19981048@TEST")</f>
        <v/>
      </c>
      <c r="M999" s="8">
        <f>HYPERLINK("https://test.ictv.global/id/ICTV19760191","ICTV19760191@TEST")</f>
        <v/>
      </c>
      <c r="N999" s="8">
        <f>HYPERLINK("https://ictv.global/id/TN19981048","TN19981048@prod")</f>
        <v/>
      </c>
      <c r="O999" s="8">
        <f>HYPERLINK("https://ictv.global/id/ICTV19760191","ICTV19760191@prod")</f>
        <v/>
      </c>
    </row>
    <row r="1000">
      <c r="A1000" t="n">
        <v>17</v>
      </c>
      <c r="B1000" t="n">
        <v>19981049</v>
      </c>
      <c r="C1000" t="n">
        <v>19760192</v>
      </c>
      <c r="D1000" t="inlineStr">
        <is>
          <t>species</t>
        </is>
      </c>
      <c r="E1000" t="inlineStr">
        <is>
          <t>Moju virus</t>
        </is>
      </c>
      <c r="G1000" t="inlineStr">
        <is>
          <t>Merged,</t>
        </is>
      </c>
      <c r="H1000" t="inlineStr">
        <is>
          <t>Guama virus</t>
        </is>
      </c>
      <c r="I1000" t="inlineStr">
        <is>
          <t>species</t>
        </is>
      </c>
      <c r="J1000" t="n">
        <v>19990632</v>
      </c>
      <c r="K1000" t="n">
        <v>19990632</v>
      </c>
      <c r="L1000" s="8">
        <f>HYPERLINK("https://test.ictv.global/id/TN19981049","TN19981049@TEST")</f>
        <v/>
      </c>
      <c r="M1000" s="8">
        <f>HYPERLINK("https://test.ictv.global/id/ICTV19760192","ICTV19760192@TEST")</f>
        <v/>
      </c>
      <c r="N1000" s="8">
        <f>HYPERLINK("https://ictv.global/id/TN19981049","TN19981049@prod")</f>
        <v/>
      </c>
      <c r="O1000" s="8">
        <f>HYPERLINK("https://ictv.global/id/ICTV19760192","ICTV19760192@prod")</f>
        <v/>
      </c>
    </row>
    <row r="1001">
      <c r="A1001" t="n">
        <v>17</v>
      </c>
      <c r="B1001" t="n">
        <v>19981050</v>
      </c>
      <c r="C1001" t="n">
        <v>19760193</v>
      </c>
      <c r="D1001" t="inlineStr">
        <is>
          <t>species</t>
        </is>
      </c>
      <c r="E1001" t="inlineStr">
        <is>
          <t>Moriche virus</t>
        </is>
      </c>
      <c r="G1001" t="inlineStr">
        <is>
          <t>Merged,</t>
        </is>
      </c>
      <c r="H1001" t="inlineStr">
        <is>
          <t>Acara virus</t>
        </is>
      </c>
      <c r="I1001" t="inlineStr">
        <is>
          <t>species</t>
        </is>
      </c>
      <c r="J1001" t="n">
        <v>19990611</v>
      </c>
      <c r="K1001" t="n">
        <v>19990611</v>
      </c>
      <c r="L1001" s="8">
        <f>HYPERLINK("https://test.ictv.global/id/TN19981050","TN19981050@TEST")</f>
        <v/>
      </c>
      <c r="M1001" s="8">
        <f>HYPERLINK("https://test.ictv.global/id/ICTV19760193","ICTV19760193@TEST")</f>
        <v/>
      </c>
      <c r="N1001" s="8">
        <f>HYPERLINK("https://ictv.global/id/TN19981050","TN19981050@prod")</f>
        <v/>
      </c>
      <c r="O1001" s="8">
        <f>HYPERLINK("https://ictv.global/id/ICTV19760193","ICTV19760193@prod")</f>
        <v/>
      </c>
    </row>
    <row r="1002">
      <c r="A1002" t="n">
        <v>17</v>
      </c>
      <c r="B1002" t="n">
        <v>19981051</v>
      </c>
      <c r="C1002" t="n">
        <v>19760194</v>
      </c>
      <c r="D1002" t="inlineStr">
        <is>
          <t>species</t>
        </is>
      </c>
      <c r="E1002" t="inlineStr">
        <is>
          <t>Murutucu virus</t>
        </is>
      </c>
      <c r="G1002" t="inlineStr">
        <is>
          <t>Merged,</t>
        </is>
      </c>
      <c r="H1002" t="inlineStr">
        <is>
          <t>Marituba virus</t>
        </is>
      </c>
      <c r="I1002" t="inlineStr">
        <is>
          <t>species</t>
        </is>
      </c>
      <c r="J1002" t="n">
        <v>19990639</v>
      </c>
      <c r="K1002" t="n">
        <v>19990639</v>
      </c>
      <c r="L1002" s="8">
        <f>HYPERLINK("https://test.ictv.global/id/TN19981051","TN19981051@TEST")</f>
        <v/>
      </c>
      <c r="M1002" s="8">
        <f>HYPERLINK("https://test.ictv.global/id/ICTV19760194","ICTV19760194@TEST")</f>
        <v/>
      </c>
      <c r="N1002" s="8">
        <f>HYPERLINK("https://ictv.global/id/TN19981051","TN19981051@prod")</f>
        <v/>
      </c>
      <c r="O1002" s="8">
        <f>HYPERLINK("https://ictv.global/id/ICTV19760194","ICTV19760194@prod")</f>
        <v/>
      </c>
    </row>
    <row r="1003">
      <c r="A1003" t="n">
        <v>17</v>
      </c>
      <c r="B1003" t="n">
        <v>19981052</v>
      </c>
      <c r="C1003" t="n">
        <v>19760195</v>
      </c>
      <c r="D1003" t="inlineStr">
        <is>
          <t>species</t>
        </is>
      </c>
      <c r="E1003" t="inlineStr">
        <is>
          <t>Nepuyo virus</t>
        </is>
      </c>
      <c r="G1003" t="inlineStr">
        <is>
          <t>Merged,</t>
        </is>
      </c>
      <c r="H1003" t="inlineStr">
        <is>
          <t>Marituba virus</t>
        </is>
      </c>
      <c r="I1003" t="inlineStr">
        <is>
          <t>species</t>
        </is>
      </c>
      <c r="J1003" t="n">
        <v>19990639</v>
      </c>
      <c r="K1003" t="n">
        <v>19990639</v>
      </c>
      <c r="L1003" s="8">
        <f>HYPERLINK("https://test.ictv.global/id/TN19981052","TN19981052@TEST")</f>
        <v/>
      </c>
      <c r="M1003" s="8">
        <f>HYPERLINK("https://test.ictv.global/id/ICTV19760195","ICTV19760195@TEST")</f>
        <v/>
      </c>
      <c r="N1003" s="8">
        <f>HYPERLINK("https://ictv.global/id/TN19981052","TN19981052@prod")</f>
        <v/>
      </c>
      <c r="O1003" s="8">
        <f>HYPERLINK("https://ictv.global/id/ICTV19760195","ICTV19760195@prod")</f>
        <v/>
      </c>
    </row>
    <row r="1004">
      <c r="A1004" t="n">
        <v>17</v>
      </c>
      <c r="B1004" t="n">
        <v>19981053</v>
      </c>
      <c r="C1004" t="n">
        <v>19910540</v>
      </c>
      <c r="D1004" t="inlineStr">
        <is>
          <t>species</t>
        </is>
      </c>
      <c r="E1004" t="inlineStr">
        <is>
          <t>Ngari virus</t>
        </is>
      </c>
      <c r="G1004" t="inlineStr">
        <is>
          <t>Merged,Assigned as Type Species,</t>
        </is>
      </c>
      <c r="H1004" t="inlineStr">
        <is>
          <t>Bunyamwera virus</t>
        </is>
      </c>
      <c r="I1004" t="inlineStr">
        <is>
          <t>species</t>
        </is>
      </c>
      <c r="J1004" t="n">
        <v>19990622</v>
      </c>
      <c r="K1004" t="n">
        <v>19990622</v>
      </c>
      <c r="L1004" s="8">
        <f>HYPERLINK("https://test.ictv.global/id/TN19981053","TN19981053@TEST")</f>
        <v/>
      </c>
      <c r="M1004" s="8">
        <f>HYPERLINK("https://test.ictv.global/id/ICTV19910540","ICTV19910540@TEST")</f>
        <v/>
      </c>
      <c r="N1004" s="8">
        <f>HYPERLINK("https://ictv.global/id/TN19981053","TN19981053@prod")</f>
        <v/>
      </c>
      <c r="O1004" s="8">
        <f>HYPERLINK("https://ictv.global/id/ICTV19910540","ICTV19910540@prod")</f>
        <v/>
      </c>
    </row>
    <row r="1005">
      <c r="A1005" t="n">
        <v>17</v>
      </c>
      <c r="B1005" t="n">
        <v>19981054</v>
      </c>
      <c r="C1005" t="n">
        <v>19760196</v>
      </c>
      <c r="D1005" t="inlineStr">
        <is>
          <t>species</t>
        </is>
      </c>
      <c r="E1005" t="inlineStr">
        <is>
          <t>Nola virus</t>
        </is>
      </c>
      <c r="G1005" t="inlineStr">
        <is>
          <t>Merged,</t>
        </is>
      </c>
      <c r="H1005" t="inlineStr">
        <is>
          <t>Bakau virus</t>
        </is>
      </c>
      <c r="I1005" t="inlineStr">
        <is>
          <t>species</t>
        </is>
      </c>
      <c r="J1005" t="n">
        <v>19990616</v>
      </c>
      <c r="K1005" t="n">
        <v>19990616</v>
      </c>
      <c r="L1005" s="8">
        <f>HYPERLINK("https://test.ictv.global/id/TN19981054","TN19981054@TEST")</f>
        <v/>
      </c>
      <c r="M1005" s="8">
        <f>HYPERLINK("https://test.ictv.global/id/ICTV19760196","ICTV19760196@TEST")</f>
        <v/>
      </c>
      <c r="N1005" s="8">
        <f>HYPERLINK("https://ictv.global/id/TN19981054","TN19981054@prod")</f>
        <v/>
      </c>
      <c r="O1005" s="8">
        <f>HYPERLINK("https://ictv.global/id/ICTV19760196","ICTV19760196@prod")</f>
        <v/>
      </c>
    </row>
    <row r="1006">
      <c r="A1006" t="n">
        <v>17</v>
      </c>
      <c r="B1006" t="n">
        <v>19981055</v>
      </c>
      <c r="C1006" t="n">
        <v>19760197</v>
      </c>
      <c r="D1006" t="inlineStr">
        <is>
          <t>species</t>
        </is>
      </c>
      <c r="E1006" t="inlineStr">
        <is>
          <t>Northway virus</t>
        </is>
      </c>
      <c r="G1006" t="inlineStr">
        <is>
          <t>Merged,Assigned as Type Species,</t>
        </is>
      </c>
      <c r="H1006" t="inlineStr">
        <is>
          <t>Bunyamwera virus</t>
        </is>
      </c>
      <c r="I1006" t="inlineStr">
        <is>
          <t>species</t>
        </is>
      </c>
      <c r="J1006" t="n">
        <v>19990622</v>
      </c>
      <c r="K1006" t="n">
        <v>19990622</v>
      </c>
      <c r="L1006" s="8">
        <f>HYPERLINK("https://test.ictv.global/id/TN19981055","TN19981055@TEST")</f>
        <v/>
      </c>
      <c r="M1006" s="8">
        <f>HYPERLINK("https://test.ictv.global/id/ICTV19760197","ICTV19760197@TEST")</f>
        <v/>
      </c>
      <c r="N1006" s="8">
        <f>HYPERLINK("https://ictv.global/id/TN19981055","TN19981055@prod")</f>
        <v/>
      </c>
      <c r="O1006" s="8">
        <f>HYPERLINK("https://ictv.global/id/ICTV19760197","ICTV19760197@prod")</f>
        <v/>
      </c>
    </row>
    <row r="1007">
      <c r="A1007" t="n">
        <v>17</v>
      </c>
      <c r="B1007" t="n">
        <v>19981056</v>
      </c>
      <c r="C1007" t="n">
        <v>19990642</v>
      </c>
      <c r="D1007" t="inlineStr">
        <is>
          <t>species</t>
        </is>
      </c>
      <c r="E1007" t="inlineStr">
        <is>
          <t>Nyando virus</t>
        </is>
      </c>
      <c r="F1007" t="inlineStr"/>
      <c r="G1007" t="inlineStr">
        <is>
          <t>Merged,</t>
        </is>
      </c>
      <c r="H1007" t="inlineStr">
        <is>
          <t>Nyando virus</t>
        </is>
      </c>
      <c r="I1007" t="inlineStr">
        <is>
          <t>species</t>
        </is>
      </c>
      <c r="J1007" t="n">
        <v>19990642</v>
      </c>
      <c r="K1007" t="n">
        <v>19990642</v>
      </c>
      <c r="L1007" s="8">
        <f>HYPERLINK("https://test.ictv.global/id/TN19981056","TN19981056@TEST")</f>
        <v/>
      </c>
      <c r="M1007" s="8">
        <f>HYPERLINK("https://test.ictv.global/id/ICTV19990642","ICTV19990642@TEST")</f>
        <v/>
      </c>
      <c r="N1007" s="8">
        <f>HYPERLINK("https://ictv.global/id/TN19981056","TN19981056@prod")</f>
        <v/>
      </c>
      <c r="O1007" s="8">
        <f>HYPERLINK("https://ictv.global/id/ICTV19990642","ICTV19990642@prod")</f>
        <v/>
      </c>
    </row>
    <row r="1008">
      <c r="A1008" t="n">
        <v>17</v>
      </c>
      <c r="B1008" t="n">
        <v>19981057</v>
      </c>
      <c r="C1008" t="n">
        <v>19990643</v>
      </c>
      <c r="D1008" t="inlineStr">
        <is>
          <t>species</t>
        </is>
      </c>
      <c r="E1008" t="inlineStr">
        <is>
          <t>Olifantsvlei virus</t>
        </is>
      </c>
      <c r="F1008" t="inlineStr"/>
      <c r="G1008" t="inlineStr">
        <is>
          <t>Merged,</t>
        </is>
      </c>
      <c r="H1008" t="inlineStr">
        <is>
          <t>Olifantsvlei virus</t>
        </is>
      </c>
      <c r="I1008" t="inlineStr">
        <is>
          <t>species</t>
        </is>
      </c>
      <c r="J1008" t="n">
        <v>19990643</v>
      </c>
      <c r="K1008" t="n">
        <v>19990643</v>
      </c>
      <c r="L1008" s="8">
        <f>HYPERLINK("https://test.ictv.global/id/TN19981057","TN19981057@TEST")</f>
        <v/>
      </c>
      <c r="M1008" s="8">
        <f>HYPERLINK("https://test.ictv.global/id/ICTV19990643","ICTV19990643@TEST")</f>
        <v/>
      </c>
      <c r="N1008" s="8">
        <f>HYPERLINK("https://ictv.global/id/TN19981057","TN19981057@prod")</f>
        <v/>
      </c>
      <c r="O1008" s="8">
        <f>HYPERLINK("https://ictv.global/id/ICTV19990643","ICTV19990643@prod")</f>
        <v/>
      </c>
    </row>
    <row r="1009">
      <c r="A1009" t="n">
        <v>17</v>
      </c>
      <c r="B1009" t="n">
        <v>19981058</v>
      </c>
      <c r="C1009" t="n">
        <v>19990644</v>
      </c>
      <c r="D1009" t="inlineStr">
        <is>
          <t>species</t>
        </is>
      </c>
      <c r="E1009" t="inlineStr">
        <is>
          <t>Oriboca virus</t>
        </is>
      </c>
      <c r="F1009" t="inlineStr"/>
      <c r="G1009" t="inlineStr">
        <is>
          <t>Merged,</t>
        </is>
      </c>
      <c r="H1009" t="inlineStr">
        <is>
          <t>Oriboca virus</t>
        </is>
      </c>
      <c r="I1009" t="inlineStr">
        <is>
          <t>species</t>
        </is>
      </c>
      <c r="J1009" t="n">
        <v>19990644</v>
      </c>
      <c r="K1009" t="n">
        <v>19990644</v>
      </c>
      <c r="L1009" s="8">
        <f>HYPERLINK("https://test.ictv.global/id/TN19981058","TN19981058@TEST")</f>
        <v/>
      </c>
      <c r="M1009" s="8">
        <f>HYPERLINK("https://test.ictv.global/id/ICTV19990644","ICTV19990644@TEST")</f>
        <v/>
      </c>
      <c r="N1009" s="8">
        <f>HYPERLINK("https://ictv.global/id/TN19981058","TN19981058@prod")</f>
        <v/>
      </c>
      <c r="O1009" s="8">
        <f>HYPERLINK("https://ictv.global/id/ICTV19990644","ICTV19990644@prod")</f>
        <v/>
      </c>
    </row>
    <row r="1010">
      <c r="A1010" t="n">
        <v>17</v>
      </c>
      <c r="B1010" t="n">
        <v>19981059</v>
      </c>
      <c r="C1010" t="n">
        <v>19990645</v>
      </c>
      <c r="D1010" t="inlineStr">
        <is>
          <t>species</t>
        </is>
      </c>
      <c r="E1010" t="inlineStr">
        <is>
          <t>Oropouche virus</t>
        </is>
      </c>
      <c r="F1010" t="inlineStr"/>
      <c r="G1010" t="inlineStr">
        <is>
          <t>Merged,</t>
        </is>
      </c>
      <c r="H1010" t="inlineStr">
        <is>
          <t>Oropouche virus</t>
        </is>
      </c>
      <c r="I1010" t="inlineStr">
        <is>
          <t>species</t>
        </is>
      </c>
      <c r="J1010" t="n">
        <v>19990645</v>
      </c>
      <c r="K1010" t="n">
        <v>19990645</v>
      </c>
      <c r="L1010" s="8">
        <f>HYPERLINK("https://test.ictv.global/id/TN19981059","TN19981059@TEST")</f>
        <v/>
      </c>
      <c r="M1010" s="8">
        <f>HYPERLINK("https://test.ictv.global/id/ICTV19990645","ICTV19990645@TEST")</f>
        <v/>
      </c>
      <c r="N1010" s="8">
        <f>HYPERLINK("https://ictv.global/id/TN19981059","TN19981059@prod")</f>
        <v/>
      </c>
      <c r="O1010" s="8">
        <f>HYPERLINK("https://ictv.global/id/ICTV19990645","ICTV19990645@prod")</f>
        <v/>
      </c>
    </row>
    <row r="1011">
      <c r="A1011" t="n">
        <v>17</v>
      </c>
      <c r="B1011" t="n">
        <v>19981060</v>
      </c>
      <c r="C1011" t="n">
        <v>19760200</v>
      </c>
      <c r="D1011" t="inlineStr">
        <is>
          <t>species</t>
        </is>
      </c>
      <c r="E1011" t="inlineStr">
        <is>
          <t>Ossa virus</t>
        </is>
      </c>
      <c r="G1011" t="inlineStr">
        <is>
          <t>Merged,</t>
        </is>
      </c>
      <c r="H1011" t="inlineStr">
        <is>
          <t>Caraparu virus</t>
        </is>
      </c>
      <c r="I1011" t="inlineStr">
        <is>
          <t>species</t>
        </is>
      </c>
      <c r="J1011" t="n">
        <v>19990627</v>
      </c>
      <c r="K1011" t="n">
        <v>19990627</v>
      </c>
      <c r="L1011" s="8">
        <f>HYPERLINK("https://test.ictv.global/id/TN19981060","TN19981060@TEST")</f>
        <v/>
      </c>
      <c r="M1011" s="8">
        <f>HYPERLINK("https://test.ictv.global/id/ICTV19760200","ICTV19760200@TEST")</f>
        <v/>
      </c>
      <c r="N1011" s="8">
        <f>HYPERLINK("https://ictv.global/id/TN19981060","TN19981060@prod")</f>
        <v/>
      </c>
      <c r="O1011" s="8">
        <f>HYPERLINK("https://ictv.global/id/ICTV19760200","ICTV19760200@prod")</f>
        <v/>
      </c>
    </row>
    <row r="1012">
      <c r="A1012" t="n">
        <v>17</v>
      </c>
      <c r="B1012" t="n">
        <v>19981061</v>
      </c>
      <c r="C1012" t="n">
        <v>19910548</v>
      </c>
      <c r="D1012" t="inlineStr">
        <is>
          <t>species</t>
        </is>
      </c>
      <c r="E1012" t="inlineStr">
        <is>
          <t>Oubi virus</t>
        </is>
      </c>
      <c r="G1012" t="inlineStr">
        <is>
          <t>Merged,</t>
        </is>
      </c>
      <c r="H1012" t="inlineStr">
        <is>
          <t>Olifantsvlei virus</t>
        </is>
      </c>
      <c r="I1012" t="inlineStr">
        <is>
          <t>species</t>
        </is>
      </c>
      <c r="J1012" t="n">
        <v>19990643</v>
      </c>
      <c r="K1012" t="n">
        <v>19990643</v>
      </c>
      <c r="L1012" s="8">
        <f>HYPERLINK("https://test.ictv.global/id/TN19981061","TN19981061@TEST")</f>
        <v/>
      </c>
      <c r="M1012" s="8">
        <f>HYPERLINK("https://test.ictv.global/id/ICTV19910548","ICTV19910548@TEST")</f>
        <v/>
      </c>
      <c r="N1012" s="8">
        <f>HYPERLINK("https://ictv.global/id/TN19981061","TN19981061@prod")</f>
        <v/>
      </c>
      <c r="O1012" s="8">
        <f>HYPERLINK("https://ictv.global/id/ICTV19910548","ICTV19910548@prod")</f>
        <v/>
      </c>
    </row>
    <row r="1013">
      <c r="A1013" t="n">
        <v>17</v>
      </c>
      <c r="B1013" t="n">
        <v>19981062</v>
      </c>
      <c r="C1013" t="n">
        <v>19760201</v>
      </c>
      <c r="D1013" t="inlineStr">
        <is>
          <t>species</t>
        </is>
      </c>
      <c r="E1013" t="inlineStr">
        <is>
          <t>Pahayokee virus</t>
        </is>
      </c>
      <c r="G1013" t="inlineStr">
        <is>
          <t>Merged,</t>
        </is>
      </c>
      <c r="H1013" t="inlineStr">
        <is>
          <t>Patois virus</t>
        </is>
      </c>
      <c r="I1013" t="inlineStr">
        <is>
          <t>species</t>
        </is>
      </c>
      <c r="J1013" t="n">
        <v>19990646</v>
      </c>
      <c r="K1013" t="n">
        <v>19990646</v>
      </c>
      <c r="L1013" s="8">
        <f>HYPERLINK("https://test.ictv.global/id/TN19981062","TN19981062@TEST")</f>
        <v/>
      </c>
      <c r="M1013" s="8">
        <f>HYPERLINK("https://test.ictv.global/id/ICTV19760201","ICTV19760201@TEST")</f>
        <v/>
      </c>
      <c r="N1013" s="8">
        <f>HYPERLINK("https://ictv.global/id/TN19981062","TN19981062@prod")</f>
        <v/>
      </c>
      <c r="O1013" s="8">
        <f>HYPERLINK("https://ictv.global/id/ICTV19760201","ICTV19760201@prod")</f>
        <v/>
      </c>
    </row>
    <row r="1014">
      <c r="A1014" t="n">
        <v>17</v>
      </c>
      <c r="B1014" t="n">
        <v>19981063</v>
      </c>
      <c r="C1014" t="n">
        <v>19910550</v>
      </c>
      <c r="D1014" t="inlineStr">
        <is>
          <t>species</t>
        </is>
      </c>
      <c r="E1014" t="inlineStr">
        <is>
          <t>Palestina virus</t>
        </is>
      </c>
      <c r="G1014" t="inlineStr">
        <is>
          <t>Merged,</t>
        </is>
      </c>
      <c r="H1014" t="inlineStr">
        <is>
          <t>Minatitlan virus</t>
        </is>
      </c>
      <c r="I1014" t="inlineStr">
        <is>
          <t>species</t>
        </is>
      </c>
      <c r="J1014" t="n">
        <v>19990640</v>
      </c>
      <c r="K1014" t="n">
        <v>19990640</v>
      </c>
      <c r="L1014" s="8">
        <f>HYPERLINK("https://test.ictv.global/id/TN19981063","TN19981063@TEST")</f>
        <v/>
      </c>
      <c r="M1014" s="8">
        <f>HYPERLINK("https://test.ictv.global/id/ICTV19910550","ICTV19910550@TEST")</f>
        <v/>
      </c>
      <c r="N1014" s="8">
        <f>HYPERLINK("https://ictv.global/id/TN19981063","TN19981063@prod")</f>
        <v/>
      </c>
      <c r="O1014" s="8">
        <f>HYPERLINK("https://ictv.global/id/ICTV19910550","ICTV19910550@prod")</f>
        <v/>
      </c>
    </row>
    <row r="1015">
      <c r="A1015" t="n">
        <v>17</v>
      </c>
      <c r="B1015" t="n">
        <v>19981064</v>
      </c>
      <c r="C1015" t="n">
        <v>19910551</v>
      </c>
      <c r="D1015" t="inlineStr">
        <is>
          <t>species</t>
        </is>
      </c>
      <c r="E1015" t="inlineStr">
        <is>
          <t>Para virus</t>
        </is>
      </c>
      <c r="G1015" t="inlineStr">
        <is>
          <t>Abolished,</t>
        </is>
      </c>
      <c r="L1015" s="8">
        <f>HYPERLINK("https://test.ictv.global/id/TN19981064","TN19981064@TEST")</f>
        <v/>
      </c>
      <c r="M1015" s="8">
        <f>HYPERLINK("https://test.ictv.global/id/ICTV19910551","ICTV19910551@TEST")</f>
        <v/>
      </c>
      <c r="N1015" s="8">
        <f>HYPERLINK("https://ictv.global/id/TN19981064","TN19981064@prod")</f>
        <v/>
      </c>
      <c r="O1015" s="8">
        <f>HYPERLINK("https://ictv.global/id/ICTV19910551","ICTV19910551@prod")</f>
        <v/>
      </c>
    </row>
    <row r="1016">
      <c r="A1016" t="n">
        <v>17</v>
      </c>
      <c r="B1016" t="n">
        <v>19981065</v>
      </c>
      <c r="C1016" t="n">
        <v>19990646</v>
      </c>
      <c r="D1016" t="inlineStr">
        <is>
          <t>species</t>
        </is>
      </c>
      <c r="E1016" t="inlineStr">
        <is>
          <t>Patois virus</t>
        </is>
      </c>
      <c r="F1016" t="inlineStr"/>
      <c r="G1016" t="inlineStr">
        <is>
          <t>Merged,</t>
        </is>
      </c>
      <c r="H1016" t="inlineStr">
        <is>
          <t>Patois virus</t>
        </is>
      </c>
      <c r="I1016" t="inlineStr">
        <is>
          <t>species</t>
        </is>
      </c>
      <c r="J1016" t="n">
        <v>19990646</v>
      </c>
      <c r="K1016" t="n">
        <v>19990646</v>
      </c>
      <c r="L1016" s="8">
        <f>HYPERLINK("https://test.ictv.global/id/TN19981065","TN19981065@TEST")</f>
        <v/>
      </c>
      <c r="M1016" s="8">
        <f>HYPERLINK("https://test.ictv.global/id/ICTV19990646","ICTV19990646@TEST")</f>
        <v/>
      </c>
      <c r="N1016" s="8">
        <f>HYPERLINK("https://ictv.global/id/TN19981065","TN19981065@prod")</f>
        <v/>
      </c>
      <c r="O1016" s="8">
        <f>HYPERLINK("https://ictv.global/id/ICTV19990646","ICTV19990646@prod")</f>
        <v/>
      </c>
    </row>
    <row r="1017">
      <c r="A1017" t="n">
        <v>17</v>
      </c>
      <c r="B1017" t="n">
        <v>19981066</v>
      </c>
      <c r="C1017" t="n">
        <v>19820337</v>
      </c>
      <c r="D1017" t="inlineStr">
        <is>
          <t>species</t>
        </is>
      </c>
      <c r="E1017" t="inlineStr">
        <is>
          <t>Peaton virus</t>
        </is>
      </c>
      <c r="G1017" t="inlineStr">
        <is>
          <t>Merged,</t>
        </is>
      </c>
      <c r="H1017" t="inlineStr">
        <is>
          <t>Shamonda virus</t>
        </is>
      </c>
      <c r="I1017" t="inlineStr">
        <is>
          <t>species</t>
        </is>
      </c>
      <c r="J1017" t="n">
        <v>19990648</v>
      </c>
      <c r="K1017" t="n">
        <v>19990648</v>
      </c>
      <c r="L1017" s="8">
        <f>HYPERLINK("https://test.ictv.global/id/TN19981066","TN19981066@TEST")</f>
        <v/>
      </c>
      <c r="M1017" s="8">
        <f>HYPERLINK("https://test.ictv.global/id/ICTV19820337","ICTV19820337@TEST")</f>
        <v/>
      </c>
      <c r="N1017" s="8">
        <f>HYPERLINK("https://ictv.global/id/TN19981066","TN19981066@prod")</f>
        <v/>
      </c>
      <c r="O1017" s="8">
        <f>HYPERLINK("https://ictv.global/id/ICTV19820337","ICTV19820337@prod")</f>
        <v/>
      </c>
    </row>
    <row r="1018">
      <c r="A1018" t="n">
        <v>17</v>
      </c>
      <c r="B1018" t="n">
        <v>19981067</v>
      </c>
      <c r="C1018" t="n">
        <v>19910554</v>
      </c>
      <c r="D1018" t="inlineStr">
        <is>
          <t>species</t>
        </is>
      </c>
      <c r="E1018" t="inlineStr">
        <is>
          <t>Playas virus</t>
        </is>
      </c>
      <c r="G1018" t="inlineStr">
        <is>
          <t>Merged,Assigned as Type Species,</t>
        </is>
      </c>
      <c r="H1018" t="inlineStr">
        <is>
          <t>Bunyamwera virus</t>
        </is>
      </c>
      <c r="I1018" t="inlineStr">
        <is>
          <t>species</t>
        </is>
      </c>
      <c r="J1018" t="n">
        <v>19990622</v>
      </c>
      <c r="K1018" t="n">
        <v>19990622</v>
      </c>
      <c r="L1018" s="8">
        <f>HYPERLINK("https://test.ictv.global/id/TN19981067","TN19981067@TEST")</f>
        <v/>
      </c>
      <c r="M1018" s="8">
        <f>HYPERLINK("https://test.ictv.global/id/ICTV19910554","ICTV19910554@TEST")</f>
        <v/>
      </c>
      <c r="N1018" s="8">
        <f>HYPERLINK("https://ictv.global/id/TN19981067","TN19981067@prod")</f>
        <v/>
      </c>
      <c r="O1018" s="8">
        <f>HYPERLINK("https://ictv.global/id/ICTV19910554","ICTV19910554@prod")</f>
        <v/>
      </c>
    </row>
    <row r="1019">
      <c r="A1019" t="n">
        <v>17</v>
      </c>
      <c r="B1019" t="n">
        <v>19981068</v>
      </c>
      <c r="C1019" t="n">
        <v>19760203</v>
      </c>
      <c r="D1019" t="inlineStr">
        <is>
          <t>species</t>
        </is>
      </c>
      <c r="E1019" t="inlineStr">
        <is>
          <t>Pongola virus</t>
        </is>
      </c>
      <c r="G1019" t="inlineStr">
        <is>
          <t>Merged,</t>
        </is>
      </c>
      <c r="H1019" t="inlineStr">
        <is>
          <t>Bwamba virus</t>
        </is>
      </c>
      <c r="I1019" t="inlineStr">
        <is>
          <t>species</t>
        </is>
      </c>
      <c r="J1019" t="n">
        <v>19990624</v>
      </c>
      <c r="K1019" t="n">
        <v>19990624</v>
      </c>
      <c r="L1019" s="8">
        <f>HYPERLINK("https://test.ictv.global/id/TN19981068","TN19981068@TEST")</f>
        <v/>
      </c>
      <c r="M1019" s="8">
        <f>HYPERLINK("https://test.ictv.global/id/ICTV19760203","ICTV19760203@TEST")</f>
        <v/>
      </c>
      <c r="N1019" s="8">
        <f>HYPERLINK("https://ictv.global/id/TN19981068","TN19981068@prod")</f>
        <v/>
      </c>
      <c r="O1019" s="8">
        <f>HYPERLINK("https://ictv.global/id/ICTV19760203","ICTV19760203@prod")</f>
        <v/>
      </c>
    </row>
    <row r="1020">
      <c r="A1020" t="n">
        <v>17</v>
      </c>
      <c r="B1020" t="n">
        <v>19981069</v>
      </c>
      <c r="C1020" t="n">
        <v>19950673</v>
      </c>
      <c r="D1020" t="inlineStr">
        <is>
          <t>species</t>
        </is>
      </c>
      <c r="E1020" t="inlineStr">
        <is>
          <t>Potosi virus</t>
        </is>
      </c>
      <c r="G1020" t="inlineStr">
        <is>
          <t>Merged,Assigned as Type Species,</t>
        </is>
      </c>
      <c r="H1020" t="inlineStr">
        <is>
          <t>Bunyamwera virus</t>
        </is>
      </c>
      <c r="I1020" t="inlineStr">
        <is>
          <t>species</t>
        </is>
      </c>
      <c r="J1020" t="n">
        <v>19990622</v>
      </c>
      <c r="K1020" t="n">
        <v>19990622</v>
      </c>
      <c r="L1020" s="8">
        <f>HYPERLINK("https://test.ictv.global/id/TN19981069","TN19981069@TEST")</f>
        <v/>
      </c>
      <c r="M1020" s="8">
        <f>HYPERLINK("https://test.ictv.global/id/ICTV19950673","ICTV19950673@TEST")</f>
        <v/>
      </c>
      <c r="N1020" s="8">
        <f>HYPERLINK("https://ictv.global/id/TN19981069","TN19981069@prod")</f>
        <v/>
      </c>
      <c r="O1020" s="8">
        <f>HYPERLINK("https://ictv.global/id/ICTV19950673","ICTV19950673@prod")</f>
        <v/>
      </c>
    </row>
    <row r="1021">
      <c r="A1021" t="n">
        <v>17</v>
      </c>
      <c r="B1021" t="n">
        <v>19981070</v>
      </c>
      <c r="C1021" t="n">
        <v>19910556</v>
      </c>
      <c r="D1021" t="inlineStr">
        <is>
          <t>species</t>
        </is>
      </c>
      <c r="E1021" t="inlineStr">
        <is>
          <t>Pueblo Viejo virus</t>
        </is>
      </c>
      <c r="G1021" t="inlineStr">
        <is>
          <t>Merged,</t>
        </is>
      </c>
      <c r="H1021" t="inlineStr">
        <is>
          <t>Gamboa virus</t>
        </is>
      </c>
      <c r="I1021" t="inlineStr">
        <is>
          <t>species</t>
        </is>
      </c>
      <c r="J1021" t="n">
        <v>19990630</v>
      </c>
      <c r="K1021" t="n">
        <v>19990630</v>
      </c>
      <c r="L1021" s="8">
        <f>HYPERLINK("https://test.ictv.global/id/TN19981070","TN19981070@TEST")</f>
        <v/>
      </c>
      <c r="M1021" s="8">
        <f>HYPERLINK("https://test.ictv.global/id/ICTV19910556","ICTV19910556@TEST")</f>
        <v/>
      </c>
      <c r="N1021" s="8">
        <f>HYPERLINK("https://ictv.global/id/TN19981070","TN19981070@prod")</f>
        <v/>
      </c>
      <c r="O1021" s="8">
        <f>HYPERLINK("https://ictv.global/id/ICTV19910556","ICTV19910556@prod")</f>
        <v/>
      </c>
    </row>
    <row r="1022">
      <c r="A1022" t="n">
        <v>17</v>
      </c>
      <c r="B1022" t="n">
        <v>19981071</v>
      </c>
      <c r="C1022" t="n">
        <v>19760204</v>
      </c>
      <c r="D1022" t="inlineStr">
        <is>
          <t>species</t>
        </is>
      </c>
      <c r="E1022" t="inlineStr">
        <is>
          <t>Restan virus</t>
        </is>
      </c>
      <c r="G1022" t="inlineStr">
        <is>
          <t>Merged,</t>
        </is>
      </c>
      <c r="H1022" t="inlineStr">
        <is>
          <t>Marituba virus</t>
        </is>
      </c>
      <c r="I1022" t="inlineStr">
        <is>
          <t>species</t>
        </is>
      </c>
      <c r="J1022" t="n">
        <v>19990639</v>
      </c>
      <c r="K1022" t="n">
        <v>19990639</v>
      </c>
      <c r="L1022" s="8">
        <f>HYPERLINK("https://test.ictv.global/id/TN19981071","TN19981071@TEST")</f>
        <v/>
      </c>
      <c r="M1022" s="8">
        <f>HYPERLINK("https://test.ictv.global/id/ICTV19760204","ICTV19760204@TEST")</f>
        <v/>
      </c>
      <c r="N1022" s="8">
        <f>HYPERLINK("https://ictv.global/id/TN19981071","TN19981071@prod")</f>
        <v/>
      </c>
      <c r="O1022" s="8">
        <f>HYPERLINK("https://ictv.global/id/ICTV19760204","ICTV19760204@prod")</f>
        <v/>
      </c>
    </row>
    <row r="1023">
      <c r="A1023" t="n">
        <v>17</v>
      </c>
      <c r="B1023" t="n">
        <v>19981072</v>
      </c>
      <c r="C1023" t="n">
        <v>19760205</v>
      </c>
      <c r="D1023" t="inlineStr">
        <is>
          <t>species</t>
        </is>
      </c>
      <c r="E1023" t="inlineStr">
        <is>
          <t>Sabo virus</t>
        </is>
      </c>
      <c r="G1023" t="inlineStr">
        <is>
          <t>Merged,</t>
        </is>
      </c>
      <c r="H1023" t="inlineStr">
        <is>
          <t>Akabane virus</t>
        </is>
      </c>
      <c r="I1023" t="inlineStr">
        <is>
          <t>species</t>
        </is>
      </c>
      <c r="J1023" t="n">
        <v>19990612</v>
      </c>
      <c r="K1023" t="n">
        <v>19990612</v>
      </c>
      <c r="L1023" s="8">
        <f>HYPERLINK("https://test.ictv.global/id/TN19981072","TN19981072@TEST")</f>
        <v/>
      </c>
      <c r="M1023" s="8">
        <f>HYPERLINK("https://test.ictv.global/id/ICTV19760205","ICTV19760205@TEST")</f>
        <v/>
      </c>
      <c r="N1023" s="8">
        <f>HYPERLINK("https://ictv.global/id/TN19981072","TN19981072@prod")</f>
        <v/>
      </c>
      <c r="O1023" s="8">
        <f>HYPERLINK("https://ictv.global/id/ICTV19760205","ICTV19760205@prod")</f>
        <v/>
      </c>
    </row>
    <row r="1024">
      <c r="A1024" t="n">
        <v>17</v>
      </c>
      <c r="B1024" t="n">
        <v>19981073</v>
      </c>
      <c r="C1024" t="n">
        <v>19760207</v>
      </c>
      <c r="D1024" t="inlineStr">
        <is>
          <t>species</t>
        </is>
      </c>
      <c r="E1024" t="inlineStr">
        <is>
          <t>San Angelo virus</t>
        </is>
      </c>
      <c r="G1024" t="inlineStr">
        <is>
          <t>Merged,</t>
        </is>
      </c>
      <c r="H1024" t="inlineStr">
        <is>
          <t>California encephalitis virus</t>
        </is>
      </c>
      <c r="I1024" t="inlineStr">
        <is>
          <t>species</t>
        </is>
      </c>
      <c r="J1024" t="n">
        <v>19990625</v>
      </c>
      <c r="K1024" t="n">
        <v>19990625</v>
      </c>
      <c r="L1024" s="8">
        <f>HYPERLINK("https://test.ictv.global/id/TN19981073","TN19981073@TEST")</f>
        <v/>
      </c>
      <c r="M1024" s="8">
        <f>HYPERLINK("https://test.ictv.global/id/ICTV19760207","ICTV19760207@TEST")</f>
        <v/>
      </c>
      <c r="N1024" s="8">
        <f>HYPERLINK("https://ictv.global/id/TN19981073","TN19981073@prod")</f>
        <v/>
      </c>
      <c r="O1024" s="8">
        <f>HYPERLINK("https://ictv.global/id/ICTV19760207","ICTV19760207@prod")</f>
        <v/>
      </c>
    </row>
    <row r="1025">
      <c r="A1025" t="n">
        <v>17</v>
      </c>
      <c r="B1025" t="n">
        <v>19981074</v>
      </c>
      <c r="C1025" t="n">
        <v>19910560</v>
      </c>
      <c r="D1025" t="inlineStr">
        <is>
          <t>species</t>
        </is>
      </c>
      <c r="E1025" t="inlineStr">
        <is>
          <t>San Juan virus</t>
        </is>
      </c>
      <c r="G1025" t="inlineStr">
        <is>
          <t>Merged,</t>
        </is>
      </c>
      <c r="H1025" t="inlineStr">
        <is>
          <t>Alajuela virus</t>
        </is>
      </c>
      <c r="I1025" t="inlineStr">
        <is>
          <t>species</t>
        </is>
      </c>
      <c r="J1025" t="n">
        <v>19990613</v>
      </c>
      <c r="K1025" t="n">
        <v>19990613</v>
      </c>
      <c r="L1025" s="8">
        <f>HYPERLINK("https://test.ictv.global/id/TN19981074","TN19981074@TEST")</f>
        <v/>
      </c>
      <c r="M1025" s="8">
        <f>HYPERLINK("https://test.ictv.global/id/ICTV19910560","ICTV19910560@TEST")</f>
        <v/>
      </c>
      <c r="N1025" s="8">
        <f>HYPERLINK("https://ictv.global/id/TN19981074","TN19981074@prod")</f>
        <v/>
      </c>
      <c r="O1025" s="8">
        <f>HYPERLINK("https://ictv.global/id/ICTV19910560","ICTV19910560@prod")</f>
        <v/>
      </c>
    </row>
    <row r="1026">
      <c r="A1026" t="n">
        <v>17</v>
      </c>
      <c r="B1026" t="n">
        <v>19981075</v>
      </c>
      <c r="C1026" t="n">
        <v>19760208</v>
      </c>
      <c r="D1026" t="inlineStr">
        <is>
          <t>species</t>
        </is>
      </c>
      <c r="E1026" t="inlineStr">
        <is>
          <t>Sango virus</t>
        </is>
      </c>
      <c r="G1026" t="inlineStr">
        <is>
          <t>Merged,</t>
        </is>
      </c>
      <c r="H1026" t="inlineStr">
        <is>
          <t>Shamonda virus</t>
        </is>
      </c>
      <c r="I1026" t="inlineStr">
        <is>
          <t>species</t>
        </is>
      </c>
      <c r="J1026" t="n">
        <v>19990648</v>
      </c>
      <c r="K1026" t="n">
        <v>19990648</v>
      </c>
      <c r="L1026" s="8">
        <f>HYPERLINK("https://test.ictv.global/id/TN19981075","TN19981075@TEST")</f>
        <v/>
      </c>
      <c r="M1026" s="8">
        <f>HYPERLINK("https://test.ictv.global/id/ICTV19760208","ICTV19760208@TEST")</f>
        <v/>
      </c>
      <c r="N1026" s="8">
        <f>HYPERLINK("https://ictv.global/id/TN19981075","TN19981075@prod")</f>
        <v/>
      </c>
      <c r="O1026" s="8">
        <f>HYPERLINK("https://ictv.global/id/ICTV19760208","ICTV19760208@prod")</f>
        <v/>
      </c>
    </row>
    <row r="1027">
      <c r="A1027" t="n">
        <v>17</v>
      </c>
      <c r="B1027" t="n">
        <v>19981076</v>
      </c>
      <c r="C1027" t="n">
        <v>19790248</v>
      </c>
      <c r="D1027" t="inlineStr">
        <is>
          <t>species</t>
        </is>
      </c>
      <c r="E1027" t="inlineStr">
        <is>
          <t>Santa Rosa virus</t>
        </is>
      </c>
      <c r="G1027" t="inlineStr">
        <is>
          <t>Merged,Assigned as Type Species,</t>
        </is>
      </c>
      <c r="H1027" t="inlineStr">
        <is>
          <t>Bunyamwera virus</t>
        </is>
      </c>
      <c r="I1027" t="inlineStr">
        <is>
          <t>species</t>
        </is>
      </c>
      <c r="J1027" t="n">
        <v>19990622</v>
      </c>
      <c r="K1027" t="n">
        <v>19990622</v>
      </c>
      <c r="L1027" s="8">
        <f>HYPERLINK("https://test.ictv.global/id/TN19981076","TN19981076@TEST")</f>
        <v/>
      </c>
      <c r="M1027" s="8">
        <f>HYPERLINK("https://test.ictv.global/id/ICTV19790248","ICTV19790248@TEST")</f>
        <v/>
      </c>
      <c r="N1027" s="8">
        <f>HYPERLINK("https://ictv.global/id/TN19981076","TN19981076@prod")</f>
        <v/>
      </c>
      <c r="O1027" s="8">
        <f>HYPERLINK("https://ictv.global/id/ICTV19790248","ICTV19790248@prod")</f>
        <v/>
      </c>
    </row>
    <row r="1028">
      <c r="A1028" t="n">
        <v>17</v>
      </c>
      <c r="B1028" t="n">
        <v>19981077</v>
      </c>
      <c r="C1028" t="n">
        <v>19990647</v>
      </c>
      <c r="D1028" t="inlineStr">
        <is>
          <t>species</t>
        </is>
      </c>
      <c r="E1028" t="inlineStr">
        <is>
          <t>Sathuperi virus</t>
        </is>
      </c>
      <c r="F1028" t="inlineStr"/>
      <c r="G1028" t="inlineStr">
        <is>
          <t>Merged,</t>
        </is>
      </c>
      <c r="H1028" t="inlineStr">
        <is>
          <t>Sathuperi virus</t>
        </is>
      </c>
      <c r="I1028" t="inlineStr">
        <is>
          <t>species</t>
        </is>
      </c>
      <c r="J1028" t="n">
        <v>19990647</v>
      </c>
      <c r="K1028" t="n">
        <v>19990647</v>
      </c>
      <c r="L1028" s="8">
        <f>HYPERLINK("https://test.ictv.global/id/TN19981077","TN19981077@TEST")</f>
        <v/>
      </c>
      <c r="M1028" s="8">
        <f>HYPERLINK("https://test.ictv.global/id/ICTV19990647","ICTV19990647@TEST")</f>
        <v/>
      </c>
      <c r="N1028" s="8">
        <f>HYPERLINK("https://ictv.global/id/TN19981077","TN19981077@prod")</f>
        <v/>
      </c>
      <c r="O1028" s="8">
        <f>HYPERLINK("https://ictv.global/id/ICTV19990647","ICTV19990647@prod")</f>
        <v/>
      </c>
    </row>
    <row r="1029">
      <c r="A1029" t="n">
        <v>17</v>
      </c>
      <c r="B1029" t="n">
        <v>19981078</v>
      </c>
      <c r="C1029" t="n">
        <v>19790250</v>
      </c>
      <c r="D1029" t="inlineStr">
        <is>
          <t>species</t>
        </is>
      </c>
      <c r="E1029" t="inlineStr">
        <is>
          <t>Serra do Navio virus</t>
        </is>
      </c>
      <c r="G1029" t="inlineStr">
        <is>
          <t>Merged,</t>
        </is>
      </c>
      <c r="H1029" t="inlineStr">
        <is>
          <t>California encephalitis virus</t>
        </is>
      </c>
      <c r="I1029" t="inlineStr">
        <is>
          <t>species</t>
        </is>
      </c>
      <c r="J1029" t="n">
        <v>19990625</v>
      </c>
      <c r="K1029" t="n">
        <v>19990625</v>
      </c>
      <c r="L1029" s="8">
        <f>HYPERLINK("https://test.ictv.global/id/TN19981078","TN19981078@TEST")</f>
        <v/>
      </c>
      <c r="M1029" s="8">
        <f>HYPERLINK("https://test.ictv.global/id/ICTV19790250","ICTV19790250@TEST")</f>
        <v/>
      </c>
      <c r="N1029" s="8">
        <f>HYPERLINK("https://ictv.global/id/TN19981078","TN19981078@prod")</f>
        <v/>
      </c>
      <c r="O1029" s="8">
        <f>HYPERLINK("https://ictv.global/id/ICTV19790250","ICTV19790250@prod")</f>
        <v/>
      </c>
    </row>
    <row r="1030">
      <c r="A1030" t="n">
        <v>17</v>
      </c>
      <c r="B1030" t="n">
        <v>19981079</v>
      </c>
      <c r="C1030" t="n">
        <v>19990648</v>
      </c>
      <c r="D1030" t="inlineStr">
        <is>
          <t>species</t>
        </is>
      </c>
      <c r="E1030" t="inlineStr">
        <is>
          <t>Shamonda virus</t>
        </is>
      </c>
      <c r="F1030" t="inlineStr"/>
      <c r="G1030" t="inlineStr">
        <is>
          <t>Merged,</t>
        </is>
      </c>
      <c r="H1030" t="inlineStr">
        <is>
          <t>Shamonda virus</t>
        </is>
      </c>
      <c r="I1030" t="inlineStr">
        <is>
          <t>species</t>
        </is>
      </c>
      <c r="J1030" t="n">
        <v>19990648</v>
      </c>
      <c r="K1030" t="n">
        <v>19990648</v>
      </c>
      <c r="L1030" s="8">
        <f>HYPERLINK("https://test.ictv.global/id/TN19981079","TN19981079@TEST")</f>
        <v/>
      </c>
      <c r="M1030" s="8">
        <f>HYPERLINK("https://test.ictv.global/id/ICTV19990648","ICTV19990648@TEST")</f>
        <v/>
      </c>
      <c r="N1030" s="8">
        <f>HYPERLINK("https://ictv.global/id/TN19981079","TN19981079@prod")</f>
        <v/>
      </c>
      <c r="O1030" s="8">
        <f>HYPERLINK("https://ictv.global/id/ICTV19990648","ICTV19990648@prod")</f>
        <v/>
      </c>
    </row>
    <row r="1031">
      <c r="A1031" t="n">
        <v>17</v>
      </c>
      <c r="B1031" t="n">
        <v>19981080</v>
      </c>
      <c r="C1031" t="n">
        <v>19760211</v>
      </c>
      <c r="D1031" t="inlineStr">
        <is>
          <t>species</t>
        </is>
      </c>
      <c r="E1031" t="inlineStr">
        <is>
          <t>Shark River virus</t>
        </is>
      </c>
      <c r="G1031" t="inlineStr">
        <is>
          <t>Merged,</t>
        </is>
      </c>
      <c r="H1031" t="inlineStr">
        <is>
          <t>Patois virus</t>
        </is>
      </c>
      <c r="I1031" t="inlineStr">
        <is>
          <t>species</t>
        </is>
      </c>
      <c r="J1031" t="n">
        <v>19990646</v>
      </c>
      <c r="K1031" t="n">
        <v>19990646</v>
      </c>
      <c r="L1031" s="8">
        <f>HYPERLINK("https://test.ictv.global/id/TN19981080","TN19981080@TEST")</f>
        <v/>
      </c>
      <c r="M1031" s="8">
        <f>HYPERLINK("https://test.ictv.global/id/ICTV19760211","ICTV19760211@TEST")</f>
        <v/>
      </c>
      <c r="N1031" s="8">
        <f>HYPERLINK("https://ictv.global/id/TN19981080","TN19981080@prod")</f>
        <v/>
      </c>
      <c r="O1031" s="8">
        <f>HYPERLINK("https://ictv.global/id/ICTV19760211","ICTV19760211@prod")</f>
        <v/>
      </c>
    </row>
    <row r="1032">
      <c r="A1032" t="n">
        <v>17</v>
      </c>
      <c r="B1032" t="n">
        <v>19981081</v>
      </c>
      <c r="C1032" t="n">
        <v>19820348</v>
      </c>
      <c r="D1032" t="inlineStr">
        <is>
          <t>species</t>
        </is>
      </c>
      <c r="E1032" t="inlineStr">
        <is>
          <t>Shokwe virus</t>
        </is>
      </c>
      <c r="G1032" t="inlineStr">
        <is>
          <t>Merged,Assigned as Type Species,</t>
        </is>
      </c>
      <c r="H1032" t="inlineStr">
        <is>
          <t>Bunyamwera virus</t>
        </is>
      </c>
      <c r="I1032" t="inlineStr">
        <is>
          <t>species</t>
        </is>
      </c>
      <c r="J1032" t="n">
        <v>19990622</v>
      </c>
      <c r="K1032" t="n">
        <v>19990622</v>
      </c>
      <c r="L1032" s="8">
        <f>HYPERLINK("https://test.ictv.global/id/TN19981081","TN19981081@TEST")</f>
        <v/>
      </c>
      <c r="M1032" s="8">
        <f>HYPERLINK("https://test.ictv.global/id/ICTV19820348","ICTV19820348@TEST")</f>
        <v/>
      </c>
      <c r="N1032" s="8">
        <f>HYPERLINK("https://ictv.global/id/TN19981081","TN19981081@prod")</f>
        <v/>
      </c>
      <c r="O1032" s="8">
        <f>HYPERLINK("https://ictv.global/id/ICTV19820348","ICTV19820348@prod")</f>
        <v/>
      </c>
    </row>
    <row r="1033">
      <c r="A1033" t="n">
        <v>17</v>
      </c>
      <c r="B1033" t="n">
        <v>19981082</v>
      </c>
      <c r="C1033" t="n">
        <v>19990649</v>
      </c>
      <c r="D1033" t="inlineStr">
        <is>
          <t>species</t>
        </is>
      </c>
      <c r="E1033" t="inlineStr">
        <is>
          <t>Shuni virus</t>
        </is>
      </c>
      <c r="F1033" t="inlineStr"/>
      <c r="G1033" t="inlineStr">
        <is>
          <t>Merged,</t>
        </is>
      </c>
      <c r="H1033" t="inlineStr">
        <is>
          <t>Shuni virus</t>
        </is>
      </c>
      <c r="I1033" t="inlineStr">
        <is>
          <t>species</t>
        </is>
      </c>
      <c r="J1033" t="n">
        <v>19990649</v>
      </c>
      <c r="K1033" t="n">
        <v>19990649</v>
      </c>
      <c r="L1033" s="8">
        <f>HYPERLINK("https://test.ictv.global/id/TN19981082","TN19981082@TEST")</f>
        <v/>
      </c>
      <c r="M1033" s="8">
        <f>HYPERLINK("https://test.ictv.global/id/ICTV19990649","ICTV19990649@TEST")</f>
        <v/>
      </c>
      <c r="N1033" s="8">
        <f>HYPERLINK("https://ictv.global/id/TN19981082","TN19981082@prod")</f>
        <v/>
      </c>
      <c r="O1033" s="8">
        <f>HYPERLINK("https://ictv.global/id/ICTV19990649","ICTV19990649@prod")</f>
        <v/>
      </c>
    </row>
    <row r="1034">
      <c r="A1034" t="n">
        <v>17</v>
      </c>
      <c r="B1034" t="n">
        <v>19981084</v>
      </c>
      <c r="C1034" t="n">
        <v>19790255</v>
      </c>
      <c r="D1034" t="inlineStr">
        <is>
          <t>species</t>
        </is>
      </c>
      <c r="E1034" t="inlineStr">
        <is>
          <t>Snowshoe hare virus</t>
        </is>
      </c>
      <c r="G1034" t="inlineStr">
        <is>
          <t>Merged,</t>
        </is>
      </c>
      <c r="H1034" t="inlineStr">
        <is>
          <t>California encephalitis virus</t>
        </is>
      </c>
      <c r="I1034" t="inlineStr">
        <is>
          <t>species</t>
        </is>
      </c>
      <c r="J1034" t="n">
        <v>19990625</v>
      </c>
      <c r="K1034" t="n">
        <v>19990625</v>
      </c>
      <c r="L1034" s="8">
        <f>HYPERLINK("https://test.ictv.global/id/TN19981084","TN19981084@TEST")</f>
        <v/>
      </c>
      <c r="M1034" s="8">
        <f>HYPERLINK("https://test.ictv.global/id/ICTV19790255","ICTV19790255@TEST")</f>
        <v/>
      </c>
      <c r="N1034" s="8">
        <f>HYPERLINK("https://ictv.global/id/TN19981084","TN19981084@prod")</f>
        <v/>
      </c>
      <c r="O1034" s="8">
        <f>HYPERLINK("https://ictv.global/id/ICTV19790255","ICTV19790255@prod")</f>
        <v/>
      </c>
    </row>
    <row r="1035">
      <c r="A1035" t="n">
        <v>17</v>
      </c>
      <c r="B1035" t="n">
        <v>19981085</v>
      </c>
      <c r="C1035" t="n">
        <v>19760214</v>
      </c>
      <c r="D1035" t="inlineStr">
        <is>
          <t>species</t>
        </is>
      </c>
      <c r="E1035" t="inlineStr">
        <is>
          <t>Sororoca virus</t>
        </is>
      </c>
      <c r="G1035" t="inlineStr">
        <is>
          <t>Merged,</t>
        </is>
      </c>
      <c r="H1035" t="inlineStr">
        <is>
          <t>Wyeomyia virus</t>
        </is>
      </c>
      <c r="I1035" t="inlineStr">
        <is>
          <t>species</t>
        </is>
      </c>
      <c r="J1035" t="n">
        <v>19990656</v>
      </c>
      <c r="K1035" t="n">
        <v>19990656</v>
      </c>
      <c r="L1035" s="8">
        <f>HYPERLINK("https://test.ictv.global/id/TN19981085","TN19981085@TEST")</f>
        <v/>
      </c>
      <c r="M1035" s="8">
        <f>HYPERLINK("https://test.ictv.global/id/ICTV19760214","ICTV19760214@TEST")</f>
        <v/>
      </c>
      <c r="N1035" s="8">
        <f>HYPERLINK("https://ictv.global/id/TN19981085","TN19981085@prod")</f>
        <v/>
      </c>
      <c r="O1035" s="8">
        <f>HYPERLINK("https://ictv.global/id/ICTV19760214","ICTV19760214@prod")</f>
        <v/>
      </c>
    </row>
    <row r="1036">
      <c r="A1036" t="n">
        <v>17</v>
      </c>
      <c r="B1036" t="n">
        <v>19981086</v>
      </c>
      <c r="C1036" t="n">
        <v>19910572</v>
      </c>
      <c r="D1036" t="inlineStr">
        <is>
          <t>species</t>
        </is>
      </c>
      <c r="E1036" t="inlineStr">
        <is>
          <t>South River virus</t>
        </is>
      </c>
      <c r="G1036" t="inlineStr">
        <is>
          <t>Merged,</t>
        </is>
      </c>
      <c r="H1036" t="inlineStr">
        <is>
          <t>California encephalitis virus</t>
        </is>
      </c>
      <c r="I1036" t="inlineStr">
        <is>
          <t>species</t>
        </is>
      </c>
      <c r="J1036" t="n">
        <v>19990625</v>
      </c>
      <c r="K1036" t="n">
        <v>19990625</v>
      </c>
      <c r="L1036" s="8">
        <f>HYPERLINK("https://test.ictv.global/id/TN19981086","TN19981086@TEST")</f>
        <v/>
      </c>
      <c r="M1036" s="8">
        <f>HYPERLINK("https://test.ictv.global/id/ICTV19910572","ICTV19910572@TEST")</f>
        <v/>
      </c>
      <c r="N1036" s="8">
        <f>HYPERLINK("https://ictv.global/id/TN19981086","TN19981086@prod")</f>
        <v/>
      </c>
      <c r="O1036" s="8">
        <f>HYPERLINK("https://ictv.global/id/ICTV19910572","ICTV19910572@prod")</f>
        <v/>
      </c>
    </row>
    <row r="1037">
      <c r="A1037" t="n">
        <v>17</v>
      </c>
      <c r="B1037" t="n">
        <v>19981087</v>
      </c>
      <c r="C1037" t="n">
        <v>19910573</v>
      </c>
      <c r="D1037" t="inlineStr">
        <is>
          <t>species</t>
        </is>
      </c>
      <c r="E1037" t="inlineStr">
        <is>
          <t>SPAr2317 virus</t>
        </is>
      </c>
      <c r="G1037" t="inlineStr">
        <is>
          <t>Merged,</t>
        </is>
      </c>
      <c r="H1037" t="inlineStr">
        <is>
          <t>Tacaiuma virus</t>
        </is>
      </c>
      <c r="I1037" t="inlineStr">
        <is>
          <t>species</t>
        </is>
      </c>
      <c r="J1037" t="n">
        <v>19990651</v>
      </c>
      <c r="K1037" t="n">
        <v>19990651</v>
      </c>
      <c r="L1037" s="8">
        <f>HYPERLINK("https://test.ictv.global/id/TN19981087","TN19981087@TEST")</f>
        <v/>
      </c>
      <c r="M1037" s="8">
        <f>HYPERLINK("https://test.ictv.global/id/ICTV19910573","ICTV19910573@TEST")</f>
        <v/>
      </c>
      <c r="N1037" s="8">
        <f>HYPERLINK("https://ictv.global/id/TN19981087","TN19981087@prod")</f>
        <v/>
      </c>
      <c r="O1037" s="8">
        <f>HYPERLINK("https://ictv.global/id/ICTV19910573","ICTV19910573@prod")</f>
        <v/>
      </c>
    </row>
    <row r="1038">
      <c r="A1038" t="n">
        <v>17</v>
      </c>
      <c r="B1038" t="n">
        <v>19981088</v>
      </c>
      <c r="C1038" t="n">
        <v>19990651</v>
      </c>
      <c r="D1038" t="inlineStr">
        <is>
          <t>species</t>
        </is>
      </c>
      <c r="E1038" t="inlineStr">
        <is>
          <t>Tacaiuma virus</t>
        </is>
      </c>
      <c r="F1038" t="inlineStr"/>
      <c r="G1038" t="inlineStr">
        <is>
          <t>Merged,</t>
        </is>
      </c>
      <c r="H1038" t="inlineStr">
        <is>
          <t>Tacaiuma virus</t>
        </is>
      </c>
      <c r="I1038" t="inlineStr">
        <is>
          <t>species</t>
        </is>
      </c>
      <c r="J1038" t="n">
        <v>19990651</v>
      </c>
      <c r="K1038" t="n">
        <v>19990651</v>
      </c>
      <c r="L1038" s="8">
        <f>HYPERLINK("https://test.ictv.global/id/TN19981088","TN19981088@TEST")</f>
        <v/>
      </c>
      <c r="M1038" s="8">
        <f>HYPERLINK("https://test.ictv.global/id/ICTV19990651","ICTV19990651@TEST")</f>
        <v/>
      </c>
      <c r="N1038" s="8">
        <f>HYPERLINK("https://ictv.global/id/TN19981088","TN19981088@prod")</f>
        <v/>
      </c>
      <c r="O1038" s="8">
        <f>HYPERLINK("https://ictv.global/id/ICTV19990651","ICTV19990651@prod")</f>
        <v/>
      </c>
    </row>
    <row r="1039">
      <c r="A1039" t="n">
        <v>17</v>
      </c>
      <c r="B1039" t="n">
        <v>19981089</v>
      </c>
      <c r="C1039" t="n">
        <v>19760215</v>
      </c>
      <c r="D1039" t="inlineStr">
        <is>
          <t>species</t>
        </is>
      </c>
      <c r="E1039" t="inlineStr">
        <is>
          <t>Tahyna virus</t>
        </is>
      </c>
      <c r="G1039" t="inlineStr">
        <is>
          <t>Merged,</t>
        </is>
      </c>
      <c r="H1039" t="inlineStr">
        <is>
          <t>California encephalitis virus</t>
        </is>
      </c>
      <c r="I1039" t="inlineStr">
        <is>
          <t>species</t>
        </is>
      </c>
      <c r="J1039" t="n">
        <v>19990625</v>
      </c>
      <c r="K1039" t="n">
        <v>19990625</v>
      </c>
      <c r="L1039" s="8">
        <f>HYPERLINK("https://test.ictv.global/id/TN19981089","TN19981089@TEST")</f>
        <v/>
      </c>
      <c r="M1039" s="8">
        <f>HYPERLINK("https://test.ictv.global/id/ICTV19760215","ICTV19760215@TEST")</f>
        <v/>
      </c>
      <c r="N1039" s="8">
        <f>HYPERLINK("https://ictv.global/id/TN19981089","TN19981089@prod")</f>
        <v/>
      </c>
      <c r="O1039" s="8">
        <f>HYPERLINK("https://ictv.global/id/ICTV19760215","ICTV19760215@prod")</f>
        <v/>
      </c>
    </row>
    <row r="1040">
      <c r="A1040" t="n">
        <v>17</v>
      </c>
      <c r="B1040" t="n">
        <v>19981090</v>
      </c>
      <c r="C1040" t="n">
        <v>19820355</v>
      </c>
      <c r="D1040" t="inlineStr">
        <is>
          <t>species</t>
        </is>
      </c>
      <c r="E1040" t="inlineStr">
        <is>
          <t>Taiassui virus</t>
        </is>
      </c>
      <c r="G1040" t="inlineStr">
        <is>
          <t>Merged,</t>
        </is>
      </c>
      <c r="H1040" t="inlineStr">
        <is>
          <t>Wyeomyia virus</t>
        </is>
      </c>
      <c r="I1040" t="inlineStr">
        <is>
          <t>species</t>
        </is>
      </c>
      <c r="J1040" t="n">
        <v>19990656</v>
      </c>
      <c r="K1040" t="n">
        <v>19990656</v>
      </c>
      <c r="L1040" s="8">
        <f>HYPERLINK("https://test.ictv.global/id/TN19981090","TN19981090@TEST")</f>
        <v/>
      </c>
      <c r="M1040" s="8">
        <f>HYPERLINK("https://test.ictv.global/id/ICTV19820355","ICTV19820355@TEST")</f>
        <v/>
      </c>
      <c r="N1040" s="8">
        <f>HYPERLINK("https://ictv.global/id/TN19981090","TN19981090@prod")</f>
        <v/>
      </c>
      <c r="O1040" s="8">
        <f>HYPERLINK("https://ictv.global/id/ICTV19820355","ICTV19820355@prod")</f>
        <v/>
      </c>
    </row>
    <row r="1041">
      <c r="A1041" t="n">
        <v>17</v>
      </c>
      <c r="B1041" t="n">
        <v>19981091</v>
      </c>
      <c r="C1041" t="n">
        <v>19910577</v>
      </c>
      <c r="D1041" t="inlineStr">
        <is>
          <t>species</t>
        </is>
      </c>
      <c r="E1041" t="inlineStr">
        <is>
          <t>Tanjong Rabok virus</t>
        </is>
      </c>
      <c r="G1041" t="inlineStr">
        <is>
          <t>Merged,</t>
        </is>
      </c>
      <c r="H1041" t="inlineStr">
        <is>
          <t>Bakau virus</t>
        </is>
      </c>
      <c r="I1041" t="inlineStr">
        <is>
          <t>species</t>
        </is>
      </c>
      <c r="J1041" t="n">
        <v>19990616</v>
      </c>
      <c r="K1041" t="n">
        <v>19990616</v>
      </c>
      <c r="L1041" s="8">
        <f>HYPERLINK("https://test.ictv.global/id/TN19981091","TN19981091@TEST")</f>
        <v/>
      </c>
      <c r="M1041" s="8">
        <f>HYPERLINK("https://test.ictv.global/id/ICTV19910577","ICTV19910577@TEST")</f>
        <v/>
      </c>
      <c r="N1041" s="8">
        <f>HYPERLINK("https://ictv.global/id/TN19981091","TN19981091@prod")</f>
        <v/>
      </c>
      <c r="O1041" s="8">
        <f>HYPERLINK("https://ictv.global/id/ICTV19910577","ICTV19910577@prod")</f>
        <v/>
      </c>
    </row>
    <row r="1042">
      <c r="A1042" t="n">
        <v>17</v>
      </c>
      <c r="B1042" t="n">
        <v>19981092</v>
      </c>
      <c r="C1042" t="n">
        <v>19910578</v>
      </c>
      <c r="D1042" t="inlineStr">
        <is>
          <t>species</t>
        </is>
      </c>
      <c r="E1042" t="inlineStr">
        <is>
          <t>Telok Forest virus</t>
        </is>
      </c>
      <c r="G1042" t="inlineStr">
        <is>
          <t>Merged,</t>
        </is>
      </c>
      <c r="H1042" t="inlineStr">
        <is>
          <t>Bakau virus</t>
        </is>
      </c>
      <c r="I1042" t="inlineStr">
        <is>
          <t>species</t>
        </is>
      </c>
      <c r="J1042" t="n">
        <v>19990616</v>
      </c>
      <c r="K1042" t="n">
        <v>19990616</v>
      </c>
      <c r="L1042" s="8">
        <f>HYPERLINK("https://test.ictv.global/id/TN19981092","TN19981092@TEST")</f>
        <v/>
      </c>
      <c r="M1042" s="8">
        <f>HYPERLINK("https://test.ictv.global/id/ICTV19910578","ICTV19910578@TEST")</f>
        <v/>
      </c>
      <c r="N1042" s="8">
        <f>HYPERLINK("https://ictv.global/id/TN19981092","TN19981092@prod")</f>
        <v/>
      </c>
      <c r="O1042" s="8">
        <f>HYPERLINK("https://ictv.global/id/ICTV19910578","ICTV19910578@prod")</f>
        <v/>
      </c>
    </row>
    <row r="1043">
      <c r="A1043" t="n">
        <v>17</v>
      </c>
      <c r="B1043" t="n">
        <v>19981093</v>
      </c>
      <c r="C1043" t="n">
        <v>19760216</v>
      </c>
      <c r="D1043" t="inlineStr">
        <is>
          <t>species</t>
        </is>
      </c>
      <c r="E1043" t="inlineStr">
        <is>
          <t>Tensaw virus</t>
        </is>
      </c>
      <c r="G1043" t="inlineStr">
        <is>
          <t>Merged,Assigned as Type Species,</t>
        </is>
      </c>
      <c r="H1043" t="inlineStr">
        <is>
          <t>Bunyamwera virus</t>
        </is>
      </c>
      <c r="I1043" t="inlineStr">
        <is>
          <t>species</t>
        </is>
      </c>
      <c r="J1043" t="n">
        <v>19990622</v>
      </c>
      <c r="K1043" t="n">
        <v>19990622</v>
      </c>
      <c r="L1043" s="8">
        <f>HYPERLINK("https://test.ictv.global/id/TN19981093","TN19981093@TEST")</f>
        <v/>
      </c>
      <c r="M1043" s="8">
        <f>HYPERLINK("https://test.ictv.global/id/ICTV19760216","ICTV19760216@TEST")</f>
        <v/>
      </c>
      <c r="N1043" s="8">
        <f>HYPERLINK("https://ictv.global/id/TN19981093","TN19981093@prod")</f>
        <v/>
      </c>
      <c r="O1043" s="8">
        <f>HYPERLINK("https://ictv.global/id/ICTV19760216","ICTV19760216@prod")</f>
        <v/>
      </c>
    </row>
    <row r="1044">
      <c r="A1044" t="n">
        <v>17</v>
      </c>
      <c r="B1044" t="n">
        <v>19981094</v>
      </c>
      <c r="C1044" t="n">
        <v>19990652</v>
      </c>
      <c r="D1044" t="inlineStr">
        <is>
          <t>species</t>
        </is>
      </c>
      <c r="E1044" t="inlineStr">
        <is>
          <t>Tete virus</t>
        </is>
      </c>
      <c r="F1044" t="inlineStr"/>
      <c r="G1044" t="inlineStr">
        <is>
          <t>Merged,</t>
        </is>
      </c>
      <c r="H1044" t="inlineStr">
        <is>
          <t>Tete virus</t>
        </is>
      </c>
      <c r="I1044" t="inlineStr">
        <is>
          <t>species</t>
        </is>
      </c>
      <c r="J1044" t="n">
        <v>19990652</v>
      </c>
      <c r="K1044" t="n">
        <v>19990652</v>
      </c>
      <c r="L1044" s="8">
        <f>HYPERLINK("https://test.ictv.global/id/TN19981094","TN19981094@TEST")</f>
        <v/>
      </c>
      <c r="M1044" s="8">
        <f>HYPERLINK("https://test.ictv.global/id/ICTV19990652","ICTV19990652@TEST")</f>
        <v/>
      </c>
      <c r="N1044" s="8">
        <f>HYPERLINK("https://ictv.global/id/TN19981094","TN19981094@prod")</f>
        <v/>
      </c>
      <c r="O1044" s="8">
        <f>HYPERLINK("https://ictv.global/id/ICTV19990652","ICTV19990652@prod")</f>
        <v/>
      </c>
    </row>
    <row r="1045">
      <c r="A1045" t="n">
        <v>17</v>
      </c>
      <c r="B1045" t="n">
        <v>19981097</v>
      </c>
      <c r="C1045" t="n">
        <v>19820360</v>
      </c>
      <c r="D1045" t="inlineStr">
        <is>
          <t>species</t>
        </is>
      </c>
      <c r="E1045" t="inlineStr">
        <is>
          <t>Tinaroo virus</t>
        </is>
      </c>
      <c r="G1045" t="inlineStr">
        <is>
          <t>Merged,</t>
        </is>
      </c>
      <c r="H1045" t="inlineStr">
        <is>
          <t>Akabane virus</t>
        </is>
      </c>
      <c r="I1045" t="inlineStr">
        <is>
          <t>species</t>
        </is>
      </c>
      <c r="J1045" t="n">
        <v>19990612</v>
      </c>
      <c r="K1045" t="n">
        <v>19990612</v>
      </c>
      <c r="L1045" s="8">
        <f>HYPERLINK("https://test.ictv.global/id/TN19981097","TN19981097@TEST")</f>
        <v/>
      </c>
      <c r="M1045" s="8">
        <f>HYPERLINK("https://test.ictv.global/id/ICTV19820360","ICTV19820360@TEST")</f>
        <v/>
      </c>
      <c r="N1045" s="8">
        <f>HYPERLINK("https://ictv.global/id/TN19981097","TN19981097@prod")</f>
        <v/>
      </c>
      <c r="O1045" s="8">
        <f>HYPERLINK("https://ictv.global/id/ICTV19820360","ICTV19820360@prod")</f>
        <v/>
      </c>
    </row>
    <row r="1046">
      <c r="A1046" t="n">
        <v>17</v>
      </c>
      <c r="B1046" t="n">
        <v>19981098</v>
      </c>
      <c r="C1046" t="n">
        <v>19760219</v>
      </c>
      <c r="D1046" t="inlineStr">
        <is>
          <t>species</t>
        </is>
      </c>
      <c r="E1046" t="inlineStr">
        <is>
          <t>Tlacotalpan virus</t>
        </is>
      </c>
      <c r="G1046" t="inlineStr">
        <is>
          <t>Merged,Assigned as Type Species,</t>
        </is>
      </c>
      <c r="H1046" t="inlineStr">
        <is>
          <t>Bunyamwera virus</t>
        </is>
      </c>
      <c r="I1046" t="inlineStr">
        <is>
          <t>species</t>
        </is>
      </c>
      <c r="J1046" t="n">
        <v>19990622</v>
      </c>
      <c r="K1046" t="n">
        <v>19990622</v>
      </c>
      <c r="L1046" s="8">
        <f>HYPERLINK("https://test.ictv.global/id/TN19981098","TN19981098@TEST")</f>
        <v/>
      </c>
      <c r="M1046" s="8">
        <f>HYPERLINK("https://test.ictv.global/id/ICTV19760219","ICTV19760219@TEST")</f>
        <v/>
      </c>
      <c r="N1046" s="8">
        <f>HYPERLINK("https://ictv.global/id/TN19981098","TN19981098@prod")</f>
        <v/>
      </c>
      <c r="O1046" s="8">
        <f>HYPERLINK("https://ictv.global/id/ICTV19760219","ICTV19760219@prod")</f>
        <v/>
      </c>
    </row>
    <row r="1047">
      <c r="A1047" t="n">
        <v>17</v>
      </c>
      <c r="B1047" t="n">
        <v>19981099</v>
      </c>
      <c r="C1047" t="n">
        <v>19760220</v>
      </c>
      <c r="D1047" t="inlineStr">
        <is>
          <t>species</t>
        </is>
      </c>
      <c r="E1047" t="inlineStr">
        <is>
          <t>Trivittatus virus</t>
        </is>
      </c>
      <c r="G1047" t="inlineStr">
        <is>
          <t>Merged,</t>
        </is>
      </c>
      <c r="H1047" t="inlineStr">
        <is>
          <t>California encephalitis virus</t>
        </is>
      </c>
      <c r="I1047" t="inlineStr">
        <is>
          <t>species</t>
        </is>
      </c>
      <c r="J1047" t="n">
        <v>19990625</v>
      </c>
      <c r="K1047" t="n">
        <v>19990625</v>
      </c>
      <c r="L1047" s="8">
        <f>HYPERLINK("https://test.ictv.global/id/TN19981099","TN19981099@TEST")</f>
        <v/>
      </c>
      <c r="M1047" s="8">
        <f>HYPERLINK("https://test.ictv.global/id/ICTV19760220","ICTV19760220@TEST")</f>
        <v/>
      </c>
      <c r="N1047" s="8">
        <f>HYPERLINK("https://ictv.global/id/TN19981099","TN19981099@prod")</f>
        <v/>
      </c>
      <c r="O1047" s="8">
        <f>HYPERLINK("https://ictv.global/id/ICTV19760220","ICTV19760220@prod")</f>
        <v/>
      </c>
    </row>
    <row r="1048">
      <c r="A1048" t="n">
        <v>17</v>
      </c>
      <c r="B1048" t="n">
        <v>19981100</v>
      </c>
      <c r="C1048" t="n">
        <v>19910587</v>
      </c>
      <c r="D1048" t="inlineStr">
        <is>
          <t>species</t>
        </is>
      </c>
      <c r="E1048" t="inlineStr">
        <is>
          <t>Trombetas virus</t>
        </is>
      </c>
      <c r="G1048" t="inlineStr">
        <is>
          <t>Merged,</t>
        </is>
      </c>
      <c r="H1048" t="inlineStr">
        <is>
          <t>Anopheles A virus</t>
        </is>
      </c>
      <c r="I1048" t="inlineStr">
        <is>
          <t>species</t>
        </is>
      </c>
      <c r="J1048" t="n">
        <v>19990614</v>
      </c>
      <c r="K1048" t="n">
        <v>19990614</v>
      </c>
      <c r="L1048" s="8">
        <f>HYPERLINK("https://test.ictv.global/id/TN19981100","TN19981100@TEST")</f>
        <v/>
      </c>
      <c r="M1048" s="8">
        <f>HYPERLINK("https://test.ictv.global/id/ICTV19910587","ICTV19910587@TEST")</f>
        <v/>
      </c>
      <c r="N1048" s="8">
        <f>HYPERLINK("https://ictv.global/id/TN19981100","TN19981100@prod")</f>
        <v/>
      </c>
      <c r="O1048" s="8">
        <f>HYPERLINK("https://ictv.global/id/ICTV19910587","ICTV19910587@prod")</f>
        <v/>
      </c>
    </row>
    <row r="1049">
      <c r="A1049" t="n">
        <v>17</v>
      </c>
      <c r="B1049" t="n">
        <v>19981101</v>
      </c>
      <c r="C1049" t="n">
        <v>19760221</v>
      </c>
      <c r="D1049" t="inlineStr">
        <is>
          <t>species</t>
        </is>
      </c>
      <c r="E1049" t="inlineStr">
        <is>
          <t>Tsuruse virus</t>
        </is>
      </c>
      <c r="G1049" t="inlineStr">
        <is>
          <t>Merged,</t>
        </is>
      </c>
      <c r="H1049" t="inlineStr">
        <is>
          <t>Tete virus</t>
        </is>
      </c>
      <c r="I1049" t="inlineStr">
        <is>
          <t>species</t>
        </is>
      </c>
      <c r="J1049" t="n">
        <v>19990652</v>
      </c>
      <c r="K1049" t="n">
        <v>19990652</v>
      </c>
      <c r="L1049" s="8">
        <f>HYPERLINK("https://test.ictv.global/id/TN19981101","TN19981101@TEST")</f>
        <v/>
      </c>
      <c r="M1049" s="8">
        <f>HYPERLINK("https://test.ictv.global/id/ICTV19760221","ICTV19760221@TEST")</f>
        <v/>
      </c>
      <c r="N1049" s="8">
        <f>HYPERLINK("https://ictv.global/id/TN19981101","TN19981101@prod")</f>
        <v/>
      </c>
      <c r="O1049" s="8">
        <f>HYPERLINK("https://ictv.global/id/ICTV19760221","ICTV19760221@prod")</f>
        <v/>
      </c>
    </row>
    <row r="1050">
      <c r="A1050" t="n">
        <v>17</v>
      </c>
      <c r="B1050" t="n">
        <v>19981102</v>
      </c>
      <c r="C1050" t="n">
        <v>19910589</v>
      </c>
      <c r="D1050" t="inlineStr">
        <is>
          <t>species</t>
        </is>
      </c>
      <c r="E1050" t="inlineStr">
        <is>
          <t>Tucundaba virus</t>
        </is>
      </c>
      <c r="G1050" t="inlineStr">
        <is>
          <t>Merged,Assigned as Type Species,</t>
        </is>
      </c>
      <c r="H1050" t="inlineStr">
        <is>
          <t>Bunyamwera virus</t>
        </is>
      </c>
      <c r="I1050" t="inlineStr">
        <is>
          <t>species</t>
        </is>
      </c>
      <c r="J1050" t="n">
        <v>19990622</v>
      </c>
      <c r="K1050" t="n">
        <v>19990622</v>
      </c>
      <c r="L1050" s="8">
        <f>HYPERLINK("https://test.ictv.global/id/TN19981102","TN19981102@TEST")</f>
        <v/>
      </c>
      <c r="M1050" s="8">
        <f>HYPERLINK("https://test.ictv.global/id/ICTV19910589","ICTV19910589@TEST")</f>
        <v/>
      </c>
      <c r="N1050" s="8">
        <f>HYPERLINK("https://ictv.global/id/TN19981102","TN19981102@prod")</f>
        <v/>
      </c>
      <c r="O1050" s="8">
        <f>HYPERLINK("https://ictv.global/id/ICTV19910589","ICTV19910589@prod")</f>
        <v/>
      </c>
    </row>
    <row r="1051">
      <c r="A1051" t="n">
        <v>17</v>
      </c>
      <c r="B1051" t="n">
        <v>19981103</v>
      </c>
      <c r="C1051" t="n">
        <v>19990655</v>
      </c>
      <c r="D1051" t="inlineStr">
        <is>
          <t>species</t>
        </is>
      </c>
      <c r="E1051" t="inlineStr">
        <is>
          <t>Turlock virus</t>
        </is>
      </c>
      <c r="F1051" t="inlineStr"/>
      <c r="G1051" t="inlineStr">
        <is>
          <t>Merged,</t>
        </is>
      </c>
      <c r="H1051" t="inlineStr">
        <is>
          <t>Turlock virus</t>
        </is>
      </c>
      <c r="I1051" t="inlineStr">
        <is>
          <t>species</t>
        </is>
      </c>
      <c r="J1051" t="n">
        <v>19990655</v>
      </c>
      <c r="K1051" t="n">
        <v>19990655</v>
      </c>
      <c r="L1051" s="8">
        <f>HYPERLINK("https://test.ictv.global/id/TN19981103","TN19981103@TEST")</f>
        <v/>
      </c>
      <c r="M1051" s="8">
        <f>HYPERLINK("https://test.ictv.global/id/ICTV19990655","ICTV19990655@TEST")</f>
        <v/>
      </c>
      <c r="N1051" s="8">
        <f>HYPERLINK("https://ictv.global/id/TN19981103","TN19981103@prod")</f>
        <v/>
      </c>
      <c r="O1051" s="8">
        <f>HYPERLINK("https://ictv.global/id/ICTV19990655","ICTV19990655@prod")</f>
        <v/>
      </c>
    </row>
    <row r="1052">
      <c r="A1052" t="n">
        <v>17</v>
      </c>
      <c r="B1052" t="n">
        <v>19981104</v>
      </c>
      <c r="C1052" t="n">
        <v>19790316</v>
      </c>
      <c r="D1052" t="inlineStr">
        <is>
          <t>species</t>
        </is>
      </c>
      <c r="E1052" t="inlineStr">
        <is>
          <t>Umbre virus</t>
        </is>
      </c>
      <c r="G1052" t="inlineStr">
        <is>
          <t>Merged,</t>
        </is>
      </c>
      <c r="H1052" t="inlineStr">
        <is>
          <t>Turlock virus</t>
        </is>
      </c>
      <c r="I1052" t="inlineStr">
        <is>
          <t>species</t>
        </is>
      </c>
      <c r="J1052" t="n">
        <v>19990655</v>
      </c>
      <c r="K1052" t="n">
        <v>19990655</v>
      </c>
      <c r="L1052" s="8">
        <f>HYPERLINK("https://test.ictv.global/id/TN19981104","TN19981104@TEST")</f>
        <v/>
      </c>
      <c r="M1052" s="8">
        <f>HYPERLINK("https://test.ictv.global/id/ICTV19790316","ICTV19790316@TEST")</f>
        <v/>
      </c>
      <c r="N1052" s="8">
        <f>HYPERLINK("https://ictv.global/id/TN19981104","TN19981104@prod")</f>
        <v/>
      </c>
      <c r="O1052" s="8">
        <f>HYPERLINK("https://ictv.global/id/ICTV19790316","ICTV19790316@prod")</f>
        <v/>
      </c>
    </row>
    <row r="1053">
      <c r="A1053" t="n">
        <v>17</v>
      </c>
      <c r="B1053" t="n">
        <v>19981105</v>
      </c>
      <c r="C1053" t="n">
        <v>19820366</v>
      </c>
      <c r="D1053" t="inlineStr">
        <is>
          <t>species</t>
        </is>
      </c>
      <c r="E1053" t="inlineStr">
        <is>
          <t>Utinga virus</t>
        </is>
      </c>
      <c r="G1053" t="inlineStr">
        <is>
          <t>Merged,</t>
        </is>
      </c>
      <c r="H1053" t="inlineStr">
        <is>
          <t>Oropouche virus</t>
        </is>
      </c>
      <c r="I1053" t="inlineStr">
        <is>
          <t>species</t>
        </is>
      </c>
      <c r="J1053" t="n">
        <v>19990645</v>
      </c>
      <c r="K1053" t="n">
        <v>19990645</v>
      </c>
      <c r="L1053" s="8">
        <f>HYPERLINK("https://test.ictv.global/id/TN19981105","TN19981105@TEST")</f>
        <v/>
      </c>
      <c r="M1053" s="8">
        <f>HYPERLINK("https://test.ictv.global/id/ICTV19820366","ICTV19820366@TEST")</f>
        <v/>
      </c>
      <c r="N1053" s="8">
        <f>HYPERLINK("https://ictv.global/id/TN19981105","TN19981105@prod")</f>
        <v/>
      </c>
      <c r="O1053" s="8">
        <f>HYPERLINK("https://ictv.global/id/ICTV19820366","ICTV19820366@prod")</f>
        <v/>
      </c>
    </row>
    <row r="1054">
      <c r="A1054" t="n">
        <v>17</v>
      </c>
      <c r="B1054" t="n">
        <v>19981106</v>
      </c>
      <c r="C1054" t="n">
        <v>19820367</v>
      </c>
      <c r="D1054" t="inlineStr">
        <is>
          <t>species</t>
        </is>
      </c>
      <c r="E1054" t="inlineStr">
        <is>
          <t>Utive virus</t>
        </is>
      </c>
      <c r="G1054" t="inlineStr">
        <is>
          <t>Merged,</t>
        </is>
      </c>
      <c r="H1054" t="inlineStr">
        <is>
          <t>Oropouche virus</t>
        </is>
      </c>
      <c r="I1054" t="inlineStr">
        <is>
          <t>species</t>
        </is>
      </c>
      <c r="J1054" t="n">
        <v>19990645</v>
      </c>
      <c r="K1054" t="n">
        <v>19990645</v>
      </c>
      <c r="L1054" s="8">
        <f>HYPERLINK("https://test.ictv.global/id/TN19981106","TN19981106@TEST")</f>
        <v/>
      </c>
      <c r="M1054" s="8">
        <f>HYPERLINK("https://test.ictv.global/id/ICTV19820367","ICTV19820367@TEST")</f>
        <v/>
      </c>
      <c r="N1054" s="8">
        <f>HYPERLINK("https://ictv.global/id/TN19981106","TN19981106@prod")</f>
        <v/>
      </c>
      <c r="O1054" s="8">
        <f>HYPERLINK("https://ictv.global/id/ICTV19820367","ICTV19820367@prod")</f>
        <v/>
      </c>
    </row>
    <row r="1055">
      <c r="A1055" t="n">
        <v>17</v>
      </c>
      <c r="B1055" t="n">
        <v>19981107</v>
      </c>
      <c r="C1055" t="n">
        <v>19910594</v>
      </c>
      <c r="D1055" t="inlineStr">
        <is>
          <t>species</t>
        </is>
      </c>
      <c r="E1055" t="inlineStr">
        <is>
          <t>Vinces virus</t>
        </is>
      </c>
      <c r="G1055" t="inlineStr">
        <is>
          <t>Merged,</t>
        </is>
      </c>
      <c r="H1055" t="inlineStr">
        <is>
          <t>Caraparu virus</t>
        </is>
      </c>
      <c r="I1055" t="inlineStr">
        <is>
          <t>species</t>
        </is>
      </c>
      <c r="J1055" t="n">
        <v>19990627</v>
      </c>
      <c r="K1055" t="n">
        <v>19990627</v>
      </c>
      <c r="L1055" s="8">
        <f>HYPERLINK("https://test.ictv.global/id/TN19981107","TN19981107@TEST")</f>
        <v/>
      </c>
      <c r="M1055" s="8">
        <f>HYPERLINK("https://test.ictv.global/id/ICTV19910594","ICTV19910594@TEST")</f>
        <v/>
      </c>
      <c r="N1055" s="8">
        <f>HYPERLINK("https://ictv.global/id/TN19981107","TN19981107@prod")</f>
        <v/>
      </c>
      <c r="O1055" s="8">
        <f>HYPERLINK("https://ictv.global/id/ICTV19910594","ICTV19910594@prod")</f>
        <v/>
      </c>
    </row>
    <row r="1056">
      <c r="A1056" t="n">
        <v>17</v>
      </c>
      <c r="B1056" t="n">
        <v>19981108</v>
      </c>
      <c r="C1056" t="n">
        <v>19820368</v>
      </c>
      <c r="D1056" t="inlineStr">
        <is>
          <t>species</t>
        </is>
      </c>
      <c r="E1056" t="inlineStr">
        <is>
          <t>Virgin River virus</t>
        </is>
      </c>
      <c r="G1056" t="inlineStr">
        <is>
          <t>Merged,</t>
        </is>
      </c>
      <c r="H1056" t="inlineStr">
        <is>
          <t>Tacaiuma virus</t>
        </is>
      </c>
      <c r="I1056" t="inlineStr">
        <is>
          <t>species</t>
        </is>
      </c>
      <c r="J1056" t="n">
        <v>19990651</v>
      </c>
      <c r="K1056" t="n">
        <v>19990651</v>
      </c>
      <c r="L1056" s="8">
        <f>HYPERLINK("https://test.ictv.global/id/TN19981108","TN19981108@TEST")</f>
        <v/>
      </c>
      <c r="M1056" s="8">
        <f>HYPERLINK("https://test.ictv.global/id/ICTV19820368","ICTV19820368@TEST")</f>
        <v/>
      </c>
      <c r="N1056" s="8">
        <f>HYPERLINK("https://ictv.global/id/TN19981108","TN19981108@prod")</f>
        <v/>
      </c>
      <c r="O1056" s="8">
        <f>HYPERLINK("https://ictv.global/id/ICTV19820368","ICTV19820368@prod")</f>
        <v/>
      </c>
    </row>
    <row r="1057">
      <c r="A1057" t="n">
        <v>17</v>
      </c>
      <c r="B1057" t="n">
        <v>19981109</v>
      </c>
      <c r="C1057" t="n">
        <v>19910596</v>
      </c>
      <c r="D1057" t="inlineStr">
        <is>
          <t>species</t>
        </is>
      </c>
      <c r="E1057" t="inlineStr">
        <is>
          <t>Weldona virus</t>
        </is>
      </c>
      <c r="G1057" t="inlineStr">
        <is>
          <t>Merged,</t>
        </is>
      </c>
      <c r="H1057" t="inlineStr">
        <is>
          <t>Tete virus</t>
        </is>
      </c>
      <c r="I1057" t="inlineStr">
        <is>
          <t>species</t>
        </is>
      </c>
      <c r="J1057" t="n">
        <v>19990652</v>
      </c>
      <c r="K1057" t="n">
        <v>19990652</v>
      </c>
      <c r="L1057" s="8">
        <f>HYPERLINK("https://test.ictv.global/id/TN19981109","TN19981109@TEST")</f>
        <v/>
      </c>
      <c r="M1057" s="8">
        <f>HYPERLINK("https://test.ictv.global/id/ICTV19910596","ICTV19910596@TEST")</f>
        <v/>
      </c>
      <c r="N1057" s="8">
        <f>HYPERLINK("https://ictv.global/id/TN19981109","TN19981109@prod")</f>
        <v/>
      </c>
      <c r="O1057" s="8">
        <f>HYPERLINK("https://ictv.global/id/ICTV19910596","ICTV19910596@prod")</f>
        <v/>
      </c>
    </row>
    <row r="1058">
      <c r="A1058" t="n">
        <v>17</v>
      </c>
      <c r="B1058" t="n">
        <v>19981110</v>
      </c>
      <c r="C1058" t="n">
        <v>19760222</v>
      </c>
      <c r="D1058" t="inlineStr">
        <is>
          <t>species</t>
        </is>
      </c>
      <c r="E1058" t="inlineStr">
        <is>
          <t>Wongal virus</t>
        </is>
      </c>
      <c r="G1058" t="inlineStr">
        <is>
          <t>Merged,</t>
        </is>
      </c>
      <c r="H1058" t="inlineStr">
        <is>
          <t>Koongol virus</t>
        </is>
      </c>
      <c r="I1058" t="inlineStr">
        <is>
          <t>species</t>
        </is>
      </c>
      <c r="J1058" t="n">
        <v>19990635</v>
      </c>
      <c r="K1058" t="n">
        <v>19990635</v>
      </c>
      <c r="L1058" s="8">
        <f>HYPERLINK("https://test.ictv.global/id/TN19981110","TN19981110@TEST")</f>
        <v/>
      </c>
      <c r="M1058" s="8">
        <f>HYPERLINK("https://test.ictv.global/id/ICTV19760222","ICTV19760222@TEST")</f>
        <v/>
      </c>
      <c r="N1058" s="8">
        <f>HYPERLINK("https://ictv.global/id/TN19981110","TN19981110@prod")</f>
        <v/>
      </c>
      <c r="O1058" s="8">
        <f>HYPERLINK("https://ictv.global/id/ICTV19760222","ICTV19760222@prod")</f>
        <v/>
      </c>
    </row>
    <row r="1059">
      <c r="A1059" t="n">
        <v>17</v>
      </c>
      <c r="B1059" t="n">
        <v>19981111</v>
      </c>
      <c r="C1059" t="n">
        <v>19990656</v>
      </c>
      <c r="D1059" t="inlineStr">
        <is>
          <t>species</t>
        </is>
      </c>
      <c r="E1059" t="inlineStr">
        <is>
          <t>Wyeomyia virus</t>
        </is>
      </c>
      <c r="F1059" t="inlineStr"/>
      <c r="G1059" t="inlineStr">
        <is>
          <t>Merged,</t>
        </is>
      </c>
      <c r="H1059" t="inlineStr">
        <is>
          <t>Wyeomyia virus</t>
        </is>
      </c>
      <c r="I1059" t="inlineStr">
        <is>
          <t>species</t>
        </is>
      </c>
      <c r="J1059" t="n">
        <v>19990656</v>
      </c>
      <c r="K1059" t="n">
        <v>19990656</v>
      </c>
      <c r="L1059" s="8">
        <f>HYPERLINK("https://test.ictv.global/id/TN19981111","TN19981111@TEST")</f>
        <v/>
      </c>
      <c r="M1059" s="8">
        <f>HYPERLINK("https://test.ictv.global/id/ICTV19990656","ICTV19990656@TEST")</f>
        <v/>
      </c>
      <c r="N1059" s="8">
        <f>HYPERLINK("https://ictv.global/id/TN19981111","TN19981111@prod")</f>
        <v/>
      </c>
      <c r="O1059" s="8">
        <f>HYPERLINK("https://ictv.global/id/ICTV19990656","ICTV19990656@prod")</f>
        <v/>
      </c>
    </row>
    <row r="1060">
      <c r="A1060" t="n">
        <v>17</v>
      </c>
      <c r="B1060" t="n">
        <v>19981112</v>
      </c>
      <c r="C1060" t="n">
        <v>19910599</v>
      </c>
      <c r="D1060" t="inlineStr">
        <is>
          <t>species</t>
        </is>
      </c>
      <c r="E1060" t="inlineStr">
        <is>
          <t>Xingu virus</t>
        </is>
      </c>
      <c r="G1060" t="inlineStr">
        <is>
          <t>Merged,Assigned as Type Species,</t>
        </is>
      </c>
      <c r="H1060" t="inlineStr">
        <is>
          <t>Bunyamwera virus</t>
        </is>
      </c>
      <c r="I1060" t="inlineStr">
        <is>
          <t>species</t>
        </is>
      </c>
      <c r="J1060" t="n">
        <v>19990622</v>
      </c>
      <c r="K1060" t="n">
        <v>19990622</v>
      </c>
      <c r="L1060" s="8">
        <f>HYPERLINK("https://test.ictv.global/id/TN19981112","TN19981112@TEST")</f>
        <v/>
      </c>
      <c r="M1060" s="8">
        <f>HYPERLINK("https://test.ictv.global/id/ICTV19910599","ICTV19910599@TEST")</f>
        <v/>
      </c>
      <c r="N1060" s="8">
        <f>HYPERLINK("https://ictv.global/id/TN19981112","TN19981112@prod")</f>
        <v/>
      </c>
      <c r="O1060" s="8">
        <f>HYPERLINK("https://ictv.global/id/ICTV19910599","ICTV19910599@prod")</f>
        <v/>
      </c>
    </row>
    <row r="1061">
      <c r="A1061" t="n">
        <v>17</v>
      </c>
      <c r="B1061" t="n">
        <v>19981114</v>
      </c>
      <c r="C1061" t="n">
        <v>19910601</v>
      </c>
      <c r="D1061" t="inlineStr">
        <is>
          <t>species</t>
        </is>
      </c>
      <c r="E1061" t="inlineStr">
        <is>
          <t>Yaba-7 virus</t>
        </is>
      </c>
      <c r="G1061" t="inlineStr">
        <is>
          <t>Merged,</t>
        </is>
      </c>
      <c r="H1061" t="inlineStr">
        <is>
          <t>Akabane virus</t>
        </is>
      </c>
      <c r="I1061" t="inlineStr">
        <is>
          <t>species</t>
        </is>
      </c>
      <c r="J1061" t="n">
        <v>19990612</v>
      </c>
      <c r="K1061" t="n">
        <v>19990612</v>
      </c>
      <c r="L1061" s="8">
        <f>HYPERLINK("https://test.ictv.global/id/TN19981114","TN19981114@TEST")</f>
        <v/>
      </c>
      <c r="M1061" s="8">
        <f>HYPERLINK("https://test.ictv.global/id/ICTV19910601","ICTV19910601@TEST")</f>
        <v/>
      </c>
      <c r="N1061" s="8">
        <f>HYPERLINK("https://ictv.global/id/TN19981114","TN19981114@prod")</f>
        <v/>
      </c>
      <c r="O1061" s="8">
        <f>HYPERLINK("https://ictv.global/id/ICTV19910601","ICTV19910601@prod")</f>
        <v/>
      </c>
    </row>
    <row r="1062">
      <c r="A1062" t="n">
        <v>17</v>
      </c>
      <c r="B1062" t="n">
        <v>19981123</v>
      </c>
      <c r="C1062" t="n">
        <v>19810347</v>
      </c>
      <c r="D1062" t="inlineStr">
        <is>
          <t>species</t>
        </is>
      </c>
      <c r="E1062" t="inlineStr">
        <is>
          <t>Abu Hammad virus</t>
        </is>
      </c>
      <c r="G1062" t="inlineStr">
        <is>
          <t>Merged,</t>
        </is>
      </c>
      <c r="H1062" t="inlineStr">
        <is>
          <t>Dera Ghazi Khan virus</t>
        </is>
      </c>
      <c r="I1062" t="inlineStr">
        <is>
          <t>species</t>
        </is>
      </c>
      <c r="J1062" t="n">
        <v>19990681</v>
      </c>
      <c r="K1062" t="n">
        <v>19990681</v>
      </c>
      <c r="L1062" s="8">
        <f>HYPERLINK("https://test.ictv.global/id/TN19981123","TN19981123@TEST")</f>
        <v/>
      </c>
      <c r="M1062" s="8">
        <f>HYPERLINK("https://test.ictv.global/id/ICTV19810347","ICTV19810347@TEST")</f>
        <v/>
      </c>
      <c r="N1062" s="8">
        <f>HYPERLINK("https://ictv.global/id/TN19981123","TN19981123@prod")</f>
        <v/>
      </c>
      <c r="O1062" s="8">
        <f>HYPERLINK("https://ictv.global/id/ICTV19810347","ICTV19810347@prod")</f>
        <v/>
      </c>
    </row>
    <row r="1063">
      <c r="A1063" t="n">
        <v>17</v>
      </c>
      <c r="B1063" t="n">
        <v>19981124</v>
      </c>
      <c r="C1063" t="n">
        <v>19810348</v>
      </c>
      <c r="D1063" t="inlineStr">
        <is>
          <t>species</t>
        </is>
      </c>
      <c r="E1063" t="inlineStr">
        <is>
          <t>Abu Mina virus</t>
        </is>
      </c>
      <c r="G1063" t="inlineStr">
        <is>
          <t>Merged,</t>
        </is>
      </c>
      <c r="H1063" t="inlineStr">
        <is>
          <t>Dera Ghazi Khan virus</t>
        </is>
      </c>
      <c r="I1063" t="inlineStr">
        <is>
          <t>species</t>
        </is>
      </c>
      <c r="J1063" t="n">
        <v>19990681</v>
      </c>
      <c r="K1063" t="n">
        <v>19990681</v>
      </c>
      <c r="L1063" s="8">
        <f>HYPERLINK("https://test.ictv.global/id/TN19981124","TN19981124@TEST")</f>
        <v/>
      </c>
      <c r="M1063" s="8">
        <f>HYPERLINK("https://test.ictv.global/id/ICTV19810348","ICTV19810348@TEST")</f>
        <v/>
      </c>
      <c r="N1063" s="8">
        <f>HYPERLINK("https://ictv.global/id/TN19981124","TN19981124@prod")</f>
        <v/>
      </c>
      <c r="O1063" s="8">
        <f>HYPERLINK("https://ictv.global/id/ICTV19810348","ICTV19810348@prod")</f>
        <v/>
      </c>
    </row>
    <row r="1064">
      <c r="A1064" t="n">
        <v>17</v>
      </c>
      <c r="B1064" t="n">
        <v>19981125</v>
      </c>
      <c r="C1064" t="n">
        <v>19820375</v>
      </c>
      <c r="D1064" t="inlineStr">
        <is>
          <t>species</t>
        </is>
      </c>
      <c r="E1064" t="inlineStr">
        <is>
          <t>Avalon virus</t>
        </is>
      </c>
      <c r="G1064" t="inlineStr">
        <is>
          <t>Merged,</t>
        </is>
      </c>
      <c r="H1064" t="inlineStr">
        <is>
          <t>Sakhalin virus</t>
        </is>
      </c>
      <c r="I1064" t="inlineStr">
        <is>
          <t>species</t>
        </is>
      </c>
      <c r="J1064" t="n">
        <v>19990686</v>
      </c>
      <c r="K1064" t="n">
        <v>19990686</v>
      </c>
      <c r="L1064" s="8">
        <f>HYPERLINK("https://test.ictv.global/id/TN19981125","TN19981125@TEST")</f>
        <v/>
      </c>
      <c r="M1064" s="8">
        <f>HYPERLINK("https://test.ictv.global/id/ICTV19820375","ICTV19820375@TEST")</f>
        <v/>
      </c>
      <c r="N1064" s="8">
        <f>HYPERLINK("https://ictv.global/id/TN19981125","TN19981125@prod")</f>
        <v/>
      </c>
      <c r="O1064" s="8">
        <f>HYPERLINK("https://ictv.global/id/ICTV19820375","ICTV19820375@prod")</f>
        <v/>
      </c>
    </row>
    <row r="1065">
      <c r="A1065" t="n">
        <v>17</v>
      </c>
      <c r="B1065" t="n">
        <v>19981126</v>
      </c>
      <c r="C1065" t="n">
        <v>19810349</v>
      </c>
      <c r="D1065" t="inlineStr">
        <is>
          <t>species</t>
        </is>
      </c>
      <c r="E1065" t="inlineStr">
        <is>
          <t>Bandia virus</t>
        </is>
      </c>
      <c r="G1065" t="inlineStr">
        <is>
          <t>Merged,</t>
        </is>
      </c>
      <c r="H1065" t="inlineStr">
        <is>
          <t>Qalyub virus</t>
        </is>
      </c>
      <c r="I1065" t="inlineStr">
        <is>
          <t>species</t>
        </is>
      </c>
      <c r="J1065" t="n">
        <v>19990685</v>
      </c>
      <c r="K1065" t="n">
        <v>19990685</v>
      </c>
      <c r="L1065" s="8">
        <f>HYPERLINK("https://test.ictv.global/id/TN19981126","TN19981126@TEST")</f>
        <v/>
      </c>
      <c r="M1065" s="8">
        <f>HYPERLINK("https://test.ictv.global/id/ICTV19810349","ICTV19810349@TEST")</f>
        <v/>
      </c>
      <c r="N1065" s="8">
        <f>HYPERLINK("https://ictv.global/id/TN19981126","TN19981126@prod")</f>
        <v/>
      </c>
      <c r="O1065" s="8">
        <f>HYPERLINK("https://ictv.global/id/ICTV19810349","ICTV19810349@prod")</f>
        <v/>
      </c>
    </row>
    <row r="1066">
      <c r="A1066" t="n">
        <v>17</v>
      </c>
      <c r="B1066" t="n">
        <v>19981127</v>
      </c>
      <c r="C1066" t="n">
        <v>19820377</v>
      </c>
      <c r="D1066" t="inlineStr">
        <is>
          <t>species</t>
        </is>
      </c>
      <c r="E1066" t="inlineStr">
        <is>
          <t>Clo Mor virus</t>
        </is>
      </c>
      <c r="G1066" t="inlineStr">
        <is>
          <t>Merged,</t>
        </is>
      </c>
      <c r="H1066" t="inlineStr">
        <is>
          <t>Sakhalin virus</t>
        </is>
      </c>
      <c r="I1066" t="inlineStr">
        <is>
          <t>species</t>
        </is>
      </c>
      <c r="J1066" t="n">
        <v>19990686</v>
      </c>
      <c r="K1066" t="n">
        <v>19990686</v>
      </c>
      <c r="L1066" s="8">
        <f>HYPERLINK("https://test.ictv.global/id/TN19981127","TN19981127@TEST")</f>
        <v/>
      </c>
      <c r="M1066" s="8">
        <f>HYPERLINK("https://test.ictv.global/id/ICTV19820377","ICTV19820377@TEST")</f>
        <v/>
      </c>
      <c r="N1066" s="8">
        <f>HYPERLINK("https://ictv.global/id/TN19981127","TN19981127@prod")</f>
        <v/>
      </c>
      <c r="O1066" s="8">
        <f>HYPERLINK("https://ictv.global/id/ICTV19820377","ICTV19820377@prod")</f>
        <v/>
      </c>
    </row>
    <row r="1067">
      <c r="A1067" t="n">
        <v>17</v>
      </c>
      <c r="B1067" t="n">
        <v>19981128</v>
      </c>
      <c r="C1067" t="n">
        <v>19990680</v>
      </c>
      <c r="D1067" t="inlineStr">
        <is>
          <t>species</t>
        </is>
      </c>
      <c r="E1067" t="inlineStr">
        <is>
          <t>Crimean-Congo hemorrhagic fever virus</t>
        </is>
      </c>
      <c r="F1067" t="inlineStr"/>
      <c r="G1067" t="inlineStr">
        <is>
          <t>Merged,</t>
        </is>
      </c>
      <c r="H1067" t="inlineStr">
        <is>
          <t>Crimean-Congo hemorrhagic fever virus</t>
        </is>
      </c>
      <c r="I1067" t="inlineStr">
        <is>
          <t>species</t>
        </is>
      </c>
      <c r="J1067" t="n">
        <v>19990680</v>
      </c>
      <c r="K1067" t="n">
        <v>19990680</v>
      </c>
      <c r="L1067" s="8">
        <f>HYPERLINK("https://test.ictv.global/id/TN19981128","TN19981128@TEST")</f>
        <v/>
      </c>
      <c r="M1067" s="8">
        <f>HYPERLINK("https://test.ictv.global/id/ICTV19990680","ICTV19990680@TEST")</f>
        <v/>
      </c>
      <c r="N1067" s="8">
        <f>HYPERLINK("https://ictv.global/id/TN19981128","TN19981128@prod")</f>
        <v/>
      </c>
      <c r="O1067" s="8">
        <f>HYPERLINK("https://ictv.global/id/ICTV19990680","ICTV19990680@prod")</f>
        <v/>
      </c>
    </row>
    <row r="1068">
      <c r="A1068" t="n">
        <v>17</v>
      </c>
      <c r="B1068" t="n">
        <v>19981129</v>
      </c>
      <c r="C1068" t="n">
        <v>19990681</v>
      </c>
      <c r="D1068" t="inlineStr">
        <is>
          <t>species</t>
        </is>
      </c>
      <c r="E1068" t="inlineStr">
        <is>
          <t>Dera Ghazi Khan virus</t>
        </is>
      </c>
      <c r="F1068" t="inlineStr"/>
      <c r="G1068" t="inlineStr">
        <is>
          <t>Merged,</t>
        </is>
      </c>
      <c r="H1068" t="inlineStr">
        <is>
          <t>Dera Ghazi Khan virus</t>
        </is>
      </c>
      <c r="I1068" t="inlineStr">
        <is>
          <t>species</t>
        </is>
      </c>
      <c r="J1068" t="n">
        <v>19990681</v>
      </c>
      <c r="K1068" t="n">
        <v>19990681</v>
      </c>
      <c r="L1068" s="8">
        <f>HYPERLINK("https://test.ictv.global/id/TN19981129","TN19981129@TEST")</f>
        <v/>
      </c>
      <c r="M1068" s="8">
        <f>HYPERLINK("https://test.ictv.global/id/ICTV19990681","ICTV19990681@TEST")</f>
        <v/>
      </c>
      <c r="N1068" s="8">
        <f>HYPERLINK("https://ictv.global/id/TN19981129","TN19981129@prod")</f>
        <v/>
      </c>
      <c r="O1068" s="8">
        <f>HYPERLINK("https://ictv.global/id/ICTV19990681","ICTV19990681@prod")</f>
        <v/>
      </c>
    </row>
    <row r="1069">
      <c r="A1069" t="n">
        <v>17</v>
      </c>
      <c r="B1069" t="n">
        <v>19981130</v>
      </c>
      <c r="C1069" t="n">
        <v>19950734</v>
      </c>
      <c r="D1069" t="inlineStr">
        <is>
          <t>species</t>
        </is>
      </c>
      <c r="E1069" t="inlineStr">
        <is>
          <t>Dry Tortugas virus</t>
        </is>
      </c>
      <c r="G1069" t="inlineStr">
        <is>
          <t>Abolished,</t>
        </is>
      </c>
      <c r="L1069" s="8">
        <f>HYPERLINK("https://test.ictv.global/id/TN19981130","TN19981130@TEST")</f>
        <v/>
      </c>
      <c r="M1069" s="8">
        <f>HYPERLINK("https://test.ictv.global/id/ICTV19950734","ICTV19950734@TEST")</f>
        <v/>
      </c>
      <c r="N1069" s="8">
        <f>HYPERLINK("https://ictv.global/id/TN19981130","TN19981130@prod")</f>
        <v/>
      </c>
      <c r="O1069" s="8">
        <f>HYPERLINK("https://ictv.global/id/ICTV19950734","ICTV19950734@prod")</f>
        <v/>
      </c>
    </row>
    <row r="1070">
      <c r="A1070" t="n">
        <v>17</v>
      </c>
      <c r="B1070" t="n">
        <v>19981132</v>
      </c>
      <c r="C1070" t="n">
        <v>19910617</v>
      </c>
      <c r="D1070" t="inlineStr">
        <is>
          <t>species</t>
        </is>
      </c>
      <c r="E1070" t="inlineStr">
        <is>
          <t>Erve virus</t>
        </is>
      </c>
      <c r="G1070" t="inlineStr">
        <is>
          <t>Merged,</t>
        </is>
      </c>
      <c r="H1070" t="inlineStr">
        <is>
          <t>Thiafora virus</t>
        </is>
      </c>
      <c r="I1070" t="inlineStr">
        <is>
          <t>species</t>
        </is>
      </c>
      <c r="J1070" t="n">
        <v>19990687</v>
      </c>
      <c r="K1070" t="n">
        <v>19990687</v>
      </c>
      <c r="L1070" s="8">
        <f>HYPERLINK("https://test.ictv.global/id/TN19981132","TN19981132@TEST")</f>
        <v/>
      </c>
      <c r="M1070" s="8">
        <f>HYPERLINK("https://test.ictv.global/id/ICTV19910617","ICTV19910617@TEST")</f>
        <v/>
      </c>
      <c r="N1070" s="8">
        <f>HYPERLINK("https://ictv.global/id/TN19981132","TN19981132@prod")</f>
        <v/>
      </c>
      <c r="O1070" s="8">
        <f>HYPERLINK("https://ictv.global/id/ICTV19910617","ICTV19910617@prod")</f>
        <v/>
      </c>
    </row>
    <row r="1071">
      <c r="A1071" t="n">
        <v>17</v>
      </c>
      <c r="B1071" t="n">
        <v>19981133</v>
      </c>
      <c r="C1071" t="n">
        <v>19820381</v>
      </c>
      <c r="D1071" t="inlineStr">
        <is>
          <t>species</t>
        </is>
      </c>
      <c r="E1071" t="inlineStr">
        <is>
          <t>Farallon virus</t>
        </is>
      </c>
      <c r="G1071" t="inlineStr">
        <is>
          <t>Merged,</t>
        </is>
      </c>
      <c r="H1071" t="inlineStr">
        <is>
          <t>Hughes virus</t>
        </is>
      </c>
      <c r="I1071" t="inlineStr">
        <is>
          <t>species</t>
        </is>
      </c>
      <c r="J1071" t="n">
        <v>19990683</v>
      </c>
      <c r="K1071" t="n">
        <v>19990683</v>
      </c>
      <c r="L1071" s="8">
        <f>HYPERLINK("https://test.ictv.global/id/TN19981133","TN19981133@TEST")</f>
        <v/>
      </c>
      <c r="M1071" s="8">
        <f>HYPERLINK("https://test.ictv.global/id/ICTV19820381","ICTV19820381@TEST")</f>
        <v/>
      </c>
      <c r="N1071" s="8">
        <f>HYPERLINK("https://ictv.global/id/TN19981133","TN19981133@prod")</f>
        <v/>
      </c>
      <c r="O1071" s="8">
        <f>HYPERLINK("https://ictv.global/id/ICTV19820381","ICTV19820381@prod")</f>
        <v/>
      </c>
    </row>
    <row r="1072">
      <c r="A1072" t="n">
        <v>17</v>
      </c>
      <c r="B1072" t="n">
        <v>19981134</v>
      </c>
      <c r="C1072" t="n">
        <v>19910619</v>
      </c>
      <c r="D1072" t="inlineStr">
        <is>
          <t>species</t>
        </is>
      </c>
      <c r="E1072" t="inlineStr">
        <is>
          <t>Fraser Point virus</t>
        </is>
      </c>
      <c r="G1072" t="inlineStr">
        <is>
          <t>Merged,</t>
        </is>
      </c>
      <c r="H1072" t="inlineStr">
        <is>
          <t>Hughes virus</t>
        </is>
      </c>
      <c r="I1072" t="inlineStr">
        <is>
          <t>species</t>
        </is>
      </c>
      <c r="J1072" t="n">
        <v>19990683</v>
      </c>
      <c r="K1072" t="n">
        <v>19990683</v>
      </c>
      <c r="L1072" s="8">
        <f>HYPERLINK("https://test.ictv.global/id/TN19981134","TN19981134@TEST")</f>
        <v/>
      </c>
      <c r="M1072" s="8">
        <f>HYPERLINK("https://test.ictv.global/id/ICTV19910619","ICTV19910619@TEST")</f>
        <v/>
      </c>
      <c r="N1072" s="8">
        <f>HYPERLINK("https://ictv.global/id/TN19981134","TN19981134@prod")</f>
        <v/>
      </c>
      <c r="O1072" s="8">
        <f>HYPERLINK("https://ictv.global/id/ICTV19910619","ICTV19910619@prod")</f>
        <v/>
      </c>
    </row>
    <row r="1073">
      <c r="A1073" t="n">
        <v>17</v>
      </c>
      <c r="B1073" t="n">
        <v>19981135</v>
      </c>
      <c r="C1073" t="n">
        <v>19910620</v>
      </c>
      <c r="D1073" t="inlineStr">
        <is>
          <t>species</t>
        </is>
      </c>
      <c r="E1073" t="inlineStr">
        <is>
          <t>Great Saltee virus</t>
        </is>
      </c>
      <c r="G1073" t="inlineStr">
        <is>
          <t>Merged,</t>
        </is>
      </c>
      <c r="H1073" t="inlineStr">
        <is>
          <t>Hughes virus</t>
        </is>
      </c>
      <c r="I1073" t="inlineStr">
        <is>
          <t>species</t>
        </is>
      </c>
      <c r="J1073" t="n">
        <v>19990683</v>
      </c>
      <c r="K1073" t="n">
        <v>19990683</v>
      </c>
      <c r="L1073" s="8">
        <f>HYPERLINK("https://test.ictv.global/id/TN19981135","TN19981135@TEST")</f>
        <v/>
      </c>
      <c r="M1073" s="8">
        <f>HYPERLINK("https://test.ictv.global/id/ICTV19910620","ICTV19910620@TEST")</f>
        <v/>
      </c>
      <c r="N1073" s="8">
        <f>HYPERLINK("https://ictv.global/id/TN19981135","TN19981135@prod")</f>
        <v/>
      </c>
      <c r="O1073" s="8">
        <f>HYPERLINK("https://ictv.global/id/ICTV19910620","ICTV19910620@prod")</f>
        <v/>
      </c>
    </row>
    <row r="1074">
      <c r="A1074" t="n">
        <v>17</v>
      </c>
      <c r="B1074" t="n">
        <v>19981136</v>
      </c>
      <c r="C1074" t="n">
        <v>19810355</v>
      </c>
      <c r="D1074" t="inlineStr">
        <is>
          <t>species</t>
        </is>
      </c>
      <c r="E1074" t="inlineStr">
        <is>
          <t>Hazara virus</t>
        </is>
      </c>
      <c r="G1074" t="inlineStr">
        <is>
          <t>Merged,</t>
        </is>
      </c>
      <c r="H1074" t="inlineStr">
        <is>
          <t>Crimean-Congo hemorrhagic fever virus</t>
        </is>
      </c>
      <c r="I1074" t="inlineStr">
        <is>
          <t>species</t>
        </is>
      </c>
      <c r="J1074" t="n">
        <v>19990680</v>
      </c>
      <c r="K1074" t="n">
        <v>19990680</v>
      </c>
      <c r="L1074" s="8">
        <f>HYPERLINK("https://test.ictv.global/id/TN19981136","TN19981136@TEST")</f>
        <v/>
      </c>
      <c r="M1074" s="8">
        <f>HYPERLINK("https://test.ictv.global/id/ICTV19810355","ICTV19810355@TEST")</f>
        <v/>
      </c>
      <c r="N1074" s="8">
        <f>HYPERLINK("https://ictv.global/id/TN19981136","TN19981136@prod")</f>
        <v/>
      </c>
      <c r="O1074" s="8">
        <f>HYPERLINK("https://ictv.global/id/ICTV19810355","ICTV19810355@prod")</f>
        <v/>
      </c>
    </row>
    <row r="1075">
      <c r="A1075" t="n">
        <v>17</v>
      </c>
      <c r="B1075" t="n">
        <v>19981137</v>
      </c>
      <c r="C1075" t="n">
        <v>19990683</v>
      </c>
      <c r="D1075" t="inlineStr">
        <is>
          <t>species</t>
        </is>
      </c>
      <c r="E1075" t="inlineStr">
        <is>
          <t>Hughes virus</t>
        </is>
      </c>
      <c r="F1075" t="inlineStr"/>
      <c r="G1075" t="inlineStr">
        <is>
          <t>Merged,</t>
        </is>
      </c>
      <c r="H1075" t="inlineStr">
        <is>
          <t>Hughes virus</t>
        </is>
      </c>
      <c r="I1075" t="inlineStr">
        <is>
          <t>species</t>
        </is>
      </c>
      <c r="J1075" t="n">
        <v>19990683</v>
      </c>
      <c r="K1075" t="n">
        <v>19990683</v>
      </c>
      <c r="L1075" s="8">
        <f>HYPERLINK("https://test.ictv.global/id/TN19981137","TN19981137@TEST")</f>
        <v/>
      </c>
      <c r="M1075" s="8">
        <f>HYPERLINK("https://test.ictv.global/id/ICTV19990683","ICTV19990683@TEST")</f>
        <v/>
      </c>
      <c r="N1075" s="8">
        <f>HYPERLINK("https://ictv.global/id/TN19981137","TN19981137@prod")</f>
        <v/>
      </c>
      <c r="O1075" s="8">
        <f>HYPERLINK("https://ictv.global/id/ICTV19990683","ICTV19990683@prod")</f>
        <v/>
      </c>
    </row>
    <row r="1076">
      <c r="A1076" t="n">
        <v>17</v>
      </c>
      <c r="B1076" t="n">
        <v>19981138</v>
      </c>
      <c r="C1076" t="n">
        <v>19910623</v>
      </c>
      <c r="D1076" t="inlineStr">
        <is>
          <t>species</t>
        </is>
      </c>
      <c r="E1076" t="inlineStr">
        <is>
          <t>Kachemak Bay virus</t>
        </is>
      </c>
      <c r="G1076" t="inlineStr">
        <is>
          <t>Merged,</t>
        </is>
      </c>
      <c r="H1076" t="inlineStr">
        <is>
          <t>Sakhalin virus</t>
        </is>
      </c>
      <c r="I1076" t="inlineStr">
        <is>
          <t>species</t>
        </is>
      </c>
      <c r="J1076" t="n">
        <v>19990686</v>
      </c>
      <c r="K1076" t="n">
        <v>19990686</v>
      </c>
      <c r="L1076" s="8">
        <f>HYPERLINK("https://test.ictv.global/id/TN19981138","TN19981138@TEST")</f>
        <v/>
      </c>
      <c r="M1076" s="8">
        <f>HYPERLINK("https://test.ictv.global/id/ICTV19910623","ICTV19910623@TEST")</f>
        <v/>
      </c>
      <c r="N1076" s="8">
        <f>HYPERLINK("https://ictv.global/id/TN19981138","TN19981138@prod")</f>
        <v/>
      </c>
      <c r="O1076" s="8">
        <f>HYPERLINK("https://ictv.global/id/ICTV19910623","ICTV19910623@prod")</f>
        <v/>
      </c>
    </row>
    <row r="1077">
      <c r="A1077" t="n">
        <v>17</v>
      </c>
      <c r="B1077" t="n">
        <v>19981139</v>
      </c>
      <c r="C1077" t="n">
        <v>19810357</v>
      </c>
      <c r="D1077" t="inlineStr">
        <is>
          <t>species</t>
        </is>
      </c>
      <c r="E1077" t="inlineStr">
        <is>
          <t>Kao Shuan virus</t>
        </is>
      </c>
      <c r="G1077" t="inlineStr">
        <is>
          <t>Merged,</t>
        </is>
      </c>
      <c r="H1077" t="inlineStr">
        <is>
          <t>Dera Ghazi Khan virus</t>
        </is>
      </c>
      <c r="I1077" t="inlineStr">
        <is>
          <t>species</t>
        </is>
      </c>
      <c r="J1077" t="n">
        <v>19990681</v>
      </c>
      <c r="K1077" t="n">
        <v>19990681</v>
      </c>
      <c r="L1077" s="8">
        <f>HYPERLINK("https://test.ictv.global/id/TN19981139","TN19981139@TEST")</f>
        <v/>
      </c>
      <c r="M1077" s="8">
        <f>HYPERLINK("https://test.ictv.global/id/ICTV19810357","ICTV19810357@TEST")</f>
        <v/>
      </c>
      <c r="N1077" s="8">
        <f>HYPERLINK("https://ictv.global/id/TN19981139","TN19981139@prod")</f>
        <v/>
      </c>
      <c r="O1077" s="8">
        <f>HYPERLINK("https://ictv.global/id/ICTV19810357","ICTV19810357@prod")</f>
        <v/>
      </c>
    </row>
    <row r="1078">
      <c r="A1078" t="n">
        <v>17</v>
      </c>
      <c r="B1078" t="n">
        <v>19981140</v>
      </c>
      <c r="C1078" t="n">
        <v>19910625</v>
      </c>
      <c r="D1078" t="inlineStr">
        <is>
          <t>species</t>
        </is>
      </c>
      <c r="E1078" t="inlineStr">
        <is>
          <t>Khasan virus</t>
        </is>
      </c>
      <c r="G1078" t="inlineStr">
        <is>
          <t>Merged,</t>
        </is>
      </c>
      <c r="H1078" t="inlineStr">
        <is>
          <t>Crimean-Congo hemorrhagic fever virus</t>
        </is>
      </c>
      <c r="I1078" t="inlineStr">
        <is>
          <t>species</t>
        </is>
      </c>
      <c r="J1078" t="n">
        <v>19990680</v>
      </c>
      <c r="K1078" t="n">
        <v>19990680</v>
      </c>
      <c r="L1078" s="8">
        <f>HYPERLINK("https://test.ictv.global/id/TN19981140","TN19981140@TEST")</f>
        <v/>
      </c>
      <c r="M1078" s="8">
        <f>HYPERLINK("https://test.ictv.global/id/ICTV19910625","ICTV19910625@TEST")</f>
        <v/>
      </c>
      <c r="N1078" s="8">
        <f>HYPERLINK("https://ictv.global/id/TN19981140","TN19981140@prod")</f>
        <v/>
      </c>
      <c r="O1078" s="8">
        <f>HYPERLINK("https://ictv.global/id/ICTV19910625","ICTV19910625@prod")</f>
        <v/>
      </c>
    </row>
    <row r="1079">
      <c r="A1079" t="n">
        <v>17</v>
      </c>
      <c r="B1079" t="n">
        <v>19981142</v>
      </c>
      <c r="C1079" t="n">
        <v>19910627</v>
      </c>
      <c r="D1079" t="inlineStr">
        <is>
          <t>species</t>
        </is>
      </c>
      <c r="E1079" t="inlineStr">
        <is>
          <t>Omo virus</t>
        </is>
      </c>
      <c r="G1079" t="inlineStr">
        <is>
          <t>Merged,</t>
        </is>
      </c>
      <c r="H1079" t="inlineStr">
        <is>
          <t>Qalyub virus</t>
        </is>
      </c>
      <c r="I1079" t="inlineStr">
        <is>
          <t>species</t>
        </is>
      </c>
      <c r="J1079" t="n">
        <v>19990685</v>
      </c>
      <c r="K1079" t="n">
        <v>19990685</v>
      </c>
      <c r="L1079" s="8">
        <f>HYPERLINK("https://test.ictv.global/id/TN19981142","TN19981142@TEST")</f>
        <v/>
      </c>
      <c r="M1079" s="8">
        <f>HYPERLINK("https://test.ictv.global/id/ICTV19910627","ICTV19910627@TEST")</f>
        <v/>
      </c>
      <c r="N1079" s="8">
        <f>HYPERLINK("https://ictv.global/id/TN19981142","TN19981142@prod")</f>
        <v/>
      </c>
      <c r="O1079" s="8">
        <f>HYPERLINK("https://ictv.global/id/ICTV19910627","ICTV19910627@prod")</f>
        <v/>
      </c>
    </row>
    <row r="1080">
      <c r="A1080" t="n">
        <v>17</v>
      </c>
      <c r="B1080" t="n">
        <v>19981143</v>
      </c>
      <c r="C1080" t="n">
        <v>19910628</v>
      </c>
      <c r="D1080" t="inlineStr">
        <is>
          <t>species</t>
        </is>
      </c>
      <c r="E1080" t="inlineStr">
        <is>
          <t>Paramushir virus</t>
        </is>
      </c>
      <c r="G1080" t="inlineStr">
        <is>
          <t>Merged,</t>
        </is>
      </c>
      <c r="H1080" t="inlineStr">
        <is>
          <t>Sakhalin virus</t>
        </is>
      </c>
      <c r="I1080" t="inlineStr">
        <is>
          <t>species</t>
        </is>
      </c>
      <c r="J1080" t="n">
        <v>19990686</v>
      </c>
      <c r="K1080" t="n">
        <v>19990686</v>
      </c>
      <c r="L1080" s="8">
        <f>HYPERLINK("https://test.ictv.global/id/TN19981143","TN19981143@TEST")</f>
        <v/>
      </c>
      <c r="M1080" s="8">
        <f>HYPERLINK("https://test.ictv.global/id/ICTV19910628","ICTV19910628@TEST")</f>
        <v/>
      </c>
      <c r="N1080" s="8">
        <f>HYPERLINK("https://ictv.global/id/TN19981143","TN19981143@prod")</f>
        <v/>
      </c>
      <c r="O1080" s="8">
        <f>HYPERLINK("https://ictv.global/id/ICTV19910628","ICTV19910628@prod")</f>
        <v/>
      </c>
    </row>
    <row r="1081">
      <c r="A1081" t="n">
        <v>17</v>
      </c>
      <c r="B1081" t="n">
        <v>19981144</v>
      </c>
      <c r="C1081" t="n">
        <v>19810359</v>
      </c>
      <c r="D1081" t="inlineStr">
        <is>
          <t>species</t>
        </is>
      </c>
      <c r="E1081" t="inlineStr">
        <is>
          <t>Pathum Thani virus</t>
        </is>
      </c>
      <c r="G1081" t="inlineStr">
        <is>
          <t>Merged,</t>
        </is>
      </c>
      <c r="H1081" t="inlineStr">
        <is>
          <t>Dera Ghazi Khan virus</t>
        </is>
      </c>
      <c r="I1081" t="inlineStr">
        <is>
          <t>species</t>
        </is>
      </c>
      <c r="J1081" t="n">
        <v>19990681</v>
      </c>
      <c r="K1081" t="n">
        <v>19990681</v>
      </c>
      <c r="L1081" s="8">
        <f>HYPERLINK("https://test.ictv.global/id/TN19981144","TN19981144@TEST")</f>
        <v/>
      </c>
      <c r="M1081" s="8">
        <f>HYPERLINK("https://test.ictv.global/id/ICTV19810359","ICTV19810359@TEST")</f>
        <v/>
      </c>
      <c r="N1081" s="8">
        <f>HYPERLINK("https://ictv.global/id/TN19981144","TN19981144@prod")</f>
        <v/>
      </c>
      <c r="O1081" s="8">
        <f>HYPERLINK("https://ictv.global/id/ICTV19810359","ICTV19810359@prod")</f>
        <v/>
      </c>
    </row>
    <row r="1082">
      <c r="A1082" t="n">
        <v>17</v>
      </c>
      <c r="B1082" t="n">
        <v>19981145</v>
      </c>
      <c r="C1082" t="n">
        <v>19810360</v>
      </c>
      <c r="D1082" t="inlineStr">
        <is>
          <t>species</t>
        </is>
      </c>
      <c r="E1082" t="inlineStr">
        <is>
          <t>Pretoria virus</t>
        </is>
      </c>
      <c r="G1082" t="inlineStr">
        <is>
          <t>Merged,</t>
        </is>
      </c>
      <c r="H1082" t="inlineStr">
        <is>
          <t>Dera Ghazi Khan virus</t>
        </is>
      </c>
      <c r="I1082" t="inlineStr">
        <is>
          <t>species</t>
        </is>
      </c>
      <c r="J1082" t="n">
        <v>19990681</v>
      </c>
      <c r="K1082" t="n">
        <v>19990681</v>
      </c>
      <c r="L1082" s="8">
        <f>HYPERLINK("https://test.ictv.global/id/TN19981145","TN19981145@TEST")</f>
        <v/>
      </c>
      <c r="M1082" s="8">
        <f>HYPERLINK("https://test.ictv.global/id/ICTV19810360","ICTV19810360@TEST")</f>
        <v/>
      </c>
      <c r="N1082" s="8">
        <f>HYPERLINK("https://ictv.global/id/TN19981145","TN19981145@prod")</f>
        <v/>
      </c>
      <c r="O1082" s="8">
        <f>HYPERLINK("https://ictv.global/id/ICTV19810360","ICTV19810360@prod")</f>
        <v/>
      </c>
    </row>
    <row r="1083">
      <c r="A1083" t="n">
        <v>17</v>
      </c>
      <c r="B1083" t="n">
        <v>19981146</v>
      </c>
      <c r="C1083" t="n">
        <v>19910631</v>
      </c>
      <c r="D1083" t="inlineStr">
        <is>
          <t>species</t>
        </is>
      </c>
      <c r="E1083" t="inlineStr">
        <is>
          <t>Puffin Island virus</t>
        </is>
      </c>
      <c r="G1083" t="inlineStr">
        <is>
          <t>Merged,</t>
        </is>
      </c>
      <c r="H1083" t="inlineStr">
        <is>
          <t>Hughes virus</t>
        </is>
      </c>
      <c r="I1083" t="inlineStr">
        <is>
          <t>species</t>
        </is>
      </c>
      <c r="J1083" t="n">
        <v>19990683</v>
      </c>
      <c r="K1083" t="n">
        <v>19990683</v>
      </c>
      <c r="L1083" s="8">
        <f>HYPERLINK("https://test.ictv.global/id/TN19981146","TN19981146@TEST")</f>
        <v/>
      </c>
      <c r="M1083" s="8">
        <f>HYPERLINK("https://test.ictv.global/id/ICTV19910631","ICTV19910631@TEST")</f>
        <v/>
      </c>
      <c r="N1083" s="8">
        <f>HYPERLINK("https://ictv.global/id/TN19981146","TN19981146@prod")</f>
        <v/>
      </c>
      <c r="O1083" s="8">
        <f>HYPERLINK("https://ictv.global/id/ICTV19910631","ICTV19910631@prod")</f>
        <v/>
      </c>
    </row>
    <row r="1084">
      <c r="A1084" t="n">
        <v>17</v>
      </c>
      <c r="B1084" t="n">
        <v>19981147</v>
      </c>
      <c r="C1084" t="n">
        <v>19810361</v>
      </c>
      <c r="D1084" t="inlineStr">
        <is>
          <t>species</t>
        </is>
      </c>
      <c r="E1084" t="inlineStr">
        <is>
          <t>Punta Salinas virus</t>
        </is>
      </c>
      <c r="G1084" t="inlineStr">
        <is>
          <t>Merged,</t>
        </is>
      </c>
      <c r="H1084" t="inlineStr">
        <is>
          <t>Hughes virus</t>
        </is>
      </c>
      <c r="I1084" t="inlineStr">
        <is>
          <t>species</t>
        </is>
      </c>
      <c r="J1084" t="n">
        <v>19990683</v>
      </c>
      <c r="K1084" t="n">
        <v>19990683</v>
      </c>
      <c r="L1084" s="8">
        <f>HYPERLINK("https://test.ictv.global/id/TN19981147","TN19981147@TEST")</f>
        <v/>
      </c>
      <c r="M1084" s="8">
        <f>HYPERLINK("https://test.ictv.global/id/ICTV19810361","ICTV19810361@TEST")</f>
        <v/>
      </c>
      <c r="N1084" s="8">
        <f>HYPERLINK("https://ictv.global/id/TN19981147","TN19981147@prod")</f>
        <v/>
      </c>
      <c r="O1084" s="8">
        <f>HYPERLINK("https://ictv.global/id/ICTV19810361","ICTV19810361@prod")</f>
        <v/>
      </c>
    </row>
    <row r="1085">
      <c r="A1085" t="n">
        <v>17</v>
      </c>
      <c r="B1085" t="n">
        <v>19981148</v>
      </c>
      <c r="C1085" t="n">
        <v>19990685</v>
      </c>
      <c r="D1085" t="inlineStr">
        <is>
          <t>species</t>
        </is>
      </c>
      <c r="E1085" t="inlineStr">
        <is>
          <t>Qalyub virus</t>
        </is>
      </c>
      <c r="F1085" t="inlineStr"/>
      <c r="G1085" t="inlineStr">
        <is>
          <t>Merged,</t>
        </is>
      </c>
      <c r="H1085" t="inlineStr">
        <is>
          <t>Qalyub virus</t>
        </is>
      </c>
      <c r="I1085" t="inlineStr">
        <is>
          <t>species</t>
        </is>
      </c>
      <c r="J1085" t="n">
        <v>19990685</v>
      </c>
      <c r="K1085" t="n">
        <v>19990685</v>
      </c>
      <c r="L1085" s="8">
        <f>HYPERLINK("https://test.ictv.global/id/TN19981148","TN19981148@TEST")</f>
        <v/>
      </c>
      <c r="M1085" s="8">
        <f>HYPERLINK("https://test.ictv.global/id/ICTV19990685","ICTV19990685@TEST")</f>
        <v/>
      </c>
      <c r="N1085" s="8">
        <f>HYPERLINK("https://ictv.global/id/TN19981148","TN19981148@prod")</f>
        <v/>
      </c>
      <c r="O1085" s="8">
        <f>HYPERLINK("https://ictv.global/id/ICTV19990685","ICTV19990685@prod")</f>
        <v/>
      </c>
    </row>
    <row r="1086">
      <c r="A1086" t="n">
        <v>17</v>
      </c>
      <c r="B1086" t="n">
        <v>19981149</v>
      </c>
      <c r="C1086" t="n">
        <v>19910634</v>
      </c>
      <c r="D1086" t="inlineStr">
        <is>
          <t>species</t>
        </is>
      </c>
      <c r="E1086" t="inlineStr">
        <is>
          <t>Raza virus</t>
        </is>
      </c>
      <c r="G1086" t="inlineStr">
        <is>
          <t>Merged,</t>
        </is>
      </c>
      <c r="H1086" t="inlineStr">
        <is>
          <t>Hughes virus</t>
        </is>
      </c>
      <c r="I1086" t="inlineStr">
        <is>
          <t>species</t>
        </is>
      </c>
      <c r="J1086" t="n">
        <v>19990683</v>
      </c>
      <c r="K1086" t="n">
        <v>19990683</v>
      </c>
      <c r="L1086" s="8">
        <f>HYPERLINK("https://test.ictv.global/id/TN19981149","TN19981149@TEST")</f>
        <v/>
      </c>
      <c r="M1086" s="8">
        <f>HYPERLINK("https://test.ictv.global/id/ICTV19910634","ICTV19910634@TEST")</f>
        <v/>
      </c>
      <c r="N1086" s="8">
        <f>HYPERLINK("https://ictv.global/id/TN19981149","TN19981149@prod")</f>
        <v/>
      </c>
      <c r="O1086" s="8">
        <f>HYPERLINK("https://ictv.global/id/ICTV19910634","ICTV19910634@prod")</f>
        <v/>
      </c>
    </row>
    <row r="1087">
      <c r="A1087" t="n">
        <v>17</v>
      </c>
      <c r="B1087" t="n">
        <v>19981150</v>
      </c>
      <c r="C1087" t="n">
        <v>19990686</v>
      </c>
      <c r="D1087" t="inlineStr">
        <is>
          <t>species</t>
        </is>
      </c>
      <c r="E1087" t="inlineStr">
        <is>
          <t>Sakhalin virus</t>
        </is>
      </c>
      <c r="F1087" t="inlineStr"/>
      <c r="G1087" t="inlineStr">
        <is>
          <t>Merged,</t>
        </is>
      </c>
      <c r="H1087" t="inlineStr">
        <is>
          <t>Sakhalin virus</t>
        </is>
      </c>
      <c r="I1087" t="inlineStr">
        <is>
          <t>species</t>
        </is>
      </c>
      <c r="J1087" t="n">
        <v>19990686</v>
      </c>
      <c r="K1087" t="n">
        <v>19990686</v>
      </c>
      <c r="L1087" s="8">
        <f>HYPERLINK("https://test.ictv.global/id/TN19981150","TN19981150@TEST")</f>
        <v/>
      </c>
      <c r="M1087" s="8">
        <f>HYPERLINK("https://test.ictv.global/id/ICTV19990686","ICTV19990686@TEST")</f>
        <v/>
      </c>
      <c r="N1087" s="8">
        <f>HYPERLINK("https://ictv.global/id/TN19981150","TN19981150@prod")</f>
        <v/>
      </c>
      <c r="O1087" s="8">
        <f>HYPERLINK("https://ictv.global/id/ICTV19990686","ICTV19990686@prod")</f>
        <v/>
      </c>
    </row>
    <row r="1088">
      <c r="A1088" t="n">
        <v>17</v>
      </c>
      <c r="B1088" t="n">
        <v>19981151</v>
      </c>
      <c r="C1088" t="n">
        <v>19910636</v>
      </c>
      <c r="D1088" t="inlineStr">
        <is>
          <t>species</t>
        </is>
      </c>
      <c r="E1088" t="inlineStr">
        <is>
          <t>Sapphire II virus</t>
        </is>
      </c>
      <c r="G1088" t="inlineStr">
        <is>
          <t>Merged,</t>
        </is>
      </c>
      <c r="H1088" t="inlineStr">
        <is>
          <t>Hughes virus</t>
        </is>
      </c>
      <c r="I1088" t="inlineStr">
        <is>
          <t>species</t>
        </is>
      </c>
      <c r="J1088" t="n">
        <v>19990683</v>
      </c>
      <c r="K1088" t="n">
        <v>19990683</v>
      </c>
      <c r="L1088" s="8">
        <f>HYPERLINK("https://test.ictv.global/id/TN19981151","TN19981151@TEST")</f>
        <v/>
      </c>
      <c r="M1088" s="8">
        <f>HYPERLINK("https://test.ictv.global/id/ICTV19910636","ICTV19910636@TEST")</f>
        <v/>
      </c>
      <c r="N1088" s="8">
        <f>HYPERLINK("https://ictv.global/id/TN19981151","TN19981151@prod")</f>
        <v/>
      </c>
      <c r="O1088" s="8">
        <f>HYPERLINK("https://ictv.global/id/ICTV19910636","ICTV19910636@prod")</f>
        <v/>
      </c>
    </row>
    <row r="1089">
      <c r="A1089" t="n">
        <v>17</v>
      </c>
      <c r="B1089" t="n">
        <v>19981152</v>
      </c>
      <c r="C1089" t="n">
        <v>19810363</v>
      </c>
      <c r="D1089" t="inlineStr">
        <is>
          <t>species</t>
        </is>
      </c>
      <c r="E1089" t="inlineStr">
        <is>
          <t>Soldado virus</t>
        </is>
      </c>
      <c r="G1089" t="inlineStr">
        <is>
          <t>Merged,</t>
        </is>
      </c>
      <c r="H1089" t="inlineStr">
        <is>
          <t>Hughes virus</t>
        </is>
      </c>
      <c r="I1089" t="inlineStr">
        <is>
          <t>species</t>
        </is>
      </c>
      <c r="J1089" t="n">
        <v>19990683</v>
      </c>
      <c r="K1089" t="n">
        <v>19990683</v>
      </c>
      <c r="L1089" s="8">
        <f>HYPERLINK("https://test.ictv.global/id/TN19981152","TN19981152@TEST")</f>
        <v/>
      </c>
      <c r="M1089" s="8">
        <f>HYPERLINK("https://test.ictv.global/id/ICTV19810363","ICTV19810363@TEST")</f>
        <v/>
      </c>
      <c r="N1089" s="8">
        <f>HYPERLINK("https://ictv.global/id/TN19981152","TN19981152@prod")</f>
        <v/>
      </c>
      <c r="O1089" s="8">
        <f>HYPERLINK("https://ictv.global/id/ICTV19810363","ICTV19810363@prod")</f>
        <v/>
      </c>
    </row>
    <row r="1090">
      <c r="A1090" t="n">
        <v>17</v>
      </c>
      <c r="B1090" t="n">
        <v>19981153</v>
      </c>
      <c r="C1090" t="n">
        <v>19820393</v>
      </c>
      <c r="D1090" t="inlineStr">
        <is>
          <t>species</t>
        </is>
      </c>
      <c r="E1090" t="inlineStr">
        <is>
          <t>Taggert virus</t>
        </is>
      </c>
      <c r="G1090" t="inlineStr">
        <is>
          <t>Merged,</t>
        </is>
      </c>
      <c r="H1090" t="inlineStr">
        <is>
          <t>Sakhalin virus</t>
        </is>
      </c>
      <c r="I1090" t="inlineStr">
        <is>
          <t>species</t>
        </is>
      </c>
      <c r="J1090" t="n">
        <v>19990686</v>
      </c>
      <c r="K1090" t="n">
        <v>19990686</v>
      </c>
      <c r="L1090" s="8">
        <f>HYPERLINK("https://test.ictv.global/id/TN19981153","TN19981153@TEST")</f>
        <v/>
      </c>
      <c r="M1090" s="8">
        <f>HYPERLINK("https://test.ictv.global/id/ICTV19820393","ICTV19820393@TEST")</f>
        <v/>
      </c>
      <c r="N1090" s="8">
        <f>HYPERLINK("https://ictv.global/id/TN19981153","TN19981153@prod")</f>
        <v/>
      </c>
      <c r="O1090" s="8">
        <f>HYPERLINK("https://ictv.global/id/ICTV19820393","ICTV19820393@prod")</f>
        <v/>
      </c>
    </row>
    <row r="1091">
      <c r="A1091" t="n">
        <v>17</v>
      </c>
      <c r="B1091" t="n">
        <v>19981154</v>
      </c>
      <c r="C1091" t="n">
        <v>19990687</v>
      </c>
      <c r="D1091" t="inlineStr">
        <is>
          <t>species</t>
        </is>
      </c>
      <c r="E1091" t="inlineStr">
        <is>
          <t>Thiafora virus</t>
        </is>
      </c>
      <c r="F1091" t="inlineStr"/>
      <c r="G1091" t="inlineStr">
        <is>
          <t>Merged,</t>
        </is>
      </c>
      <c r="H1091" t="inlineStr">
        <is>
          <t>Thiafora virus</t>
        </is>
      </c>
      <c r="I1091" t="inlineStr">
        <is>
          <t>species</t>
        </is>
      </c>
      <c r="J1091" t="n">
        <v>19990687</v>
      </c>
      <c r="K1091" t="n">
        <v>19990687</v>
      </c>
      <c r="L1091" s="8">
        <f>HYPERLINK("https://test.ictv.global/id/TN19981154","TN19981154@TEST")</f>
        <v/>
      </c>
      <c r="M1091" s="8">
        <f>HYPERLINK("https://test.ictv.global/id/ICTV19990687","ICTV19990687@TEST")</f>
        <v/>
      </c>
      <c r="N1091" s="8">
        <f>HYPERLINK("https://ictv.global/id/TN19981154","TN19981154@prod")</f>
        <v/>
      </c>
      <c r="O1091" s="8">
        <f>HYPERLINK("https://ictv.global/id/ICTV19990687","ICTV19990687@prod")</f>
        <v/>
      </c>
    </row>
    <row r="1092">
      <c r="A1092" t="n">
        <v>17</v>
      </c>
      <c r="B1092" t="n">
        <v>19981155</v>
      </c>
      <c r="C1092" t="n">
        <v>19820394</v>
      </c>
      <c r="D1092" t="inlineStr">
        <is>
          <t>species</t>
        </is>
      </c>
      <c r="E1092" t="inlineStr">
        <is>
          <t>Tillamook virus</t>
        </is>
      </c>
      <c r="G1092" t="inlineStr">
        <is>
          <t>Merged,</t>
        </is>
      </c>
      <c r="H1092" t="inlineStr">
        <is>
          <t>Sakhalin virus</t>
        </is>
      </c>
      <c r="I1092" t="inlineStr">
        <is>
          <t>species</t>
        </is>
      </c>
      <c r="J1092" t="n">
        <v>19990686</v>
      </c>
      <c r="K1092" t="n">
        <v>19990686</v>
      </c>
      <c r="L1092" s="8">
        <f>HYPERLINK("https://test.ictv.global/id/TN19981155","TN19981155@TEST")</f>
        <v/>
      </c>
      <c r="M1092" s="8">
        <f>HYPERLINK("https://test.ictv.global/id/ICTV19820394","ICTV19820394@TEST")</f>
        <v/>
      </c>
      <c r="N1092" s="8">
        <f>HYPERLINK("https://ictv.global/id/TN19981155","TN19981155@prod")</f>
        <v/>
      </c>
      <c r="O1092" s="8">
        <f>HYPERLINK("https://ictv.global/id/ICTV19820394","ICTV19820394@prod")</f>
        <v/>
      </c>
    </row>
    <row r="1093">
      <c r="A1093" t="n">
        <v>17</v>
      </c>
      <c r="B1093" t="n">
        <v>19981156</v>
      </c>
      <c r="C1093" t="n">
        <v>19810364</v>
      </c>
      <c r="D1093" t="inlineStr">
        <is>
          <t>species</t>
        </is>
      </c>
      <c r="E1093" t="inlineStr">
        <is>
          <t>Zirqa virus</t>
        </is>
      </c>
      <c r="G1093" t="inlineStr">
        <is>
          <t>Merged,</t>
        </is>
      </c>
      <c r="H1093" t="inlineStr">
        <is>
          <t>Hughes virus</t>
        </is>
      </c>
      <c r="I1093" t="inlineStr">
        <is>
          <t>species</t>
        </is>
      </c>
      <c r="J1093" t="n">
        <v>19990683</v>
      </c>
      <c r="K1093" t="n">
        <v>19990683</v>
      </c>
      <c r="L1093" s="8">
        <f>HYPERLINK("https://test.ictv.global/id/TN19981156","TN19981156@TEST")</f>
        <v/>
      </c>
      <c r="M1093" s="8">
        <f>HYPERLINK("https://test.ictv.global/id/ICTV19810364","ICTV19810364@TEST")</f>
        <v/>
      </c>
      <c r="N1093" s="8">
        <f>HYPERLINK("https://ictv.global/id/TN19981156","TN19981156@prod")</f>
        <v/>
      </c>
      <c r="O1093" s="8">
        <f>HYPERLINK("https://ictv.global/id/ICTV19810364","ICTV19810364@prod")</f>
        <v/>
      </c>
    </row>
    <row r="1094">
      <c r="A1094" t="n">
        <v>17</v>
      </c>
      <c r="B1094" t="n">
        <v>19981157</v>
      </c>
      <c r="C1094" t="n">
        <v>19790268</v>
      </c>
      <c r="D1094" t="inlineStr">
        <is>
          <t>species</t>
        </is>
      </c>
      <c r="E1094" t="inlineStr">
        <is>
          <t>Aguacate virus</t>
        </is>
      </c>
      <c r="G1094" t="inlineStr">
        <is>
          <t>Abolished,</t>
        </is>
      </c>
      <c r="L1094" s="8">
        <f>HYPERLINK("https://test.ictv.global/id/TN19981157","TN19981157@TEST")</f>
        <v/>
      </c>
      <c r="M1094" s="8">
        <f>HYPERLINK("https://test.ictv.global/id/ICTV19790268","ICTV19790268@TEST")</f>
        <v/>
      </c>
      <c r="N1094" s="8">
        <f>HYPERLINK("https://ictv.global/id/TN19981157","TN19981157@prod")</f>
        <v/>
      </c>
      <c r="O1094" s="8">
        <f>HYPERLINK("https://ictv.global/id/ICTV19790268","ICTV19790268@prod")</f>
        <v/>
      </c>
    </row>
    <row r="1095">
      <c r="A1095" t="n">
        <v>17</v>
      </c>
      <c r="B1095" t="n">
        <v>19981158</v>
      </c>
      <c r="C1095" t="n">
        <v>19810366</v>
      </c>
      <c r="D1095" t="inlineStr">
        <is>
          <t>species</t>
        </is>
      </c>
      <c r="E1095" t="inlineStr">
        <is>
          <t>Alenquer virus</t>
        </is>
      </c>
      <c r="G1095" t="inlineStr">
        <is>
          <t>Merged,</t>
        </is>
      </c>
      <c r="H1095" t="inlineStr">
        <is>
          <t>Chandiru virus</t>
        </is>
      </c>
      <c r="I1095" t="inlineStr">
        <is>
          <t>species</t>
        </is>
      </c>
      <c r="J1095" t="n">
        <v>19990689</v>
      </c>
      <c r="K1095" t="n">
        <v>19990689</v>
      </c>
      <c r="L1095" s="8">
        <f>HYPERLINK("https://test.ictv.global/id/TN19981158","TN19981158@TEST")</f>
        <v/>
      </c>
      <c r="M1095" s="8">
        <f>HYPERLINK("https://test.ictv.global/id/ICTV19810366","ICTV19810366@TEST")</f>
        <v/>
      </c>
      <c r="N1095" s="8">
        <f>HYPERLINK("https://ictv.global/id/TN19981158","TN19981158@prod")</f>
        <v/>
      </c>
      <c r="O1095" s="8">
        <f>HYPERLINK("https://ictv.global/id/ICTV19810366","ICTV19810366@prod")</f>
        <v/>
      </c>
    </row>
    <row r="1096">
      <c r="A1096" t="n">
        <v>17</v>
      </c>
      <c r="B1096" t="n">
        <v>19981159</v>
      </c>
      <c r="C1096" t="n">
        <v>19790269</v>
      </c>
      <c r="D1096" t="inlineStr">
        <is>
          <t>species</t>
        </is>
      </c>
      <c r="E1096" t="inlineStr">
        <is>
          <t>Anhanga virus</t>
        </is>
      </c>
      <c r="G1096" t="inlineStr">
        <is>
          <t>Abolished,</t>
        </is>
      </c>
      <c r="L1096" s="8">
        <f>HYPERLINK("https://test.ictv.global/id/TN19981159","TN19981159@TEST")</f>
        <v/>
      </c>
      <c r="M1096" s="8">
        <f>HYPERLINK("https://test.ictv.global/id/ICTV19790269","ICTV19790269@TEST")</f>
        <v/>
      </c>
      <c r="N1096" s="8">
        <f>HYPERLINK("https://ictv.global/id/TN19981159","TN19981159@prod")</f>
        <v/>
      </c>
      <c r="O1096" s="8">
        <f>HYPERLINK("https://ictv.global/id/ICTV19790269","ICTV19790269@prod")</f>
        <v/>
      </c>
    </row>
    <row r="1097">
      <c r="A1097" t="n">
        <v>17</v>
      </c>
      <c r="B1097" t="n">
        <v>19981160</v>
      </c>
      <c r="C1097" t="n">
        <v>19910645</v>
      </c>
      <c r="D1097" t="inlineStr">
        <is>
          <t>species</t>
        </is>
      </c>
      <c r="E1097" t="inlineStr">
        <is>
          <t>Arbia virus</t>
        </is>
      </c>
      <c r="G1097" t="inlineStr">
        <is>
          <t>Merged,</t>
        </is>
      </c>
      <c r="H1097" t="inlineStr">
        <is>
          <t>Salehebad virus</t>
        </is>
      </c>
      <c r="I1097" t="inlineStr">
        <is>
          <t>species</t>
        </is>
      </c>
      <c r="J1097" t="n">
        <v>19990694</v>
      </c>
      <c r="K1097" t="n">
        <v>19990694</v>
      </c>
      <c r="L1097" s="8">
        <f>HYPERLINK("https://test.ictv.global/id/TN19981160","TN19981160@TEST")</f>
        <v/>
      </c>
      <c r="M1097" s="8">
        <f>HYPERLINK("https://test.ictv.global/id/ICTV19910645","ICTV19910645@TEST")</f>
        <v/>
      </c>
      <c r="N1097" s="8">
        <f>HYPERLINK("https://ictv.global/id/TN19981160","TN19981160@prod")</f>
        <v/>
      </c>
      <c r="O1097" s="8">
        <f>HYPERLINK("https://ictv.global/id/ICTV19910645","ICTV19910645@prod")</f>
        <v/>
      </c>
    </row>
    <row r="1098">
      <c r="A1098" t="n">
        <v>17</v>
      </c>
      <c r="B1098" t="n">
        <v>19981161</v>
      </c>
      <c r="C1098" t="n">
        <v>19910646</v>
      </c>
      <c r="D1098" t="inlineStr">
        <is>
          <t>species</t>
        </is>
      </c>
      <c r="E1098" t="inlineStr">
        <is>
          <t>Arboledas virus</t>
        </is>
      </c>
      <c r="G1098" t="inlineStr">
        <is>
          <t>Abolished,</t>
        </is>
      </c>
      <c r="L1098" s="8">
        <f>HYPERLINK("https://test.ictv.global/id/TN19981161","TN19981161@TEST")</f>
        <v/>
      </c>
      <c r="M1098" s="8">
        <f>HYPERLINK("https://test.ictv.global/id/ICTV19910646","ICTV19910646@TEST")</f>
        <v/>
      </c>
      <c r="N1098" s="8">
        <f>HYPERLINK("https://ictv.global/id/TN19981161","TN19981161@prod")</f>
        <v/>
      </c>
      <c r="O1098" s="8">
        <f>HYPERLINK("https://ictv.global/id/ICTV19910646","ICTV19910646@prod")</f>
        <v/>
      </c>
    </row>
    <row r="1099">
      <c r="A1099" t="n">
        <v>17</v>
      </c>
      <c r="B1099" t="n">
        <v>19981162</v>
      </c>
      <c r="C1099" t="n">
        <v>19790271</v>
      </c>
      <c r="D1099" t="inlineStr">
        <is>
          <t>species</t>
        </is>
      </c>
      <c r="E1099" t="inlineStr">
        <is>
          <t>Arumowot virus</t>
        </is>
      </c>
      <c r="G1099" t="inlineStr">
        <is>
          <t>Abolished,</t>
        </is>
      </c>
      <c r="L1099" s="8">
        <f>HYPERLINK("https://test.ictv.global/id/TN19981162","TN19981162@TEST")</f>
        <v/>
      </c>
      <c r="M1099" s="8">
        <f>HYPERLINK("https://test.ictv.global/id/ICTV19790271","ICTV19790271@TEST")</f>
        <v/>
      </c>
      <c r="N1099" s="8">
        <f>HYPERLINK("https://ictv.global/id/TN19981162","TN19981162@prod")</f>
        <v/>
      </c>
      <c r="O1099" s="8">
        <f>HYPERLINK("https://ictv.global/id/ICTV19790271","ICTV19790271@prod")</f>
        <v/>
      </c>
    </row>
    <row r="1100">
      <c r="A1100" t="n">
        <v>17</v>
      </c>
      <c r="B1100" t="n">
        <v>19981163</v>
      </c>
      <c r="C1100" t="n">
        <v>19910648</v>
      </c>
      <c r="D1100" t="inlineStr">
        <is>
          <t>species</t>
        </is>
      </c>
      <c r="E1100" t="inlineStr">
        <is>
          <t>Belterra virus</t>
        </is>
      </c>
      <c r="G1100" t="inlineStr">
        <is>
          <t>Merged,Assigned as Type Species,</t>
        </is>
      </c>
      <c r="H1100" t="inlineStr">
        <is>
          <t>Rift Valley fever virus</t>
        </is>
      </c>
      <c r="I1100" t="inlineStr">
        <is>
          <t>species</t>
        </is>
      </c>
      <c r="J1100" t="n">
        <v>19990693</v>
      </c>
      <c r="K1100" t="n">
        <v>19990693</v>
      </c>
      <c r="L1100" s="8">
        <f>HYPERLINK("https://test.ictv.global/id/TN19981163","TN19981163@TEST")</f>
        <v/>
      </c>
      <c r="M1100" s="8">
        <f>HYPERLINK("https://test.ictv.global/id/ICTV19910648","ICTV19910648@TEST")</f>
        <v/>
      </c>
      <c r="N1100" s="8">
        <f>HYPERLINK("https://ictv.global/id/TN19981163","TN19981163@prod")</f>
        <v/>
      </c>
      <c r="O1100" s="8">
        <f>HYPERLINK("https://ictv.global/id/ICTV19910648","ICTV19910648@prod")</f>
        <v/>
      </c>
    </row>
    <row r="1101">
      <c r="A1101" t="n">
        <v>17</v>
      </c>
      <c r="B1101" t="n">
        <v>19981164</v>
      </c>
      <c r="C1101" t="n">
        <v>19810369</v>
      </c>
      <c r="D1101" t="inlineStr">
        <is>
          <t>species</t>
        </is>
      </c>
      <c r="E1101" t="inlineStr">
        <is>
          <t>Buenaventura virus</t>
        </is>
      </c>
      <c r="G1101" t="inlineStr">
        <is>
          <t>Merged,</t>
        </is>
      </c>
      <c r="H1101" t="inlineStr">
        <is>
          <t>Punta Toro virus</t>
        </is>
      </c>
      <c r="I1101" t="inlineStr">
        <is>
          <t>species</t>
        </is>
      </c>
      <c r="J1101" t="n">
        <v>19990692</v>
      </c>
      <c r="K1101" t="n">
        <v>19990692</v>
      </c>
      <c r="L1101" s="8">
        <f>HYPERLINK("https://test.ictv.global/id/TN19981164","TN19981164@TEST")</f>
        <v/>
      </c>
      <c r="M1101" s="8">
        <f>HYPERLINK("https://test.ictv.global/id/ICTV19810369","ICTV19810369@TEST")</f>
        <v/>
      </c>
      <c r="N1101" s="8">
        <f>HYPERLINK("https://ictv.global/id/TN19981164","TN19981164@prod")</f>
        <v/>
      </c>
      <c r="O1101" s="8">
        <f>HYPERLINK("https://ictv.global/id/ICTV19810369","ICTV19810369@prod")</f>
        <v/>
      </c>
    </row>
    <row r="1102">
      <c r="A1102" t="n">
        <v>17</v>
      </c>
      <c r="B1102" t="n">
        <v>19981165</v>
      </c>
      <c r="C1102" t="n">
        <v>19990688</v>
      </c>
      <c r="D1102" t="inlineStr">
        <is>
          <t>species</t>
        </is>
      </c>
      <c r="E1102" t="inlineStr">
        <is>
          <t>Bujaru virus</t>
        </is>
      </c>
      <c r="F1102" t="inlineStr"/>
      <c r="G1102" t="inlineStr">
        <is>
          <t>Merged,</t>
        </is>
      </c>
      <c r="H1102" t="inlineStr">
        <is>
          <t>Bujaru virus</t>
        </is>
      </c>
      <c r="I1102" t="inlineStr">
        <is>
          <t>species</t>
        </is>
      </c>
      <c r="J1102" t="n">
        <v>19990688</v>
      </c>
      <c r="K1102" t="n">
        <v>19990688</v>
      </c>
      <c r="L1102" s="8">
        <f>HYPERLINK("https://test.ictv.global/id/TN19981165","TN19981165@TEST")</f>
        <v/>
      </c>
      <c r="M1102" s="8">
        <f>HYPERLINK("https://test.ictv.global/id/ICTV19990688","ICTV19990688@TEST")</f>
        <v/>
      </c>
      <c r="N1102" s="8">
        <f>HYPERLINK("https://ictv.global/id/TN19981165","TN19981165@prod")</f>
        <v/>
      </c>
      <c r="O1102" s="8">
        <f>HYPERLINK("https://ictv.global/id/ICTV19990688","ICTV19990688@prod")</f>
        <v/>
      </c>
    </row>
    <row r="1103">
      <c r="A1103" t="n">
        <v>17</v>
      </c>
      <c r="B1103" t="n">
        <v>19981166</v>
      </c>
      <c r="C1103" t="n">
        <v>19790275</v>
      </c>
      <c r="D1103" t="inlineStr">
        <is>
          <t>species</t>
        </is>
      </c>
      <c r="E1103" t="inlineStr">
        <is>
          <t>Cacao virus</t>
        </is>
      </c>
      <c r="G1103" t="inlineStr">
        <is>
          <t>Merged,</t>
        </is>
      </c>
      <c r="H1103" t="inlineStr">
        <is>
          <t>Chilibre virus</t>
        </is>
      </c>
      <c r="I1103" t="inlineStr">
        <is>
          <t>species</t>
        </is>
      </c>
      <c r="J1103" t="n">
        <v>19990690</v>
      </c>
      <c r="K1103" t="n">
        <v>19990690</v>
      </c>
      <c r="L1103" s="8">
        <f>HYPERLINK("https://test.ictv.global/id/TN19981166","TN19981166@TEST")</f>
        <v/>
      </c>
      <c r="M1103" s="8">
        <f>HYPERLINK("https://test.ictv.global/id/ICTV19790275","ICTV19790275@TEST")</f>
        <v/>
      </c>
      <c r="N1103" s="8">
        <f>HYPERLINK("https://ictv.global/id/TN19981166","TN19981166@prod")</f>
        <v/>
      </c>
      <c r="O1103" s="8">
        <f>HYPERLINK("https://ictv.global/id/ICTV19790275","ICTV19790275@prod")</f>
        <v/>
      </c>
    </row>
    <row r="1104">
      <c r="A1104" t="n">
        <v>17</v>
      </c>
      <c r="B1104" t="n">
        <v>19981167</v>
      </c>
      <c r="C1104" t="n">
        <v>19790276</v>
      </c>
      <c r="D1104" t="inlineStr">
        <is>
          <t>species</t>
        </is>
      </c>
      <c r="E1104" t="inlineStr">
        <is>
          <t>Caimito virus</t>
        </is>
      </c>
      <c r="G1104" t="inlineStr">
        <is>
          <t>Abolished,</t>
        </is>
      </c>
      <c r="L1104" s="8">
        <f>HYPERLINK("https://test.ictv.global/id/TN19981167","TN19981167@TEST")</f>
        <v/>
      </c>
      <c r="M1104" s="8">
        <f>HYPERLINK("https://test.ictv.global/id/ICTV19790276","ICTV19790276@TEST")</f>
        <v/>
      </c>
      <c r="N1104" s="8">
        <f>HYPERLINK("https://ictv.global/id/TN19981167","TN19981167@prod")</f>
        <v/>
      </c>
      <c r="O1104" s="8">
        <f>HYPERLINK("https://ictv.global/id/ICTV19790276","ICTV19790276@prod")</f>
        <v/>
      </c>
    </row>
    <row r="1105">
      <c r="A1105" t="n">
        <v>17</v>
      </c>
      <c r="B1105" t="n">
        <v>19981168</v>
      </c>
      <c r="C1105" t="n">
        <v>19790277</v>
      </c>
      <c r="D1105" t="inlineStr">
        <is>
          <t>species</t>
        </is>
      </c>
      <c r="E1105" t="inlineStr">
        <is>
          <t>Candiru virus</t>
        </is>
      </c>
      <c r="F1105" t="inlineStr"/>
      <c r="G1105" t="inlineStr">
        <is>
          <t>Merged,</t>
        </is>
      </c>
      <c r="H1105" t="inlineStr">
        <is>
          <t>Chandiru virus</t>
        </is>
      </c>
      <c r="I1105" t="inlineStr">
        <is>
          <t>species</t>
        </is>
      </c>
      <c r="J1105" t="n">
        <v>19990689</v>
      </c>
      <c r="K1105" t="n">
        <v>19990689</v>
      </c>
      <c r="L1105" s="8">
        <f>HYPERLINK("https://test.ictv.global/id/TN19981168","TN19981168@TEST")</f>
        <v/>
      </c>
      <c r="M1105" s="8">
        <f>HYPERLINK("https://test.ictv.global/id/ICTV19790277","ICTV19790277@TEST")</f>
        <v/>
      </c>
      <c r="N1105" s="8">
        <f>HYPERLINK("https://ictv.global/id/TN19981168","TN19981168@prod")</f>
        <v/>
      </c>
      <c r="O1105" s="8">
        <f>HYPERLINK("https://ictv.global/id/ICTV19790277","ICTV19790277@prod")</f>
        <v/>
      </c>
    </row>
    <row r="1106">
      <c r="A1106" t="n">
        <v>17</v>
      </c>
      <c r="B1106" t="n">
        <v>19981169</v>
      </c>
      <c r="C1106" t="n">
        <v>19790278</v>
      </c>
      <c r="D1106" t="inlineStr">
        <is>
          <t>species</t>
        </is>
      </c>
      <c r="E1106" t="inlineStr">
        <is>
          <t>Chagres virus</t>
        </is>
      </c>
      <c r="G1106" t="inlineStr">
        <is>
          <t>Abolished,</t>
        </is>
      </c>
      <c r="L1106" s="8">
        <f>HYPERLINK("https://test.ictv.global/id/TN19981169","TN19981169@TEST")</f>
        <v/>
      </c>
      <c r="M1106" s="8">
        <f>HYPERLINK("https://test.ictv.global/id/ICTV19790278","ICTV19790278@TEST")</f>
        <v/>
      </c>
      <c r="N1106" s="8">
        <f>HYPERLINK("https://ictv.global/id/TN19981169","TN19981169@prod")</f>
        <v/>
      </c>
      <c r="O1106" s="8">
        <f>HYPERLINK("https://ictv.global/id/ICTV19790278","ICTV19790278@prod")</f>
        <v/>
      </c>
    </row>
    <row r="1107">
      <c r="A1107" t="n">
        <v>17</v>
      </c>
      <c r="B1107" t="n">
        <v>19981170</v>
      </c>
      <c r="C1107" t="n">
        <v>19990690</v>
      </c>
      <c r="D1107" t="inlineStr">
        <is>
          <t>species</t>
        </is>
      </c>
      <c r="E1107" t="inlineStr">
        <is>
          <t>Chilibre virus</t>
        </is>
      </c>
      <c r="F1107" t="inlineStr"/>
      <c r="G1107" t="inlineStr">
        <is>
          <t>Merged,</t>
        </is>
      </c>
      <c r="H1107" t="inlineStr">
        <is>
          <t>Chilibre virus</t>
        </is>
      </c>
      <c r="I1107" t="inlineStr">
        <is>
          <t>species</t>
        </is>
      </c>
      <c r="J1107" t="n">
        <v>19990690</v>
      </c>
      <c r="K1107" t="n">
        <v>19990690</v>
      </c>
      <c r="L1107" s="8">
        <f>HYPERLINK("https://test.ictv.global/id/TN19981170","TN19981170@TEST")</f>
        <v/>
      </c>
      <c r="M1107" s="8">
        <f>HYPERLINK("https://test.ictv.global/id/ICTV19990690","ICTV19990690@TEST")</f>
        <v/>
      </c>
      <c r="N1107" s="8">
        <f>HYPERLINK("https://ictv.global/id/TN19981170","TN19981170@prod")</f>
        <v/>
      </c>
      <c r="O1107" s="8">
        <f>HYPERLINK("https://ictv.global/id/ICTV19990690","ICTV19990690@prod")</f>
        <v/>
      </c>
    </row>
    <row r="1108">
      <c r="A1108" t="n">
        <v>17</v>
      </c>
      <c r="B1108" t="n">
        <v>19981171</v>
      </c>
      <c r="C1108" t="n">
        <v>19910656</v>
      </c>
      <c r="D1108" t="inlineStr">
        <is>
          <t>species</t>
        </is>
      </c>
      <c r="E1108" t="inlineStr">
        <is>
          <t>Corfou virus</t>
        </is>
      </c>
      <c r="G1108" t="inlineStr">
        <is>
          <t>Abolished,</t>
        </is>
      </c>
      <c r="L1108" s="8">
        <f>HYPERLINK("https://test.ictv.global/id/TN19981171","TN19981171@TEST")</f>
        <v/>
      </c>
      <c r="M1108" s="8">
        <f>HYPERLINK("https://test.ictv.global/id/ICTV19910656","ICTV19910656@TEST")</f>
        <v/>
      </c>
      <c r="N1108" s="8">
        <f>HYPERLINK("https://ictv.global/id/TN19981171","TN19981171@prod")</f>
        <v/>
      </c>
      <c r="O1108" s="8">
        <f>HYPERLINK("https://ictv.global/id/ICTV19910656","ICTV19910656@prod")</f>
        <v/>
      </c>
    </row>
    <row r="1109">
      <c r="A1109" t="n">
        <v>17</v>
      </c>
      <c r="B1109" t="n">
        <v>19981172</v>
      </c>
      <c r="C1109" t="n">
        <v>19910657</v>
      </c>
      <c r="D1109" t="inlineStr">
        <is>
          <t>species</t>
        </is>
      </c>
      <c r="E1109" t="inlineStr">
        <is>
          <t>EgAn1825-61 virus</t>
        </is>
      </c>
      <c r="G1109" t="inlineStr">
        <is>
          <t>Merged,</t>
        </is>
      </c>
      <c r="H1109" t="inlineStr">
        <is>
          <t>Uukuniemi virus</t>
        </is>
      </c>
      <c r="I1109" t="inlineStr">
        <is>
          <t>species</t>
        </is>
      </c>
      <c r="J1109" t="n">
        <v>19990696</v>
      </c>
      <c r="K1109" t="n">
        <v>19990696</v>
      </c>
      <c r="L1109" s="8">
        <f>HYPERLINK("https://test.ictv.global/id/TN19981172","TN19981172@TEST")</f>
        <v/>
      </c>
      <c r="M1109" s="8">
        <f>HYPERLINK("https://test.ictv.global/id/ICTV19910657","ICTV19910657@TEST")</f>
        <v/>
      </c>
      <c r="N1109" s="8">
        <f>HYPERLINK("https://ictv.global/id/TN19981172","TN19981172@prod")</f>
        <v/>
      </c>
      <c r="O1109" s="8">
        <f>HYPERLINK("https://ictv.global/id/ICTV19910657","ICTV19910657@prod")</f>
        <v/>
      </c>
    </row>
    <row r="1110">
      <c r="A1110" t="n">
        <v>17</v>
      </c>
      <c r="B1110" t="n">
        <v>19981173</v>
      </c>
      <c r="C1110" t="n">
        <v>19910658</v>
      </c>
      <c r="D1110" t="inlineStr">
        <is>
          <t>species</t>
        </is>
      </c>
      <c r="E1110" t="inlineStr">
        <is>
          <t>Fin V-707 virus</t>
        </is>
      </c>
      <c r="G1110" t="inlineStr">
        <is>
          <t>Merged,</t>
        </is>
      </c>
      <c r="H1110" t="inlineStr">
        <is>
          <t>Uukuniemi virus</t>
        </is>
      </c>
      <c r="I1110" t="inlineStr">
        <is>
          <t>species</t>
        </is>
      </c>
      <c r="J1110" t="n">
        <v>19990696</v>
      </c>
      <c r="K1110" t="n">
        <v>19990696</v>
      </c>
      <c r="L1110" s="8">
        <f>HYPERLINK("https://test.ictv.global/id/TN19981173","TN19981173@TEST")</f>
        <v/>
      </c>
      <c r="M1110" s="8">
        <f>HYPERLINK("https://test.ictv.global/id/ICTV19910658","ICTV19910658@TEST")</f>
        <v/>
      </c>
      <c r="N1110" s="8">
        <f>HYPERLINK("https://ictv.global/id/TN19981173","TN19981173@prod")</f>
        <v/>
      </c>
      <c r="O1110" s="8">
        <f>HYPERLINK("https://ictv.global/id/ICTV19910658","ICTV19910658@prod")</f>
        <v/>
      </c>
    </row>
    <row r="1111">
      <c r="A1111" t="n">
        <v>17</v>
      </c>
      <c r="B1111" t="n">
        <v>19981174</v>
      </c>
      <c r="C1111" t="n">
        <v>19990691</v>
      </c>
      <c r="D1111" t="inlineStr">
        <is>
          <t>species</t>
        </is>
      </c>
      <c r="E1111" t="inlineStr">
        <is>
          <t>Frijoles virus</t>
        </is>
      </c>
      <c r="F1111" t="inlineStr"/>
      <c r="G1111" t="inlineStr">
        <is>
          <t>Merged,</t>
        </is>
      </c>
      <c r="H1111" t="inlineStr">
        <is>
          <t>Frijoles virus</t>
        </is>
      </c>
      <c r="I1111" t="inlineStr">
        <is>
          <t>species</t>
        </is>
      </c>
      <c r="J1111" t="n">
        <v>19990691</v>
      </c>
      <c r="K1111" t="n">
        <v>19990691</v>
      </c>
      <c r="L1111" s="8">
        <f>HYPERLINK("https://test.ictv.global/id/TN19981174","TN19981174@TEST")</f>
        <v/>
      </c>
      <c r="M1111" s="8">
        <f>HYPERLINK("https://test.ictv.global/id/ICTV19990691","ICTV19990691@TEST")</f>
        <v/>
      </c>
      <c r="N1111" s="8">
        <f>HYPERLINK("https://ictv.global/id/TN19981174","TN19981174@prod")</f>
        <v/>
      </c>
      <c r="O1111" s="8">
        <f>HYPERLINK("https://ictv.global/id/ICTV19990691","ICTV19990691@prod")</f>
        <v/>
      </c>
    </row>
    <row r="1112">
      <c r="A1112" t="n">
        <v>17</v>
      </c>
      <c r="B1112" t="n">
        <v>19981175</v>
      </c>
      <c r="C1112" t="n">
        <v>19810377</v>
      </c>
      <c r="D1112" t="inlineStr">
        <is>
          <t>species</t>
        </is>
      </c>
      <c r="E1112" t="inlineStr">
        <is>
          <t>Gabek Forest virus</t>
        </is>
      </c>
      <c r="G1112" t="inlineStr">
        <is>
          <t>Abolished,</t>
        </is>
      </c>
      <c r="L1112" s="8">
        <f>HYPERLINK("https://test.ictv.global/id/TN19981175","TN19981175@TEST")</f>
        <v/>
      </c>
      <c r="M1112" s="8">
        <f>HYPERLINK("https://test.ictv.global/id/ICTV19810377","ICTV19810377@TEST")</f>
        <v/>
      </c>
      <c r="N1112" s="8">
        <f>HYPERLINK("https://ictv.global/id/TN19981175","TN19981175@prod")</f>
        <v/>
      </c>
      <c r="O1112" s="8">
        <f>HYPERLINK("https://ictv.global/id/ICTV19810377","ICTV19810377@prod")</f>
        <v/>
      </c>
    </row>
    <row r="1113">
      <c r="A1113" t="n">
        <v>17</v>
      </c>
      <c r="B1113" t="n">
        <v>19981176</v>
      </c>
      <c r="C1113" t="n">
        <v>19790285</v>
      </c>
      <c r="D1113" t="inlineStr">
        <is>
          <t>species</t>
        </is>
      </c>
      <c r="E1113" t="inlineStr">
        <is>
          <t>Gordil virus</t>
        </is>
      </c>
      <c r="G1113" t="inlineStr">
        <is>
          <t>Abolished,</t>
        </is>
      </c>
      <c r="L1113" s="8">
        <f>HYPERLINK("https://test.ictv.global/id/TN19981176","TN19981176@TEST")</f>
        <v/>
      </c>
      <c r="M1113" s="8">
        <f>HYPERLINK("https://test.ictv.global/id/ICTV19790285","ICTV19790285@TEST")</f>
        <v/>
      </c>
      <c r="N1113" s="8">
        <f>HYPERLINK("https://ictv.global/id/TN19981176","TN19981176@prod")</f>
        <v/>
      </c>
      <c r="O1113" s="8">
        <f>HYPERLINK("https://ictv.global/id/ICTV19790285","ICTV19790285@prod")</f>
        <v/>
      </c>
    </row>
    <row r="1114">
      <c r="A1114" t="n">
        <v>17</v>
      </c>
      <c r="B1114" t="n">
        <v>19981177</v>
      </c>
      <c r="C1114" t="n">
        <v>19790286</v>
      </c>
      <c r="D1114" t="inlineStr">
        <is>
          <t>species</t>
        </is>
      </c>
      <c r="E1114" t="inlineStr">
        <is>
          <t>Grand Arbaud virus</t>
        </is>
      </c>
      <c r="G1114" t="inlineStr">
        <is>
          <t>Merged,</t>
        </is>
      </c>
      <c r="H1114" t="inlineStr">
        <is>
          <t>Uukuniemi virus</t>
        </is>
      </c>
      <c r="I1114" t="inlineStr">
        <is>
          <t>species</t>
        </is>
      </c>
      <c r="J1114" t="n">
        <v>19990696</v>
      </c>
      <c r="K1114" t="n">
        <v>19990696</v>
      </c>
      <c r="L1114" s="8">
        <f>HYPERLINK("https://test.ictv.global/id/TN19981177","TN19981177@TEST")</f>
        <v/>
      </c>
      <c r="M1114" s="8">
        <f>HYPERLINK("https://test.ictv.global/id/ICTV19790286","ICTV19790286@TEST")</f>
        <v/>
      </c>
      <c r="N1114" s="8">
        <f>HYPERLINK("https://ictv.global/id/TN19981177","TN19981177@prod")</f>
        <v/>
      </c>
      <c r="O1114" s="8">
        <f>HYPERLINK("https://ictv.global/id/ICTV19790286","ICTV19790286@prod")</f>
        <v/>
      </c>
    </row>
    <row r="1115">
      <c r="A1115" t="n">
        <v>17</v>
      </c>
      <c r="B1115" t="n">
        <v>19981178</v>
      </c>
      <c r="C1115" t="n">
        <v>19790287</v>
      </c>
      <c r="D1115" t="inlineStr">
        <is>
          <t>species</t>
        </is>
      </c>
      <c r="E1115" t="inlineStr">
        <is>
          <t>Icoaraci virus</t>
        </is>
      </c>
      <c r="G1115" t="inlineStr">
        <is>
          <t>Merged,Assigned as Type Species,</t>
        </is>
      </c>
      <c r="H1115" t="inlineStr">
        <is>
          <t>Rift Valley fever virus</t>
        </is>
      </c>
      <c r="I1115" t="inlineStr">
        <is>
          <t>species</t>
        </is>
      </c>
      <c r="J1115" t="n">
        <v>19990693</v>
      </c>
      <c r="K1115" t="n">
        <v>19990693</v>
      </c>
      <c r="L1115" s="8">
        <f>HYPERLINK("https://test.ictv.global/id/TN19981178","TN19981178@TEST")</f>
        <v/>
      </c>
      <c r="M1115" s="8">
        <f>HYPERLINK("https://test.ictv.global/id/ICTV19790287","ICTV19790287@TEST")</f>
        <v/>
      </c>
      <c r="N1115" s="8">
        <f>HYPERLINK("https://ictv.global/id/TN19981178","TN19981178@prod")</f>
        <v/>
      </c>
      <c r="O1115" s="8">
        <f>HYPERLINK("https://ictv.global/id/ICTV19790287","ICTV19790287@prod")</f>
        <v/>
      </c>
    </row>
    <row r="1116">
      <c r="A1116" t="n">
        <v>17</v>
      </c>
      <c r="B1116" t="n">
        <v>19981179</v>
      </c>
      <c r="C1116" t="n">
        <v>19790288</v>
      </c>
      <c r="D1116" t="inlineStr">
        <is>
          <t>species</t>
        </is>
      </c>
      <c r="E1116" t="inlineStr">
        <is>
          <t>Itaituba virus</t>
        </is>
      </c>
      <c r="G1116" t="inlineStr">
        <is>
          <t>Merged,</t>
        </is>
      </c>
      <c r="H1116" t="inlineStr">
        <is>
          <t>Chandiru virus</t>
        </is>
      </c>
      <c r="I1116" t="inlineStr">
        <is>
          <t>species</t>
        </is>
      </c>
      <c r="J1116" t="n">
        <v>19990689</v>
      </c>
      <c r="K1116" t="n">
        <v>19990689</v>
      </c>
      <c r="L1116" s="8">
        <f>HYPERLINK("https://test.ictv.global/id/TN19981179","TN19981179@TEST")</f>
        <v/>
      </c>
      <c r="M1116" s="8">
        <f>HYPERLINK("https://test.ictv.global/id/ICTV19790288","ICTV19790288@TEST")</f>
        <v/>
      </c>
      <c r="N1116" s="8">
        <f>HYPERLINK("https://ictv.global/id/TN19981179","TN19981179@prod")</f>
        <v/>
      </c>
      <c r="O1116" s="8">
        <f>HYPERLINK("https://ictv.global/id/ICTV19790288","ICTV19790288@prod")</f>
        <v/>
      </c>
    </row>
    <row r="1117">
      <c r="A1117" t="n">
        <v>17</v>
      </c>
      <c r="B1117" t="n">
        <v>19981180</v>
      </c>
      <c r="C1117" t="n">
        <v>19790289</v>
      </c>
      <c r="D1117" t="inlineStr">
        <is>
          <t>species</t>
        </is>
      </c>
      <c r="E1117" t="inlineStr">
        <is>
          <t>Itaporanga virus</t>
        </is>
      </c>
      <c r="G1117" t="inlineStr">
        <is>
          <t>Abolished,</t>
        </is>
      </c>
      <c r="L1117" s="8">
        <f>HYPERLINK("https://test.ictv.global/id/TN19981180","TN19981180@TEST")</f>
        <v/>
      </c>
      <c r="M1117" s="8">
        <f>HYPERLINK("https://test.ictv.global/id/ICTV19790289","ICTV19790289@TEST")</f>
        <v/>
      </c>
      <c r="N1117" s="8">
        <f>HYPERLINK("https://ictv.global/id/TN19981180","TN19981180@prod")</f>
        <v/>
      </c>
      <c r="O1117" s="8">
        <f>HYPERLINK("https://ictv.global/id/ICTV19790289","ICTV19790289@prod")</f>
        <v/>
      </c>
    </row>
    <row r="1118">
      <c r="A1118" t="n">
        <v>17</v>
      </c>
      <c r="B1118" t="n">
        <v>19981181</v>
      </c>
      <c r="C1118" t="n">
        <v>19910666</v>
      </c>
      <c r="D1118" t="inlineStr">
        <is>
          <t>species</t>
        </is>
      </c>
      <c r="E1118" t="inlineStr">
        <is>
          <t>Joa virus</t>
        </is>
      </c>
      <c r="G1118" t="inlineStr">
        <is>
          <t>Merged,</t>
        </is>
      </c>
      <c r="H1118" t="inlineStr">
        <is>
          <t>Frijoles virus</t>
        </is>
      </c>
      <c r="I1118" t="inlineStr">
        <is>
          <t>species</t>
        </is>
      </c>
      <c r="J1118" t="n">
        <v>19990691</v>
      </c>
      <c r="K1118" t="n">
        <v>19990691</v>
      </c>
      <c r="L1118" s="8">
        <f>HYPERLINK("https://test.ictv.global/id/TN19981181","TN19981181@TEST")</f>
        <v/>
      </c>
      <c r="M1118" s="8">
        <f>HYPERLINK("https://test.ictv.global/id/ICTV19910666","ICTV19910666@TEST")</f>
        <v/>
      </c>
      <c r="N1118" s="8">
        <f>HYPERLINK("https://ictv.global/id/TN19981181","TN19981181@prod")</f>
        <v/>
      </c>
      <c r="O1118" s="8">
        <f>HYPERLINK("https://ictv.global/id/ICTV19910666","ICTV19910666@prod")</f>
        <v/>
      </c>
    </row>
    <row r="1119">
      <c r="A1119" t="n">
        <v>17</v>
      </c>
      <c r="B1119" t="n">
        <v>19981182</v>
      </c>
      <c r="C1119" t="n">
        <v>19790291</v>
      </c>
      <c r="D1119" t="inlineStr">
        <is>
          <t>species</t>
        </is>
      </c>
      <c r="E1119" t="inlineStr">
        <is>
          <t>Karimabad virus</t>
        </is>
      </c>
      <c r="G1119" t="inlineStr">
        <is>
          <t>Merged,</t>
        </is>
      </c>
      <c r="H1119" t="inlineStr">
        <is>
          <t>Sandfly fever Naples virus</t>
        </is>
      </c>
      <c r="I1119" t="inlineStr">
        <is>
          <t>species</t>
        </is>
      </c>
      <c r="J1119" t="n">
        <v>19990695</v>
      </c>
      <c r="K1119" t="n">
        <v>19990695</v>
      </c>
      <c r="L1119" s="8">
        <f>HYPERLINK("https://test.ictv.global/id/TN19981182","TN19981182@TEST")</f>
        <v/>
      </c>
      <c r="M1119" s="8">
        <f>HYPERLINK("https://test.ictv.global/id/ICTV19790291","ICTV19790291@TEST")</f>
        <v/>
      </c>
      <c r="N1119" s="8">
        <f>HYPERLINK("https://ictv.global/id/TN19981182","TN19981182@prod")</f>
        <v/>
      </c>
      <c r="O1119" s="8">
        <f>HYPERLINK("https://ictv.global/id/ICTV19790291","ICTV19790291@prod")</f>
        <v/>
      </c>
    </row>
    <row r="1120">
      <c r="A1120" t="n">
        <v>17</v>
      </c>
      <c r="B1120" t="n">
        <v>19981183</v>
      </c>
      <c r="C1120" t="n">
        <v>19790296</v>
      </c>
      <c r="D1120" t="inlineStr">
        <is>
          <t>species</t>
        </is>
      </c>
      <c r="E1120" t="inlineStr">
        <is>
          <t>Manawa virus</t>
        </is>
      </c>
      <c r="G1120" t="inlineStr">
        <is>
          <t>Merged,</t>
        </is>
      </c>
      <c r="H1120" t="inlineStr">
        <is>
          <t>Uukuniemi virus</t>
        </is>
      </c>
      <c r="I1120" t="inlineStr">
        <is>
          <t>species</t>
        </is>
      </c>
      <c r="J1120" t="n">
        <v>19990696</v>
      </c>
      <c r="K1120" t="n">
        <v>19990696</v>
      </c>
      <c r="L1120" s="8">
        <f>HYPERLINK("https://test.ictv.global/id/TN19981183","TN19981183@TEST")</f>
        <v/>
      </c>
      <c r="M1120" s="8">
        <f>HYPERLINK("https://test.ictv.global/id/ICTV19790296","ICTV19790296@TEST")</f>
        <v/>
      </c>
      <c r="N1120" s="8">
        <f>HYPERLINK("https://ictv.global/id/TN19981183","TN19981183@prod")</f>
        <v/>
      </c>
      <c r="O1120" s="8">
        <f>HYPERLINK("https://ictv.global/id/ICTV19790296","ICTV19790296@prod")</f>
        <v/>
      </c>
    </row>
    <row r="1121">
      <c r="A1121" t="n">
        <v>17</v>
      </c>
      <c r="B1121" t="n">
        <v>19981184</v>
      </c>
      <c r="C1121" t="n">
        <v>19910669</v>
      </c>
      <c r="D1121" t="inlineStr">
        <is>
          <t>species</t>
        </is>
      </c>
      <c r="E1121" t="inlineStr">
        <is>
          <t>Munguba virus</t>
        </is>
      </c>
      <c r="G1121" t="inlineStr">
        <is>
          <t>Merged,</t>
        </is>
      </c>
      <c r="H1121" t="inlineStr">
        <is>
          <t>Bujaru virus</t>
        </is>
      </c>
      <c r="I1121" t="inlineStr">
        <is>
          <t>species</t>
        </is>
      </c>
      <c r="J1121" t="n">
        <v>19990688</v>
      </c>
      <c r="K1121" t="n">
        <v>19990688</v>
      </c>
      <c r="L1121" s="8">
        <f>HYPERLINK("https://test.ictv.global/id/TN19981184","TN19981184@TEST")</f>
        <v/>
      </c>
      <c r="M1121" s="8">
        <f>HYPERLINK("https://test.ictv.global/id/ICTV19910669","ICTV19910669@TEST")</f>
        <v/>
      </c>
      <c r="N1121" s="8">
        <f>HYPERLINK("https://ictv.global/id/TN19981184","TN19981184@prod")</f>
        <v/>
      </c>
      <c r="O1121" s="8">
        <f>HYPERLINK("https://ictv.global/id/ICTV19910669","ICTV19910669@prod")</f>
        <v/>
      </c>
    </row>
    <row r="1122">
      <c r="A1122" t="n">
        <v>17</v>
      </c>
      <c r="B1122" t="n">
        <v>19981185</v>
      </c>
      <c r="C1122" t="n">
        <v>19910670</v>
      </c>
      <c r="D1122" t="inlineStr">
        <is>
          <t>species</t>
        </is>
      </c>
      <c r="E1122" t="inlineStr">
        <is>
          <t>Murre virus</t>
        </is>
      </c>
      <c r="G1122" t="inlineStr">
        <is>
          <t>Merged,</t>
        </is>
      </c>
      <c r="H1122" t="inlineStr">
        <is>
          <t>Uukuniemi virus</t>
        </is>
      </c>
      <c r="I1122" t="inlineStr">
        <is>
          <t>species</t>
        </is>
      </c>
      <c r="J1122" t="n">
        <v>19990696</v>
      </c>
      <c r="K1122" t="n">
        <v>19990696</v>
      </c>
      <c r="L1122" s="8">
        <f>HYPERLINK("https://test.ictv.global/id/TN19981185","TN19981185@TEST")</f>
        <v/>
      </c>
      <c r="M1122" s="8">
        <f>HYPERLINK("https://test.ictv.global/id/ICTV19910670","ICTV19910670@TEST")</f>
        <v/>
      </c>
      <c r="N1122" s="8">
        <f>HYPERLINK("https://ictv.global/id/TN19981185","TN19981185@prod")</f>
        <v/>
      </c>
      <c r="O1122" s="8">
        <f>HYPERLINK("https://ictv.global/id/ICTV19910670","ICTV19910670@prod")</f>
        <v/>
      </c>
    </row>
    <row r="1123">
      <c r="A1123" t="n">
        <v>17</v>
      </c>
      <c r="B1123" t="n">
        <v>19981186</v>
      </c>
      <c r="C1123" t="n">
        <v>19790301</v>
      </c>
      <c r="D1123" t="inlineStr">
        <is>
          <t>species</t>
        </is>
      </c>
      <c r="E1123" t="inlineStr">
        <is>
          <t>Nique virus</t>
        </is>
      </c>
      <c r="G1123" t="inlineStr">
        <is>
          <t>Merged,</t>
        </is>
      </c>
      <c r="H1123" t="inlineStr">
        <is>
          <t>Chandiru virus</t>
        </is>
      </c>
      <c r="I1123" t="inlineStr">
        <is>
          <t>species</t>
        </is>
      </c>
      <c r="J1123" t="n">
        <v>19990689</v>
      </c>
      <c r="K1123" t="n">
        <v>19990689</v>
      </c>
      <c r="L1123" s="8">
        <f>HYPERLINK("https://test.ictv.global/id/TN19981186","TN19981186@TEST")</f>
        <v/>
      </c>
      <c r="M1123" s="8">
        <f>HYPERLINK("https://test.ictv.global/id/ICTV19790301","ICTV19790301@TEST")</f>
        <v/>
      </c>
      <c r="N1123" s="8">
        <f>HYPERLINK("https://ictv.global/id/TN19981186","TN19981186@prod")</f>
        <v/>
      </c>
      <c r="O1123" s="8">
        <f>HYPERLINK("https://ictv.global/id/ICTV19790301","ICTV19790301@prod")</f>
        <v/>
      </c>
    </row>
    <row r="1124">
      <c r="A1124" t="n">
        <v>17</v>
      </c>
      <c r="B1124" t="n">
        <v>19981187</v>
      </c>
      <c r="C1124" t="n">
        <v>19910672</v>
      </c>
      <c r="D1124" t="inlineStr">
        <is>
          <t>species</t>
        </is>
      </c>
      <c r="E1124" t="inlineStr">
        <is>
          <t>Oceanside virus</t>
        </is>
      </c>
      <c r="G1124" t="inlineStr">
        <is>
          <t>Merged,</t>
        </is>
      </c>
      <c r="H1124" t="inlineStr">
        <is>
          <t>Uukuniemi virus</t>
        </is>
      </c>
      <c r="I1124" t="inlineStr">
        <is>
          <t>species</t>
        </is>
      </c>
      <c r="J1124" t="n">
        <v>19990696</v>
      </c>
      <c r="K1124" t="n">
        <v>19990696</v>
      </c>
      <c r="L1124" s="8">
        <f>HYPERLINK("https://test.ictv.global/id/TN19981187","TN19981187@TEST")</f>
        <v/>
      </c>
      <c r="M1124" s="8">
        <f>HYPERLINK("https://test.ictv.global/id/ICTV19910672","ICTV19910672@TEST")</f>
        <v/>
      </c>
      <c r="N1124" s="8">
        <f>HYPERLINK("https://ictv.global/id/TN19981187","TN19981187@prod")</f>
        <v/>
      </c>
      <c r="O1124" s="8">
        <f>HYPERLINK("https://ictv.global/id/ICTV19910672","ICTV19910672@prod")</f>
        <v/>
      </c>
    </row>
    <row r="1125">
      <c r="A1125" t="n">
        <v>17</v>
      </c>
      <c r="B1125" t="n">
        <v>19981188</v>
      </c>
      <c r="C1125" t="n">
        <v>19910673</v>
      </c>
      <c r="D1125" t="inlineStr">
        <is>
          <t>species</t>
        </is>
      </c>
      <c r="E1125" t="inlineStr">
        <is>
          <t>Odrenisrou virus</t>
        </is>
      </c>
      <c r="G1125" t="inlineStr">
        <is>
          <t>Abolished,</t>
        </is>
      </c>
      <c r="L1125" s="8">
        <f>HYPERLINK("https://test.ictv.global/id/TN19981188","TN19981188@TEST")</f>
        <v/>
      </c>
      <c r="M1125" s="8">
        <f>HYPERLINK("https://test.ictv.global/id/ICTV19910673","ICTV19910673@TEST")</f>
        <v/>
      </c>
      <c r="N1125" s="8">
        <f>HYPERLINK("https://ictv.global/id/TN19981188","TN19981188@prod")</f>
        <v/>
      </c>
      <c r="O1125" s="8">
        <f>HYPERLINK("https://ictv.global/id/ICTV19910673","ICTV19910673@prod")</f>
        <v/>
      </c>
    </row>
    <row r="1126">
      <c r="A1126" t="n">
        <v>17</v>
      </c>
      <c r="B1126" t="n">
        <v>19981189</v>
      </c>
      <c r="C1126" t="n">
        <v>19910674</v>
      </c>
      <c r="D1126" t="inlineStr">
        <is>
          <t>species</t>
        </is>
      </c>
      <c r="E1126" t="inlineStr">
        <is>
          <t>Oriximina virus</t>
        </is>
      </c>
      <c r="G1126" t="inlineStr">
        <is>
          <t>Merged,</t>
        </is>
      </c>
      <c r="H1126" t="inlineStr">
        <is>
          <t>Chandiru virus</t>
        </is>
      </c>
      <c r="I1126" t="inlineStr">
        <is>
          <t>species</t>
        </is>
      </c>
      <c r="J1126" t="n">
        <v>19990689</v>
      </c>
      <c r="K1126" t="n">
        <v>19990689</v>
      </c>
      <c r="L1126" s="8">
        <f>HYPERLINK("https://test.ictv.global/id/TN19981189","TN19981189@TEST")</f>
        <v/>
      </c>
      <c r="M1126" s="8">
        <f>HYPERLINK("https://test.ictv.global/id/ICTV19910674","ICTV19910674@TEST")</f>
        <v/>
      </c>
      <c r="N1126" s="8">
        <f>HYPERLINK("https://ictv.global/id/TN19981189","TN19981189@prod")</f>
        <v/>
      </c>
      <c r="O1126" s="8">
        <f>HYPERLINK("https://ictv.global/id/ICTV19910674","ICTV19910674@prod")</f>
        <v/>
      </c>
    </row>
    <row r="1127">
      <c r="A1127" t="n">
        <v>17</v>
      </c>
      <c r="B1127" t="n">
        <v>19981190</v>
      </c>
      <c r="C1127" t="n">
        <v>19790302</v>
      </c>
      <c r="D1127" t="inlineStr">
        <is>
          <t>species</t>
        </is>
      </c>
      <c r="E1127" t="inlineStr">
        <is>
          <t>Pacui virus</t>
        </is>
      </c>
      <c r="G1127" t="inlineStr">
        <is>
          <t>Abolished,</t>
        </is>
      </c>
      <c r="L1127" s="8">
        <f>HYPERLINK("https://test.ictv.global/id/TN19981190","TN19981190@TEST")</f>
        <v/>
      </c>
      <c r="M1127" s="8">
        <f>HYPERLINK("https://test.ictv.global/id/ICTV19790302","ICTV19790302@TEST")</f>
        <v/>
      </c>
      <c r="N1127" s="8">
        <f>HYPERLINK("https://ictv.global/id/TN19981190","TN19981190@prod")</f>
        <v/>
      </c>
      <c r="O1127" s="8">
        <f>HYPERLINK("https://ictv.global/id/ICTV19790302","ICTV19790302@prod")</f>
        <v/>
      </c>
    </row>
    <row r="1128">
      <c r="A1128" t="n">
        <v>17</v>
      </c>
      <c r="B1128" t="n">
        <v>19981191</v>
      </c>
      <c r="C1128" t="n">
        <v>19790303</v>
      </c>
      <c r="D1128" t="inlineStr">
        <is>
          <t>species</t>
        </is>
      </c>
      <c r="E1128" t="inlineStr">
        <is>
          <t>Ponteves virus</t>
        </is>
      </c>
      <c r="G1128" t="inlineStr">
        <is>
          <t>Merged,</t>
        </is>
      </c>
      <c r="H1128" t="inlineStr">
        <is>
          <t>Uukuniemi virus</t>
        </is>
      </c>
      <c r="I1128" t="inlineStr">
        <is>
          <t>species</t>
        </is>
      </c>
      <c r="J1128" t="n">
        <v>19990696</v>
      </c>
      <c r="K1128" t="n">
        <v>19990696</v>
      </c>
      <c r="L1128" s="8">
        <f>HYPERLINK("https://test.ictv.global/id/TN19981191","TN19981191@TEST")</f>
        <v/>
      </c>
      <c r="M1128" s="8">
        <f>HYPERLINK("https://test.ictv.global/id/ICTV19790303","ICTV19790303@TEST")</f>
        <v/>
      </c>
      <c r="N1128" s="8">
        <f>HYPERLINK("https://ictv.global/id/TN19981191","TN19981191@prod")</f>
        <v/>
      </c>
      <c r="O1128" s="8">
        <f>HYPERLINK("https://ictv.global/id/ICTV19790303","ICTV19790303@prod")</f>
        <v/>
      </c>
    </row>
    <row r="1129">
      <c r="A1129" t="n">
        <v>17</v>
      </c>
      <c r="B1129" t="n">
        <v>19981192</v>
      </c>
      <c r="C1129" t="n">
        <v>19910677</v>
      </c>
      <c r="D1129" t="inlineStr">
        <is>
          <t>species</t>
        </is>
      </c>
      <c r="E1129" t="inlineStr">
        <is>
          <t>Precarious Point virus</t>
        </is>
      </c>
      <c r="G1129" t="inlineStr">
        <is>
          <t>Merged,</t>
        </is>
      </c>
      <c r="H1129" t="inlineStr">
        <is>
          <t>Uukuniemi virus</t>
        </is>
      </c>
      <c r="I1129" t="inlineStr">
        <is>
          <t>species</t>
        </is>
      </c>
      <c r="J1129" t="n">
        <v>19990696</v>
      </c>
      <c r="K1129" t="n">
        <v>19990696</v>
      </c>
      <c r="L1129" s="8">
        <f>HYPERLINK("https://test.ictv.global/id/TN19981192","TN19981192@TEST")</f>
        <v/>
      </c>
      <c r="M1129" s="8">
        <f>HYPERLINK("https://test.ictv.global/id/ICTV19910677","ICTV19910677@TEST")</f>
        <v/>
      </c>
      <c r="N1129" s="8">
        <f>HYPERLINK("https://ictv.global/id/TN19981192","TN19981192@prod")</f>
        <v/>
      </c>
      <c r="O1129" s="8">
        <f>HYPERLINK("https://ictv.global/id/ICTV19910677","ICTV19910677@prod")</f>
        <v/>
      </c>
    </row>
    <row r="1130">
      <c r="A1130" t="n">
        <v>17</v>
      </c>
      <c r="B1130" t="n">
        <v>19981193</v>
      </c>
      <c r="C1130" t="n">
        <v>19990692</v>
      </c>
      <c r="D1130" t="inlineStr">
        <is>
          <t>species</t>
        </is>
      </c>
      <c r="E1130" t="inlineStr">
        <is>
          <t>Punta Toro virus</t>
        </is>
      </c>
      <c r="F1130" t="inlineStr"/>
      <c r="G1130" t="inlineStr">
        <is>
          <t>Merged,</t>
        </is>
      </c>
      <c r="H1130" t="inlineStr">
        <is>
          <t>Punta Toro virus</t>
        </is>
      </c>
      <c r="I1130" t="inlineStr">
        <is>
          <t>species</t>
        </is>
      </c>
      <c r="J1130" t="n">
        <v>19990692</v>
      </c>
      <c r="K1130" t="n">
        <v>19990692</v>
      </c>
      <c r="L1130" s="8">
        <f>HYPERLINK("https://test.ictv.global/id/TN19981193","TN19981193@TEST")</f>
        <v/>
      </c>
      <c r="M1130" s="8">
        <f>HYPERLINK("https://test.ictv.global/id/ICTV19990692","ICTV19990692@TEST")</f>
        <v/>
      </c>
      <c r="N1130" s="8">
        <f>HYPERLINK("https://ictv.global/id/TN19981193","TN19981193@prod")</f>
        <v/>
      </c>
      <c r="O1130" s="8">
        <f>HYPERLINK("https://ictv.global/id/ICTV19990692","ICTV19990692@prod")</f>
        <v/>
      </c>
    </row>
    <row r="1131">
      <c r="A1131" t="n">
        <v>17</v>
      </c>
      <c r="B1131" t="n">
        <v>19981194</v>
      </c>
      <c r="C1131" t="n">
        <v>19990693</v>
      </c>
      <c r="D1131" t="inlineStr">
        <is>
          <t>species</t>
        </is>
      </c>
      <c r="E1131" t="inlineStr">
        <is>
          <t>Rift Valley fever virus</t>
        </is>
      </c>
      <c r="F1131" t="inlineStr"/>
      <c r="G1131" t="inlineStr">
        <is>
          <t>Merged,Assigned as Type Species,</t>
        </is>
      </c>
      <c r="H1131" t="inlineStr">
        <is>
          <t>Rift Valley fever virus</t>
        </is>
      </c>
      <c r="I1131" t="inlineStr">
        <is>
          <t>species</t>
        </is>
      </c>
      <c r="J1131" t="n">
        <v>19990693</v>
      </c>
      <c r="K1131" t="n">
        <v>19990693</v>
      </c>
      <c r="L1131" s="8">
        <f>HYPERLINK("https://test.ictv.global/id/TN19981194","TN19981194@TEST")</f>
        <v/>
      </c>
      <c r="M1131" s="8">
        <f>HYPERLINK("https://test.ictv.global/id/ICTV19990693","ICTV19990693@TEST")</f>
        <v/>
      </c>
      <c r="N1131" s="8">
        <f>HYPERLINK("https://ictv.global/id/TN19981194","TN19981194@prod")</f>
        <v/>
      </c>
      <c r="O1131" s="8">
        <f>HYPERLINK("https://ictv.global/id/ICTV19990693","ICTV19990693@prod")</f>
        <v/>
      </c>
    </row>
    <row r="1132">
      <c r="A1132" t="n">
        <v>17</v>
      </c>
      <c r="B1132" t="n">
        <v>19981195</v>
      </c>
      <c r="C1132" t="n">
        <v>19790306</v>
      </c>
      <c r="D1132" t="inlineStr">
        <is>
          <t>species</t>
        </is>
      </c>
      <c r="E1132" t="inlineStr">
        <is>
          <t>Rio Grande virus</t>
        </is>
      </c>
      <c r="G1132" t="inlineStr">
        <is>
          <t>Abolished,</t>
        </is>
      </c>
      <c r="L1132" s="8">
        <f>HYPERLINK("https://test.ictv.global/id/TN19981195","TN19981195@TEST")</f>
        <v/>
      </c>
      <c r="M1132" s="8">
        <f>HYPERLINK("https://test.ictv.global/id/ICTV19790306","ICTV19790306@TEST")</f>
        <v/>
      </c>
      <c r="N1132" s="8">
        <f>HYPERLINK("https://ictv.global/id/TN19981195","TN19981195@prod")</f>
        <v/>
      </c>
      <c r="O1132" s="8">
        <f>HYPERLINK("https://ictv.global/id/ICTV19790306","ICTV19790306@prod")</f>
        <v/>
      </c>
    </row>
    <row r="1133">
      <c r="A1133" t="n">
        <v>17</v>
      </c>
      <c r="B1133" t="n">
        <v>19981196</v>
      </c>
      <c r="C1133" t="n">
        <v>19910681</v>
      </c>
      <c r="D1133" t="inlineStr">
        <is>
          <t>species</t>
        </is>
      </c>
      <c r="E1133" t="inlineStr">
        <is>
          <t>RML 105355 virus</t>
        </is>
      </c>
      <c r="G1133" t="inlineStr">
        <is>
          <t>Merged,</t>
        </is>
      </c>
      <c r="H1133" t="inlineStr">
        <is>
          <t>Uukuniemi virus</t>
        </is>
      </c>
      <c r="I1133" t="inlineStr">
        <is>
          <t>species</t>
        </is>
      </c>
      <c r="J1133" t="n">
        <v>19990696</v>
      </c>
      <c r="K1133" t="n">
        <v>19990696</v>
      </c>
      <c r="L1133" s="8">
        <f>HYPERLINK("https://test.ictv.global/id/TN19981196","TN19981196@TEST")</f>
        <v/>
      </c>
      <c r="M1133" s="8">
        <f>HYPERLINK("https://test.ictv.global/id/ICTV19910681","ICTV19910681@TEST")</f>
        <v/>
      </c>
      <c r="N1133" s="8">
        <f>HYPERLINK("https://ictv.global/id/TN19981196","TN19981196@prod")</f>
        <v/>
      </c>
      <c r="O1133" s="8">
        <f>HYPERLINK("https://ictv.global/id/ICTV19910681","ICTV19910681@prod")</f>
        <v/>
      </c>
    </row>
    <row r="1134">
      <c r="A1134" t="n">
        <v>17</v>
      </c>
      <c r="B1134" t="n">
        <v>19981197</v>
      </c>
      <c r="C1134" t="n">
        <v>19910682</v>
      </c>
      <c r="D1134" t="inlineStr">
        <is>
          <t>species</t>
        </is>
      </c>
      <c r="E1134" t="inlineStr">
        <is>
          <t>Saint-Floris virus</t>
        </is>
      </c>
      <c r="G1134" t="inlineStr">
        <is>
          <t>Abolished,</t>
        </is>
      </c>
      <c r="L1134" s="8">
        <f>HYPERLINK("https://test.ictv.global/id/TN19981197","TN19981197@TEST")</f>
        <v/>
      </c>
      <c r="M1134" s="8">
        <f>HYPERLINK("https://test.ictv.global/id/ICTV19910682","ICTV19910682@TEST")</f>
        <v/>
      </c>
      <c r="N1134" s="8">
        <f>HYPERLINK("https://ictv.global/id/TN19981197","TN19981197@prod")</f>
        <v/>
      </c>
      <c r="O1134" s="8">
        <f>HYPERLINK("https://ictv.global/id/ICTV19910682","ICTV19910682@prod")</f>
        <v/>
      </c>
    </row>
    <row r="1135">
      <c r="A1135" t="n">
        <v>17</v>
      </c>
      <c r="B1135" t="n">
        <v>19981198</v>
      </c>
      <c r="C1135" t="n">
        <v>19790307</v>
      </c>
      <c r="D1135" t="inlineStr">
        <is>
          <t>species</t>
        </is>
      </c>
      <c r="E1135" t="inlineStr">
        <is>
          <t>Salehabad virus</t>
        </is>
      </c>
      <c r="F1135" t="inlineStr"/>
      <c r="G1135" t="inlineStr">
        <is>
          <t>Merged,</t>
        </is>
      </c>
      <c r="H1135" t="inlineStr">
        <is>
          <t>Salehebad virus</t>
        </is>
      </c>
      <c r="I1135" t="inlineStr">
        <is>
          <t>species</t>
        </is>
      </c>
      <c r="J1135" t="n">
        <v>19990694</v>
      </c>
      <c r="K1135" t="n">
        <v>19990694</v>
      </c>
      <c r="L1135" s="8">
        <f>HYPERLINK("https://test.ictv.global/id/TN19981198","TN19981198@TEST")</f>
        <v/>
      </c>
      <c r="M1135" s="8">
        <f>HYPERLINK("https://test.ictv.global/id/ICTV19790307","ICTV19790307@TEST")</f>
        <v/>
      </c>
      <c r="N1135" s="8">
        <f>HYPERLINK("https://ictv.global/id/TN19981198","TN19981198@prod")</f>
        <v/>
      </c>
      <c r="O1135" s="8">
        <f>HYPERLINK("https://ictv.global/id/ICTV19790307","ICTV19790307@prod")</f>
        <v/>
      </c>
    </row>
    <row r="1136">
      <c r="A1136" t="n">
        <v>17</v>
      </c>
      <c r="B1136" t="n">
        <v>19981199</v>
      </c>
      <c r="C1136" t="n">
        <v>19990695</v>
      </c>
      <c r="D1136" t="inlineStr">
        <is>
          <t>species</t>
        </is>
      </c>
      <c r="E1136" t="inlineStr">
        <is>
          <t>Sandfly fever Naples virus</t>
        </is>
      </c>
      <c r="F1136" t="inlineStr"/>
      <c r="G1136" t="inlineStr">
        <is>
          <t>Merged,</t>
        </is>
      </c>
      <c r="H1136" t="inlineStr">
        <is>
          <t>Sandfly fever Naples virus</t>
        </is>
      </c>
      <c r="I1136" t="inlineStr">
        <is>
          <t>species</t>
        </is>
      </c>
      <c r="J1136" t="n">
        <v>19990695</v>
      </c>
      <c r="K1136" t="n">
        <v>19990695</v>
      </c>
      <c r="L1136" s="8">
        <f>HYPERLINK("https://test.ictv.global/id/TN19981199","TN19981199@TEST")</f>
        <v/>
      </c>
      <c r="M1136" s="8">
        <f>HYPERLINK("https://test.ictv.global/id/ICTV19990695","ICTV19990695@TEST")</f>
        <v/>
      </c>
      <c r="N1136" s="8">
        <f>HYPERLINK("https://ictv.global/id/TN19981199","TN19981199@prod")</f>
        <v/>
      </c>
      <c r="O1136" s="8">
        <f>HYPERLINK("https://ictv.global/id/ICTV19990695","ICTV19990695@prod")</f>
        <v/>
      </c>
    </row>
    <row r="1137">
      <c r="A1137" t="n">
        <v>17</v>
      </c>
      <c r="B1137" t="n">
        <v>19981200</v>
      </c>
      <c r="C1137" t="n">
        <v>19790309</v>
      </c>
      <c r="D1137" t="inlineStr">
        <is>
          <t>species</t>
        </is>
      </c>
      <c r="E1137" t="inlineStr">
        <is>
          <t>Sandfly fever Sicilian virus</t>
        </is>
      </c>
      <c r="G1137" t="inlineStr">
        <is>
          <t>Abolished,</t>
        </is>
      </c>
      <c r="L1137" s="8">
        <f>HYPERLINK("https://test.ictv.global/id/TN19981200","TN19981200@TEST")</f>
        <v/>
      </c>
      <c r="M1137" s="8">
        <f>HYPERLINK("https://test.ictv.global/id/ICTV19790309","ICTV19790309@TEST")</f>
        <v/>
      </c>
      <c r="N1137" s="8">
        <f>HYPERLINK("https://ictv.global/id/TN19981200","TN19981200@prod")</f>
        <v/>
      </c>
      <c r="O1137" s="8">
        <f>HYPERLINK("https://ictv.global/id/ICTV19790309","ICTV19790309@prod")</f>
        <v/>
      </c>
    </row>
    <row r="1138">
      <c r="A1138" t="n">
        <v>17</v>
      </c>
      <c r="B1138" t="n">
        <v>19981201</v>
      </c>
      <c r="C1138" t="n">
        <v>19910686</v>
      </c>
      <c r="D1138" t="inlineStr">
        <is>
          <t>species</t>
        </is>
      </c>
      <c r="E1138" t="inlineStr">
        <is>
          <t>St. Abbs Head virus</t>
        </is>
      </c>
      <c r="G1138" t="inlineStr">
        <is>
          <t>Merged,</t>
        </is>
      </c>
      <c r="H1138" t="inlineStr">
        <is>
          <t>Uukuniemi virus</t>
        </is>
      </c>
      <c r="I1138" t="inlineStr">
        <is>
          <t>species</t>
        </is>
      </c>
      <c r="J1138" t="n">
        <v>19990696</v>
      </c>
      <c r="K1138" t="n">
        <v>19990696</v>
      </c>
      <c r="L1138" s="8">
        <f>HYPERLINK("https://test.ictv.global/id/TN19981201","TN19981201@TEST")</f>
        <v/>
      </c>
      <c r="M1138" s="8">
        <f>HYPERLINK("https://test.ictv.global/id/ICTV19910686","ICTV19910686@TEST")</f>
        <v/>
      </c>
      <c r="N1138" s="8">
        <f>HYPERLINK("https://ictv.global/id/TN19981201","TN19981201@prod")</f>
        <v/>
      </c>
      <c r="O1138" s="8">
        <f>HYPERLINK("https://ictv.global/id/ICTV19910686","ICTV19910686@prod")</f>
        <v/>
      </c>
    </row>
    <row r="1139">
      <c r="A1139" t="n">
        <v>17</v>
      </c>
      <c r="B1139" t="n">
        <v>19981202</v>
      </c>
      <c r="C1139" t="n">
        <v>19820422</v>
      </c>
      <c r="D1139" t="inlineStr">
        <is>
          <t>species</t>
        </is>
      </c>
      <c r="E1139" t="inlineStr">
        <is>
          <t>Tehran virus</t>
        </is>
      </c>
      <c r="G1139" t="inlineStr">
        <is>
          <t>Merged,</t>
        </is>
      </c>
      <c r="H1139" t="inlineStr">
        <is>
          <t>Sandfly fever Naples virus</t>
        </is>
      </c>
      <c r="I1139" t="inlineStr">
        <is>
          <t>species</t>
        </is>
      </c>
      <c r="J1139" t="n">
        <v>19990695</v>
      </c>
      <c r="K1139" t="n">
        <v>19990695</v>
      </c>
      <c r="L1139" s="8">
        <f>HYPERLINK("https://test.ictv.global/id/TN19981202","TN19981202@TEST")</f>
        <v/>
      </c>
      <c r="M1139" s="8">
        <f>HYPERLINK("https://test.ictv.global/id/ICTV19820422","ICTV19820422@TEST")</f>
        <v/>
      </c>
      <c r="N1139" s="8">
        <f>HYPERLINK("https://ictv.global/id/TN19981202","TN19981202@prod")</f>
        <v/>
      </c>
      <c r="O1139" s="8">
        <f>HYPERLINK("https://ictv.global/id/ICTV19820422","ICTV19820422@prod")</f>
        <v/>
      </c>
    </row>
    <row r="1140">
      <c r="A1140" t="n">
        <v>17</v>
      </c>
      <c r="B1140" t="n">
        <v>19981203</v>
      </c>
      <c r="C1140" t="n">
        <v>19820423</v>
      </c>
      <c r="D1140" t="inlineStr">
        <is>
          <t>species</t>
        </is>
      </c>
      <c r="E1140" t="inlineStr">
        <is>
          <t>Toscana virus</t>
        </is>
      </c>
      <c r="G1140" t="inlineStr">
        <is>
          <t>Merged,</t>
        </is>
      </c>
      <c r="H1140" t="inlineStr">
        <is>
          <t>Sandfly fever Naples virus</t>
        </is>
      </c>
      <c r="I1140" t="inlineStr">
        <is>
          <t>species</t>
        </is>
      </c>
      <c r="J1140" t="n">
        <v>19990695</v>
      </c>
      <c r="K1140" t="n">
        <v>19990695</v>
      </c>
      <c r="L1140" s="8">
        <f>HYPERLINK("https://test.ictv.global/id/TN19981203","TN19981203@TEST")</f>
        <v/>
      </c>
      <c r="M1140" s="8">
        <f>HYPERLINK("https://test.ictv.global/id/ICTV19820423","ICTV19820423@TEST")</f>
        <v/>
      </c>
      <c r="N1140" s="8">
        <f>HYPERLINK("https://ictv.global/id/TN19981203","TN19981203@prod")</f>
        <v/>
      </c>
      <c r="O1140" s="8">
        <f>HYPERLINK("https://ictv.global/id/ICTV19820423","ICTV19820423@prod")</f>
        <v/>
      </c>
    </row>
    <row r="1141">
      <c r="A1141" t="n">
        <v>17</v>
      </c>
      <c r="B1141" t="n">
        <v>19981204</v>
      </c>
      <c r="C1141" t="n">
        <v>19910689</v>
      </c>
      <c r="D1141" t="inlineStr">
        <is>
          <t>species</t>
        </is>
      </c>
      <c r="E1141" t="inlineStr">
        <is>
          <t>Turuna virus</t>
        </is>
      </c>
      <c r="G1141" t="inlineStr">
        <is>
          <t>Merged,</t>
        </is>
      </c>
      <c r="H1141" t="inlineStr">
        <is>
          <t>Chandiru virus</t>
        </is>
      </c>
      <c r="I1141" t="inlineStr">
        <is>
          <t>species</t>
        </is>
      </c>
      <c r="J1141" t="n">
        <v>19990689</v>
      </c>
      <c r="K1141" t="n">
        <v>19990689</v>
      </c>
      <c r="L1141" s="8">
        <f>HYPERLINK("https://test.ictv.global/id/TN19981204","TN19981204@TEST")</f>
        <v/>
      </c>
      <c r="M1141" s="8">
        <f>HYPERLINK("https://test.ictv.global/id/ICTV19910689","ICTV19910689@TEST")</f>
        <v/>
      </c>
      <c r="N1141" s="8">
        <f>HYPERLINK("https://ictv.global/id/TN19981204","TN19981204@prod")</f>
        <v/>
      </c>
      <c r="O1141" s="8">
        <f>HYPERLINK("https://ictv.global/id/ICTV19910689","ICTV19910689@prod")</f>
        <v/>
      </c>
    </row>
    <row r="1142">
      <c r="A1142" t="n">
        <v>17</v>
      </c>
      <c r="B1142" t="n">
        <v>19981205</v>
      </c>
      <c r="C1142" t="n">
        <v>19790317</v>
      </c>
      <c r="D1142" t="inlineStr">
        <is>
          <t>species</t>
        </is>
      </c>
      <c r="E1142" t="inlineStr">
        <is>
          <t>Urucuri virus</t>
        </is>
      </c>
      <c r="G1142" t="inlineStr">
        <is>
          <t>Abolished,</t>
        </is>
      </c>
      <c r="L1142" s="8">
        <f>HYPERLINK("https://test.ictv.global/id/TN19981205","TN19981205@TEST")</f>
        <v/>
      </c>
      <c r="M1142" s="8">
        <f>HYPERLINK("https://test.ictv.global/id/ICTV19790317","ICTV19790317@TEST")</f>
        <v/>
      </c>
      <c r="N1142" s="8">
        <f>HYPERLINK("https://ictv.global/id/TN19981205","TN19981205@prod")</f>
        <v/>
      </c>
      <c r="O1142" s="8">
        <f>HYPERLINK("https://ictv.global/id/ICTV19790317","ICTV19790317@prod")</f>
        <v/>
      </c>
    </row>
    <row r="1143">
      <c r="A1143" t="n">
        <v>17</v>
      </c>
      <c r="B1143" t="n">
        <v>19981206</v>
      </c>
      <c r="C1143" t="n">
        <v>19990696</v>
      </c>
      <c r="D1143" t="inlineStr">
        <is>
          <t>species</t>
        </is>
      </c>
      <c r="E1143" t="inlineStr">
        <is>
          <t>Uukuniemi virus</t>
        </is>
      </c>
      <c r="F1143" t="inlineStr"/>
      <c r="G1143" t="inlineStr">
        <is>
          <t>Merged,</t>
        </is>
      </c>
      <c r="H1143" t="inlineStr">
        <is>
          <t>Uukuniemi virus</t>
        </is>
      </c>
      <c r="I1143" t="inlineStr">
        <is>
          <t>species</t>
        </is>
      </c>
      <c r="J1143" t="n">
        <v>19990696</v>
      </c>
      <c r="K1143" t="n">
        <v>19990696</v>
      </c>
      <c r="L1143" s="8">
        <f>HYPERLINK("https://test.ictv.global/id/TN19981206","TN19981206@TEST")</f>
        <v/>
      </c>
      <c r="M1143" s="8">
        <f>HYPERLINK("https://test.ictv.global/id/ICTV19990696","ICTV19990696@TEST")</f>
        <v/>
      </c>
      <c r="N1143" s="8">
        <f>HYPERLINK("https://ictv.global/id/TN19981206","TN19981206@prod")</f>
        <v/>
      </c>
      <c r="O1143" s="8">
        <f>HYPERLINK("https://ictv.global/id/ICTV19990696","ICTV19990696@prod")</f>
        <v/>
      </c>
    </row>
    <row r="1144">
      <c r="A1144" t="n">
        <v>17</v>
      </c>
      <c r="B1144" t="n">
        <v>19981207</v>
      </c>
      <c r="C1144" t="n">
        <v>19790320</v>
      </c>
      <c r="D1144" t="inlineStr">
        <is>
          <t>species</t>
        </is>
      </c>
      <c r="E1144" t="inlineStr">
        <is>
          <t>Zaliv-Terpeniya virus</t>
        </is>
      </c>
      <c r="G1144" t="inlineStr">
        <is>
          <t>Merged,</t>
        </is>
      </c>
      <c r="H1144" t="inlineStr">
        <is>
          <t>Uukuniemi virus</t>
        </is>
      </c>
      <c r="I1144" t="inlineStr">
        <is>
          <t>species</t>
        </is>
      </c>
      <c r="J1144" t="n">
        <v>19990696</v>
      </c>
      <c r="K1144" t="n">
        <v>19990696</v>
      </c>
      <c r="L1144" s="8">
        <f>HYPERLINK("https://test.ictv.global/id/TN19981207","TN19981207@TEST")</f>
        <v/>
      </c>
      <c r="M1144" s="8">
        <f>HYPERLINK("https://test.ictv.global/id/ICTV19790320","ICTV19790320@TEST")</f>
        <v/>
      </c>
      <c r="N1144" s="8">
        <f>HYPERLINK("https://ictv.global/id/TN19981207","TN19981207@prod")</f>
        <v/>
      </c>
      <c r="O1144" s="8">
        <f>HYPERLINK("https://ictv.global/id/ICTV19790320","ICTV19790320@prod")</f>
        <v/>
      </c>
    </row>
    <row r="1145">
      <c r="A1145" t="n">
        <v>17</v>
      </c>
      <c r="B1145" t="n">
        <v>19981214</v>
      </c>
      <c r="C1145" t="n">
        <v>19910694</v>
      </c>
      <c r="D1145" t="inlineStr">
        <is>
          <t>species</t>
        </is>
      </c>
      <c r="E1145" t="inlineStr">
        <is>
          <t>Canine calicivirus</t>
        </is>
      </c>
      <c r="G1145" t="inlineStr">
        <is>
          <t>Abolished,</t>
        </is>
      </c>
      <c r="L1145" s="8">
        <f>HYPERLINK("https://test.ictv.global/id/TN19981214","TN19981214@TEST")</f>
        <v/>
      </c>
      <c r="M1145" s="8">
        <f>HYPERLINK("https://test.ictv.global/id/ICTV19910694","ICTV19910694@TEST")</f>
        <v/>
      </c>
      <c r="N1145" s="8">
        <f>HYPERLINK("https://ictv.global/id/TN19981214","TN19981214@prod")</f>
        <v/>
      </c>
      <c r="O1145" s="8">
        <f>HYPERLINK("https://ictv.global/id/ICTV19910694","ICTV19910694@prod")</f>
        <v/>
      </c>
    </row>
    <row r="1146">
      <c r="A1146" t="n">
        <v>17</v>
      </c>
      <c r="B1146" t="n">
        <v>19981215</v>
      </c>
      <c r="C1146" t="n">
        <v>19790951</v>
      </c>
      <c r="D1146" t="inlineStr">
        <is>
          <t>species</t>
        </is>
      </c>
      <c r="E1146" t="inlineStr">
        <is>
          <t>San Miguel sea lion virus</t>
        </is>
      </c>
      <c r="G1146" t="inlineStr">
        <is>
          <t>Merged,Moved,Assigned as Type Species,</t>
        </is>
      </c>
      <c r="H1146" t="inlineStr">
        <is>
          <t>Vesicular exanthema of swine virus</t>
        </is>
      </c>
      <c r="I1146" t="inlineStr">
        <is>
          <t>species</t>
        </is>
      </c>
      <c r="J1146" t="n">
        <v>19990710</v>
      </c>
      <c r="K1146" t="n">
        <v>19990710</v>
      </c>
      <c r="L1146" s="8">
        <f>HYPERLINK("https://test.ictv.global/id/TN19981215","TN19981215@TEST")</f>
        <v/>
      </c>
      <c r="M1146" s="8">
        <f>HYPERLINK("https://test.ictv.global/id/ICTV19790951","ICTV19790951@TEST")</f>
        <v/>
      </c>
      <c r="N1146" s="8">
        <f>HYPERLINK("https://ictv.global/id/TN19981215","TN19981215@prod")</f>
        <v/>
      </c>
      <c r="O1146" s="8">
        <f>HYPERLINK("https://ictv.global/id/ICTV19790951","ICTV19790951@prod")</f>
        <v/>
      </c>
    </row>
    <row r="1147">
      <c r="A1147" t="n">
        <v>17</v>
      </c>
      <c r="B1147" t="n">
        <v>19981217</v>
      </c>
      <c r="C1147" t="n">
        <v>19990710</v>
      </c>
      <c r="D1147" t="inlineStr">
        <is>
          <t>species</t>
        </is>
      </c>
      <c r="E1147" t="inlineStr">
        <is>
          <t>Vesicular exanthema of swine virus</t>
        </is>
      </c>
      <c r="F1147" t="inlineStr"/>
      <c r="G1147" t="inlineStr">
        <is>
          <t>Merged,</t>
        </is>
      </c>
      <c r="H1147" t="inlineStr">
        <is>
          <t>Vesicular exanthema of swine virus</t>
        </is>
      </c>
      <c r="I1147" t="inlineStr">
        <is>
          <t>species</t>
        </is>
      </c>
      <c r="J1147" t="n">
        <v>19990710</v>
      </c>
      <c r="K1147" t="n">
        <v>19990710</v>
      </c>
      <c r="L1147" s="8">
        <f>HYPERLINK("https://test.ictv.global/id/TN19981217","TN19981217@TEST")</f>
        <v/>
      </c>
      <c r="M1147" s="8">
        <f>HYPERLINK("https://test.ictv.global/id/ICTV19990710","ICTV19990710@TEST")</f>
        <v/>
      </c>
      <c r="N1147" s="8">
        <f>HYPERLINK("https://ictv.global/id/TN19981217","TN19981217@prod")</f>
        <v/>
      </c>
      <c r="O1147" s="8">
        <f>HYPERLINK("https://ictv.global/id/ICTV19990710","ICTV19990710@prod")</f>
        <v/>
      </c>
    </row>
    <row r="1148">
      <c r="A1148" t="n">
        <v>17</v>
      </c>
      <c r="B1148" t="n">
        <v>19981250</v>
      </c>
      <c r="C1148" t="n">
        <v>19790974</v>
      </c>
      <c r="D1148" t="inlineStr">
        <is>
          <t>species</t>
        </is>
      </c>
      <c r="E1148" t="inlineStr">
        <is>
          <t>Clover yellows virus</t>
        </is>
      </c>
      <c r="G1148" t="inlineStr">
        <is>
          <t>Abolished,</t>
        </is>
      </c>
      <c r="L1148" s="8">
        <f>HYPERLINK("https://test.ictv.global/id/TN19981250","TN19981250@TEST")</f>
        <v/>
      </c>
      <c r="M1148" s="8">
        <f>HYPERLINK("https://test.ictv.global/id/ICTV19790974","ICTV19790974@TEST")</f>
        <v/>
      </c>
      <c r="N1148" s="8">
        <f>HYPERLINK("https://ictv.global/id/TN19981250","TN19981250@prod")</f>
        <v/>
      </c>
      <c r="O1148" s="8">
        <f>HYPERLINK("https://ictv.global/id/ICTV19790974","ICTV19790974@prod")</f>
        <v/>
      </c>
    </row>
    <row r="1149">
      <c r="A1149" t="n">
        <v>17</v>
      </c>
      <c r="B1149" t="n">
        <v>19981312</v>
      </c>
      <c r="C1149" t="n">
        <v>19950886</v>
      </c>
      <c r="D1149" t="inlineStr">
        <is>
          <t>species</t>
        </is>
      </c>
      <c r="E1149" t="inlineStr">
        <is>
          <t>Absettarov virus</t>
        </is>
      </c>
      <c r="G1149" t="inlineStr">
        <is>
          <t>Abolished,</t>
        </is>
      </c>
      <c r="L1149" s="8">
        <f>HYPERLINK("https://test.ictv.global/id/TN19981312","TN19981312@TEST")</f>
        <v/>
      </c>
      <c r="M1149" s="8">
        <f>HYPERLINK("https://test.ictv.global/id/ICTV19950886","ICTV19950886@TEST")</f>
        <v/>
      </c>
      <c r="N1149" s="8">
        <f>HYPERLINK("https://ictv.global/id/TN19981312","TN19981312@prod")</f>
        <v/>
      </c>
      <c r="O1149" s="8">
        <f>HYPERLINK("https://ictv.global/id/ICTV19950886","ICTV19950886@prod")</f>
        <v/>
      </c>
    </row>
    <row r="1150">
      <c r="A1150" t="n">
        <v>17</v>
      </c>
      <c r="B1150" t="n">
        <v>19981313</v>
      </c>
      <c r="C1150" t="n">
        <v>19760585</v>
      </c>
      <c r="D1150" t="inlineStr">
        <is>
          <t>species</t>
        </is>
      </c>
      <c r="E1150" t="inlineStr">
        <is>
          <t>Alfuy virus</t>
        </is>
      </c>
      <c r="G1150" t="inlineStr">
        <is>
          <t>Merged,</t>
        </is>
      </c>
      <c r="H1150" t="inlineStr">
        <is>
          <t>Murray Valley encephalitis virus</t>
        </is>
      </c>
      <c r="I1150" t="inlineStr">
        <is>
          <t>species</t>
        </is>
      </c>
      <c r="J1150" t="n">
        <v>19990839</v>
      </c>
      <c r="K1150" t="n">
        <v>19990839</v>
      </c>
      <c r="L1150" s="8">
        <f>HYPERLINK("https://test.ictv.global/id/TN19981313","TN19981313@TEST")</f>
        <v/>
      </c>
      <c r="M1150" s="8">
        <f>HYPERLINK("https://test.ictv.global/id/ICTV19760585","ICTV19760585@TEST")</f>
        <v/>
      </c>
      <c r="N1150" s="8">
        <f>HYPERLINK("https://ictv.global/id/TN19981313","TN19981313@prod")</f>
        <v/>
      </c>
      <c r="O1150" s="8">
        <f>HYPERLINK("https://ictv.global/id/ICTV19760585","ICTV19760585@prod")</f>
        <v/>
      </c>
    </row>
    <row r="1151">
      <c r="A1151" t="n">
        <v>17</v>
      </c>
      <c r="B1151" t="n">
        <v>19981322</v>
      </c>
      <c r="C1151" t="n">
        <v>19710095</v>
      </c>
      <c r="D1151" t="inlineStr">
        <is>
          <t>species</t>
        </is>
      </c>
      <c r="E1151" t="inlineStr">
        <is>
          <t>Dengue type 1 virus</t>
        </is>
      </c>
      <c r="G1151" t="inlineStr">
        <is>
          <t>Merged,</t>
        </is>
      </c>
      <c r="H1151" t="inlineStr">
        <is>
          <t>Dengue virus</t>
        </is>
      </c>
      <c r="I1151" t="inlineStr">
        <is>
          <t>species</t>
        </is>
      </c>
      <c r="J1151" t="n">
        <v>19990820</v>
      </c>
      <c r="K1151" t="n">
        <v>19990820</v>
      </c>
      <c r="L1151" s="8">
        <f>HYPERLINK("https://test.ictv.global/id/TN19981322","TN19981322@TEST")</f>
        <v/>
      </c>
      <c r="M1151" s="8">
        <f>HYPERLINK("https://test.ictv.global/id/ICTV19710095","ICTV19710095@TEST")</f>
        <v/>
      </c>
      <c r="N1151" s="8">
        <f>HYPERLINK("https://ictv.global/id/TN19981322","TN19981322@prod")</f>
        <v/>
      </c>
      <c r="O1151" s="8">
        <f>HYPERLINK("https://ictv.global/id/ICTV19710095","ICTV19710095@prod")</f>
        <v/>
      </c>
    </row>
    <row r="1152">
      <c r="A1152" t="n">
        <v>17</v>
      </c>
      <c r="B1152" t="n">
        <v>19981323</v>
      </c>
      <c r="C1152" t="n">
        <v>19710096</v>
      </c>
      <c r="D1152" t="inlineStr">
        <is>
          <t>species</t>
        </is>
      </c>
      <c r="E1152" t="inlineStr">
        <is>
          <t>Dengue type 2 virus</t>
        </is>
      </c>
      <c r="G1152" t="inlineStr">
        <is>
          <t>Merged,</t>
        </is>
      </c>
      <c r="H1152" t="inlineStr">
        <is>
          <t>Dengue virus</t>
        </is>
      </c>
      <c r="I1152" t="inlineStr">
        <is>
          <t>species</t>
        </is>
      </c>
      <c r="J1152" t="n">
        <v>19990820</v>
      </c>
      <c r="K1152" t="n">
        <v>19990820</v>
      </c>
      <c r="L1152" s="8">
        <f>HYPERLINK("https://test.ictv.global/id/TN19981323","TN19981323@TEST")</f>
        <v/>
      </c>
      <c r="M1152" s="8">
        <f>HYPERLINK("https://test.ictv.global/id/ICTV19710096","ICTV19710096@TEST")</f>
        <v/>
      </c>
      <c r="N1152" s="8">
        <f>HYPERLINK("https://ictv.global/id/TN19981323","TN19981323@prod")</f>
        <v/>
      </c>
      <c r="O1152" s="8">
        <f>HYPERLINK("https://ictv.global/id/ICTV19710096","ICTV19710096@prod")</f>
        <v/>
      </c>
    </row>
    <row r="1153">
      <c r="A1153" t="n">
        <v>17</v>
      </c>
      <c r="B1153" t="n">
        <v>19981324</v>
      </c>
      <c r="C1153" t="n">
        <v>19710097</v>
      </c>
      <c r="D1153" t="inlineStr">
        <is>
          <t>species</t>
        </is>
      </c>
      <c r="E1153" t="inlineStr">
        <is>
          <t>Dengue type 3 virus</t>
        </is>
      </c>
      <c r="G1153" t="inlineStr">
        <is>
          <t>Merged,</t>
        </is>
      </c>
      <c r="H1153" t="inlineStr">
        <is>
          <t>Dengue virus</t>
        </is>
      </c>
      <c r="I1153" t="inlineStr">
        <is>
          <t>species</t>
        </is>
      </c>
      <c r="J1153" t="n">
        <v>19990820</v>
      </c>
      <c r="K1153" t="n">
        <v>19990820</v>
      </c>
      <c r="L1153" s="8">
        <f>HYPERLINK("https://test.ictv.global/id/TN19981324","TN19981324@TEST")</f>
        <v/>
      </c>
      <c r="M1153" s="8">
        <f>HYPERLINK("https://test.ictv.global/id/ICTV19710097","ICTV19710097@TEST")</f>
        <v/>
      </c>
      <c r="N1153" s="8">
        <f>HYPERLINK("https://ictv.global/id/TN19981324","TN19981324@prod")</f>
        <v/>
      </c>
      <c r="O1153" s="8">
        <f>HYPERLINK("https://ictv.global/id/ICTV19710097","ICTV19710097@prod")</f>
        <v/>
      </c>
    </row>
    <row r="1154">
      <c r="A1154" t="n">
        <v>17</v>
      </c>
      <c r="B1154" t="n">
        <v>19981325</v>
      </c>
      <c r="C1154" t="n">
        <v>19710098</v>
      </c>
      <c r="D1154" t="inlineStr">
        <is>
          <t>species</t>
        </is>
      </c>
      <c r="E1154" t="inlineStr">
        <is>
          <t>Dengue type 4 virus</t>
        </is>
      </c>
      <c r="G1154" t="inlineStr">
        <is>
          <t>Merged,</t>
        </is>
      </c>
      <c r="H1154" t="inlineStr">
        <is>
          <t>Dengue virus</t>
        </is>
      </c>
      <c r="I1154" t="inlineStr">
        <is>
          <t>species</t>
        </is>
      </c>
      <c r="J1154" t="n">
        <v>19990820</v>
      </c>
      <c r="K1154" t="n">
        <v>19990820</v>
      </c>
      <c r="L1154" s="8">
        <f>HYPERLINK("https://test.ictv.global/id/TN19981325","TN19981325@TEST")</f>
        <v/>
      </c>
      <c r="M1154" s="8">
        <f>HYPERLINK("https://test.ictv.global/id/ICTV19710098","ICTV19710098@TEST")</f>
        <v/>
      </c>
      <c r="N1154" s="8">
        <f>HYPERLINK("https://ictv.global/id/TN19981325","TN19981325@prod")</f>
        <v/>
      </c>
      <c r="O1154" s="8">
        <f>HYPERLINK("https://ictv.global/id/ICTV19710098","ICTV19710098@prod")</f>
        <v/>
      </c>
    </row>
    <row r="1155">
      <c r="A1155" t="n">
        <v>17</v>
      </c>
      <c r="B1155" t="n">
        <v>19981328</v>
      </c>
      <c r="C1155" t="n">
        <v>19950902</v>
      </c>
      <c r="D1155" t="inlineStr">
        <is>
          <t>species</t>
        </is>
      </c>
      <c r="E1155" t="inlineStr">
        <is>
          <t>Hanzalova virus</t>
        </is>
      </c>
      <c r="G1155" t="inlineStr">
        <is>
          <t>Abolished,</t>
        </is>
      </c>
      <c r="L1155" s="8">
        <f>HYPERLINK("https://test.ictv.global/id/TN19981328","TN19981328@TEST")</f>
        <v/>
      </c>
      <c r="M1155" s="8">
        <f>HYPERLINK("https://test.ictv.global/id/ICTV19950902","ICTV19950902@TEST")</f>
        <v/>
      </c>
      <c r="N1155" s="8">
        <f>HYPERLINK("https://ictv.global/id/TN19981328","TN19981328@prod")</f>
        <v/>
      </c>
      <c r="O1155" s="8">
        <f>HYPERLINK("https://ictv.global/id/ICTV19950902","ICTV19950902@prod")</f>
        <v/>
      </c>
    </row>
    <row r="1156">
      <c r="A1156" t="n">
        <v>17</v>
      </c>
      <c r="B1156" t="n">
        <v>19981329</v>
      </c>
      <c r="C1156" t="n">
        <v>19950903</v>
      </c>
      <c r="D1156" t="inlineStr">
        <is>
          <t>species</t>
        </is>
      </c>
      <c r="E1156" t="inlineStr">
        <is>
          <t>Hypr virus</t>
        </is>
      </c>
      <c r="G1156" t="inlineStr">
        <is>
          <t>Abolished,</t>
        </is>
      </c>
      <c r="L1156" s="8">
        <f>HYPERLINK("https://test.ictv.global/id/TN19981329","TN19981329@TEST")</f>
        <v/>
      </c>
      <c r="M1156" s="8">
        <f>HYPERLINK("https://test.ictv.global/id/ICTV19950903","ICTV19950903@TEST")</f>
        <v/>
      </c>
      <c r="N1156" s="8">
        <f>HYPERLINK("https://ictv.global/id/TN19981329","TN19981329@prod")</f>
        <v/>
      </c>
      <c r="O1156" s="8">
        <f>HYPERLINK("https://ictv.global/id/ICTV19950903","ICTV19950903@prod")</f>
        <v/>
      </c>
    </row>
    <row r="1157">
      <c r="A1157" t="n">
        <v>17</v>
      </c>
      <c r="B1157" t="n">
        <v>19981333</v>
      </c>
      <c r="C1157" t="n">
        <v>19760609</v>
      </c>
      <c r="D1157" t="inlineStr">
        <is>
          <t>species</t>
        </is>
      </c>
      <c r="E1157" t="inlineStr">
        <is>
          <t>Karshi virus</t>
        </is>
      </c>
      <c r="G1157" t="inlineStr">
        <is>
          <t>Merged,</t>
        </is>
      </c>
      <c r="H1157" t="inlineStr">
        <is>
          <t>Royal Farm virus</t>
        </is>
      </c>
      <c r="I1157" t="inlineStr">
        <is>
          <t>species</t>
        </is>
      </c>
      <c r="J1157" t="n">
        <v>19990845</v>
      </c>
      <c r="K1157" t="n">
        <v>19990845</v>
      </c>
      <c r="L1157" s="8">
        <f>HYPERLINK("https://test.ictv.global/id/TN19981333","TN19981333@TEST")</f>
        <v/>
      </c>
      <c r="M1157" s="8">
        <f>HYPERLINK("https://test.ictv.global/id/ICTV19760609","ICTV19760609@TEST")</f>
        <v/>
      </c>
      <c r="N1157" s="8">
        <f>HYPERLINK("https://ictv.global/id/TN19981333","TN19981333@prod")</f>
        <v/>
      </c>
      <c r="O1157" s="8">
        <f>HYPERLINK("https://ictv.global/id/ICTV19760609","ICTV19760609@prod")</f>
        <v/>
      </c>
    </row>
    <row r="1158">
      <c r="A1158" t="n">
        <v>17</v>
      </c>
      <c r="B1158" t="n">
        <v>19981334</v>
      </c>
      <c r="C1158" t="n">
        <v>19990831</v>
      </c>
      <c r="D1158" t="inlineStr">
        <is>
          <t>species</t>
        </is>
      </c>
      <c r="E1158" t="inlineStr">
        <is>
          <t>Kokobera virus</t>
        </is>
      </c>
      <c r="F1158" t="inlineStr"/>
      <c r="G1158" t="inlineStr">
        <is>
          <t>Merged,</t>
        </is>
      </c>
      <c r="H1158" t="inlineStr">
        <is>
          <t>Kokobera virus</t>
        </is>
      </c>
      <c r="I1158" t="inlineStr">
        <is>
          <t>species</t>
        </is>
      </c>
      <c r="J1158" t="n">
        <v>19990831</v>
      </c>
      <c r="K1158" t="n">
        <v>19990831</v>
      </c>
      <c r="L1158" s="8">
        <f>HYPERLINK("https://test.ictv.global/id/TN19981334","TN19981334@TEST")</f>
        <v/>
      </c>
      <c r="M1158" s="8">
        <f>HYPERLINK("https://test.ictv.global/id/ICTV19990831","ICTV19990831@TEST")</f>
        <v/>
      </c>
      <c r="N1158" s="8">
        <f>HYPERLINK("https://ictv.global/id/TN19981334","TN19981334@prod")</f>
        <v/>
      </c>
      <c r="O1158" s="8">
        <f>HYPERLINK("https://ictv.global/id/ICTV19990831","ICTV19990831@prod")</f>
        <v/>
      </c>
    </row>
    <row r="1159">
      <c r="A1159" t="n">
        <v>17</v>
      </c>
      <c r="B1159" t="n">
        <v>19981336</v>
      </c>
      <c r="C1159" t="n">
        <v>19950910</v>
      </c>
      <c r="D1159" t="inlineStr">
        <is>
          <t>species</t>
        </is>
      </c>
      <c r="E1159" t="inlineStr">
        <is>
          <t>Kumlinge virus</t>
        </is>
      </c>
      <c r="G1159" t="inlineStr">
        <is>
          <t>Abolished,</t>
        </is>
      </c>
      <c r="L1159" s="8">
        <f>HYPERLINK("https://test.ictv.global/id/TN19981336","TN19981336@TEST")</f>
        <v/>
      </c>
      <c r="M1159" s="8">
        <f>HYPERLINK("https://test.ictv.global/id/ICTV19950910","ICTV19950910@TEST")</f>
        <v/>
      </c>
      <c r="N1159" s="8">
        <f>HYPERLINK("https://ictv.global/id/TN19981336","TN19981336@prod")</f>
        <v/>
      </c>
      <c r="O1159" s="8">
        <f>HYPERLINK("https://ictv.global/id/ICTV19950910","ICTV19950910@prod")</f>
        <v/>
      </c>
    </row>
    <row r="1160">
      <c r="A1160" t="n">
        <v>17</v>
      </c>
      <c r="B1160" t="n">
        <v>19981337</v>
      </c>
      <c r="C1160" t="n">
        <v>19710105</v>
      </c>
      <c r="D1160" t="inlineStr">
        <is>
          <t>species</t>
        </is>
      </c>
      <c r="E1160" t="inlineStr">
        <is>
          <t>Kunjin virus</t>
        </is>
      </c>
      <c r="G1160" t="inlineStr">
        <is>
          <t>Merged,</t>
        </is>
      </c>
      <c r="H1160" t="inlineStr">
        <is>
          <t>West Nile virus</t>
        </is>
      </c>
      <c r="I1160" t="inlineStr">
        <is>
          <t>species</t>
        </is>
      </c>
      <c r="J1160" t="n">
        <v>19990858</v>
      </c>
      <c r="K1160" t="n">
        <v>19990858</v>
      </c>
      <c r="L1160" s="8">
        <f>HYPERLINK("https://test.ictv.global/id/TN19981337","TN19981337@TEST")</f>
        <v/>
      </c>
      <c r="M1160" s="8">
        <f>HYPERLINK("https://test.ictv.global/id/ICTV19710105","ICTV19710105@TEST")</f>
        <v/>
      </c>
      <c r="N1160" s="8">
        <f>HYPERLINK("https://ictv.global/id/TN19981337","TN19981337@prod")</f>
        <v/>
      </c>
      <c r="O1160" s="8">
        <f>HYPERLINK("https://ictv.global/id/ICTV19710105","ICTV19710105@prod")</f>
        <v/>
      </c>
    </row>
    <row r="1161">
      <c r="A1161" t="n">
        <v>17</v>
      </c>
      <c r="B1161" t="n">
        <v>19981343</v>
      </c>
      <c r="C1161" t="n">
        <v>19990839</v>
      </c>
      <c r="D1161" t="inlineStr">
        <is>
          <t>species</t>
        </is>
      </c>
      <c r="E1161" t="inlineStr">
        <is>
          <t>Murray Valley encephalitis virus</t>
        </is>
      </c>
      <c r="F1161" t="inlineStr"/>
      <c r="G1161" t="inlineStr">
        <is>
          <t>Merged,</t>
        </is>
      </c>
      <c r="H1161" t="inlineStr">
        <is>
          <t>Murray Valley encephalitis virus</t>
        </is>
      </c>
      <c r="I1161" t="inlineStr">
        <is>
          <t>species</t>
        </is>
      </c>
      <c r="J1161" t="n">
        <v>19990839</v>
      </c>
      <c r="K1161" t="n">
        <v>19990839</v>
      </c>
      <c r="L1161" s="8">
        <f>HYPERLINK("https://test.ictv.global/id/TN19981343","TN19981343@TEST")</f>
        <v/>
      </c>
      <c r="M1161" s="8">
        <f>HYPERLINK("https://test.ictv.global/id/ICTV19990839","ICTV19990839@TEST")</f>
        <v/>
      </c>
      <c r="N1161" s="8">
        <f>HYPERLINK("https://ictv.global/id/TN19981343","TN19981343@prod")</f>
        <v/>
      </c>
      <c r="O1161" s="8">
        <f>HYPERLINK("https://ictv.global/id/ICTV19990839","ICTV19990839@prod")</f>
        <v/>
      </c>
    </row>
    <row r="1162">
      <c r="A1162" t="n">
        <v>17</v>
      </c>
      <c r="B1162" t="n">
        <v>19981344</v>
      </c>
      <c r="C1162" t="n">
        <v>19710112</v>
      </c>
      <c r="D1162" t="inlineStr">
        <is>
          <t>species</t>
        </is>
      </c>
      <c r="E1162" t="inlineStr">
        <is>
          <t>Negishi virus</t>
        </is>
      </c>
      <c r="G1162" t="inlineStr">
        <is>
          <t>Abolished,</t>
        </is>
      </c>
      <c r="L1162" s="8">
        <f>HYPERLINK("https://test.ictv.global/id/TN19981344","TN19981344@TEST")</f>
        <v/>
      </c>
      <c r="M1162" s="8">
        <f>HYPERLINK("https://test.ictv.global/id/ICTV19710112","ICTV19710112@TEST")</f>
        <v/>
      </c>
      <c r="N1162" s="8">
        <f>HYPERLINK("https://ictv.global/id/TN19981344","TN19981344@prod")</f>
        <v/>
      </c>
      <c r="O1162" s="8">
        <f>HYPERLINK("https://ictv.global/id/ICTV19710112","ICTV19710112@prod")</f>
        <v/>
      </c>
    </row>
    <row r="1163">
      <c r="A1163" t="n">
        <v>17</v>
      </c>
      <c r="B1163" t="n">
        <v>19981345</v>
      </c>
      <c r="C1163" t="n">
        <v>19950919</v>
      </c>
      <c r="D1163" t="inlineStr">
        <is>
          <t>species</t>
        </is>
      </c>
      <c r="E1163" t="inlineStr">
        <is>
          <t>Neudoerfl virus</t>
        </is>
      </c>
      <c r="G1163" t="inlineStr">
        <is>
          <t>Abolished,</t>
        </is>
      </c>
      <c r="L1163" s="8">
        <f>HYPERLINK("https://test.ictv.global/id/TN19981345","TN19981345@TEST")</f>
        <v/>
      </c>
      <c r="M1163" s="8">
        <f>HYPERLINK("https://test.ictv.global/id/ICTV19950919","ICTV19950919@TEST")</f>
        <v/>
      </c>
      <c r="N1163" s="8">
        <f>HYPERLINK("https://ictv.global/id/TN19981345","TN19981345@prod")</f>
        <v/>
      </c>
      <c r="O1163" s="8">
        <f>HYPERLINK("https://ictv.global/id/ICTV19950919","ICTV19950919@prod")</f>
        <v/>
      </c>
    </row>
    <row r="1164">
      <c r="A1164" t="n">
        <v>17</v>
      </c>
      <c r="B1164" t="n">
        <v>19981351</v>
      </c>
      <c r="C1164" t="n">
        <v>19990845</v>
      </c>
      <c r="D1164" t="inlineStr">
        <is>
          <t>species</t>
        </is>
      </c>
      <c r="E1164" t="inlineStr">
        <is>
          <t>Royal Farm virus</t>
        </is>
      </c>
      <c r="F1164" t="inlineStr"/>
      <c r="G1164" t="inlineStr">
        <is>
          <t>Merged,</t>
        </is>
      </c>
      <c r="H1164" t="inlineStr">
        <is>
          <t>Royal Farm virus</t>
        </is>
      </c>
      <c r="I1164" t="inlineStr">
        <is>
          <t>species</t>
        </is>
      </c>
      <c r="J1164" t="n">
        <v>19990845</v>
      </c>
      <c r="K1164" t="n">
        <v>19990845</v>
      </c>
      <c r="L1164" s="8">
        <f>HYPERLINK("https://test.ictv.global/id/TN19981351","TN19981351@TEST")</f>
        <v/>
      </c>
      <c r="M1164" s="8">
        <f>HYPERLINK("https://test.ictv.global/id/ICTV19990845","ICTV19990845@TEST")</f>
        <v/>
      </c>
      <c r="N1164" s="8">
        <f>HYPERLINK("https://ictv.global/id/TN19981351","TN19981351@prod")</f>
        <v/>
      </c>
      <c r="O1164" s="8">
        <f>HYPERLINK("https://ictv.global/id/ICTV19990845","ICTV19990845@prod")</f>
        <v/>
      </c>
    </row>
    <row r="1165">
      <c r="A1165" t="n">
        <v>17</v>
      </c>
      <c r="B1165" t="n">
        <v>19981356</v>
      </c>
      <c r="C1165" t="n">
        <v>19950930</v>
      </c>
      <c r="D1165" t="inlineStr">
        <is>
          <t>species</t>
        </is>
      </c>
      <c r="E1165" t="inlineStr">
        <is>
          <t>Sofyn virus</t>
        </is>
      </c>
      <c r="G1165" t="inlineStr">
        <is>
          <t>Abolished,</t>
        </is>
      </c>
      <c r="L1165" s="8">
        <f>HYPERLINK("https://test.ictv.global/id/TN19981356","TN19981356@TEST")</f>
        <v/>
      </c>
      <c r="M1165" s="8">
        <f>HYPERLINK("https://test.ictv.global/id/ICTV19950930","ICTV19950930@TEST")</f>
        <v/>
      </c>
      <c r="N1165" s="8">
        <f>HYPERLINK("https://ictv.global/id/TN19981356","TN19981356@prod")</f>
        <v/>
      </c>
      <c r="O1165" s="8">
        <f>HYPERLINK("https://ictv.global/id/ICTV19950930","ICTV19950930@prod")</f>
        <v/>
      </c>
    </row>
    <row r="1166">
      <c r="A1166" t="n">
        <v>17</v>
      </c>
      <c r="B1166" t="n">
        <v>19981358</v>
      </c>
      <c r="C1166" t="n">
        <v>19710118</v>
      </c>
      <c r="D1166" t="inlineStr">
        <is>
          <t>species</t>
        </is>
      </c>
      <c r="E1166" t="inlineStr">
        <is>
          <t>Stratford virus</t>
        </is>
      </c>
      <c r="G1166" t="inlineStr">
        <is>
          <t>Merged,</t>
        </is>
      </c>
      <c r="H1166" t="inlineStr">
        <is>
          <t>Kokobera virus</t>
        </is>
      </c>
      <c r="I1166" t="inlineStr">
        <is>
          <t>species</t>
        </is>
      </c>
      <c r="J1166" t="n">
        <v>19990831</v>
      </c>
      <c r="K1166" t="n">
        <v>19990831</v>
      </c>
      <c r="L1166" s="8">
        <f>HYPERLINK("https://test.ictv.global/id/TN19981358","TN19981358@TEST")</f>
        <v/>
      </c>
      <c r="M1166" s="8">
        <f>HYPERLINK("https://test.ictv.global/id/ICTV19710118","ICTV19710118@TEST")</f>
        <v/>
      </c>
      <c r="N1166" s="8">
        <f>HYPERLINK("https://ictv.global/id/TN19981358","TN19981358@prod")</f>
        <v/>
      </c>
      <c r="O1166" s="8">
        <f>HYPERLINK("https://ictv.global/id/ICTV19710118","ICTV19710118@prod")</f>
        <v/>
      </c>
    </row>
    <row r="1167">
      <c r="A1167" t="n">
        <v>17</v>
      </c>
      <c r="B1167" t="n">
        <v>19981364</v>
      </c>
      <c r="C1167" t="n">
        <v>19990858</v>
      </c>
      <c r="D1167" t="inlineStr">
        <is>
          <t>species</t>
        </is>
      </c>
      <c r="E1167" t="inlineStr">
        <is>
          <t>West Nile virus</t>
        </is>
      </c>
      <c r="F1167" t="inlineStr"/>
      <c r="G1167" t="inlineStr">
        <is>
          <t>Merged,</t>
        </is>
      </c>
      <c r="H1167" t="inlineStr">
        <is>
          <t>West Nile virus</t>
        </is>
      </c>
      <c r="I1167" t="inlineStr">
        <is>
          <t>species</t>
        </is>
      </c>
      <c r="J1167" t="n">
        <v>19990858</v>
      </c>
      <c r="K1167" t="n">
        <v>19990858</v>
      </c>
      <c r="L1167" s="8">
        <f>HYPERLINK("https://test.ictv.global/id/TN19981364","TN19981364@TEST")</f>
        <v/>
      </c>
      <c r="M1167" s="8">
        <f>HYPERLINK("https://test.ictv.global/id/ICTV19990858","ICTV19990858@TEST")</f>
        <v/>
      </c>
      <c r="N1167" s="8">
        <f>HYPERLINK("https://ictv.global/id/TN19981364","TN19981364@prod")</f>
        <v/>
      </c>
      <c r="O1167" s="8">
        <f>HYPERLINK("https://ictv.global/id/ICTV19990858","ICTV19990858@prod")</f>
        <v/>
      </c>
    </row>
    <row r="1168">
      <c r="A1168" t="n">
        <v>17</v>
      </c>
      <c r="B1168" t="n">
        <v>19981369</v>
      </c>
      <c r="C1168" t="n">
        <v>19750325</v>
      </c>
      <c r="D1168" t="inlineStr">
        <is>
          <t>species</t>
        </is>
      </c>
      <c r="E1168" t="inlineStr">
        <is>
          <t>Bovine diarrhea virus</t>
        </is>
      </c>
      <c r="G1168" t="inlineStr">
        <is>
          <t>Split,</t>
        </is>
      </c>
      <c r="H1168" t="inlineStr">
        <is>
          <t>Bovine viral diarrhea virus 1</t>
        </is>
      </c>
      <c r="I1168" t="inlineStr">
        <is>
          <t>species</t>
        </is>
      </c>
      <c r="J1168" t="n">
        <v>19990865</v>
      </c>
      <c r="K1168" t="n">
        <v>19990865</v>
      </c>
      <c r="L1168" s="8">
        <f>HYPERLINK("https://test.ictv.global/id/TN19981369","TN19981369@TEST")</f>
        <v/>
      </c>
      <c r="M1168" s="8">
        <f>HYPERLINK("https://test.ictv.global/id/ICTV19750325","ICTV19750325@TEST")</f>
        <v/>
      </c>
      <c r="N1168" s="8">
        <f>HYPERLINK("https://ictv.global/id/TN19981369","TN19981369@prod")</f>
        <v/>
      </c>
      <c r="O1168" s="8">
        <f>HYPERLINK("https://ictv.global/id/ICTV19750325","ICTV19750325@prod")</f>
        <v/>
      </c>
    </row>
    <row r="1169">
      <c r="A1169" t="n">
        <v>17</v>
      </c>
      <c r="B1169" t="n">
        <v>19981369</v>
      </c>
      <c r="C1169" t="n">
        <v>19750325</v>
      </c>
      <c r="D1169" t="inlineStr">
        <is>
          <t>species</t>
        </is>
      </c>
      <c r="E1169" t="inlineStr">
        <is>
          <t>Bovine diarrhea virus</t>
        </is>
      </c>
      <c r="G1169" t="inlineStr">
        <is>
          <t>Split,Removed as Type Species,</t>
        </is>
      </c>
      <c r="H1169" t="inlineStr">
        <is>
          <t>Bovine viral diarrhea virus 2</t>
        </is>
      </c>
      <c r="I1169" t="inlineStr">
        <is>
          <t>species</t>
        </is>
      </c>
      <c r="J1169" t="n">
        <v>19990866</v>
      </c>
      <c r="K1169" t="n">
        <v>19990866</v>
      </c>
      <c r="L1169" s="8">
        <f>HYPERLINK("https://test.ictv.global/id/TN19981369","TN19981369@TEST")</f>
        <v/>
      </c>
      <c r="M1169" s="8">
        <f>HYPERLINK("https://test.ictv.global/id/ICTV19750325","ICTV19750325@TEST")</f>
        <v/>
      </c>
      <c r="N1169" s="8">
        <f>HYPERLINK("https://ictv.global/id/TN19981369","TN19981369@prod")</f>
        <v/>
      </c>
      <c r="O1169" s="8">
        <f>HYPERLINK("https://ictv.global/id/ICTV19750325","ICTV19750325@prod")</f>
        <v/>
      </c>
    </row>
    <row r="1170">
      <c r="A1170" t="n">
        <v>17</v>
      </c>
      <c r="B1170" t="n">
        <v>19981385</v>
      </c>
      <c r="C1170" t="n">
        <v>19981385</v>
      </c>
      <c r="D1170" t="inlineStr">
        <is>
          <t>species</t>
        </is>
      </c>
      <c r="E1170" t="inlineStr">
        <is>
          <t>Cotton leaf curl virus-Pakistan 1</t>
        </is>
      </c>
      <c r="G1170" t="inlineStr">
        <is>
          <t>Abolished,</t>
        </is>
      </c>
      <c r="L1170" s="8">
        <f>HYPERLINK("https://test.ictv.global/id/TN19981385","TN19981385@TEST")</f>
        <v/>
      </c>
      <c r="M1170" s="8">
        <f>HYPERLINK("https://test.ictv.global/id/ICTV19981385","ICTV19981385@TEST")</f>
        <v/>
      </c>
      <c r="N1170" s="8">
        <f>HYPERLINK("https://ictv.global/id/TN19981385","TN19981385@prod")</f>
        <v/>
      </c>
      <c r="O1170" s="8">
        <f>HYPERLINK("https://ictv.global/id/ICTV19981385","ICTV19981385@prod")</f>
        <v/>
      </c>
    </row>
    <row r="1171">
      <c r="A1171" t="n">
        <v>17</v>
      </c>
      <c r="B1171" t="n">
        <v>19981386</v>
      </c>
      <c r="C1171" t="n">
        <v>19981386</v>
      </c>
      <c r="D1171" t="inlineStr">
        <is>
          <t>species</t>
        </is>
      </c>
      <c r="E1171" t="inlineStr">
        <is>
          <t>Cotton leaf curl virus-Pakistan 2</t>
        </is>
      </c>
      <c r="G1171" t="inlineStr">
        <is>
          <t>Abolished,</t>
        </is>
      </c>
      <c r="L1171" s="8">
        <f>HYPERLINK("https://test.ictv.global/id/TN19981386","TN19981386@TEST")</f>
        <v/>
      </c>
      <c r="M1171" s="8">
        <f>HYPERLINK("https://test.ictv.global/id/ICTV19981386","ICTV19981386@TEST")</f>
        <v/>
      </c>
      <c r="N1171" s="8">
        <f>HYPERLINK("https://ictv.global/id/TN19981386","TN19981386@prod")</f>
        <v/>
      </c>
      <c r="O1171" s="8">
        <f>HYPERLINK("https://ictv.global/id/ICTV19981386","ICTV19981386@prod")</f>
        <v/>
      </c>
    </row>
    <row r="1172">
      <c r="A1172" t="n">
        <v>17</v>
      </c>
      <c r="B1172" t="n">
        <v>19981449</v>
      </c>
      <c r="C1172" t="n">
        <v>19990948</v>
      </c>
      <c r="D1172" t="inlineStr">
        <is>
          <t>species</t>
        </is>
      </c>
      <c r="E1172" t="inlineStr">
        <is>
          <t>Beet curly top virus</t>
        </is>
      </c>
      <c r="F1172" t="inlineStr"/>
      <c r="G1172" t="inlineStr">
        <is>
          <t>Merged,</t>
        </is>
      </c>
      <c r="H1172" t="inlineStr">
        <is>
          <t>Beet curly top virus</t>
        </is>
      </c>
      <c r="I1172" t="inlineStr">
        <is>
          <t>species</t>
        </is>
      </c>
      <c r="J1172" t="n">
        <v>19990948</v>
      </c>
      <c r="K1172" t="n">
        <v>19990948</v>
      </c>
      <c r="L1172" s="8">
        <f>HYPERLINK("https://test.ictv.global/id/TN19981449","TN19981449@TEST")</f>
        <v/>
      </c>
      <c r="M1172" s="8">
        <f>HYPERLINK("https://test.ictv.global/id/ICTV19990948","ICTV19990948@TEST")</f>
        <v/>
      </c>
      <c r="N1172" s="8">
        <f>HYPERLINK("https://ictv.global/id/TN19981449","TN19981449@prod")</f>
        <v/>
      </c>
      <c r="O1172" s="8">
        <f>HYPERLINK("https://ictv.global/id/ICTV19990948","ICTV19990948@prod")</f>
        <v/>
      </c>
    </row>
    <row r="1173">
      <c r="A1173" t="n">
        <v>17</v>
      </c>
      <c r="B1173" t="n">
        <v>19981450</v>
      </c>
      <c r="C1173" t="n">
        <v>19981450</v>
      </c>
      <c r="D1173" t="inlineStr">
        <is>
          <t>species</t>
        </is>
      </c>
      <c r="E1173" t="inlineStr">
        <is>
          <t>Beet curly top virus-Iran</t>
        </is>
      </c>
      <c r="G1173" t="inlineStr">
        <is>
          <t>Merged,Assigned as Type Species,</t>
        </is>
      </c>
      <c r="H1173" t="inlineStr">
        <is>
          <t>Beet curly top virus</t>
        </is>
      </c>
      <c r="I1173" t="inlineStr">
        <is>
          <t>species</t>
        </is>
      </c>
      <c r="J1173" t="n">
        <v>19990948</v>
      </c>
      <c r="K1173" t="n">
        <v>19990948</v>
      </c>
      <c r="L1173" s="8">
        <f>HYPERLINK("https://test.ictv.global/id/TN19981450","TN19981450@TEST")</f>
        <v/>
      </c>
      <c r="M1173" s="8">
        <f>HYPERLINK("https://test.ictv.global/id/ICTV19981450","ICTV19981450@TEST")</f>
        <v/>
      </c>
      <c r="N1173" s="8">
        <f>HYPERLINK("https://ictv.global/id/TN19981450","TN19981450@prod")</f>
        <v/>
      </c>
      <c r="O1173" s="8">
        <f>HYPERLINK("https://ictv.global/id/ICTV19981450","ICTV19981450@prod")</f>
        <v/>
      </c>
    </row>
    <row r="1174">
      <c r="A1174" t="n">
        <v>17</v>
      </c>
      <c r="B1174" t="n">
        <v>19981451</v>
      </c>
      <c r="C1174" t="n">
        <v>19981451</v>
      </c>
      <c r="D1174" t="inlineStr">
        <is>
          <t>species</t>
        </is>
      </c>
      <c r="E1174" t="inlineStr">
        <is>
          <t>Ipomoea yellow vein virus</t>
        </is>
      </c>
      <c r="G1174" t="inlineStr">
        <is>
          <t>Abolished,</t>
        </is>
      </c>
      <c r="L1174" s="8">
        <f>HYPERLINK("https://test.ictv.global/id/TN19981451","TN19981451@TEST")</f>
        <v/>
      </c>
      <c r="M1174" s="8">
        <f>HYPERLINK("https://test.ictv.global/id/ICTV19981451","ICTV19981451@TEST")</f>
        <v/>
      </c>
      <c r="N1174" s="8">
        <f>HYPERLINK("https://ictv.global/id/TN19981451","TN19981451@prod")</f>
        <v/>
      </c>
      <c r="O1174" s="8">
        <f>HYPERLINK("https://ictv.global/id/ICTV19981451","ICTV19981451@prod")</f>
        <v/>
      </c>
    </row>
    <row r="1175">
      <c r="A1175" t="n">
        <v>17</v>
      </c>
      <c r="B1175" t="n">
        <v>19981452</v>
      </c>
      <c r="C1175" t="n">
        <v>19911637</v>
      </c>
      <c r="D1175" t="inlineStr">
        <is>
          <t>species</t>
        </is>
      </c>
      <c r="E1175" t="inlineStr">
        <is>
          <t>Tomato leafroll virus</t>
        </is>
      </c>
      <c r="G1175" t="inlineStr">
        <is>
          <t>Abolished,</t>
        </is>
      </c>
      <c r="L1175" s="8">
        <f>HYPERLINK("https://test.ictv.global/id/TN19981452","TN19981452@TEST")</f>
        <v/>
      </c>
      <c r="M1175" s="8">
        <f>HYPERLINK("https://test.ictv.global/id/ICTV19911637","ICTV19911637@TEST")</f>
        <v/>
      </c>
      <c r="N1175" s="8">
        <f>HYPERLINK("https://ictv.global/id/TN19981452","TN19981452@prod")</f>
        <v/>
      </c>
      <c r="O1175" s="8">
        <f>HYPERLINK("https://ictv.global/id/ICTV19911637","ICTV19911637@prod")</f>
        <v/>
      </c>
    </row>
    <row r="1176">
      <c r="A1176" t="n">
        <v>17</v>
      </c>
      <c r="B1176" t="n">
        <v>19981479</v>
      </c>
      <c r="C1176" t="n">
        <v>19951018</v>
      </c>
      <c r="D1176" t="inlineStr">
        <is>
          <t>species</t>
        </is>
      </c>
      <c r="E1176" t="inlineStr">
        <is>
          <t>Anatid herpesvirus 1</t>
        </is>
      </c>
      <c r="F1176" t="inlineStr"/>
      <c r="G1176" t="inlineStr">
        <is>
          <t>Abolished,</t>
        </is>
      </c>
      <c r="L1176" s="8">
        <f>HYPERLINK("https://test.ictv.global/id/TN19981479","TN19981479@TEST")</f>
        <v/>
      </c>
      <c r="M1176" s="8">
        <f>HYPERLINK("https://test.ictv.global/id/ICTV19951018","ICTV19951018@TEST")</f>
        <v/>
      </c>
      <c r="N1176" s="8">
        <f>HYPERLINK("https://ictv.global/id/TN19981479","TN19981479@prod")</f>
        <v/>
      </c>
      <c r="O1176" s="8">
        <f>HYPERLINK("https://ictv.global/id/ICTV19951018","ICTV19951018@prod")</f>
        <v/>
      </c>
    </row>
    <row r="1177">
      <c r="A1177" t="n">
        <v>17</v>
      </c>
      <c r="B1177" t="n">
        <v>19981485</v>
      </c>
      <c r="C1177" t="n">
        <v>19951024</v>
      </c>
      <c r="D1177" t="inlineStr">
        <is>
          <t>species</t>
        </is>
      </c>
      <c r="E1177" t="inlineStr">
        <is>
          <t>Cercopithecine herpesvirus 6</t>
        </is>
      </c>
      <c r="G1177" t="inlineStr">
        <is>
          <t>Abolished,</t>
        </is>
      </c>
      <c r="L1177" s="8">
        <f>HYPERLINK("https://test.ictv.global/id/TN19981485","TN19981485@TEST")</f>
        <v/>
      </c>
      <c r="M1177" s="8">
        <f>HYPERLINK("https://test.ictv.global/id/ICTV19951024","ICTV19951024@TEST")</f>
        <v/>
      </c>
      <c r="N1177" s="8">
        <f>HYPERLINK("https://ictv.global/id/TN19981485","TN19981485@prod")</f>
        <v/>
      </c>
      <c r="O1177" s="8">
        <f>HYPERLINK("https://ictv.global/id/ICTV19951024","ICTV19951024@prod")</f>
        <v/>
      </c>
    </row>
    <row r="1178">
      <c r="A1178" t="n">
        <v>17</v>
      </c>
      <c r="B1178" t="n">
        <v>19981486</v>
      </c>
      <c r="C1178" t="n">
        <v>19951025</v>
      </c>
      <c r="D1178" t="inlineStr">
        <is>
          <t>species</t>
        </is>
      </c>
      <c r="E1178" t="inlineStr">
        <is>
          <t>Cercopithecine herpesvirus 7</t>
        </is>
      </c>
      <c r="G1178" t="inlineStr">
        <is>
          <t>Abolished,</t>
        </is>
      </c>
      <c r="L1178" s="8">
        <f>HYPERLINK("https://test.ictv.global/id/TN19981486","TN19981486@TEST")</f>
        <v/>
      </c>
      <c r="M1178" s="8">
        <f>HYPERLINK("https://test.ictv.global/id/ICTV19951025","ICTV19951025@TEST")</f>
        <v/>
      </c>
      <c r="N1178" s="8">
        <f>HYPERLINK("https://ictv.global/id/TN19981486","TN19981486@prod")</f>
        <v/>
      </c>
      <c r="O1178" s="8">
        <f>HYPERLINK("https://ictv.global/id/ICTV19951025","ICTV19951025@prod")</f>
        <v/>
      </c>
    </row>
    <row r="1179">
      <c r="A1179" t="n">
        <v>17</v>
      </c>
      <c r="B1179" t="n">
        <v>19981490</v>
      </c>
      <c r="C1179" t="n">
        <v>19951029</v>
      </c>
      <c r="D1179" t="inlineStr">
        <is>
          <t>species</t>
        </is>
      </c>
      <c r="E1179" t="inlineStr">
        <is>
          <t>Equid herpesvirus 3</t>
        </is>
      </c>
      <c r="F1179" t="inlineStr"/>
      <c r="G1179" t="inlineStr">
        <is>
          <t>Abolished,</t>
        </is>
      </c>
      <c r="L1179" s="8">
        <f>HYPERLINK("https://test.ictv.global/id/TN19981490","TN19981490@TEST")</f>
        <v/>
      </c>
      <c r="M1179" s="8">
        <f>HYPERLINK("https://test.ictv.global/id/ICTV19951029","ICTV19951029@TEST")</f>
        <v/>
      </c>
      <c r="N1179" s="8">
        <f>HYPERLINK("https://ictv.global/id/TN19981490","TN19981490@prod")</f>
        <v/>
      </c>
      <c r="O1179" s="8">
        <f>HYPERLINK("https://ictv.global/id/ICTV19951029","ICTV19951029@prod")</f>
        <v/>
      </c>
    </row>
    <row r="1180">
      <c r="A1180" t="n">
        <v>17</v>
      </c>
      <c r="B1180" t="n">
        <v>19981491</v>
      </c>
      <c r="C1180" t="n">
        <v>19951030</v>
      </c>
      <c r="D1180" t="inlineStr">
        <is>
          <t>species</t>
        </is>
      </c>
      <c r="E1180" t="inlineStr">
        <is>
          <t>Equid herpesvirus 6</t>
        </is>
      </c>
      <c r="G1180" t="inlineStr">
        <is>
          <t>Abolished,</t>
        </is>
      </c>
      <c r="L1180" s="8">
        <f>HYPERLINK("https://test.ictv.global/id/TN19981491","TN19981491@TEST")</f>
        <v/>
      </c>
      <c r="M1180" s="8">
        <f>HYPERLINK("https://test.ictv.global/id/ICTV19951030","ICTV19951030@TEST")</f>
        <v/>
      </c>
      <c r="N1180" s="8">
        <f>HYPERLINK("https://ictv.global/id/TN19981491","TN19981491@prod")</f>
        <v/>
      </c>
      <c r="O1180" s="8">
        <f>HYPERLINK("https://ictv.global/id/ICTV19951030","ICTV19951030@prod")</f>
        <v/>
      </c>
    </row>
    <row r="1181">
      <c r="A1181" t="n">
        <v>17</v>
      </c>
      <c r="B1181" t="n">
        <v>19981494</v>
      </c>
      <c r="C1181" t="n">
        <v>19951034</v>
      </c>
      <c r="D1181" t="inlineStr">
        <is>
          <t>species</t>
        </is>
      </c>
      <c r="E1181" t="inlineStr">
        <is>
          <t>Macropodid herpesvirus 1</t>
        </is>
      </c>
      <c r="F1181" t="inlineStr"/>
      <c r="G1181" t="inlineStr">
        <is>
          <t>Abolished,</t>
        </is>
      </c>
      <c r="L1181" s="8">
        <f>HYPERLINK("https://test.ictv.global/id/TN19981494","TN19981494@TEST")</f>
        <v/>
      </c>
      <c r="M1181" s="8">
        <f>HYPERLINK("https://test.ictv.global/id/ICTV19951034","ICTV19951034@TEST")</f>
        <v/>
      </c>
      <c r="N1181" s="8">
        <f>HYPERLINK("https://ictv.global/id/TN19981494","TN19981494@prod")</f>
        <v/>
      </c>
      <c r="O1181" s="8">
        <f>HYPERLINK("https://ictv.global/id/ICTV19951034","ICTV19951034@prod")</f>
        <v/>
      </c>
    </row>
    <row r="1182">
      <c r="A1182" t="n">
        <v>17</v>
      </c>
      <c r="B1182" t="n">
        <v>19981495</v>
      </c>
      <c r="C1182" t="n">
        <v>19951035</v>
      </c>
      <c r="D1182" t="inlineStr">
        <is>
          <t>species</t>
        </is>
      </c>
      <c r="E1182" t="inlineStr">
        <is>
          <t>Macropodid herpesvirus 2</t>
        </is>
      </c>
      <c r="F1182" t="inlineStr"/>
      <c r="G1182" t="inlineStr">
        <is>
          <t>Abolished,</t>
        </is>
      </c>
      <c r="L1182" s="8">
        <f>HYPERLINK("https://test.ictv.global/id/TN19981495","TN19981495@TEST")</f>
        <v/>
      </c>
      <c r="M1182" s="8">
        <f>HYPERLINK("https://test.ictv.global/id/ICTV19951035","ICTV19951035@TEST")</f>
        <v/>
      </c>
      <c r="N1182" s="8">
        <f>HYPERLINK("https://ictv.global/id/TN19981495","TN19981495@prod")</f>
        <v/>
      </c>
      <c r="O1182" s="8">
        <f>HYPERLINK("https://ictv.global/id/ICTV19951035","ICTV19951035@prod")</f>
        <v/>
      </c>
    </row>
    <row r="1183">
      <c r="A1183" t="n">
        <v>17</v>
      </c>
      <c r="B1183" t="n">
        <v>19981505</v>
      </c>
      <c r="C1183" t="n">
        <v>19951045</v>
      </c>
      <c r="D1183" t="inlineStr">
        <is>
          <t>species</t>
        </is>
      </c>
      <c r="E1183" t="inlineStr">
        <is>
          <t>Aotine herpesvirus 1</t>
        </is>
      </c>
      <c r="F1183" t="inlineStr"/>
      <c r="G1183" t="inlineStr">
        <is>
          <t>Abolished,</t>
        </is>
      </c>
      <c r="L1183" s="8">
        <f>HYPERLINK("https://test.ictv.global/id/TN19981505","TN19981505@TEST")</f>
        <v/>
      </c>
      <c r="M1183" s="8">
        <f>HYPERLINK("https://test.ictv.global/id/ICTV19951045","ICTV19951045@TEST")</f>
        <v/>
      </c>
      <c r="N1183" s="8">
        <f>HYPERLINK("https://ictv.global/id/TN19981505","TN19981505@prod")</f>
        <v/>
      </c>
      <c r="O1183" s="8">
        <f>HYPERLINK("https://ictv.global/id/ICTV19951045","ICTV19951045@prod")</f>
        <v/>
      </c>
    </row>
    <row r="1184">
      <c r="A1184" t="n">
        <v>17</v>
      </c>
      <c r="B1184" t="n">
        <v>19981506</v>
      </c>
      <c r="C1184" t="n">
        <v>19951046</v>
      </c>
      <c r="D1184" t="inlineStr">
        <is>
          <t>species</t>
        </is>
      </c>
      <c r="E1184" t="inlineStr">
        <is>
          <t>Aotine herpesvirus 3</t>
        </is>
      </c>
      <c r="G1184" t="inlineStr">
        <is>
          <t>Abolished,</t>
        </is>
      </c>
      <c r="L1184" s="8">
        <f>HYPERLINK("https://test.ictv.global/id/TN19981506","TN19981506@TEST")</f>
        <v/>
      </c>
      <c r="M1184" s="8">
        <f>HYPERLINK("https://test.ictv.global/id/ICTV19951046","ICTV19951046@TEST")</f>
        <v/>
      </c>
      <c r="N1184" s="8">
        <f>HYPERLINK("https://ictv.global/id/TN19981506","TN19981506@prod")</f>
        <v/>
      </c>
      <c r="O1184" s="8">
        <f>HYPERLINK("https://ictv.global/id/ICTV19951046","ICTV19951046@prod")</f>
        <v/>
      </c>
    </row>
    <row r="1185">
      <c r="A1185" t="n">
        <v>17</v>
      </c>
      <c r="B1185" t="n">
        <v>19981507</v>
      </c>
      <c r="C1185" t="n">
        <v>19951047</v>
      </c>
      <c r="D1185" t="inlineStr">
        <is>
          <t>species</t>
        </is>
      </c>
      <c r="E1185" t="inlineStr">
        <is>
          <t>Callitrichine herpesvirus 2</t>
        </is>
      </c>
      <c r="G1185" t="inlineStr">
        <is>
          <t>Abolished,</t>
        </is>
      </c>
      <c r="L1185" s="8">
        <f>HYPERLINK("https://test.ictv.global/id/TN19981507","TN19981507@TEST")</f>
        <v/>
      </c>
      <c r="M1185" s="8">
        <f>HYPERLINK("https://test.ictv.global/id/ICTV19951047","ICTV19951047@TEST")</f>
        <v/>
      </c>
      <c r="N1185" s="8">
        <f>HYPERLINK("https://ictv.global/id/TN19981507","TN19981507@prod")</f>
        <v/>
      </c>
      <c r="O1185" s="8">
        <f>HYPERLINK("https://ictv.global/id/ICTV19951047","ICTV19951047@prod")</f>
        <v/>
      </c>
    </row>
    <row r="1186">
      <c r="A1186" t="n">
        <v>17</v>
      </c>
      <c r="B1186" t="n">
        <v>19981508</v>
      </c>
      <c r="C1186" t="n">
        <v>19951048</v>
      </c>
      <c r="D1186" t="inlineStr">
        <is>
          <t>species</t>
        </is>
      </c>
      <c r="E1186" t="inlineStr">
        <is>
          <t>Caviid herpesvirus 2</t>
        </is>
      </c>
      <c r="F1186" t="inlineStr"/>
      <c r="G1186" t="inlineStr">
        <is>
          <t>Abolished,</t>
        </is>
      </c>
      <c r="L1186" s="8">
        <f>HYPERLINK("https://test.ictv.global/id/TN19981508","TN19981508@TEST")</f>
        <v/>
      </c>
      <c r="M1186" s="8">
        <f>HYPERLINK("https://test.ictv.global/id/ICTV19951048","ICTV19951048@TEST")</f>
        <v/>
      </c>
      <c r="N1186" s="8">
        <f>HYPERLINK("https://ictv.global/id/TN19981508","TN19981508@prod")</f>
        <v/>
      </c>
      <c r="O1186" s="8">
        <f>HYPERLINK("https://ictv.global/id/ICTV19951048","ICTV19951048@prod")</f>
        <v/>
      </c>
    </row>
    <row r="1187">
      <c r="A1187" t="n">
        <v>17</v>
      </c>
      <c r="B1187" t="n">
        <v>19981509</v>
      </c>
      <c r="C1187" t="n">
        <v>19951049</v>
      </c>
      <c r="D1187" t="inlineStr">
        <is>
          <t>species</t>
        </is>
      </c>
      <c r="E1187" t="inlineStr">
        <is>
          <t>Cebine herpesvirus 1</t>
        </is>
      </c>
      <c r="F1187" t="inlineStr"/>
      <c r="G1187" t="inlineStr">
        <is>
          <t>Abolished,</t>
        </is>
      </c>
      <c r="L1187" s="8">
        <f>HYPERLINK("https://test.ictv.global/id/TN19981509","TN19981509@TEST")</f>
        <v/>
      </c>
      <c r="M1187" s="8">
        <f>HYPERLINK("https://test.ictv.global/id/ICTV19951049","ICTV19951049@TEST")</f>
        <v/>
      </c>
      <c r="N1187" s="8">
        <f>HYPERLINK("https://ictv.global/id/TN19981509","TN19981509@prod")</f>
        <v/>
      </c>
      <c r="O1187" s="8">
        <f>HYPERLINK("https://ictv.global/id/ICTV19951049","ICTV19951049@prod")</f>
        <v/>
      </c>
    </row>
    <row r="1188">
      <c r="A1188" t="n">
        <v>17</v>
      </c>
      <c r="B1188" t="n">
        <v>19981510</v>
      </c>
      <c r="C1188" t="n">
        <v>19951050</v>
      </c>
      <c r="D1188" t="inlineStr">
        <is>
          <t>species</t>
        </is>
      </c>
      <c r="E1188" t="inlineStr">
        <is>
          <t>Cebine herpesvirus 2</t>
        </is>
      </c>
      <c r="G1188" t="inlineStr">
        <is>
          <t>Abolished,</t>
        </is>
      </c>
      <c r="L1188" s="8">
        <f>HYPERLINK("https://test.ictv.global/id/TN19981510","TN19981510@TEST")</f>
        <v/>
      </c>
      <c r="M1188" s="8">
        <f>HYPERLINK("https://test.ictv.global/id/ICTV19951050","ICTV19951050@TEST")</f>
        <v/>
      </c>
      <c r="N1188" s="8">
        <f>HYPERLINK("https://ictv.global/id/TN19981510","TN19981510@prod")</f>
        <v/>
      </c>
      <c r="O1188" s="8">
        <f>HYPERLINK("https://ictv.global/id/ICTV19951050","ICTV19951050@prod")</f>
        <v/>
      </c>
    </row>
    <row r="1189">
      <c r="A1189" t="n">
        <v>17</v>
      </c>
      <c r="B1189" t="n">
        <v>19981511</v>
      </c>
      <c r="C1189" t="n">
        <v>19951051</v>
      </c>
      <c r="D1189" t="inlineStr">
        <is>
          <t>species</t>
        </is>
      </c>
      <c r="E1189" t="inlineStr">
        <is>
          <t>Cercopithecine herpesvirus 3</t>
        </is>
      </c>
      <c r="G1189" t="inlineStr">
        <is>
          <t>Abolished,</t>
        </is>
      </c>
      <c r="L1189" s="8">
        <f>HYPERLINK("https://test.ictv.global/id/TN19981511","TN19981511@TEST")</f>
        <v/>
      </c>
      <c r="M1189" s="8">
        <f>HYPERLINK("https://test.ictv.global/id/ICTV19951051","ICTV19951051@TEST")</f>
        <v/>
      </c>
      <c r="N1189" s="8">
        <f>HYPERLINK("https://ictv.global/id/TN19981511","TN19981511@prod")</f>
        <v/>
      </c>
      <c r="O1189" s="8">
        <f>HYPERLINK("https://ictv.global/id/ICTV19951051","ICTV19951051@prod")</f>
        <v/>
      </c>
    </row>
    <row r="1190">
      <c r="A1190" t="n">
        <v>17</v>
      </c>
      <c r="B1190" t="n">
        <v>19981512</v>
      </c>
      <c r="C1190" t="n">
        <v>19951052</v>
      </c>
      <c r="D1190" t="inlineStr">
        <is>
          <t>species</t>
        </is>
      </c>
      <c r="E1190" t="inlineStr">
        <is>
          <t>Cercopithecine herpesvirus 4</t>
        </is>
      </c>
      <c r="G1190" t="inlineStr">
        <is>
          <t>Abolished,</t>
        </is>
      </c>
      <c r="L1190" s="8">
        <f>HYPERLINK("https://test.ictv.global/id/TN19981512","TN19981512@TEST")</f>
        <v/>
      </c>
      <c r="M1190" s="8">
        <f>HYPERLINK("https://test.ictv.global/id/ICTV19951052","ICTV19951052@TEST")</f>
        <v/>
      </c>
      <c r="N1190" s="8">
        <f>HYPERLINK("https://ictv.global/id/TN19981512","TN19981512@prod")</f>
        <v/>
      </c>
      <c r="O1190" s="8">
        <f>HYPERLINK("https://ictv.global/id/ICTV19951052","ICTV19951052@prod")</f>
        <v/>
      </c>
    </row>
    <row r="1191">
      <c r="A1191" t="n">
        <v>17</v>
      </c>
      <c r="B1191" t="n">
        <v>19981513</v>
      </c>
      <c r="C1191" t="n">
        <v>19951053</v>
      </c>
      <c r="D1191" t="inlineStr">
        <is>
          <t>species</t>
        </is>
      </c>
      <c r="E1191" t="inlineStr">
        <is>
          <t>Cercopithecine herpesvirus 5</t>
        </is>
      </c>
      <c r="F1191" t="inlineStr"/>
      <c r="G1191" t="inlineStr">
        <is>
          <t>Abolished,</t>
        </is>
      </c>
      <c r="L1191" s="8">
        <f>HYPERLINK("https://test.ictv.global/id/TN19981513","TN19981513@TEST")</f>
        <v/>
      </c>
      <c r="M1191" s="8">
        <f>HYPERLINK("https://test.ictv.global/id/ICTV19951053","ICTV19951053@TEST")</f>
        <v/>
      </c>
      <c r="N1191" s="8">
        <f>HYPERLINK("https://ictv.global/id/TN19981513","TN19981513@prod")</f>
        <v/>
      </c>
      <c r="O1191" s="8">
        <f>HYPERLINK("https://ictv.global/id/ICTV19951053","ICTV19951053@prod")</f>
        <v/>
      </c>
    </row>
    <row r="1192">
      <c r="A1192" t="n">
        <v>17</v>
      </c>
      <c r="B1192" t="n">
        <v>19981514</v>
      </c>
      <c r="C1192" t="n">
        <v>19951054</v>
      </c>
      <c r="D1192" t="inlineStr">
        <is>
          <t>species</t>
        </is>
      </c>
      <c r="E1192" t="inlineStr">
        <is>
          <t>Cercopithecine herpesvirus 8</t>
        </is>
      </c>
      <c r="G1192" t="inlineStr">
        <is>
          <t>Abolished,</t>
        </is>
      </c>
      <c r="L1192" s="8">
        <f>HYPERLINK("https://test.ictv.global/id/TN19981514","TN19981514@TEST")</f>
        <v/>
      </c>
      <c r="M1192" s="8">
        <f>HYPERLINK("https://test.ictv.global/id/ICTV19951054","ICTV19951054@TEST")</f>
        <v/>
      </c>
      <c r="N1192" s="8">
        <f>HYPERLINK("https://ictv.global/id/TN19981514","TN19981514@prod")</f>
        <v/>
      </c>
      <c r="O1192" s="8">
        <f>HYPERLINK("https://ictv.global/id/ICTV19951054","ICTV19951054@prod")</f>
        <v/>
      </c>
    </row>
    <row r="1193">
      <c r="A1193" t="n">
        <v>17</v>
      </c>
      <c r="B1193" t="n">
        <v>19981515</v>
      </c>
      <c r="C1193" t="n">
        <v>19951055</v>
      </c>
      <c r="D1193" t="inlineStr">
        <is>
          <t>species</t>
        </is>
      </c>
      <c r="E1193" t="inlineStr">
        <is>
          <t>Cricetid herpesvirus</t>
        </is>
      </c>
      <c r="G1193" t="inlineStr">
        <is>
          <t>Abolished,</t>
        </is>
      </c>
      <c r="L1193" s="8">
        <f>HYPERLINK("https://test.ictv.global/id/TN19981515","TN19981515@TEST")</f>
        <v/>
      </c>
      <c r="M1193" s="8">
        <f>HYPERLINK("https://test.ictv.global/id/ICTV19951055","ICTV19951055@TEST")</f>
        <v/>
      </c>
      <c r="N1193" s="8">
        <f>HYPERLINK("https://ictv.global/id/TN19981515","TN19981515@prod")</f>
        <v/>
      </c>
      <c r="O1193" s="8">
        <f>HYPERLINK("https://ictv.global/id/ICTV19951055","ICTV19951055@prod")</f>
        <v/>
      </c>
    </row>
    <row r="1194">
      <c r="A1194" t="n">
        <v>17</v>
      </c>
      <c r="B1194" t="n">
        <v>19981519</v>
      </c>
      <c r="C1194" t="n">
        <v>19951059</v>
      </c>
      <c r="D1194" t="inlineStr">
        <is>
          <t>species</t>
        </is>
      </c>
      <c r="E1194" t="inlineStr">
        <is>
          <t>Murid herpesvirus 2</t>
        </is>
      </c>
      <c r="F1194" t="inlineStr"/>
      <c r="G1194" t="inlineStr">
        <is>
          <t>Abolished,</t>
        </is>
      </c>
      <c r="L1194" s="8">
        <f>HYPERLINK("https://test.ictv.global/id/TN19981519","TN19981519@TEST")</f>
        <v/>
      </c>
      <c r="M1194" s="8">
        <f>HYPERLINK("https://test.ictv.global/id/ICTV19951059","ICTV19951059@TEST")</f>
        <v/>
      </c>
      <c r="N1194" s="8">
        <f>HYPERLINK("https://ictv.global/id/TN19981519","TN19981519@prod")</f>
        <v/>
      </c>
      <c r="O1194" s="8">
        <f>HYPERLINK("https://ictv.global/id/ICTV19951059","ICTV19951059@prod")</f>
        <v/>
      </c>
    </row>
    <row r="1195">
      <c r="A1195" t="n">
        <v>17</v>
      </c>
      <c r="B1195" t="n">
        <v>19981520</v>
      </c>
      <c r="C1195" t="n">
        <v>19951060</v>
      </c>
      <c r="D1195" t="inlineStr">
        <is>
          <t>species</t>
        </is>
      </c>
      <c r="E1195" t="inlineStr">
        <is>
          <t>Sciurid herpesvirus</t>
        </is>
      </c>
      <c r="G1195" t="inlineStr">
        <is>
          <t>Abolished,</t>
        </is>
      </c>
      <c r="L1195" s="8">
        <f>HYPERLINK("https://test.ictv.global/id/TN19981520","TN19981520@TEST")</f>
        <v/>
      </c>
      <c r="M1195" s="8">
        <f>HYPERLINK("https://test.ictv.global/id/ICTV19951060","ICTV19951060@TEST")</f>
        <v/>
      </c>
      <c r="N1195" s="8">
        <f>HYPERLINK("https://ictv.global/id/TN19981520","TN19981520@prod")</f>
        <v/>
      </c>
      <c r="O1195" s="8">
        <f>HYPERLINK("https://ictv.global/id/ICTV19951060","ICTV19951060@prod")</f>
        <v/>
      </c>
    </row>
    <row r="1196">
      <c r="A1196" t="n">
        <v>17</v>
      </c>
      <c r="B1196" t="n">
        <v>19981521</v>
      </c>
      <c r="C1196" t="n">
        <v>19951061</v>
      </c>
      <c r="D1196" t="inlineStr">
        <is>
          <t>species</t>
        </is>
      </c>
      <c r="E1196" t="inlineStr">
        <is>
          <t>Suid herpesvirus 2</t>
        </is>
      </c>
      <c r="F1196" t="inlineStr"/>
      <c r="G1196" t="inlineStr">
        <is>
          <t>Abolished,</t>
        </is>
      </c>
      <c r="L1196" s="8">
        <f>HYPERLINK("https://test.ictv.global/id/TN19981521","TN19981521@TEST")</f>
        <v/>
      </c>
      <c r="M1196" s="8">
        <f>HYPERLINK("https://test.ictv.global/id/ICTV19951061","ICTV19951061@TEST")</f>
        <v/>
      </c>
      <c r="N1196" s="8">
        <f>HYPERLINK("https://ictv.global/id/TN19981521","TN19981521@prod")</f>
        <v/>
      </c>
      <c r="O1196" s="8">
        <f>HYPERLINK("https://ictv.global/id/ICTV19951061","ICTV19951061@prod")</f>
        <v/>
      </c>
    </row>
    <row r="1197">
      <c r="A1197" t="n">
        <v>17</v>
      </c>
      <c r="B1197" t="n">
        <v>19981533</v>
      </c>
      <c r="C1197" t="n">
        <v>19951073</v>
      </c>
      <c r="D1197" t="inlineStr">
        <is>
          <t>species</t>
        </is>
      </c>
      <c r="E1197" t="inlineStr">
        <is>
          <t>Caviid herpesvirus 1</t>
        </is>
      </c>
      <c r="G1197" t="inlineStr">
        <is>
          <t>Abolished,</t>
        </is>
      </c>
      <c r="L1197" s="8">
        <f>HYPERLINK("https://test.ictv.global/id/TN19981533","TN19981533@TEST")</f>
        <v/>
      </c>
      <c r="M1197" s="8">
        <f>HYPERLINK("https://test.ictv.global/id/ICTV19951073","ICTV19951073@TEST")</f>
        <v/>
      </c>
      <c r="N1197" s="8">
        <f>HYPERLINK("https://ictv.global/id/TN19981533","TN19981533@prod")</f>
        <v/>
      </c>
      <c r="O1197" s="8">
        <f>HYPERLINK("https://ictv.global/id/ICTV19951073","ICTV19951073@prod")</f>
        <v/>
      </c>
    </row>
    <row r="1198">
      <c r="A1198" t="n">
        <v>17</v>
      </c>
      <c r="B1198" t="n">
        <v>19981535</v>
      </c>
      <c r="C1198" t="n">
        <v>19951075</v>
      </c>
      <c r="D1198" t="inlineStr">
        <is>
          <t>species</t>
        </is>
      </c>
      <c r="E1198" t="inlineStr">
        <is>
          <t>Leporid herpesvirus 1</t>
        </is>
      </c>
      <c r="G1198" t="inlineStr">
        <is>
          <t>Abolished,</t>
        </is>
      </c>
      <c r="L1198" s="8">
        <f>HYPERLINK("https://test.ictv.global/id/TN19981535","TN19981535@TEST")</f>
        <v/>
      </c>
      <c r="M1198" s="8">
        <f>HYPERLINK("https://test.ictv.global/id/ICTV19951075","ICTV19951075@TEST")</f>
        <v/>
      </c>
      <c r="N1198" s="8">
        <f>HYPERLINK("https://ictv.global/id/TN19981535","TN19981535@prod")</f>
        <v/>
      </c>
      <c r="O1198" s="8">
        <f>HYPERLINK("https://ictv.global/id/ICTV19951075","ICTV19951075@prod")</f>
        <v/>
      </c>
    </row>
    <row r="1199">
      <c r="A1199" t="n">
        <v>17</v>
      </c>
      <c r="B1199" t="n">
        <v>19981536</v>
      </c>
      <c r="C1199" t="n">
        <v>19951076</v>
      </c>
      <c r="D1199" t="inlineStr">
        <is>
          <t>species</t>
        </is>
      </c>
      <c r="E1199" t="inlineStr">
        <is>
          <t>Marmodid herpesvirus 1</t>
        </is>
      </c>
      <c r="G1199" t="inlineStr">
        <is>
          <t>Abolished,</t>
        </is>
      </c>
      <c r="L1199" s="8">
        <f>HYPERLINK("https://test.ictv.global/id/TN19981536","TN19981536@TEST")</f>
        <v/>
      </c>
      <c r="M1199" s="8">
        <f>HYPERLINK("https://test.ictv.global/id/ICTV19951076","ICTV19951076@TEST")</f>
        <v/>
      </c>
      <c r="N1199" s="8">
        <f>HYPERLINK("https://ictv.global/id/TN19981536","TN19981536@prod")</f>
        <v/>
      </c>
      <c r="O1199" s="8">
        <f>HYPERLINK("https://ictv.global/id/ICTV19951076","ICTV19951076@prod")</f>
        <v/>
      </c>
    </row>
    <row r="1200">
      <c r="A1200" t="n">
        <v>17</v>
      </c>
      <c r="B1200" t="n">
        <v>19981540</v>
      </c>
      <c r="C1200" t="n">
        <v>19930944</v>
      </c>
      <c r="D1200" t="inlineStr">
        <is>
          <t>species</t>
        </is>
      </c>
      <c r="E1200" t="inlineStr">
        <is>
          <t>Cryphonectria hypovirus 1-EP713</t>
        </is>
      </c>
      <c r="G1200" t="inlineStr">
        <is>
          <t>Merged,</t>
        </is>
      </c>
      <c r="H1200" t="inlineStr">
        <is>
          <t>Cryphonectria hypovirus 1</t>
        </is>
      </c>
      <c r="I1200" t="inlineStr">
        <is>
          <t>species</t>
        </is>
      </c>
      <c r="J1200" t="n">
        <v>19991024</v>
      </c>
      <c r="K1200" t="n">
        <v>19991024</v>
      </c>
      <c r="L1200" s="8">
        <f>HYPERLINK("https://test.ictv.global/id/TN19981540","TN19981540@TEST")</f>
        <v/>
      </c>
      <c r="M1200" s="8">
        <f>HYPERLINK("https://test.ictv.global/id/ICTV19930944","ICTV19930944@TEST")</f>
        <v/>
      </c>
      <c r="N1200" s="8">
        <f>HYPERLINK("https://ictv.global/id/TN19981540","TN19981540@prod")</f>
        <v/>
      </c>
      <c r="O1200" s="8">
        <f>HYPERLINK("https://ictv.global/id/ICTV19930944","ICTV19930944@prod")</f>
        <v/>
      </c>
    </row>
    <row r="1201">
      <c r="A1201" t="n">
        <v>17</v>
      </c>
      <c r="B1201" t="n">
        <v>19981541</v>
      </c>
      <c r="C1201" t="n">
        <v>19951081</v>
      </c>
      <c r="D1201" t="inlineStr">
        <is>
          <t>species</t>
        </is>
      </c>
      <c r="E1201" t="inlineStr">
        <is>
          <t>Cryphonectria hypovirus 1-EP747</t>
        </is>
      </c>
      <c r="G1201" t="inlineStr">
        <is>
          <t>Merged,Assigned as Type Species,</t>
        </is>
      </c>
      <c r="H1201" t="inlineStr">
        <is>
          <t>Cryphonectria hypovirus 1</t>
        </is>
      </c>
      <c r="I1201" t="inlineStr">
        <is>
          <t>species</t>
        </is>
      </c>
      <c r="J1201" t="n">
        <v>19991024</v>
      </c>
      <c r="K1201" t="n">
        <v>19991024</v>
      </c>
      <c r="L1201" s="8">
        <f>HYPERLINK("https://test.ictv.global/id/TN19981541","TN19981541@TEST")</f>
        <v/>
      </c>
      <c r="M1201" s="8">
        <f>HYPERLINK("https://test.ictv.global/id/ICTV19951081","ICTV19951081@TEST")</f>
        <v/>
      </c>
      <c r="N1201" s="8">
        <f>HYPERLINK("https://ictv.global/id/TN19981541","TN19981541@prod")</f>
        <v/>
      </c>
      <c r="O1201" s="8">
        <f>HYPERLINK("https://ictv.global/id/ICTV19951081","ICTV19951081@prod")</f>
        <v/>
      </c>
    </row>
    <row r="1202">
      <c r="A1202" t="n">
        <v>17</v>
      </c>
      <c r="B1202" t="n">
        <v>19981543</v>
      </c>
      <c r="C1202" t="n">
        <v>19910798</v>
      </c>
      <c r="D1202" t="inlineStr">
        <is>
          <t>species</t>
        </is>
      </c>
      <c r="E1202" t="inlineStr">
        <is>
          <t>Coliphage AE2</t>
        </is>
      </c>
      <c r="G1202" t="inlineStr">
        <is>
          <t>Merged,Assigned as Type Species,</t>
        </is>
      </c>
      <c r="H1202" t="inlineStr">
        <is>
          <t>Enterobacteria phage M13</t>
        </is>
      </c>
      <c r="I1202" t="inlineStr">
        <is>
          <t>species</t>
        </is>
      </c>
      <c r="J1202" t="n">
        <v>19991030</v>
      </c>
      <c r="K1202" t="n">
        <v>19991030</v>
      </c>
      <c r="L1202" s="8">
        <f>HYPERLINK("https://test.ictv.global/id/TN19981543","TN19981543@TEST")</f>
        <v/>
      </c>
      <c r="M1202" s="8">
        <f>HYPERLINK("https://test.ictv.global/id/ICTV19910798","ICTV19910798@TEST")</f>
        <v/>
      </c>
      <c r="N1202" s="8">
        <f>HYPERLINK("https://ictv.global/id/TN19981543","TN19981543@prod")</f>
        <v/>
      </c>
      <c r="O1202" s="8">
        <f>HYPERLINK("https://ictv.global/id/ICTV19910798","ICTV19910798@prod")</f>
        <v/>
      </c>
    </row>
    <row r="1203">
      <c r="A1203" t="n">
        <v>17</v>
      </c>
      <c r="B1203" t="n">
        <v>19981544</v>
      </c>
      <c r="C1203" t="n">
        <v>19910799</v>
      </c>
      <c r="D1203" t="inlineStr">
        <is>
          <t>species</t>
        </is>
      </c>
      <c r="E1203" t="inlineStr">
        <is>
          <t>Coliphage deltaA</t>
        </is>
      </c>
      <c r="G1203" t="inlineStr">
        <is>
          <t>Merged,Assigned as Type Species,</t>
        </is>
      </c>
      <c r="H1203" t="inlineStr">
        <is>
          <t>Enterobacteria phage M13</t>
        </is>
      </c>
      <c r="I1203" t="inlineStr">
        <is>
          <t>species</t>
        </is>
      </c>
      <c r="J1203" t="n">
        <v>19991030</v>
      </c>
      <c r="K1203" t="n">
        <v>19991030</v>
      </c>
      <c r="L1203" s="8">
        <f>HYPERLINK("https://test.ictv.global/id/TN19981544","TN19981544@TEST")</f>
        <v/>
      </c>
      <c r="M1203" s="8">
        <f>HYPERLINK("https://test.ictv.global/id/ICTV19910799","ICTV19910799@TEST")</f>
        <v/>
      </c>
      <c r="N1203" s="8">
        <f>HYPERLINK("https://ictv.global/id/TN19981544","TN19981544@prod")</f>
        <v/>
      </c>
      <c r="O1203" s="8">
        <f>HYPERLINK("https://ictv.global/id/ICTV19910799","ICTV19910799@prod")</f>
        <v/>
      </c>
    </row>
    <row r="1204">
      <c r="A1204" t="n">
        <v>17</v>
      </c>
      <c r="B1204" t="n">
        <v>19981545</v>
      </c>
      <c r="C1204" t="n">
        <v>19910800</v>
      </c>
      <c r="D1204" t="inlineStr">
        <is>
          <t>species</t>
        </is>
      </c>
      <c r="E1204" t="inlineStr">
        <is>
          <t>Coliphage Ec9</t>
        </is>
      </c>
      <c r="G1204" t="inlineStr">
        <is>
          <t>Merged,Assigned as Type Species,</t>
        </is>
      </c>
      <c r="H1204" t="inlineStr">
        <is>
          <t>Enterobacteria phage M13</t>
        </is>
      </c>
      <c r="I1204" t="inlineStr">
        <is>
          <t>species</t>
        </is>
      </c>
      <c r="J1204" t="n">
        <v>19991030</v>
      </c>
      <c r="K1204" t="n">
        <v>19991030</v>
      </c>
      <c r="L1204" s="8">
        <f>HYPERLINK("https://test.ictv.global/id/TN19981545","TN19981545@TEST")</f>
        <v/>
      </c>
      <c r="M1204" s="8">
        <f>HYPERLINK("https://test.ictv.global/id/ICTV19910800","ICTV19910800@TEST")</f>
        <v/>
      </c>
      <c r="N1204" s="8">
        <f>HYPERLINK("https://ictv.global/id/TN19981545","TN19981545@prod")</f>
        <v/>
      </c>
      <c r="O1204" s="8">
        <f>HYPERLINK("https://ictv.global/id/ICTV19910800","ICTV19910800@prod")</f>
        <v/>
      </c>
    </row>
    <row r="1205">
      <c r="A1205" t="n">
        <v>17</v>
      </c>
      <c r="B1205" t="n">
        <v>19981546</v>
      </c>
      <c r="C1205" t="n">
        <v>19910801</v>
      </c>
      <c r="D1205" t="inlineStr">
        <is>
          <t>species</t>
        </is>
      </c>
      <c r="E1205" t="inlineStr">
        <is>
          <t>Coliphage f1</t>
        </is>
      </c>
      <c r="G1205" t="inlineStr">
        <is>
          <t>Merged,Assigned as Type Species,</t>
        </is>
      </c>
      <c r="H1205" t="inlineStr">
        <is>
          <t>Enterobacteria phage M13</t>
        </is>
      </c>
      <c r="I1205" t="inlineStr">
        <is>
          <t>species</t>
        </is>
      </c>
      <c r="J1205" t="n">
        <v>19991030</v>
      </c>
      <c r="K1205" t="n">
        <v>19991030</v>
      </c>
      <c r="L1205" s="8">
        <f>HYPERLINK("https://test.ictv.global/id/TN19981546","TN19981546@TEST")</f>
        <v/>
      </c>
      <c r="M1205" s="8">
        <f>HYPERLINK("https://test.ictv.global/id/ICTV19910801","ICTV19910801@TEST")</f>
        <v/>
      </c>
      <c r="N1205" s="8">
        <f>HYPERLINK("https://ictv.global/id/TN19981546","TN19981546@prod")</f>
        <v/>
      </c>
      <c r="O1205" s="8">
        <f>HYPERLINK("https://ictv.global/id/ICTV19910801","ICTV19910801@prod")</f>
        <v/>
      </c>
    </row>
    <row r="1206">
      <c r="A1206" t="n">
        <v>17</v>
      </c>
      <c r="B1206" t="n">
        <v>19981547</v>
      </c>
      <c r="C1206" t="n">
        <v>19710170</v>
      </c>
      <c r="D1206" t="inlineStr">
        <is>
          <t>species</t>
        </is>
      </c>
      <c r="E1206" t="inlineStr">
        <is>
          <t>Coliphage fd</t>
        </is>
      </c>
      <c r="G1206" t="inlineStr">
        <is>
          <t>Merged,</t>
        </is>
      </c>
      <c r="H1206" t="inlineStr">
        <is>
          <t>Enterobacteria phage M13</t>
        </is>
      </c>
      <c r="I1206" t="inlineStr">
        <is>
          <t>species</t>
        </is>
      </c>
      <c r="J1206" t="n">
        <v>19991030</v>
      </c>
      <c r="K1206" t="n">
        <v>19991030</v>
      </c>
      <c r="L1206" s="8">
        <f>HYPERLINK("https://test.ictv.global/id/TN19981547","TN19981547@TEST")</f>
        <v/>
      </c>
      <c r="M1206" s="8">
        <f>HYPERLINK("https://test.ictv.global/id/ICTV19710170","ICTV19710170@TEST")</f>
        <v/>
      </c>
      <c r="N1206" s="8">
        <f>HYPERLINK("https://ictv.global/id/TN19981547","TN19981547@prod")</f>
        <v/>
      </c>
      <c r="O1206" s="8">
        <f>HYPERLINK("https://ictv.global/id/ICTV19710170","ICTV19710170@prod")</f>
        <v/>
      </c>
    </row>
    <row r="1207">
      <c r="A1207" t="n">
        <v>17</v>
      </c>
      <c r="B1207" t="n">
        <v>19981548</v>
      </c>
      <c r="C1207" t="n">
        <v>19910803</v>
      </c>
      <c r="D1207" t="inlineStr">
        <is>
          <t>species</t>
        </is>
      </c>
      <c r="E1207" t="inlineStr">
        <is>
          <t>Coliphage HR</t>
        </is>
      </c>
      <c r="G1207" t="inlineStr">
        <is>
          <t>Merged,Assigned as Type Species,</t>
        </is>
      </c>
      <c r="H1207" t="inlineStr">
        <is>
          <t>Enterobacteria phage M13</t>
        </is>
      </c>
      <c r="I1207" t="inlineStr">
        <is>
          <t>species</t>
        </is>
      </c>
      <c r="J1207" t="n">
        <v>19991030</v>
      </c>
      <c r="K1207" t="n">
        <v>19991030</v>
      </c>
      <c r="L1207" s="8">
        <f>HYPERLINK("https://test.ictv.global/id/TN19981548","TN19981548@TEST")</f>
        <v/>
      </c>
      <c r="M1207" s="8">
        <f>HYPERLINK("https://test.ictv.global/id/ICTV19910803","ICTV19910803@TEST")</f>
        <v/>
      </c>
      <c r="N1207" s="8">
        <f>HYPERLINK("https://ictv.global/id/TN19981548","TN19981548@prod")</f>
        <v/>
      </c>
      <c r="O1207" s="8">
        <f>HYPERLINK("https://ictv.global/id/ICTV19910803","ICTV19910803@prod")</f>
        <v/>
      </c>
    </row>
    <row r="1208">
      <c r="A1208" t="n">
        <v>17</v>
      </c>
      <c r="B1208" t="n">
        <v>19981549</v>
      </c>
      <c r="C1208" t="n">
        <v>19910804</v>
      </c>
      <c r="D1208" t="inlineStr">
        <is>
          <t>species</t>
        </is>
      </c>
      <c r="E1208" t="inlineStr">
        <is>
          <t>Coliphage M13</t>
        </is>
      </c>
      <c r="G1208" t="inlineStr">
        <is>
          <t>Merged,Assigned as Type Species,</t>
        </is>
      </c>
      <c r="H1208" t="inlineStr">
        <is>
          <t>Enterobacteria phage M13</t>
        </is>
      </c>
      <c r="I1208" t="inlineStr">
        <is>
          <t>species</t>
        </is>
      </c>
      <c r="J1208" t="n">
        <v>19991030</v>
      </c>
      <c r="K1208" t="n">
        <v>19991030</v>
      </c>
      <c r="L1208" s="8">
        <f>HYPERLINK("https://test.ictv.global/id/TN19981549","TN19981549@TEST")</f>
        <v/>
      </c>
      <c r="M1208" s="8">
        <f>HYPERLINK("https://test.ictv.global/id/ICTV19910804","ICTV19910804@TEST")</f>
        <v/>
      </c>
      <c r="N1208" s="8">
        <f>HYPERLINK("https://ictv.global/id/TN19981549","TN19981549@prod")</f>
        <v/>
      </c>
      <c r="O1208" s="8">
        <f>HYPERLINK("https://ictv.global/id/ICTV19910804","ICTV19910804@prod")</f>
        <v/>
      </c>
    </row>
    <row r="1209">
      <c r="A1209" t="n">
        <v>17</v>
      </c>
      <c r="B1209" t="n">
        <v>19981550</v>
      </c>
      <c r="C1209" t="n">
        <v>19910805</v>
      </c>
      <c r="D1209" t="inlineStr">
        <is>
          <t>species</t>
        </is>
      </c>
      <c r="E1209" t="inlineStr">
        <is>
          <t>Coliphage ZG/2</t>
        </is>
      </c>
      <c r="G1209" t="inlineStr">
        <is>
          <t>Abolished,</t>
        </is>
      </c>
      <c r="L1209" s="8">
        <f>HYPERLINK("https://test.ictv.global/id/TN19981550","TN19981550@TEST")</f>
        <v/>
      </c>
      <c r="M1209" s="8">
        <f>HYPERLINK("https://test.ictv.global/id/ICTV19910805","ICTV19910805@TEST")</f>
        <v/>
      </c>
      <c r="N1209" s="8">
        <f>HYPERLINK("https://ictv.global/id/TN19981550","TN19981550@prod")</f>
        <v/>
      </c>
      <c r="O1209" s="8">
        <f>HYPERLINK("https://ictv.global/id/ICTV19910805","ICTV19910805@prod")</f>
        <v/>
      </c>
    </row>
    <row r="1210">
      <c r="A1210" t="n">
        <v>17</v>
      </c>
      <c r="B1210" t="n">
        <v>19981551</v>
      </c>
      <c r="C1210" t="n">
        <v>19910806</v>
      </c>
      <c r="D1210" t="inlineStr">
        <is>
          <t>species</t>
        </is>
      </c>
      <c r="E1210" t="inlineStr">
        <is>
          <t>Coliphage ZJ/2</t>
        </is>
      </c>
      <c r="G1210" t="inlineStr">
        <is>
          <t>Merged,Assigned as Type Species,</t>
        </is>
      </c>
      <c r="H1210" t="inlineStr">
        <is>
          <t>Enterobacteria phage M13</t>
        </is>
      </c>
      <c r="I1210" t="inlineStr">
        <is>
          <t>species</t>
        </is>
      </c>
      <c r="J1210" t="n">
        <v>19991030</v>
      </c>
      <c r="K1210" t="n">
        <v>19991030</v>
      </c>
      <c r="L1210" s="8">
        <f>HYPERLINK("https://test.ictv.global/id/TN19981551","TN19981551@TEST")</f>
        <v/>
      </c>
      <c r="M1210" s="8">
        <f>HYPERLINK("https://test.ictv.global/id/ICTV19910806","ICTV19910806@TEST")</f>
        <v/>
      </c>
      <c r="N1210" s="8">
        <f>HYPERLINK("https://ictv.global/id/TN19981551","TN19981551@prod")</f>
        <v/>
      </c>
      <c r="O1210" s="8">
        <f>HYPERLINK("https://ictv.global/id/ICTV19910806","ICTV19910806@prod")</f>
        <v/>
      </c>
    </row>
    <row r="1211">
      <c r="A1211" t="n">
        <v>17</v>
      </c>
      <c r="B1211" t="n">
        <v>19981555</v>
      </c>
      <c r="C1211" t="n">
        <v>19910810</v>
      </c>
      <c r="D1211" t="inlineStr">
        <is>
          <t>species</t>
        </is>
      </c>
      <c r="E1211" t="inlineStr">
        <is>
          <t>Enterobacteria phage If2</t>
        </is>
      </c>
      <c r="G1211" t="inlineStr">
        <is>
          <t>Abolished,</t>
        </is>
      </c>
      <c r="L1211" s="8">
        <f>HYPERLINK("https://test.ictv.global/id/TN19981555","TN19981555@TEST")</f>
        <v/>
      </c>
      <c r="M1211" s="8">
        <f>HYPERLINK("https://test.ictv.global/id/ICTV19910810","ICTV19910810@TEST")</f>
        <v/>
      </c>
      <c r="N1211" s="8">
        <f>HYPERLINK("https://ictv.global/id/TN19981555","TN19981555@prod")</f>
        <v/>
      </c>
      <c r="O1211" s="8">
        <f>HYPERLINK("https://ictv.global/id/ICTV19910810","ICTV19910810@prod")</f>
        <v/>
      </c>
    </row>
    <row r="1212">
      <c r="A1212" t="n">
        <v>17</v>
      </c>
      <c r="B1212" t="n">
        <v>19981567</v>
      </c>
      <c r="C1212" t="n">
        <v>19910822</v>
      </c>
      <c r="D1212" t="inlineStr">
        <is>
          <t>species</t>
        </is>
      </c>
      <c r="E1212" t="inlineStr">
        <is>
          <t>Xanthomonas phage Cf</t>
        </is>
      </c>
      <c r="G1212" t="inlineStr">
        <is>
          <t>Abolished,</t>
        </is>
      </c>
      <c r="L1212" s="8">
        <f>HYPERLINK("https://test.ictv.global/id/TN19981567","TN19981567@TEST")</f>
        <v/>
      </c>
      <c r="M1212" s="8">
        <f>HYPERLINK("https://test.ictv.global/id/ICTV19910822","ICTV19910822@TEST")</f>
        <v/>
      </c>
      <c r="N1212" s="8">
        <f>HYPERLINK("https://ictv.global/id/TN19981567","TN19981567@prod")</f>
        <v/>
      </c>
      <c r="O1212" s="8">
        <f>HYPERLINK("https://ictv.global/id/ICTV19910822","ICTV19910822@prod")</f>
        <v/>
      </c>
    </row>
    <row r="1213">
      <c r="A1213" t="n">
        <v>17</v>
      </c>
      <c r="B1213" t="n">
        <v>19981570</v>
      </c>
      <c r="C1213" t="n">
        <v>19910825</v>
      </c>
      <c r="D1213" t="inlineStr">
        <is>
          <t>species</t>
        </is>
      </c>
      <c r="E1213" t="inlineStr">
        <is>
          <t>Xanthomonas phage Xf2</t>
        </is>
      </c>
      <c r="G1213" t="inlineStr">
        <is>
          <t>Abolished,</t>
        </is>
      </c>
      <c r="L1213" s="8">
        <f>HYPERLINK("https://test.ictv.global/id/TN19981570","TN19981570@TEST")</f>
        <v/>
      </c>
      <c r="M1213" s="8">
        <f>HYPERLINK("https://test.ictv.global/id/ICTV19910825","ICTV19910825@TEST")</f>
        <v/>
      </c>
      <c r="N1213" s="8">
        <f>HYPERLINK("https://ictv.global/id/TN19981570","TN19981570@prod")</f>
        <v/>
      </c>
      <c r="O1213" s="8">
        <f>HYPERLINK("https://ictv.global/id/ICTV19910825","ICTV19910825@prod")</f>
        <v/>
      </c>
    </row>
    <row r="1214">
      <c r="A1214" t="n">
        <v>17</v>
      </c>
      <c r="B1214" t="n">
        <v>19981571</v>
      </c>
      <c r="C1214" t="n">
        <v>19790341</v>
      </c>
      <c r="D1214" t="inlineStr">
        <is>
          <t>species</t>
        </is>
      </c>
      <c r="E1214" t="inlineStr">
        <is>
          <t>Acholeplasma phage 0c1r</t>
        </is>
      </c>
      <c r="G1214" t="inlineStr">
        <is>
          <t>Abolished,</t>
        </is>
      </c>
      <c r="L1214" s="8">
        <f>HYPERLINK("https://test.ictv.global/id/TN19981571","TN19981571@TEST")</f>
        <v/>
      </c>
      <c r="M1214" s="8">
        <f>HYPERLINK("https://test.ictv.global/id/ICTV19790341","ICTV19790341@TEST")</f>
        <v/>
      </c>
      <c r="N1214" s="8">
        <f>HYPERLINK("https://ictv.global/id/TN19981571","TN19981571@prod")</f>
        <v/>
      </c>
      <c r="O1214" s="8">
        <f>HYPERLINK("https://ictv.global/id/ICTV19790341","ICTV19790341@prod")</f>
        <v/>
      </c>
    </row>
    <row r="1215">
      <c r="A1215" t="n">
        <v>17</v>
      </c>
      <c r="B1215" t="n">
        <v>19981572</v>
      </c>
      <c r="C1215" t="n">
        <v>19790337</v>
      </c>
      <c r="D1215" t="inlineStr">
        <is>
          <t>species</t>
        </is>
      </c>
      <c r="E1215" t="inlineStr">
        <is>
          <t>Acholeplasma phage 10tur</t>
        </is>
      </c>
      <c r="G1215" t="inlineStr">
        <is>
          <t>Abolished,</t>
        </is>
      </c>
      <c r="L1215" s="8">
        <f>HYPERLINK("https://test.ictv.global/id/TN19981572","TN19981572@TEST")</f>
        <v/>
      </c>
      <c r="M1215" s="8">
        <f>HYPERLINK("https://test.ictv.global/id/ICTV19790337","ICTV19790337@TEST")</f>
        <v/>
      </c>
      <c r="N1215" s="8">
        <f>HYPERLINK("https://ictv.global/id/TN19981572","TN19981572@prod")</f>
        <v/>
      </c>
      <c r="O1215" s="8">
        <f>HYPERLINK("https://ictv.global/id/ICTV19790337","ICTV19790337@prod")</f>
        <v/>
      </c>
    </row>
    <row r="1216">
      <c r="A1216" t="n">
        <v>17</v>
      </c>
      <c r="B1216" t="n">
        <v>19981574</v>
      </c>
      <c r="C1216" t="n">
        <v>19790338</v>
      </c>
      <c r="D1216" t="inlineStr">
        <is>
          <t>species</t>
        </is>
      </c>
      <c r="E1216" t="inlineStr">
        <is>
          <t>Acholeplasma phage MVG51</t>
        </is>
      </c>
      <c r="G1216" t="inlineStr">
        <is>
          <t>Abolished,</t>
        </is>
      </c>
      <c r="L1216" s="8">
        <f>HYPERLINK("https://test.ictv.global/id/TN19981574","TN19981574@TEST")</f>
        <v/>
      </c>
      <c r="M1216" s="8">
        <f>HYPERLINK("https://test.ictv.global/id/ICTV19790338","ICTV19790338@TEST")</f>
        <v/>
      </c>
      <c r="N1216" s="8">
        <f>HYPERLINK("https://ictv.global/id/TN19981574","TN19981574@prod")</f>
        <v/>
      </c>
      <c r="O1216" s="8">
        <f>HYPERLINK("https://ictv.global/id/ICTV19790338","ICTV19790338@prod")</f>
        <v/>
      </c>
    </row>
    <row r="1217">
      <c r="A1217" t="n">
        <v>17</v>
      </c>
      <c r="B1217" t="n">
        <v>19981575</v>
      </c>
      <c r="C1217" t="n">
        <v>19790339</v>
      </c>
      <c r="D1217" t="inlineStr">
        <is>
          <t>species</t>
        </is>
      </c>
      <c r="E1217" t="inlineStr">
        <is>
          <t>Acholeplasma phage MV-L1</t>
        </is>
      </c>
      <c r="G1217" t="inlineStr">
        <is>
          <t>Abolished,</t>
        </is>
      </c>
      <c r="L1217" s="8">
        <f>HYPERLINK("https://test.ictv.global/id/TN19981575","TN19981575@TEST")</f>
        <v/>
      </c>
      <c r="M1217" s="8">
        <f>HYPERLINK("https://test.ictv.global/id/ICTV19790339","ICTV19790339@TEST")</f>
        <v/>
      </c>
      <c r="N1217" s="8">
        <f>HYPERLINK("https://ictv.global/id/TN19981575","TN19981575@prod")</f>
        <v/>
      </c>
      <c r="O1217" s="8">
        <f>HYPERLINK("https://ictv.global/id/ICTV19790339","ICTV19790339@prod")</f>
        <v/>
      </c>
    </row>
    <row r="1218">
      <c r="A1218" t="n">
        <v>17</v>
      </c>
      <c r="B1218" t="n">
        <v>19981576</v>
      </c>
      <c r="C1218" t="n">
        <v>19910831</v>
      </c>
      <c r="D1218" t="inlineStr">
        <is>
          <t>species</t>
        </is>
      </c>
      <c r="E1218" t="inlineStr">
        <is>
          <t>Spiroplasma phage 1</t>
        </is>
      </c>
      <c r="G1218" t="inlineStr">
        <is>
          <t>Abolished,</t>
        </is>
      </c>
      <c r="L1218" s="8">
        <f>HYPERLINK("https://test.ictv.global/id/TN19981576","TN19981576@TEST")</f>
        <v/>
      </c>
      <c r="M1218" s="8">
        <f>HYPERLINK("https://test.ictv.global/id/ICTV19910831","ICTV19910831@TEST")</f>
        <v/>
      </c>
      <c r="N1218" s="8">
        <f>HYPERLINK("https://ictv.global/id/TN19981576","TN19981576@prod")</f>
        <v/>
      </c>
      <c r="O1218" s="8">
        <f>HYPERLINK("https://ictv.global/id/ICTV19910831","ICTV19910831@prod")</f>
        <v/>
      </c>
    </row>
    <row r="1219">
      <c r="A1219" t="n">
        <v>17</v>
      </c>
      <c r="B1219" t="n">
        <v>19981578</v>
      </c>
      <c r="C1219" t="n">
        <v>19760241</v>
      </c>
      <c r="D1219" t="inlineStr">
        <is>
          <t>species</t>
        </is>
      </c>
      <c r="E1219" t="inlineStr">
        <is>
          <t>Iridescent virus 11</t>
        </is>
      </c>
      <c r="G1219" t="inlineStr">
        <is>
          <t>Abolished,</t>
        </is>
      </c>
      <c r="L1219" s="8">
        <f>HYPERLINK("https://test.ictv.global/id/TN19981578","TN19981578@TEST")</f>
        <v/>
      </c>
      <c r="M1219" s="8">
        <f>HYPERLINK("https://test.ictv.global/id/ICTV19760241","ICTV19760241@TEST")</f>
        <v/>
      </c>
      <c r="N1219" s="8">
        <f>HYPERLINK("https://ictv.global/id/TN19981578","TN19981578@prod")</f>
        <v/>
      </c>
      <c r="O1219" s="8">
        <f>HYPERLINK("https://ictv.global/id/ICTV19760241","ICTV19760241@prod")</f>
        <v/>
      </c>
    </row>
    <row r="1220">
      <c r="A1220" t="n">
        <v>17</v>
      </c>
      <c r="B1220" t="n">
        <v>19981579</v>
      </c>
      <c r="C1220" t="n">
        <v>19760242</v>
      </c>
      <c r="D1220" t="inlineStr">
        <is>
          <t>species</t>
        </is>
      </c>
      <c r="E1220" t="inlineStr">
        <is>
          <t>Iridescent virus 12</t>
        </is>
      </c>
      <c r="G1220" t="inlineStr">
        <is>
          <t>Abolished,</t>
        </is>
      </c>
      <c r="L1220" s="8">
        <f>HYPERLINK("https://test.ictv.global/id/TN19981579","TN19981579@TEST")</f>
        <v/>
      </c>
      <c r="M1220" s="8">
        <f>HYPERLINK("https://test.ictv.global/id/ICTV19760242","ICTV19760242@TEST")</f>
        <v/>
      </c>
      <c r="N1220" s="8">
        <f>HYPERLINK("https://ictv.global/id/TN19981579","TN19981579@prod")</f>
        <v/>
      </c>
      <c r="O1220" s="8">
        <f>HYPERLINK("https://ictv.global/id/ICTV19760242","ICTV19760242@prod")</f>
        <v/>
      </c>
    </row>
    <row r="1221">
      <c r="A1221" t="n">
        <v>17</v>
      </c>
      <c r="B1221" t="n">
        <v>19981580</v>
      </c>
      <c r="C1221" t="n">
        <v>19790346</v>
      </c>
      <c r="D1221" t="inlineStr">
        <is>
          <t>species</t>
        </is>
      </c>
      <c r="E1221" t="inlineStr">
        <is>
          <t>Iridescent virus 13</t>
        </is>
      </c>
      <c r="G1221" t="inlineStr">
        <is>
          <t>Abolished,</t>
        </is>
      </c>
      <c r="L1221" s="8">
        <f>HYPERLINK("https://test.ictv.global/id/TN19981580","TN19981580@TEST")</f>
        <v/>
      </c>
      <c r="M1221" s="8">
        <f>HYPERLINK("https://test.ictv.global/id/ICTV19790346","ICTV19790346@TEST")</f>
        <v/>
      </c>
      <c r="N1221" s="8">
        <f>HYPERLINK("https://ictv.global/id/TN19981580","TN19981580@prod")</f>
        <v/>
      </c>
      <c r="O1221" s="8">
        <f>HYPERLINK("https://ictv.global/id/ICTV19790346","ICTV19790346@prod")</f>
        <v/>
      </c>
    </row>
    <row r="1222">
      <c r="A1222" t="n">
        <v>17</v>
      </c>
      <c r="B1222" t="n">
        <v>19981581</v>
      </c>
      <c r="C1222" t="n">
        <v>19760243</v>
      </c>
      <c r="D1222" t="inlineStr">
        <is>
          <t>species</t>
        </is>
      </c>
      <c r="E1222" t="inlineStr">
        <is>
          <t>Iridescent virus 14</t>
        </is>
      </c>
      <c r="G1222" t="inlineStr">
        <is>
          <t>Abolished,</t>
        </is>
      </c>
      <c r="L1222" s="8">
        <f>HYPERLINK("https://test.ictv.global/id/TN19981581","TN19981581@TEST")</f>
        <v/>
      </c>
      <c r="M1222" s="8">
        <f>HYPERLINK("https://test.ictv.global/id/ICTV19760243","ICTV19760243@TEST")</f>
        <v/>
      </c>
      <c r="N1222" s="8">
        <f>HYPERLINK("https://ictv.global/id/TN19981581","TN19981581@prod")</f>
        <v/>
      </c>
      <c r="O1222" s="8">
        <f>HYPERLINK("https://ictv.global/id/ICTV19760243","ICTV19760243@prod")</f>
        <v/>
      </c>
    </row>
    <row r="1223">
      <c r="A1223" t="n">
        <v>17</v>
      </c>
      <c r="B1223" t="n">
        <v>19981582</v>
      </c>
      <c r="C1223" t="n">
        <v>19760244</v>
      </c>
      <c r="D1223" t="inlineStr">
        <is>
          <t>species</t>
        </is>
      </c>
      <c r="E1223" t="inlineStr">
        <is>
          <t>Iridescent virus 15</t>
        </is>
      </c>
      <c r="G1223" t="inlineStr">
        <is>
          <t>Abolished,</t>
        </is>
      </c>
      <c r="L1223" s="8">
        <f>HYPERLINK("https://test.ictv.global/id/TN19981582","TN19981582@TEST")</f>
        <v/>
      </c>
      <c r="M1223" s="8">
        <f>HYPERLINK("https://test.ictv.global/id/ICTV19760244","ICTV19760244@TEST")</f>
        <v/>
      </c>
      <c r="N1223" s="8">
        <f>HYPERLINK("https://ictv.global/id/TN19981582","TN19981582@prod")</f>
        <v/>
      </c>
      <c r="O1223" s="8">
        <f>HYPERLINK("https://ictv.global/id/ICTV19760244","ICTV19760244@prod")</f>
        <v/>
      </c>
    </row>
    <row r="1224">
      <c r="A1224" t="n">
        <v>17</v>
      </c>
      <c r="B1224" t="n">
        <v>19981584</v>
      </c>
      <c r="C1224" t="n">
        <v>19760246</v>
      </c>
      <c r="D1224" t="inlineStr">
        <is>
          <t>species</t>
        </is>
      </c>
      <c r="E1224" t="inlineStr">
        <is>
          <t>Iridescent virus 4</t>
        </is>
      </c>
      <c r="G1224" t="inlineStr">
        <is>
          <t>Abolished,</t>
        </is>
      </c>
      <c r="L1224" s="8">
        <f>HYPERLINK("https://test.ictv.global/id/TN19981584","TN19981584@TEST")</f>
        <v/>
      </c>
      <c r="M1224" s="8">
        <f>HYPERLINK("https://test.ictv.global/id/ICTV19760246","ICTV19760246@TEST")</f>
        <v/>
      </c>
      <c r="N1224" s="8">
        <f>HYPERLINK("https://ictv.global/id/TN19981584","TN19981584@prod")</f>
        <v/>
      </c>
      <c r="O1224" s="8">
        <f>HYPERLINK("https://ictv.global/id/ICTV19760246","ICTV19760246@prod")</f>
        <v/>
      </c>
    </row>
    <row r="1225">
      <c r="A1225" t="n">
        <v>17</v>
      </c>
      <c r="B1225" t="n">
        <v>19981585</v>
      </c>
      <c r="C1225" t="n">
        <v>19760247</v>
      </c>
      <c r="D1225" t="inlineStr">
        <is>
          <t>species</t>
        </is>
      </c>
      <c r="E1225" t="inlineStr">
        <is>
          <t>Iridescent virus 5</t>
        </is>
      </c>
      <c r="G1225" t="inlineStr">
        <is>
          <t>Abolished,</t>
        </is>
      </c>
      <c r="L1225" s="8">
        <f>HYPERLINK("https://test.ictv.global/id/TN19981585","TN19981585@TEST")</f>
        <v/>
      </c>
      <c r="M1225" s="8">
        <f>HYPERLINK("https://test.ictv.global/id/ICTV19760247","ICTV19760247@TEST")</f>
        <v/>
      </c>
      <c r="N1225" s="8">
        <f>HYPERLINK("https://ictv.global/id/TN19981585","TN19981585@prod")</f>
        <v/>
      </c>
      <c r="O1225" s="8">
        <f>HYPERLINK("https://ictv.global/id/ICTV19760247","ICTV19760247@prod")</f>
        <v/>
      </c>
    </row>
    <row r="1226">
      <c r="A1226" t="n">
        <v>17</v>
      </c>
      <c r="B1226" t="n">
        <v>19981586</v>
      </c>
      <c r="C1226" t="n">
        <v>19790369</v>
      </c>
      <c r="D1226" t="inlineStr">
        <is>
          <t>species</t>
        </is>
      </c>
      <c r="E1226" t="inlineStr">
        <is>
          <t>Iridescent virus 7</t>
        </is>
      </c>
      <c r="G1226" t="inlineStr">
        <is>
          <t>Abolished,</t>
        </is>
      </c>
      <c r="L1226" s="8">
        <f>HYPERLINK("https://test.ictv.global/id/TN19981586","TN19981586@TEST")</f>
        <v/>
      </c>
      <c r="M1226" s="8">
        <f>HYPERLINK("https://test.ictv.global/id/ICTV19790369","ICTV19790369@TEST")</f>
        <v/>
      </c>
      <c r="N1226" s="8">
        <f>HYPERLINK("https://ictv.global/id/TN19981586","TN19981586@prod")</f>
        <v/>
      </c>
      <c r="O1226" s="8">
        <f>HYPERLINK("https://ictv.global/id/ICTV19790369","ICTV19790369@prod")</f>
        <v/>
      </c>
    </row>
    <row r="1227">
      <c r="A1227" t="n">
        <v>17</v>
      </c>
      <c r="B1227" t="n">
        <v>19981587</v>
      </c>
      <c r="C1227" t="n">
        <v>19790370</v>
      </c>
      <c r="D1227" t="inlineStr">
        <is>
          <t>species</t>
        </is>
      </c>
      <c r="E1227" t="inlineStr">
        <is>
          <t>Iridescent virus 8</t>
        </is>
      </c>
      <c r="G1227" t="inlineStr">
        <is>
          <t>Abolished,</t>
        </is>
      </c>
      <c r="L1227" s="8">
        <f>HYPERLINK("https://test.ictv.global/id/TN19981587","TN19981587@TEST")</f>
        <v/>
      </c>
      <c r="M1227" s="8">
        <f>HYPERLINK("https://test.ictv.global/id/ICTV19790370","ICTV19790370@TEST")</f>
        <v/>
      </c>
      <c r="N1227" s="8">
        <f>HYPERLINK("https://ictv.global/id/TN19981587","TN19981587@prod")</f>
        <v/>
      </c>
      <c r="O1227" s="8">
        <f>HYPERLINK("https://ictv.global/id/ICTV19790370","ICTV19790370@prod")</f>
        <v/>
      </c>
    </row>
    <row r="1228">
      <c r="A1228" t="n">
        <v>17</v>
      </c>
      <c r="B1228" t="n">
        <v>19981590</v>
      </c>
      <c r="C1228" t="n">
        <v>19760263</v>
      </c>
      <c r="D1228" t="inlineStr">
        <is>
          <t>species</t>
        </is>
      </c>
      <c r="E1228" t="inlineStr">
        <is>
          <t>Iridescent virus 10</t>
        </is>
      </c>
      <c r="G1228" t="inlineStr">
        <is>
          <t>Abolished,</t>
        </is>
      </c>
      <c r="L1228" s="8">
        <f>HYPERLINK("https://test.ictv.global/id/TN19981590","TN19981590@TEST")</f>
        <v/>
      </c>
      <c r="M1228" s="8">
        <f>HYPERLINK("https://test.ictv.global/id/ICTV19760263","ICTV19760263@TEST")</f>
        <v/>
      </c>
      <c r="N1228" s="8">
        <f>HYPERLINK("https://ictv.global/id/TN19981590","TN19981590@prod")</f>
        <v/>
      </c>
      <c r="O1228" s="8">
        <f>HYPERLINK("https://ictv.global/id/ICTV19760263","ICTV19760263@prod")</f>
        <v/>
      </c>
    </row>
    <row r="1229">
      <c r="A1229" t="n">
        <v>17</v>
      </c>
      <c r="B1229" t="n">
        <v>19981591</v>
      </c>
      <c r="C1229" t="n">
        <v>19760251</v>
      </c>
      <c r="D1229" t="inlineStr">
        <is>
          <t>species</t>
        </is>
      </c>
      <c r="E1229" t="inlineStr">
        <is>
          <t>Iridescent virus 16</t>
        </is>
      </c>
      <c r="G1229" t="inlineStr">
        <is>
          <t>Abolished,</t>
        </is>
      </c>
      <c r="L1229" s="8">
        <f>HYPERLINK("https://test.ictv.global/id/TN19981591","TN19981591@TEST")</f>
        <v/>
      </c>
      <c r="M1229" s="8">
        <f>HYPERLINK("https://test.ictv.global/id/ICTV19760251","ICTV19760251@TEST")</f>
        <v/>
      </c>
      <c r="N1229" s="8">
        <f>HYPERLINK("https://ictv.global/id/TN19981591","TN19981591@prod")</f>
        <v/>
      </c>
      <c r="O1229" s="8">
        <f>HYPERLINK("https://ictv.global/id/ICTV19760251","ICTV19760251@prod")</f>
        <v/>
      </c>
    </row>
    <row r="1230">
      <c r="A1230" t="n">
        <v>17</v>
      </c>
      <c r="B1230" t="n">
        <v>19981592</v>
      </c>
      <c r="C1230" t="n">
        <v>19760258</v>
      </c>
      <c r="D1230" t="inlineStr">
        <is>
          <t>species</t>
        </is>
      </c>
      <c r="E1230" t="inlineStr">
        <is>
          <t>Iridescent virus 17</t>
        </is>
      </c>
      <c r="G1230" t="inlineStr">
        <is>
          <t>Abolished,</t>
        </is>
      </c>
      <c r="L1230" s="8">
        <f>HYPERLINK("https://test.ictv.global/id/TN19981592","TN19981592@TEST")</f>
        <v/>
      </c>
      <c r="M1230" s="8">
        <f>HYPERLINK("https://test.ictv.global/id/ICTV19760258","ICTV19760258@TEST")</f>
        <v/>
      </c>
      <c r="N1230" s="8">
        <f>HYPERLINK("https://ictv.global/id/TN19981592","TN19981592@prod")</f>
        <v/>
      </c>
      <c r="O1230" s="8">
        <f>HYPERLINK("https://ictv.global/id/ICTV19760258","ICTV19760258@prod")</f>
        <v/>
      </c>
    </row>
    <row r="1231">
      <c r="A1231" t="n">
        <v>17</v>
      </c>
      <c r="B1231" t="n">
        <v>19981593</v>
      </c>
      <c r="C1231" t="n">
        <v>19760257</v>
      </c>
      <c r="D1231" t="inlineStr">
        <is>
          <t>species</t>
        </is>
      </c>
      <c r="E1231" t="inlineStr">
        <is>
          <t>Iridescent virus 18</t>
        </is>
      </c>
      <c r="G1231" t="inlineStr">
        <is>
          <t>Abolished,</t>
        </is>
      </c>
      <c r="L1231" s="8">
        <f>HYPERLINK("https://test.ictv.global/id/TN19981593","TN19981593@TEST")</f>
        <v/>
      </c>
      <c r="M1231" s="8">
        <f>HYPERLINK("https://test.ictv.global/id/ICTV19760257","ICTV19760257@TEST")</f>
        <v/>
      </c>
      <c r="N1231" s="8">
        <f>HYPERLINK("https://ictv.global/id/TN19981593","TN19981593@prod")</f>
        <v/>
      </c>
      <c r="O1231" s="8">
        <f>HYPERLINK("https://ictv.global/id/ICTV19760257","ICTV19760257@prod")</f>
        <v/>
      </c>
    </row>
    <row r="1232">
      <c r="A1232" t="n">
        <v>17</v>
      </c>
      <c r="B1232" t="n">
        <v>19981594</v>
      </c>
      <c r="C1232" t="n">
        <v>19760256</v>
      </c>
      <c r="D1232" t="inlineStr">
        <is>
          <t>species</t>
        </is>
      </c>
      <c r="E1232" t="inlineStr">
        <is>
          <t>Iridescent virus 19</t>
        </is>
      </c>
      <c r="G1232" t="inlineStr">
        <is>
          <t>Abolished,</t>
        </is>
      </c>
      <c r="L1232" s="8">
        <f>HYPERLINK("https://test.ictv.global/id/TN19981594","TN19981594@TEST")</f>
        <v/>
      </c>
      <c r="M1232" s="8">
        <f>HYPERLINK("https://test.ictv.global/id/ICTV19760256","ICTV19760256@TEST")</f>
        <v/>
      </c>
      <c r="N1232" s="8">
        <f>HYPERLINK("https://ictv.global/id/TN19981594","TN19981594@prod")</f>
        <v/>
      </c>
      <c r="O1232" s="8">
        <f>HYPERLINK("https://ictv.global/id/ICTV19760256","ICTV19760256@prod")</f>
        <v/>
      </c>
    </row>
    <row r="1233">
      <c r="A1233" t="n">
        <v>17</v>
      </c>
      <c r="B1233" t="n">
        <v>19981595</v>
      </c>
      <c r="C1233" t="n">
        <v>19710193</v>
      </c>
      <c r="D1233" t="inlineStr">
        <is>
          <t>species</t>
        </is>
      </c>
      <c r="E1233" t="inlineStr">
        <is>
          <t>Iridescent virus 2</t>
        </is>
      </c>
      <c r="G1233" t="inlineStr">
        <is>
          <t>Abolished,</t>
        </is>
      </c>
      <c r="L1233" s="8">
        <f>HYPERLINK("https://test.ictv.global/id/TN19981595","TN19981595@TEST")</f>
        <v/>
      </c>
      <c r="M1233" s="8">
        <f>HYPERLINK("https://test.ictv.global/id/ICTV19710193","ICTV19710193@TEST")</f>
        <v/>
      </c>
      <c r="N1233" s="8">
        <f>HYPERLINK("https://ictv.global/id/TN19981595","TN19981595@prod")</f>
        <v/>
      </c>
      <c r="O1233" s="8">
        <f>HYPERLINK("https://ictv.global/id/ICTV19710193","ICTV19710193@prod")</f>
        <v/>
      </c>
    </row>
    <row r="1234">
      <c r="A1234" t="n">
        <v>17</v>
      </c>
      <c r="B1234" t="n">
        <v>19981596</v>
      </c>
      <c r="C1234" t="n">
        <v>19790354</v>
      </c>
      <c r="D1234" t="inlineStr">
        <is>
          <t>species</t>
        </is>
      </c>
      <c r="E1234" t="inlineStr">
        <is>
          <t>Iridescent virus 20</t>
        </is>
      </c>
      <c r="G1234" t="inlineStr">
        <is>
          <t>Abolished,</t>
        </is>
      </c>
      <c r="L1234" s="8">
        <f>HYPERLINK("https://test.ictv.global/id/TN19981596","TN19981596@TEST")</f>
        <v/>
      </c>
      <c r="M1234" s="8">
        <f>HYPERLINK("https://test.ictv.global/id/ICTV19790354","ICTV19790354@TEST")</f>
        <v/>
      </c>
      <c r="N1234" s="8">
        <f>HYPERLINK("https://ictv.global/id/TN19981596","TN19981596@prod")</f>
        <v/>
      </c>
      <c r="O1234" s="8">
        <f>HYPERLINK("https://ictv.global/id/ICTV19790354","ICTV19790354@prod")</f>
        <v/>
      </c>
    </row>
    <row r="1235">
      <c r="A1235" t="n">
        <v>17</v>
      </c>
      <c r="B1235" t="n">
        <v>19981597</v>
      </c>
      <c r="C1235" t="n">
        <v>19790355</v>
      </c>
      <c r="D1235" t="inlineStr">
        <is>
          <t>species</t>
        </is>
      </c>
      <c r="E1235" t="inlineStr">
        <is>
          <t>Iridescent virus 21</t>
        </is>
      </c>
      <c r="G1235" t="inlineStr">
        <is>
          <t>Abolished,</t>
        </is>
      </c>
      <c r="L1235" s="8">
        <f>HYPERLINK("https://test.ictv.global/id/TN19981597","TN19981597@TEST")</f>
        <v/>
      </c>
      <c r="M1235" s="8">
        <f>HYPERLINK("https://test.ictv.global/id/ICTV19790355","ICTV19790355@TEST")</f>
        <v/>
      </c>
      <c r="N1235" s="8">
        <f>HYPERLINK("https://ictv.global/id/TN19981597","TN19981597@prod")</f>
        <v/>
      </c>
      <c r="O1235" s="8">
        <f>HYPERLINK("https://ictv.global/id/ICTV19790355","ICTV19790355@prod")</f>
        <v/>
      </c>
    </row>
    <row r="1236">
      <c r="A1236" t="n">
        <v>17</v>
      </c>
      <c r="B1236" t="n">
        <v>19981598</v>
      </c>
      <c r="C1236" t="n">
        <v>19760260</v>
      </c>
      <c r="D1236" t="inlineStr">
        <is>
          <t>species</t>
        </is>
      </c>
      <c r="E1236" t="inlineStr">
        <is>
          <t>Iridescent virus 22</t>
        </is>
      </c>
      <c r="G1236" t="inlineStr">
        <is>
          <t>Abolished,</t>
        </is>
      </c>
      <c r="L1236" s="8">
        <f>HYPERLINK("https://test.ictv.global/id/TN19981598","TN19981598@TEST")</f>
        <v/>
      </c>
      <c r="M1236" s="8">
        <f>HYPERLINK("https://test.ictv.global/id/ICTV19760260","ICTV19760260@TEST")</f>
        <v/>
      </c>
      <c r="N1236" s="8">
        <f>HYPERLINK("https://ictv.global/id/TN19981598","TN19981598@prod")</f>
        <v/>
      </c>
      <c r="O1236" s="8">
        <f>HYPERLINK("https://ictv.global/id/ICTV19760260","ICTV19760260@prod")</f>
        <v/>
      </c>
    </row>
    <row r="1237">
      <c r="A1237" t="n">
        <v>17</v>
      </c>
      <c r="B1237" t="n">
        <v>19981599</v>
      </c>
      <c r="C1237" t="n">
        <v>19790357</v>
      </c>
      <c r="D1237" t="inlineStr">
        <is>
          <t>species</t>
        </is>
      </c>
      <c r="E1237" t="inlineStr">
        <is>
          <t>Iridescent virus 23</t>
        </is>
      </c>
      <c r="G1237" t="inlineStr">
        <is>
          <t>Abolished,</t>
        </is>
      </c>
      <c r="L1237" s="8">
        <f>HYPERLINK("https://test.ictv.global/id/TN19981599","TN19981599@TEST")</f>
        <v/>
      </c>
      <c r="M1237" s="8">
        <f>HYPERLINK("https://test.ictv.global/id/ICTV19790357","ICTV19790357@TEST")</f>
        <v/>
      </c>
      <c r="N1237" s="8">
        <f>HYPERLINK("https://ictv.global/id/TN19981599","TN19981599@prod")</f>
        <v/>
      </c>
      <c r="O1237" s="8">
        <f>HYPERLINK("https://ictv.global/id/ICTV19790357","ICTV19790357@prod")</f>
        <v/>
      </c>
    </row>
    <row r="1238">
      <c r="A1238" t="n">
        <v>17</v>
      </c>
      <c r="B1238" t="n">
        <v>19981600</v>
      </c>
      <c r="C1238" t="n">
        <v>19790358</v>
      </c>
      <c r="D1238" t="inlineStr">
        <is>
          <t>species</t>
        </is>
      </c>
      <c r="E1238" t="inlineStr">
        <is>
          <t>Iridescent virus 24</t>
        </is>
      </c>
      <c r="G1238" t="inlineStr">
        <is>
          <t>Abolished,</t>
        </is>
      </c>
      <c r="L1238" s="8">
        <f>HYPERLINK("https://test.ictv.global/id/TN19981600","TN19981600@TEST")</f>
        <v/>
      </c>
      <c r="M1238" s="8">
        <f>HYPERLINK("https://test.ictv.global/id/ICTV19790358","ICTV19790358@TEST")</f>
        <v/>
      </c>
      <c r="N1238" s="8">
        <f>HYPERLINK("https://ictv.global/id/TN19981600","TN19981600@prod")</f>
        <v/>
      </c>
      <c r="O1238" s="8">
        <f>HYPERLINK("https://ictv.global/id/ICTV19790358","ICTV19790358@prod")</f>
        <v/>
      </c>
    </row>
    <row r="1239">
      <c r="A1239" t="n">
        <v>17</v>
      </c>
      <c r="B1239" t="n">
        <v>19981601</v>
      </c>
      <c r="C1239" t="n">
        <v>19790359</v>
      </c>
      <c r="D1239" t="inlineStr">
        <is>
          <t>species</t>
        </is>
      </c>
      <c r="E1239" t="inlineStr">
        <is>
          <t>Iridescent virus 25</t>
        </is>
      </c>
      <c r="G1239" t="inlineStr">
        <is>
          <t>Abolished,</t>
        </is>
      </c>
      <c r="L1239" s="8">
        <f>HYPERLINK("https://test.ictv.global/id/TN19981601","TN19981601@TEST")</f>
        <v/>
      </c>
      <c r="M1239" s="8">
        <f>HYPERLINK("https://test.ictv.global/id/ICTV19790359","ICTV19790359@TEST")</f>
        <v/>
      </c>
      <c r="N1239" s="8">
        <f>HYPERLINK("https://ictv.global/id/TN19981601","TN19981601@prod")</f>
        <v/>
      </c>
      <c r="O1239" s="8">
        <f>HYPERLINK("https://ictv.global/id/ICTV19790359","ICTV19790359@prod")</f>
        <v/>
      </c>
    </row>
    <row r="1240">
      <c r="A1240" t="n">
        <v>17</v>
      </c>
      <c r="B1240" t="n">
        <v>19981602</v>
      </c>
      <c r="C1240" t="n">
        <v>19790360</v>
      </c>
      <c r="D1240" t="inlineStr">
        <is>
          <t>species</t>
        </is>
      </c>
      <c r="E1240" t="inlineStr">
        <is>
          <t>Iridescent virus 26</t>
        </is>
      </c>
      <c r="G1240" t="inlineStr">
        <is>
          <t>Abolished,</t>
        </is>
      </c>
      <c r="L1240" s="8">
        <f>HYPERLINK("https://test.ictv.global/id/TN19981602","TN19981602@TEST")</f>
        <v/>
      </c>
      <c r="M1240" s="8">
        <f>HYPERLINK("https://test.ictv.global/id/ICTV19790360","ICTV19790360@TEST")</f>
        <v/>
      </c>
      <c r="N1240" s="8">
        <f>HYPERLINK("https://ictv.global/id/TN19981602","TN19981602@prod")</f>
        <v/>
      </c>
      <c r="O1240" s="8">
        <f>HYPERLINK("https://ictv.global/id/ICTV19790360","ICTV19790360@prod")</f>
        <v/>
      </c>
    </row>
    <row r="1241">
      <c r="A1241" t="n">
        <v>17</v>
      </c>
      <c r="B1241" t="n">
        <v>19981603</v>
      </c>
      <c r="C1241" t="n">
        <v>19790361</v>
      </c>
      <c r="D1241" t="inlineStr">
        <is>
          <t>species</t>
        </is>
      </c>
      <c r="E1241" t="inlineStr">
        <is>
          <t>Iridescent virus 27</t>
        </is>
      </c>
      <c r="G1241" t="inlineStr">
        <is>
          <t>Abolished,</t>
        </is>
      </c>
      <c r="L1241" s="8">
        <f>HYPERLINK("https://test.ictv.global/id/TN19981603","TN19981603@TEST")</f>
        <v/>
      </c>
      <c r="M1241" s="8">
        <f>HYPERLINK("https://test.ictv.global/id/ICTV19790361","ICTV19790361@TEST")</f>
        <v/>
      </c>
      <c r="N1241" s="8">
        <f>HYPERLINK("https://ictv.global/id/TN19981603","TN19981603@prod")</f>
        <v/>
      </c>
      <c r="O1241" s="8">
        <f>HYPERLINK("https://ictv.global/id/ICTV19790361","ICTV19790361@prod")</f>
        <v/>
      </c>
    </row>
    <row r="1242">
      <c r="A1242" t="n">
        <v>17</v>
      </c>
      <c r="B1242" t="n">
        <v>19981604</v>
      </c>
      <c r="C1242" t="n">
        <v>19790362</v>
      </c>
      <c r="D1242" t="inlineStr">
        <is>
          <t>species</t>
        </is>
      </c>
      <c r="E1242" t="inlineStr">
        <is>
          <t>Iridescent virus 28</t>
        </is>
      </c>
      <c r="G1242" t="inlineStr">
        <is>
          <t>Abolished,</t>
        </is>
      </c>
      <c r="L1242" s="8">
        <f>HYPERLINK("https://test.ictv.global/id/TN19981604","TN19981604@TEST")</f>
        <v/>
      </c>
      <c r="M1242" s="8">
        <f>HYPERLINK("https://test.ictv.global/id/ICTV19790362","ICTV19790362@TEST")</f>
        <v/>
      </c>
      <c r="N1242" s="8">
        <f>HYPERLINK("https://ictv.global/id/TN19981604","TN19981604@prod")</f>
        <v/>
      </c>
      <c r="O1242" s="8">
        <f>HYPERLINK("https://ictv.global/id/ICTV19790362","ICTV19790362@prod")</f>
        <v/>
      </c>
    </row>
    <row r="1243">
      <c r="A1243" t="n">
        <v>17</v>
      </c>
      <c r="B1243" t="n">
        <v>19981605</v>
      </c>
      <c r="C1243" t="n">
        <v>19790363</v>
      </c>
      <c r="D1243" t="inlineStr">
        <is>
          <t>species</t>
        </is>
      </c>
      <c r="E1243" t="inlineStr">
        <is>
          <t>Iridescent virus 29</t>
        </is>
      </c>
      <c r="G1243" t="inlineStr">
        <is>
          <t>Abolished,</t>
        </is>
      </c>
      <c r="L1243" s="8">
        <f>HYPERLINK("https://test.ictv.global/id/TN19981605","TN19981605@TEST")</f>
        <v/>
      </c>
      <c r="M1243" s="8">
        <f>HYPERLINK("https://test.ictv.global/id/ICTV19790363","ICTV19790363@TEST")</f>
        <v/>
      </c>
      <c r="N1243" s="8">
        <f>HYPERLINK("https://ictv.global/id/TN19981605","TN19981605@prod")</f>
        <v/>
      </c>
      <c r="O1243" s="8">
        <f>HYPERLINK("https://ictv.global/id/ICTV19790363","ICTV19790363@prod")</f>
        <v/>
      </c>
    </row>
    <row r="1244">
      <c r="A1244" t="n">
        <v>17</v>
      </c>
      <c r="B1244" t="n">
        <v>19981606</v>
      </c>
      <c r="C1244" t="n">
        <v>19910860</v>
      </c>
      <c r="D1244" t="inlineStr">
        <is>
          <t>species</t>
        </is>
      </c>
      <c r="E1244" t="inlineStr">
        <is>
          <t>Iridescent virus 30</t>
        </is>
      </c>
      <c r="G1244" t="inlineStr">
        <is>
          <t>Abolished,</t>
        </is>
      </c>
      <c r="L1244" s="8">
        <f>HYPERLINK("https://test.ictv.global/id/TN19981606","TN19981606@TEST")</f>
        <v/>
      </c>
      <c r="M1244" s="8">
        <f>HYPERLINK("https://test.ictv.global/id/ICTV19910860","ICTV19910860@TEST")</f>
        <v/>
      </c>
      <c r="N1244" s="8">
        <f>HYPERLINK("https://ictv.global/id/TN19981606","TN19981606@prod")</f>
        <v/>
      </c>
      <c r="O1244" s="8">
        <f>HYPERLINK("https://ictv.global/id/ICTV19910860","ICTV19910860@prod")</f>
        <v/>
      </c>
    </row>
    <row r="1245">
      <c r="A1245" t="n">
        <v>17</v>
      </c>
      <c r="B1245" t="n">
        <v>19981607</v>
      </c>
      <c r="C1245" t="n">
        <v>19910861</v>
      </c>
      <c r="D1245" t="inlineStr">
        <is>
          <t>species</t>
        </is>
      </c>
      <c r="E1245" t="inlineStr">
        <is>
          <t>Iridescent virus 31</t>
        </is>
      </c>
      <c r="G1245" t="inlineStr">
        <is>
          <t>Abolished,</t>
        </is>
      </c>
      <c r="L1245" s="8">
        <f>HYPERLINK("https://test.ictv.global/id/TN19981607","TN19981607@TEST")</f>
        <v/>
      </c>
      <c r="M1245" s="8">
        <f>HYPERLINK("https://test.ictv.global/id/ICTV19910861","ICTV19910861@TEST")</f>
        <v/>
      </c>
      <c r="N1245" s="8">
        <f>HYPERLINK("https://ictv.global/id/TN19981607","TN19981607@prod")</f>
        <v/>
      </c>
      <c r="O1245" s="8">
        <f>HYPERLINK("https://ictv.global/id/ICTV19910861","ICTV19910861@prod")</f>
        <v/>
      </c>
    </row>
    <row r="1246">
      <c r="A1246" t="n">
        <v>17</v>
      </c>
      <c r="B1246" t="n">
        <v>19981608</v>
      </c>
      <c r="C1246" t="n">
        <v>19910862</v>
      </c>
      <c r="D1246" t="inlineStr">
        <is>
          <t>species</t>
        </is>
      </c>
      <c r="E1246" t="inlineStr">
        <is>
          <t>Iridescent virus 32</t>
        </is>
      </c>
      <c r="G1246" t="inlineStr">
        <is>
          <t>Abolished,</t>
        </is>
      </c>
      <c r="L1246" s="8">
        <f>HYPERLINK("https://test.ictv.global/id/TN19981608","TN19981608@TEST")</f>
        <v/>
      </c>
      <c r="M1246" s="8">
        <f>HYPERLINK("https://test.ictv.global/id/ICTV19910862","ICTV19910862@TEST")</f>
        <v/>
      </c>
      <c r="N1246" s="8">
        <f>HYPERLINK("https://ictv.global/id/TN19981608","TN19981608@prod")</f>
        <v/>
      </c>
      <c r="O1246" s="8">
        <f>HYPERLINK("https://ictv.global/id/ICTV19910862","ICTV19910862@prod")</f>
        <v/>
      </c>
    </row>
    <row r="1247">
      <c r="A1247" t="n">
        <v>17</v>
      </c>
      <c r="B1247" t="n">
        <v>19981609</v>
      </c>
      <c r="C1247" t="n">
        <v>19710192</v>
      </c>
      <c r="D1247" t="inlineStr">
        <is>
          <t>species</t>
        </is>
      </c>
      <c r="E1247" t="inlineStr">
        <is>
          <t>Iridescent virus 6</t>
        </is>
      </c>
      <c r="G1247" t="inlineStr">
        <is>
          <t>Abolished,</t>
        </is>
      </c>
      <c r="L1247" s="8">
        <f>HYPERLINK("https://test.ictv.global/id/TN19981609","TN19981609@TEST")</f>
        <v/>
      </c>
      <c r="M1247" s="8">
        <f>HYPERLINK("https://test.ictv.global/id/ICTV19710192","ICTV19710192@TEST")</f>
        <v/>
      </c>
      <c r="N1247" s="8">
        <f>HYPERLINK("https://ictv.global/id/TN19981609","TN19981609@prod")</f>
        <v/>
      </c>
      <c r="O1247" s="8">
        <f>HYPERLINK("https://ictv.global/id/ICTV19710192","ICTV19710192@prod")</f>
        <v/>
      </c>
    </row>
    <row r="1248">
      <c r="A1248" t="n">
        <v>17</v>
      </c>
      <c r="B1248" t="n">
        <v>19981610</v>
      </c>
      <c r="C1248" t="n">
        <v>19760262</v>
      </c>
      <c r="D1248" t="inlineStr">
        <is>
          <t>species</t>
        </is>
      </c>
      <c r="E1248" t="inlineStr">
        <is>
          <t>Iridescent virus 9</t>
        </is>
      </c>
      <c r="G1248" t="inlineStr">
        <is>
          <t>Abolished,</t>
        </is>
      </c>
      <c r="L1248" s="8">
        <f>HYPERLINK("https://test.ictv.global/id/TN19981610","TN19981610@TEST")</f>
        <v/>
      </c>
      <c r="M1248" s="8">
        <f>HYPERLINK("https://test.ictv.global/id/ICTV19760262","ICTV19760262@TEST")</f>
        <v/>
      </c>
      <c r="N1248" s="8">
        <f>HYPERLINK("https://ictv.global/id/TN19981610","TN19981610@prod")</f>
        <v/>
      </c>
      <c r="O1248" s="8">
        <f>HYPERLINK("https://ictv.global/id/ICTV19760262","ICTV19760262@prod")</f>
        <v/>
      </c>
    </row>
    <row r="1249">
      <c r="A1249" t="n">
        <v>17</v>
      </c>
      <c r="B1249" t="n">
        <v>19981611</v>
      </c>
      <c r="C1249" t="n">
        <v>19951153</v>
      </c>
      <c r="D1249" t="inlineStr">
        <is>
          <t>species</t>
        </is>
      </c>
      <c r="E1249" t="inlineStr">
        <is>
          <t>Flounder virus</t>
        </is>
      </c>
      <c r="G1249" t="inlineStr">
        <is>
          <t>Merged,</t>
        </is>
      </c>
      <c r="H1249" t="inlineStr">
        <is>
          <t>Lymphocystis disease virus 1</t>
        </is>
      </c>
      <c r="I1249" t="inlineStr">
        <is>
          <t>species</t>
        </is>
      </c>
      <c r="J1249" t="n">
        <v>19991065</v>
      </c>
      <c r="K1249" t="n">
        <v>19991065</v>
      </c>
      <c r="L1249" s="8">
        <f>HYPERLINK("https://test.ictv.global/id/TN19981611","TN19981611@TEST")</f>
        <v/>
      </c>
      <c r="M1249" s="8">
        <f>HYPERLINK("https://test.ictv.global/id/ICTV19951153","ICTV19951153@TEST")</f>
        <v/>
      </c>
      <c r="N1249" s="8">
        <f>HYPERLINK("https://ictv.global/id/TN19981611","TN19981611@prod")</f>
        <v/>
      </c>
      <c r="O1249" s="8">
        <f>HYPERLINK("https://ictv.global/id/ICTV19951153","ICTV19951153@prod")</f>
        <v/>
      </c>
    </row>
    <row r="1250">
      <c r="A1250" t="n">
        <v>17</v>
      </c>
      <c r="B1250" t="n">
        <v>19981612</v>
      </c>
      <c r="C1250" t="n">
        <v>19810473</v>
      </c>
      <c r="D1250" t="inlineStr">
        <is>
          <t>species</t>
        </is>
      </c>
      <c r="E1250" t="inlineStr">
        <is>
          <t>Lymphocystis disease virus</t>
        </is>
      </c>
      <c r="G1250" t="inlineStr">
        <is>
          <t>Merged,Assigned as Type Species,</t>
        </is>
      </c>
      <c r="H1250" t="inlineStr">
        <is>
          <t>Lymphocystis disease virus 1</t>
        </is>
      </c>
      <c r="I1250" t="inlineStr">
        <is>
          <t>species</t>
        </is>
      </c>
      <c r="J1250" t="n">
        <v>19991065</v>
      </c>
      <c r="K1250" t="n">
        <v>19991065</v>
      </c>
      <c r="L1250" s="8">
        <f>HYPERLINK("https://test.ictv.global/id/TN19981612","TN19981612@TEST")</f>
        <v/>
      </c>
      <c r="M1250" s="8">
        <f>HYPERLINK("https://test.ictv.global/id/ICTV19810473","ICTV19810473@TEST")</f>
        <v/>
      </c>
      <c r="N1250" s="8">
        <f>HYPERLINK("https://ictv.global/id/TN19981612","TN19981612@prod")</f>
        <v/>
      </c>
      <c r="O1250" s="8">
        <f>HYPERLINK("https://ictv.global/id/ICTV19810473","ICTV19810473@prod")</f>
        <v/>
      </c>
    </row>
    <row r="1251">
      <c r="A1251" t="n">
        <v>17</v>
      </c>
      <c r="B1251" t="n">
        <v>19981613</v>
      </c>
      <c r="C1251" t="n">
        <v>19820486</v>
      </c>
      <c r="D1251" t="inlineStr">
        <is>
          <t>species</t>
        </is>
      </c>
      <c r="E1251" t="inlineStr">
        <is>
          <t>Frog virus 1</t>
        </is>
      </c>
      <c r="G1251" t="inlineStr">
        <is>
          <t>Abolished,</t>
        </is>
      </c>
      <c r="L1251" s="8">
        <f>HYPERLINK("https://test.ictv.global/id/TN19981613","TN19981613@TEST")</f>
        <v/>
      </c>
      <c r="M1251" s="8">
        <f>HYPERLINK("https://test.ictv.global/id/ICTV19820486","ICTV19820486@TEST")</f>
        <v/>
      </c>
      <c r="N1251" s="8">
        <f>HYPERLINK("https://ictv.global/id/TN19981613","TN19981613@prod")</f>
        <v/>
      </c>
      <c r="O1251" s="8">
        <f>HYPERLINK("https://ictv.global/id/ICTV19820486","ICTV19820486@prod")</f>
        <v/>
      </c>
    </row>
    <row r="1252">
      <c r="A1252" t="n">
        <v>17</v>
      </c>
      <c r="B1252" t="n">
        <v>19981614</v>
      </c>
      <c r="C1252" t="n">
        <v>19820487</v>
      </c>
      <c r="D1252" t="inlineStr">
        <is>
          <t>species</t>
        </is>
      </c>
      <c r="E1252" t="inlineStr">
        <is>
          <t>Frog virus 10</t>
        </is>
      </c>
      <c r="G1252" t="inlineStr">
        <is>
          <t>Abolished,</t>
        </is>
      </c>
      <c r="L1252" s="8">
        <f>HYPERLINK("https://test.ictv.global/id/TN19981614","TN19981614@TEST")</f>
        <v/>
      </c>
      <c r="M1252" s="8">
        <f>HYPERLINK("https://test.ictv.global/id/ICTV19820487","ICTV19820487@TEST")</f>
        <v/>
      </c>
      <c r="N1252" s="8">
        <f>HYPERLINK("https://ictv.global/id/TN19981614","TN19981614@prod")</f>
        <v/>
      </c>
      <c r="O1252" s="8">
        <f>HYPERLINK("https://ictv.global/id/ICTV19820487","ICTV19820487@prod")</f>
        <v/>
      </c>
    </row>
    <row r="1253">
      <c r="A1253" t="n">
        <v>17</v>
      </c>
      <c r="B1253" t="n">
        <v>19981615</v>
      </c>
      <c r="C1253" t="n">
        <v>19820488</v>
      </c>
      <c r="D1253" t="inlineStr">
        <is>
          <t>species</t>
        </is>
      </c>
      <c r="E1253" t="inlineStr">
        <is>
          <t>Frog virus 11</t>
        </is>
      </c>
      <c r="G1253" t="inlineStr">
        <is>
          <t>Abolished,</t>
        </is>
      </c>
      <c r="L1253" s="8">
        <f>HYPERLINK("https://test.ictv.global/id/TN19981615","TN19981615@TEST")</f>
        <v/>
      </c>
      <c r="M1253" s="8">
        <f>HYPERLINK("https://test.ictv.global/id/ICTV19820488","ICTV19820488@TEST")</f>
        <v/>
      </c>
      <c r="N1253" s="8">
        <f>HYPERLINK("https://ictv.global/id/TN19981615","TN19981615@prod")</f>
        <v/>
      </c>
      <c r="O1253" s="8">
        <f>HYPERLINK("https://ictv.global/id/ICTV19820488","ICTV19820488@prod")</f>
        <v/>
      </c>
    </row>
    <row r="1254">
      <c r="A1254" t="n">
        <v>17</v>
      </c>
      <c r="B1254" t="n">
        <v>19981616</v>
      </c>
      <c r="C1254" t="n">
        <v>19820489</v>
      </c>
      <c r="D1254" t="inlineStr">
        <is>
          <t>species</t>
        </is>
      </c>
      <c r="E1254" t="inlineStr">
        <is>
          <t>Frog virus 12</t>
        </is>
      </c>
      <c r="G1254" t="inlineStr">
        <is>
          <t>Abolished,</t>
        </is>
      </c>
      <c r="L1254" s="8">
        <f>HYPERLINK("https://test.ictv.global/id/TN19981616","TN19981616@TEST")</f>
        <v/>
      </c>
      <c r="M1254" s="8">
        <f>HYPERLINK("https://test.ictv.global/id/ICTV19820489","ICTV19820489@TEST")</f>
        <v/>
      </c>
      <c r="N1254" s="8">
        <f>HYPERLINK("https://ictv.global/id/TN19981616","TN19981616@prod")</f>
        <v/>
      </c>
      <c r="O1254" s="8">
        <f>HYPERLINK("https://ictv.global/id/ICTV19820489","ICTV19820489@prod")</f>
        <v/>
      </c>
    </row>
    <row r="1255">
      <c r="A1255" t="n">
        <v>17</v>
      </c>
      <c r="B1255" t="n">
        <v>19981617</v>
      </c>
      <c r="C1255" t="n">
        <v>19820490</v>
      </c>
      <c r="D1255" t="inlineStr">
        <is>
          <t>species</t>
        </is>
      </c>
      <c r="E1255" t="inlineStr">
        <is>
          <t>Frog virus 13</t>
        </is>
      </c>
      <c r="G1255" t="inlineStr">
        <is>
          <t>Abolished,</t>
        </is>
      </c>
      <c r="L1255" s="8">
        <f>HYPERLINK("https://test.ictv.global/id/TN19981617","TN19981617@TEST")</f>
        <v/>
      </c>
      <c r="M1255" s="8">
        <f>HYPERLINK("https://test.ictv.global/id/ICTV19820490","ICTV19820490@TEST")</f>
        <v/>
      </c>
      <c r="N1255" s="8">
        <f>HYPERLINK("https://ictv.global/id/TN19981617","TN19981617@prod")</f>
        <v/>
      </c>
      <c r="O1255" s="8">
        <f>HYPERLINK("https://ictv.global/id/ICTV19820490","ICTV19820490@prod")</f>
        <v/>
      </c>
    </row>
    <row r="1256">
      <c r="A1256" t="n">
        <v>17</v>
      </c>
      <c r="B1256" t="n">
        <v>19981618</v>
      </c>
      <c r="C1256" t="n">
        <v>19820491</v>
      </c>
      <c r="D1256" t="inlineStr">
        <is>
          <t>species</t>
        </is>
      </c>
      <c r="E1256" t="inlineStr">
        <is>
          <t>Frog virus 14</t>
        </is>
      </c>
      <c r="G1256" t="inlineStr">
        <is>
          <t>Abolished,</t>
        </is>
      </c>
      <c r="L1256" s="8">
        <f>HYPERLINK("https://test.ictv.global/id/TN19981618","TN19981618@TEST")</f>
        <v/>
      </c>
      <c r="M1256" s="8">
        <f>HYPERLINK("https://test.ictv.global/id/ICTV19820491","ICTV19820491@TEST")</f>
        <v/>
      </c>
      <c r="N1256" s="8">
        <f>HYPERLINK("https://ictv.global/id/TN19981618","TN19981618@prod")</f>
        <v/>
      </c>
      <c r="O1256" s="8">
        <f>HYPERLINK("https://ictv.global/id/ICTV19820491","ICTV19820491@prod")</f>
        <v/>
      </c>
    </row>
    <row r="1257">
      <c r="A1257" t="n">
        <v>17</v>
      </c>
      <c r="B1257" t="n">
        <v>19981619</v>
      </c>
      <c r="C1257" t="n">
        <v>19820492</v>
      </c>
      <c r="D1257" t="inlineStr">
        <is>
          <t>species</t>
        </is>
      </c>
      <c r="E1257" t="inlineStr">
        <is>
          <t>Frog virus 15</t>
        </is>
      </c>
      <c r="G1257" t="inlineStr">
        <is>
          <t>Abolished,</t>
        </is>
      </c>
      <c r="L1257" s="8">
        <f>HYPERLINK("https://test.ictv.global/id/TN19981619","TN19981619@TEST")</f>
        <v/>
      </c>
      <c r="M1257" s="8">
        <f>HYPERLINK("https://test.ictv.global/id/ICTV19820492","ICTV19820492@TEST")</f>
        <v/>
      </c>
      <c r="N1257" s="8">
        <f>HYPERLINK("https://ictv.global/id/TN19981619","TN19981619@prod")</f>
        <v/>
      </c>
      <c r="O1257" s="8">
        <f>HYPERLINK("https://ictv.global/id/ICTV19820492","ICTV19820492@prod")</f>
        <v/>
      </c>
    </row>
    <row r="1258">
      <c r="A1258" t="n">
        <v>17</v>
      </c>
      <c r="B1258" t="n">
        <v>19981620</v>
      </c>
      <c r="C1258" t="n">
        <v>19820493</v>
      </c>
      <c r="D1258" t="inlineStr">
        <is>
          <t>species</t>
        </is>
      </c>
      <c r="E1258" t="inlineStr">
        <is>
          <t>Frog virus 16</t>
        </is>
      </c>
      <c r="G1258" t="inlineStr">
        <is>
          <t>Abolished,</t>
        </is>
      </c>
      <c r="L1258" s="8">
        <f>HYPERLINK("https://test.ictv.global/id/TN19981620","TN19981620@TEST")</f>
        <v/>
      </c>
      <c r="M1258" s="8">
        <f>HYPERLINK("https://test.ictv.global/id/ICTV19820493","ICTV19820493@TEST")</f>
        <v/>
      </c>
      <c r="N1258" s="8">
        <f>HYPERLINK("https://ictv.global/id/TN19981620","TN19981620@prod")</f>
        <v/>
      </c>
      <c r="O1258" s="8">
        <f>HYPERLINK("https://ictv.global/id/ICTV19820493","ICTV19820493@prod")</f>
        <v/>
      </c>
    </row>
    <row r="1259">
      <c r="A1259" t="n">
        <v>17</v>
      </c>
      <c r="B1259" t="n">
        <v>19981621</v>
      </c>
      <c r="C1259" t="n">
        <v>19820494</v>
      </c>
      <c r="D1259" t="inlineStr">
        <is>
          <t>species</t>
        </is>
      </c>
      <c r="E1259" t="inlineStr">
        <is>
          <t>Frog virus 17</t>
        </is>
      </c>
      <c r="G1259" t="inlineStr">
        <is>
          <t>Abolished,</t>
        </is>
      </c>
      <c r="L1259" s="8">
        <f>HYPERLINK("https://test.ictv.global/id/TN19981621","TN19981621@TEST")</f>
        <v/>
      </c>
      <c r="M1259" s="8">
        <f>HYPERLINK("https://test.ictv.global/id/ICTV19820494","ICTV19820494@TEST")</f>
        <v/>
      </c>
      <c r="N1259" s="8">
        <f>HYPERLINK("https://ictv.global/id/TN19981621","TN19981621@prod")</f>
        <v/>
      </c>
      <c r="O1259" s="8">
        <f>HYPERLINK("https://ictv.global/id/ICTV19820494","ICTV19820494@prod")</f>
        <v/>
      </c>
    </row>
    <row r="1260">
      <c r="A1260" t="n">
        <v>17</v>
      </c>
      <c r="B1260" t="n">
        <v>19981622</v>
      </c>
      <c r="C1260" t="n">
        <v>19820495</v>
      </c>
      <c r="D1260" t="inlineStr">
        <is>
          <t>species</t>
        </is>
      </c>
      <c r="E1260" t="inlineStr">
        <is>
          <t>Frog virus 18</t>
        </is>
      </c>
      <c r="G1260" t="inlineStr">
        <is>
          <t>Abolished,</t>
        </is>
      </c>
      <c r="L1260" s="8">
        <f>HYPERLINK("https://test.ictv.global/id/TN19981622","TN19981622@TEST")</f>
        <v/>
      </c>
      <c r="M1260" s="8">
        <f>HYPERLINK("https://test.ictv.global/id/ICTV19820495","ICTV19820495@TEST")</f>
        <v/>
      </c>
      <c r="N1260" s="8">
        <f>HYPERLINK("https://ictv.global/id/TN19981622","TN19981622@prod")</f>
        <v/>
      </c>
      <c r="O1260" s="8">
        <f>HYPERLINK("https://ictv.global/id/ICTV19820495","ICTV19820495@prod")</f>
        <v/>
      </c>
    </row>
    <row r="1261">
      <c r="A1261" t="n">
        <v>17</v>
      </c>
      <c r="B1261" t="n">
        <v>19981623</v>
      </c>
      <c r="C1261" t="n">
        <v>19820496</v>
      </c>
      <c r="D1261" t="inlineStr">
        <is>
          <t>species</t>
        </is>
      </c>
      <c r="E1261" t="inlineStr">
        <is>
          <t>Frog virus 19</t>
        </is>
      </c>
      <c r="G1261" t="inlineStr">
        <is>
          <t>Abolished,</t>
        </is>
      </c>
      <c r="L1261" s="8">
        <f>HYPERLINK("https://test.ictv.global/id/TN19981623","TN19981623@TEST")</f>
        <v/>
      </c>
      <c r="M1261" s="8">
        <f>HYPERLINK("https://test.ictv.global/id/ICTV19820496","ICTV19820496@TEST")</f>
        <v/>
      </c>
      <c r="N1261" s="8">
        <f>HYPERLINK("https://ictv.global/id/TN19981623","TN19981623@prod")</f>
        <v/>
      </c>
      <c r="O1261" s="8">
        <f>HYPERLINK("https://ictv.global/id/ICTV19820496","ICTV19820496@prod")</f>
        <v/>
      </c>
    </row>
    <row r="1262">
      <c r="A1262" t="n">
        <v>17</v>
      </c>
      <c r="B1262" t="n">
        <v>19981624</v>
      </c>
      <c r="C1262" t="n">
        <v>19820497</v>
      </c>
      <c r="D1262" t="inlineStr">
        <is>
          <t>species</t>
        </is>
      </c>
      <c r="E1262" t="inlineStr">
        <is>
          <t>Frog virus 2</t>
        </is>
      </c>
      <c r="G1262" t="inlineStr">
        <is>
          <t>Abolished,</t>
        </is>
      </c>
      <c r="L1262" s="8">
        <f>HYPERLINK("https://test.ictv.global/id/TN19981624","TN19981624@TEST")</f>
        <v/>
      </c>
      <c r="M1262" s="8">
        <f>HYPERLINK("https://test.ictv.global/id/ICTV19820497","ICTV19820497@TEST")</f>
        <v/>
      </c>
      <c r="N1262" s="8">
        <f>HYPERLINK("https://ictv.global/id/TN19981624","TN19981624@prod")</f>
        <v/>
      </c>
      <c r="O1262" s="8">
        <f>HYPERLINK("https://ictv.global/id/ICTV19820497","ICTV19820497@prod")</f>
        <v/>
      </c>
    </row>
    <row r="1263">
      <c r="A1263" t="n">
        <v>17</v>
      </c>
      <c r="B1263" t="n">
        <v>19981625</v>
      </c>
      <c r="C1263" t="n">
        <v>19820498</v>
      </c>
      <c r="D1263" t="inlineStr">
        <is>
          <t>species</t>
        </is>
      </c>
      <c r="E1263" t="inlineStr">
        <is>
          <t>Frog virus 20</t>
        </is>
      </c>
      <c r="G1263" t="inlineStr">
        <is>
          <t>Abolished,</t>
        </is>
      </c>
      <c r="L1263" s="8">
        <f>HYPERLINK("https://test.ictv.global/id/TN19981625","TN19981625@TEST")</f>
        <v/>
      </c>
      <c r="M1263" s="8">
        <f>HYPERLINK("https://test.ictv.global/id/ICTV19820498","ICTV19820498@TEST")</f>
        <v/>
      </c>
      <c r="N1263" s="8">
        <f>HYPERLINK("https://ictv.global/id/TN19981625","TN19981625@prod")</f>
        <v/>
      </c>
      <c r="O1263" s="8">
        <f>HYPERLINK("https://ictv.global/id/ICTV19820498","ICTV19820498@prod")</f>
        <v/>
      </c>
    </row>
    <row r="1264">
      <c r="A1264" t="n">
        <v>17</v>
      </c>
      <c r="B1264" t="n">
        <v>19981626</v>
      </c>
      <c r="C1264" t="n">
        <v>19820499</v>
      </c>
      <c r="D1264" t="inlineStr">
        <is>
          <t>species</t>
        </is>
      </c>
      <c r="E1264" t="inlineStr">
        <is>
          <t>Frog virus 21</t>
        </is>
      </c>
      <c r="G1264" t="inlineStr">
        <is>
          <t>Abolished,</t>
        </is>
      </c>
      <c r="L1264" s="8">
        <f>HYPERLINK("https://test.ictv.global/id/TN19981626","TN19981626@TEST")</f>
        <v/>
      </c>
      <c r="M1264" s="8">
        <f>HYPERLINK("https://test.ictv.global/id/ICTV19820499","ICTV19820499@TEST")</f>
        <v/>
      </c>
      <c r="N1264" s="8">
        <f>HYPERLINK("https://ictv.global/id/TN19981626","TN19981626@prod")</f>
        <v/>
      </c>
      <c r="O1264" s="8">
        <f>HYPERLINK("https://ictv.global/id/ICTV19820499","ICTV19820499@prod")</f>
        <v/>
      </c>
    </row>
    <row r="1265">
      <c r="A1265" t="n">
        <v>17</v>
      </c>
      <c r="B1265" t="n">
        <v>19981627</v>
      </c>
      <c r="C1265" t="n">
        <v>19820500</v>
      </c>
      <c r="D1265" t="inlineStr">
        <is>
          <t>species</t>
        </is>
      </c>
      <c r="E1265" t="inlineStr">
        <is>
          <t>Frog virus 22</t>
        </is>
      </c>
      <c r="G1265" t="inlineStr">
        <is>
          <t>Abolished,</t>
        </is>
      </c>
      <c r="L1265" s="8">
        <f>HYPERLINK("https://test.ictv.global/id/TN19981627","TN19981627@TEST")</f>
        <v/>
      </c>
      <c r="M1265" s="8">
        <f>HYPERLINK("https://test.ictv.global/id/ICTV19820500","ICTV19820500@TEST")</f>
        <v/>
      </c>
      <c r="N1265" s="8">
        <f>HYPERLINK("https://ictv.global/id/TN19981627","TN19981627@prod")</f>
        <v/>
      </c>
      <c r="O1265" s="8">
        <f>HYPERLINK("https://ictv.global/id/ICTV19820500","ICTV19820500@prod")</f>
        <v/>
      </c>
    </row>
    <row r="1266">
      <c r="A1266" t="n">
        <v>17</v>
      </c>
      <c r="B1266" t="n">
        <v>19981628</v>
      </c>
      <c r="C1266" t="n">
        <v>19820501</v>
      </c>
      <c r="D1266" t="inlineStr">
        <is>
          <t>species</t>
        </is>
      </c>
      <c r="E1266" t="inlineStr">
        <is>
          <t>Frog virus 23</t>
        </is>
      </c>
      <c r="G1266" t="inlineStr">
        <is>
          <t>Abolished,</t>
        </is>
      </c>
      <c r="L1266" s="8">
        <f>HYPERLINK("https://test.ictv.global/id/TN19981628","TN19981628@TEST")</f>
        <v/>
      </c>
      <c r="M1266" s="8">
        <f>HYPERLINK("https://test.ictv.global/id/ICTV19820501","ICTV19820501@TEST")</f>
        <v/>
      </c>
      <c r="N1266" s="8">
        <f>HYPERLINK("https://ictv.global/id/TN19981628","TN19981628@prod")</f>
        <v/>
      </c>
      <c r="O1266" s="8">
        <f>HYPERLINK("https://ictv.global/id/ICTV19820501","ICTV19820501@prod")</f>
        <v/>
      </c>
    </row>
    <row r="1267">
      <c r="A1267" t="n">
        <v>17</v>
      </c>
      <c r="B1267" t="n">
        <v>19981629</v>
      </c>
      <c r="C1267" t="n">
        <v>19820502</v>
      </c>
      <c r="D1267" t="inlineStr">
        <is>
          <t>species</t>
        </is>
      </c>
      <c r="E1267" t="inlineStr">
        <is>
          <t>Frog virus 24</t>
        </is>
      </c>
      <c r="G1267" t="inlineStr">
        <is>
          <t>Abolished,</t>
        </is>
      </c>
      <c r="L1267" s="8">
        <f>HYPERLINK("https://test.ictv.global/id/TN19981629","TN19981629@TEST")</f>
        <v/>
      </c>
      <c r="M1267" s="8">
        <f>HYPERLINK("https://test.ictv.global/id/ICTV19820502","ICTV19820502@TEST")</f>
        <v/>
      </c>
      <c r="N1267" s="8">
        <f>HYPERLINK("https://ictv.global/id/TN19981629","TN19981629@prod")</f>
        <v/>
      </c>
      <c r="O1267" s="8">
        <f>HYPERLINK("https://ictv.global/id/ICTV19820502","ICTV19820502@prod")</f>
        <v/>
      </c>
    </row>
    <row r="1268">
      <c r="A1268" t="n">
        <v>17</v>
      </c>
      <c r="B1268" t="n">
        <v>19981631</v>
      </c>
      <c r="C1268" t="n">
        <v>19820504</v>
      </c>
      <c r="D1268" t="inlineStr">
        <is>
          <t>species</t>
        </is>
      </c>
      <c r="E1268" t="inlineStr">
        <is>
          <t>Frog virus 5</t>
        </is>
      </c>
      <c r="G1268" t="inlineStr">
        <is>
          <t>Abolished,</t>
        </is>
      </c>
      <c r="L1268" s="8">
        <f>HYPERLINK("https://test.ictv.global/id/TN19981631","TN19981631@TEST")</f>
        <v/>
      </c>
      <c r="M1268" s="8">
        <f>HYPERLINK("https://test.ictv.global/id/ICTV19820504","ICTV19820504@TEST")</f>
        <v/>
      </c>
      <c r="N1268" s="8">
        <f>HYPERLINK("https://ictv.global/id/TN19981631","TN19981631@prod")</f>
        <v/>
      </c>
      <c r="O1268" s="8">
        <f>HYPERLINK("https://ictv.global/id/ICTV19820504","ICTV19820504@prod")</f>
        <v/>
      </c>
    </row>
    <row r="1269">
      <c r="A1269" t="n">
        <v>17</v>
      </c>
      <c r="B1269" t="n">
        <v>19981632</v>
      </c>
      <c r="C1269" t="n">
        <v>19820505</v>
      </c>
      <c r="D1269" t="inlineStr">
        <is>
          <t>species</t>
        </is>
      </c>
      <c r="E1269" t="inlineStr">
        <is>
          <t>Frog virus 6</t>
        </is>
      </c>
      <c r="G1269" t="inlineStr">
        <is>
          <t>Abolished,</t>
        </is>
      </c>
      <c r="L1269" s="8">
        <f>HYPERLINK("https://test.ictv.global/id/TN19981632","TN19981632@TEST")</f>
        <v/>
      </c>
      <c r="M1269" s="8">
        <f>HYPERLINK("https://test.ictv.global/id/ICTV19820505","ICTV19820505@TEST")</f>
        <v/>
      </c>
      <c r="N1269" s="8">
        <f>HYPERLINK("https://ictv.global/id/TN19981632","TN19981632@prod")</f>
        <v/>
      </c>
      <c r="O1269" s="8">
        <f>HYPERLINK("https://ictv.global/id/ICTV19820505","ICTV19820505@prod")</f>
        <v/>
      </c>
    </row>
    <row r="1270">
      <c r="A1270" t="n">
        <v>17</v>
      </c>
      <c r="B1270" t="n">
        <v>19981633</v>
      </c>
      <c r="C1270" t="n">
        <v>19820506</v>
      </c>
      <c r="D1270" t="inlineStr">
        <is>
          <t>species</t>
        </is>
      </c>
      <c r="E1270" t="inlineStr">
        <is>
          <t>Frog virus 7</t>
        </is>
      </c>
      <c r="G1270" t="inlineStr">
        <is>
          <t>Abolished,</t>
        </is>
      </c>
      <c r="L1270" s="8">
        <f>HYPERLINK("https://test.ictv.global/id/TN19981633","TN19981633@TEST")</f>
        <v/>
      </c>
      <c r="M1270" s="8">
        <f>HYPERLINK("https://test.ictv.global/id/ICTV19820506","ICTV19820506@TEST")</f>
        <v/>
      </c>
      <c r="N1270" s="8">
        <f>HYPERLINK("https://ictv.global/id/TN19981633","TN19981633@prod")</f>
        <v/>
      </c>
      <c r="O1270" s="8">
        <f>HYPERLINK("https://ictv.global/id/ICTV19820506","ICTV19820506@prod")</f>
        <v/>
      </c>
    </row>
    <row r="1271">
      <c r="A1271" t="n">
        <v>17</v>
      </c>
      <c r="B1271" t="n">
        <v>19981634</v>
      </c>
      <c r="C1271" t="n">
        <v>19820507</v>
      </c>
      <c r="D1271" t="inlineStr">
        <is>
          <t>species</t>
        </is>
      </c>
      <c r="E1271" t="inlineStr">
        <is>
          <t>Frog virus 8</t>
        </is>
      </c>
      <c r="G1271" t="inlineStr">
        <is>
          <t>Abolished,</t>
        </is>
      </c>
      <c r="L1271" s="8">
        <f>HYPERLINK("https://test.ictv.global/id/TN19981634","TN19981634@TEST")</f>
        <v/>
      </c>
      <c r="M1271" s="8">
        <f>HYPERLINK("https://test.ictv.global/id/ICTV19820507","ICTV19820507@TEST")</f>
        <v/>
      </c>
      <c r="N1271" s="8">
        <f>HYPERLINK("https://ictv.global/id/TN19981634","TN19981634@prod")</f>
        <v/>
      </c>
      <c r="O1271" s="8">
        <f>HYPERLINK("https://ictv.global/id/ICTV19820507","ICTV19820507@prod")</f>
        <v/>
      </c>
    </row>
    <row r="1272">
      <c r="A1272" t="n">
        <v>17</v>
      </c>
      <c r="B1272" t="n">
        <v>19981635</v>
      </c>
      <c r="C1272" t="n">
        <v>19820508</v>
      </c>
      <c r="D1272" t="inlineStr">
        <is>
          <t>species</t>
        </is>
      </c>
      <c r="E1272" t="inlineStr">
        <is>
          <t>Frog virus 9</t>
        </is>
      </c>
      <c r="G1272" t="inlineStr">
        <is>
          <t>Abolished,</t>
        </is>
      </c>
      <c r="L1272" s="8">
        <f>HYPERLINK("https://test.ictv.global/id/TN19981635","TN19981635@TEST")</f>
        <v/>
      </c>
      <c r="M1272" s="8">
        <f>HYPERLINK("https://test.ictv.global/id/ICTV19820508","ICTV19820508@TEST")</f>
        <v/>
      </c>
      <c r="N1272" s="8">
        <f>HYPERLINK("https://ictv.global/id/TN19981635","TN19981635@prod")</f>
        <v/>
      </c>
      <c r="O1272" s="8">
        <f>HYPERLINK("https://ictv.global/id/ICTV19820508","ICTV19820508@prod")</f>
        <v/>
      </c>
    </row>
    <row r="1273">
      <c r="A1273" t="n">
        <v>17</v>
      </c>
      <c r="B1273" t="n">
        <v>19981636</v>
      </c>
      <c r="C1273" t="n">
        <v>19820509</v>
      </c>
      <c r="D1273" t="inlineStr">
        <is>
          <t>species</t>
        </is>
      </c>
      <c r="E1273" t="inlineStr">
        <is>
          <t>Frog virus L2</t>
        </is>
      </c>
      <c r="G1273" t="inlineStr">
        <is>
          <t>Abolished,</t>
        </is>
      </c>
      <c r="L1273" s="8">
        <f>HYPERLINK("https://test.ictv.global/id/TN19981636","TN19981636@TEST")</f>
        <v/>
      </c>
      <c r="M1273" s="8">
        <f>HYPERLINK("https://test.ictv.global/id/ICTV19820509","ICTV19820509@TEST")</f>
        <v/>
      </c>
      <c r="N1273" s="8">
        <f>HYPERLINK("https://ictv.global/id/TN19981636","TN19981636@prod")</f>
        <v/>
      </c>
      <c r="O1273" s="8">
        <f>HYPERLINK("https://ictv.global/id/ICTV19820509","ICTV19820509@prod")</f>
        <v/>
      </c>
    </row>
    <row r="1274">
      <c r="A1274" t="n">
        <v>17</v>
      </c>
      <c r="B1274" t="n">
        <v>19981637</v>
      </c>
      <c r="C1274" t="n">
        <v>19820510</v>
      </c>
      <c r="D1274" t="inlineStr">
        <is>
          <t>species</t>
        </is>
      </c>
      <c r="E1274" t="inlineStr">
        <is>
          <t>Frog virus L4</t>
        </is>
      </c>
      <c r="G1274" t="inlineStr">
        <is>
          <t>Abolished,</t>
        </is>
      </c>
      <c r="L1274" s="8">
        <f>HYPERLINK("https://test.ictv.global/id/TN19981637","TN19981637@TEST")</f>
        <v/>
      </c>
      <c r="M1274" s="8">
        <f>HYPERLINK("https://test.ictv.global/id/ICTV19820510","ICTV19820510@TEST")</f>
        <v/>
      </c>
      <c r="N1274" s="8">
        <f>HYPERLINK("https://ictv.global/id/TN19981637","TN19981637@prod")</f>
        <v/>
      </c>
      <c r="O1274" s="8">
        <f>HYPERLINK("https://ictv.global/id/ICTV19820510","ICTV19820510@prod")</f>
        <v/>
      </c>
    </row>
    <row r="1275">
      <c r="A1275" t="n">
        <v>17</v>
      </c>
      <c r="B1275" t="n">
        <v>19981638</v>
      </c>
      <c r="C1275" t="n">
        <v>19820511</v>
      </c>
      <c r="D1275" t="inlineStr">
        <is>
          <t>species</t>
        </is>
      </c>
      <c r="E1275" t="inlineStr">
        <is>
          <t>Frog virus L5</t>
        </is>
      </c>
      <c r="G1275" t="inlineStr">
        <is>
          <t>Abolished,</t>
        </is>
      </c>
      <c r="L1275" s="8">
        <f>HYPERLINK("https://test.ictv.global/id/TN19981638","TN19981638@TEST")</f>
        <v/>
      </c>
      <c r="M1275" s="8">
        <f>HYPERLINK("https://test.ictv.global/id/ICTV19820511","ICTV19820511@TEST")</f>
        <v/>
      </c>
      <c r="N1275" s="8">
        <f>HYPERLINK("https://ictv.global/id/TN19981638","TN19981638@prod")</f>
        <v/>
      </c>
      <c r="O1275" s="8">
        <f>HYPERLINK("https://ictv.global/id/ICTV19820511","ICTV19820511@prod")</f>
        <v/>
      </c>
    </row>
    <row r="1276">
      <c r="A1276" t="n">
        <v>17</v>
      </c>
      <c r="B1276" t="n">
        <v>19981639</v>
      </c>
      <c r="C1276" t="n">
        <v>19820512</v>
      </c>
      <c r="D1276" t="inlineStr">
        <is>
          <t>species</t>
        </is>
      </c>
      <c r="E1276" t="inlineStr">
        <is>
          <t>Tadpole edema virus</t>
        </is>
      </c>
      <c r="G1276" t="inlineStr">
        <is>
          <t>Abolished,</t>
        </is>
      </c>
      <c r="L1276" s="8">
        <f>HYPERLINK("https://test.ictv.global/id/TN19981639","TN19981639@TEST")</f>
        <v/>
      </c>
      <c r="M1276" s="8">
        <f>HYPERLINK("https://test.ictv.global/id/ICTV19820512","ICTV19820512@TEST")</f>
        <v/>
      </c>
      <c r="N1276" s="8">
        <f>HYPERLINK("https://ictv.global/id/TN19981639","TN19981639@prod")</f>
        <v/>
      </c>
      <c r="O1276" s="8">
        <f>HYPERLINK("https://ictv.global/id/ICTV19820512","ICTV19820512@prod")</f>
        <v/>
      </c>
    </row>
    <row r="1277">
      <c r="A1277" t="n">
        <v>17</v>
      </c>
      <c r="B1277" t="n">
        <v>19981640</v>
      </c>
      <c r="C1277" t="n">
        <v>19820513</v>
      </c>
      <c r="D1277" t="inlineStr">
        <is>
          <t>species</t>
        </is>
      </c>
      <c r="E1277" t="inlineStr">
        <is>
          <t>Xenopus T21 virus</t>
        </is>
      </c>
      <c r="G1277" t="inlineStr">
        <is>
          <t>Abolished,</t>
        </is>
      </c>
      <c r="L1277" s="8">
        <f>HYPERLINK("https://test.ictv.global/id/TN19981640","TN19981640@TEST")</f>
        <v/>
      </c>
      <c r="M1277" s="8">
        <f>HYPERLINK("https://test.ictv.global/id/ICTV19820513","ICTV19820513@TEST")</f>
        <v/>
      </c>
      <c r="N1277" s="8">
        <f>HYPERLINK("https://ictv.global/id/TN19981640","TN19981640@prod")</f>
        <v/>
      </c>
      <c r="O1277" s="8">
        <f>HYPERLINK("https://ictv.global/id/ICTV19820513","ICTV19820513@prod")</f>
        <v/>
      </c>
    </row>
    <row r="1278">
      <c r="A1278" t="n">
        <v>17</v>
      </c>
      <c r="B1278" t="n">
        <v>19981641</v>
      </c>
      <c r="C1278" t="n">
        <v>19991067</v>
      </c>
      <c r="D1278" t="inlineStr">
        <is>
          <t>species</t>
        </is>
      </c>
      <c r="E1278" t="inlineStr">
        <is>
          <t>Enterobacteria phage FI</t>
        </is>
      </c>
      <c r="F1278" t="inlineStr"/>
      <c r="G1278" t="inlineStr">
        <is>
          <t>Merged,</t>
        </is>
      </c>
      <c r="H1278" t="inlineStr">
        <is>
          <t>Enterobacteria phage FI</t>
        </is>
      </c>
      <c r="I1278" t="inlineStr">
        <is>
          <t>species</t>
        </is>
      </c>
      <c r="J1278" t="n">
        <v>19991067</v>
      </c>
      <c r="K1278" t="n">
        <v>19991067</v>
      </c>
      <c r="L1278" s="8">
        <f>HYPERLINK("https://test.ictv.global/id/TN19981641","TN19981641@TEST")</f>
        <v/>
      </c>
      <c r="M1278" s="8">
        <f>HYPERLINK("https://test.ictv.global/id/ICTV19991067","ICTV19991067@TEST")</f>
        <v/>
      </c>
      <c r="N1278" s="8">
        <f>HYPERLINK("https://ictv.global/id/TN19981641","TN19981641@prod")</f>
        <v/>
      </c>
      <c r="O1278" s="8">
        <f>HYPERLINK("https://ictv.global/id/ICTV19991067","ICTV19991067@prod")</f>
        <v/>
      </c>
    </row>
    <row r="1279">
      <c r="A1279" t="n">
        <v>17</v>
      </c>
      <c r="B1279" t="n">
        <v>19981642</v>
      </c>
      <c r="C1279" t="n">
        <v>19951184</v>
      </c>
      <c r="D1279" t="inlineStr">
        <is>
          <t>species</t>
        </is>
      </c>
      <c r="E1279" t="inlineStr">
        <is>
          <t>Enterobacteria phage ID2</t>
        </is>
      </c>
      <c r="G1279" t="inlineStr">
        <is>
          <t>Merged,</t>
        </is>
      </c>
      <c r="H1279" t="inlineStr">
        <is>
          <t>Enterobacteria phage FI</t>
        </is>
      </c>
      <c r="I1279" t="inlineStr">
        <is>
          <t>species</t>
        </is>
      </c>
      <c r="J1279" t="n">
        <v>19991067</v>
      </c>
      <c r="K1279" t="n">
        <v>19991067</v>
      </c>
      <c r="L1279" s="8">
        <f>HYPERLINK("https://test.ictv.global/id/TN19981642","TN19981642@TEST")</f>
        <v/>
      </c>
      <c r="M1279" s="8">
        <f>HYPERLINK("https://test.ictv.global/id/ICTV19951184","ICTV19951184@TEST")</f>
        <v/>
      </c>
      <c r="N1279" s="8">
        <f>HYPERLINK("https://ictv.global/id/TN19981642","TN19981642@prod")</f>
        <v/>
      </c>
      <c r="O1279" s="8">
        <f>HYPERLINK("https://ictv.global/id/ICTV19951184","ICTV19951184@prod")</f>
        <v/>
      </c>
    </row>
    <row r="1280">
      <c r="A1280" t="n">
        <v>17</v>
      </c>
      <c r="B1280" t="n">
        <v>19981643</v>
      </c>
      <c r="C1280" t="n">
        <v>19951185</v>
      </c>
      <c r="D1280" t="inlineStr">
        <is>
          <t>species</t>
        </is>
      </c>
      <c r="E1280" t="inlineStr">
        <is>
          <t>Enterobacteria phage M11</t>
        </is>
      </c>
      <c r="G1280" t="inlineStr">
        <is>
          <t>Merged,Assigned as Type Species,</t>
        </is>
      </c>
      <c r="H1280" t="inlineStr">
        <is>
          <t>Enterobacteria phage Qbeta</t>
        </is>
      </c>
      <c r="I1280" t="inlineStr">
        <is>
          <t>species</t>
        </is>
      </c>
      <c r="J1280" t="n">
        <v>19991068</v>
      </c>
      <c r="K1280" t="n">
        <v>19991068</v>
      </c>
      <c r="L1280" s="8">
        <f>HYPERLINK("https://test.ictv.global/id/TN19981643","TN19981643@TEST")</f>
        <v/>
      </c>
      <c r="M1280" s="8">
        <f>HYPERLINK("https://test.ictv.global/id/ICTV19951185","ICTV19951185@TEST")</f>
        <v/>
      </c>
      <c r="N1280" s="8">
        <f>HYPERLINK("https://ictv.global/id/TN19981643","TN19981643@prod")</f>
        <v/>
      </c>
      <c r="O1280" s="8">
        <f>HYPERLINK("https://ictv.global/id/ICTV19951185","ICTV19951185@prod")</f>
        <v/>
      </c>
    </row>
    <row r="1281">
      <c r="A1281" t="n">
        <v>17</v>
      </c>
      <c r="B1281" t="n">
        <v>19981644</v>
      </c>
      <c r="C1281" t="n">
        <v>19951186</v>
      </c>
      <c r="D1281" t="inlineStr">
        <is>
          <t>species</t>
        </is>
      </c>
      <c r="E1281" t="inlineStr">
        <is>
          <t>Enterobacteria phage NL95</t>
        </is>
      </c>
      <c r="G1281" t="inlineStr">
        <is>
          <t>Merged,</t>
        </is>
      </c>
      <c r="H1281" t="inlineStr">
        <is>
          <t>Enterobacteria phage FI</t>
        </is>
      </c>
      <c r="I1281" t="inlineStr">
        <is>
          <t>species</t>
        </is>
      </c>
      <c r="J1281" t="n">
        <v>19991067</v>
      </c>
      <c r="K1281" t="n">
        <v>19991067</v>
      </c>
      <c r="L1281" s="8">
        <f>HYPERLINK("https://test.ictv.global/id/TN19981644","TN19981644@TEST")</f>
        <v/>
      </c>
      <c r="M1281" s="8">
        <f>HYPERLINK("https://test.ictv.global/id/ICTV19951186","ICTV19951186@TEST")</f>
        <v/>
      </c>
      <c r="N1281" s="8">
        <f>HYPERLINK("https://ictv.global/id/TN19981644","TN19981644@prod")</f>
        <v/>
      </c>
      <c r="O1281" s="8">
        <f>HYPERLINK("https://ictv.global/id/ICTV19951186","ICTV19951186@prod")</f>
        <v/>
      </c>
    </row>
    <row r="1282">
      <c r="A1282" t="n">
        <v>17</v>
      </c>
      <c r="B1282" t="n">
        <v>19981645</v>
      </c>
      <c r="C1282" t="n">
        <v>19991068</v>
      </c>
      <c r="D1282" t="inlineStr">
        <is>
          <t>species</t>
        </is>
      </c>
      <c r="E1282" t="inlineStr">
        <is>
          <t>Enterobacteria phage Qbeta</t>
        </is>
      </c>
      <c r="F1282" t="inlineStr"/>
      <c r="G1282" t="inlineStr">
        <is>
          <t>Merged,</t>
        </is>
      </c>
      <c r="H1282" t="inlineStr">
        <is>
          <t>Enterobacteria phage Qbeta</t>
        </is>
      </c>
      <c r="I1282" t="inlineStr">
        <is>
          <t>species</t>
        </is>
      </c>
      <c r="J1282" t="n">
        <v>19991068</v>
      </c>
      <c r="K1282" t="n">
        <v>19991068</v>
      </c>
      <c r="L1282" s="8">
        <f>HYPERLINK("https://test.ictv.global/id/TN19981645","TN19981645@TEST")</f>
        <v/>
      </c>
      <c r="M1282" s="8">
        <f>HYPERLINK("https://test.ictv.global/id/ICTV19991068","ICTV19991068@TEST")</f>
        <v/>
      </c>
      <c r="N1282" s="8">
        <f>HYPERLINK("https://ictv.global/id/TN19981645","TN19981645@prod")</f>
        <v/>
      </c>
      <c r="O1282" s="8">
        <f>HYPERLINK("https://ictv.global/id/ICTV19991068","ICTV19991068@prod")</f>
        <v/>
      </c>
    </row>
    <row r="1283">
      <c r="A1283" t="n">
        <v>17</v>
      </c>
      <c r="B1283" t="n">
        <v>19981646</v>
      </c>
      <c r="C1283" t="n">
        <v>19910895</v>
      </c>
      <c r="D1283" t="inlineStr">
        <is>
          <t>species</t>
        </is>
      </c>
      <c r="E1283" t="inlineStr">
        <is>
          <t>Enterobacteria phage SP</t>
        </is>
      </c>
      <c r="G1283" t="inlineStr">
        <is>
          <t>Merged,</t>
        </is>
      </c>
      <c r="H1283" t="inlineStr">
        <is>
          <t>Enterobacteria phage FI</t>
        </is>
      </c>
      <c r="I1283" t="inlineStr">
        <is>
          <t>species</t>
        </is>
      </c>
      <c r="J1283" t="n">
        <v>19991067</v>
      </c>
      <c r="K1283" t="n">
        <v>19991067</v>
      </c>
      <c r="L1283" s="8">
        <f>HYPERLINK("https://test.ictv.global/id/TN19981646","TN19981646@TEST")</f>
        <v/>
      </c>
      <c r="M1283" s="8">
        <f>HYPERLINK("https://test.ictv.global/id/ICTV19910895","ICTV19910895@TEST")</f>
        <v/>
      </c>
      <c r="N1283" s="8">
        <f>HYPERLINK("https://ictv.global/id/TN19981646","TN19981646@prod")</f>
        <v/>
      </c>
      <c r="O1283" s="8">
        <f>HYPERLINK("https://ictv.global/id/ICTV19910895","ICTV19910895@prod")</f>
        <v/>
      </c>
    </row>
    <row r="1284">
      <c r="A1284" t="n">
        <v>17</v>
      </c>
      <c r="B1284" t="n">
        <v>19981647</v>
      </c>
      <c r="C1284" t="n">
        <v>19951189</v>
      </c>
      <c r="D1284" t="inlineStr">
        <is>
          <t>species</t>
        </is>
      </c>
      <c r="E1284" t="inlineStr">
        <is>
          <t>Enterobacteria phage ST</t>
        </is>
      </c>
      <c r="G1284" t="inlineStr">
        <is>
          <t>Merged,Assigned as Type Species,</t>
        </is>
      </c>
      <c r="H1284" t="inlineStr">
        <is>
          <t>Enterobacteria phage Qbeta</t>
        </is>
      </c>
      <c r="I1284" t="inlineStr">
        <is>
          <t>species</t>
        </is>
      </c>
      <c r="J1284" t="n">
        <v>19991068</v>
      </c>
      <c r="K1284" t="n">
        <v>19991068</v>
      </c>
      <c r="L1284" s="8">
        <f>HYPERLINK("https://test.ictv.global/id/TN19981647","TN19981647@TEST")</f>
        <v/>
      </c>
      <c r="M1284" s="8">
        <f>HYPERLINK("https://test.ictv.global/id/ICTV19951189","ICTV19951189@TEST")</f>
        <v/>
      </c>
      <c r="N1284" s="8">
        <f>HYPERLINK("https://ictv.global/id/TN19981647","TN19981647@prod")</f>
        <v/>
      </c>
      <c r="O1284" s="8">
        <f>HYPERLINK("https://ictv.global/id/ICTV19951189","ICTV19951189@prod")</f>
        <v/>
      </c>
    </row>
    <row r="1285">
      <c r="A1285" t="n">
        <v>17</v>
      </c>
      <c r="B1285" t="n">
        <v>19981648</v>
      </c>
      <c r="C1285" t="n">
        <v>19951190</v>
      </c>
      <c r="D1285" t="inlineStr">
        <is>
          <t>species</t>
        </is>
      </c>
      <c r="E1285" t="inlineStr">
        <is>
          <t>Enterobacteria phage TW18</t>
        </is>
      </c>
      <c r="G1285" t="inlineStr">
        <is>
          <t>Merged,Assigned as Type Species,</t>
        </is>
      </c>
      <c r="H1285" t="inlineStr">
        <is>
          <t>Enterobacteria phage Qbeta</t>
        </is>
      </c>
      <c r="I1285" t="inlineStr">
        <is>
          <t>species</t>
        </is>
      </c>
      <c r="J1285" t="n">
        <v>19991068</v>
      </c>
      <c r="K1285" t="n">
        <v>19991068</v>
      </c>
      <c r="L1285" s="8">
        <f>HYPERLINK("https://test.ictv.global/id/TN19981648","TN19981648@TEST")</f>
        <v/>
      </c>
      <c r="M1285" s="8">
        <f>HYPERLINK("https://test.ictv.global/id/ICTV19951190","ICTV19951190@TEST")</f>
        <v/>
      </c>
      <c r="N1285" s="8">
        <f>HYPERLINK("https://ictv.global/id/TN19981648","TN19981648@prod")</f>
        <v/>
      </c>
      <c r="O1285" s="8">
        <f>HYPERLINK("https://ictv.global/id/ICTV19951190","ICTV19951190@prod")</f>
        <v/>
      </c>
    </row>
    <row r="1286">
      <c r="A1286" t="n">
        <v>17</v>
      </c>
      <c r="B1286" t="n">
        <v>19981649</v>
      </c>
      <c r="C1286" t="n">
        <v>19951191</v>
      </c>
      <c r="D1286" t="inlineStr">
        <is>
          <t>species</t>
        </is>
      </c>
      <c r="E1286" t="inlineStr">
        <is>
          <t>Enterobacteria phage TW28</t>
        </is>
      </c>
      <c r="G1286" t="inlineStr">
        <is>
          <t>Merged,</t>
        </is>
      </c>
      <c r="H1286" t="inlineStr">
        <is>
          <t>Enterobacteria phage FI</t>
        </is>
      </c>
      <c r="I1286" t="inlineStr">
        <is>
          <t>species</t>
        </is>
      </c>
      <c r="J1286" t="n">
        <v>19991067</v>
      </c>
      <c r="K1286" t="n">
        <v>19991067</v>
      </c>
      <c r="L1286" s="8">
        <f>HYPERLINK("https://test.ictv.global/id/TN19981649","TN19981649@TEST")</f>
        <v/>
      </c>
      <c r="M1286" s="8">
        <f>HYPERLINK("https://test.ictv.global/id/ICTV19951191","ICTV19951191@TEST")</f>
        <v/>
      </c>
      <c r="N1286" s="8">
        <f>HYPERLINK("https://ictv.global/id/TN19981649","TN19981649@prod")</f>
        <v/>
      </c>
      <c r="O1286" s="8">
        <f>HYPERLINK("https://ictv.global/id/ICTV19951191","ICTV19951191@prod")</f>
        <v/>
      </c>
    </row>
    <row r="1287">
      <c r="A1287" t="n">
        <v>17</v>
      </c>
      <c r="B1287" t="n">
        <v>19981650</v>
      </c>
      <c r="C1287" t="n">
        <v>19951192</v>
      </c>
      <c r="D1287" t="inlineStr">
        <is>
          <t>species</t>
        </is>
      </c>
      <c r="E1287" t="inlineStr">
        <is>
          <t>Enterobacteria phage VK</t>
        </is>
      </c>
      <c r="G1287" t="inlineStr">
        <is>
          <t>Merged,Assigned as Type Species,</t>
        </is>
      </c>
      <c r="H1287" t="inlineStr">
        <is>
          <t>Enterobacteria phage Qbeta</t>
        </is>
      </c>
      <c r="I1287" t="inlineStr">
        <is>
          <t>species</t>
        </is>
      </c>
      <c r="J1287" t="n">
        <v>19991068</v>
      </c>
      <c r="K1287" t="n">
        <v>19991068</v>
      </c>
      <c r="L1287" s="8">
        <f>HYPERLINK("https://test.ictv.global/id/TN19981650","TN19981650@TEST")</f>
        <v/>
      </c>
      <c r="M1287" s="8">
        <f>HYPERLINK("https://test.ictv.global/id/ICTV19951192","ICTV19951192@TEST")</f>
        <v/>
      </c>
      <c r="N1287" s="8">
        <f>HYPERLINK("https://ictv.global/id/TN19981650","TN19981650@prod")</f>
        <v/>
      </c>
      <c r="O1287" s="8">
        <f>HYPERLINK("https://ictv.global/id/ICTV19951192","ICTV19951192@prod")</f>
        <v/>
      </c>
    </row>
    <row r="1288">
      <c r="A1288" t="n">
        <v>17</v>
      </c>
      <c r="B1288" t="n">
        <v>19981651</v>
      </c>
      <c r="C1288" t="n">
        <v>19991069</v>
      </c>
      <c r="D1288" t="inlineStr">
        <is>
          <t>species</t>
        </is>
      </c>
      <c r="E1288" t="inlineStr">
        <is>
          <t>Enterobacteria phage BZ13</t>
        </is>
      </c>
      <c r="F1288" t="inlineStr"/>
      <c r="G1288" t="inlineStr">
        <is>
          <t>Merged,</t>
        </is>
      </c>
      <c r="H1288" t="inlineStr">
        <is>
          <t>Enterobacteria phage BZ13</t>
        </is>
      </c>
      <c r="I1288" t="inlineStr">
        <is>
          <t>species</t>
        </is>
      </c>
      <c r="J1288" t="n">
        <v>19991069</v>
      </c>
      <c r="K1288" t="n">
        <v>19991069</v>
      </c>
      <c r="L1288" s="8">
        <f>HYPERLINK("https://test.ictv.global/id/TN19981651","TN19981651@TEST")</f>
        <v/>
      </c>
      <c r="M1288" s="8">
        <f>HYPERLINK("https://test.ictv.global/id/ICTV19991069","ICTV19991069@TEST")</f>
        <v/>
      </c>
      <c r="N1288" s="8">
        <f>HYPERLINK("https://ictv.global/id/TN19981651","TN19981651@prod")</f>
        <v/>
      </c>
      <c r="O1288" s="8">
        <f>HYPERLINK("https://ictv.global/id/ICTV19991069","ICTV19991069@prod")</f>
        <v/>
      </c>
    </row>
    <row r="1289">
      <c r="A1289" t="n">
        <v>17</v>
      </c>
      <c r="B1289" t="n">
        <v>19981652</v>
      </c>
      <c r="C1289" t="n">
        <v>19710313</v>
      </c>
      <c r="D1289" t="inlineStr">
        <is>
          <t>species</t>
        </is>
      </c>
      <c r="E1289" t="inlineStr">
        <is>
          <t>Enterobacteria phage f2</t>
        </is>
      </c>
      <c r="G1289" t="inlineStr">
        <is>
          <t>Merged,Assigned as Type Species,</t>
        </is>
      </c>
      <c r="H1289" t="inlineStr">
        <is>
          <t>Enterobacteria phage MS2</t>
        </is>
      </c>
      <c r="I1289" t="inlineStr">
        <is>
          <t>species</t>
        </is>
      </c>
      <c r="J1289" t="n">
        <v>19991070</v>
      </c>
      <c r="K1289" t="n">
        <v>19991070</v>
      </c>
      <c r="L1289" s="8">
        <f>HYPERLINK("https://test.ictv.global/id/TN19981652","TN19981652@TEST")</f>
        <v/>
      </c>
      <c r="M1289" s="8">
        <f>HYPERLINK("https://test.ictv.global/id/ICTV19710313","ICTV19710313@TEST")</f>
        <v/>
      </c>
      <c r="N1289" s="8">
        <f>HYPERLINK("https://ictv.global/id/TN19981652","TN19981652@prod")</f>
        <v/>
      </c>
      <c r="O1289" s="8">
        <f>HYPERLINK("https://ictv.global/id/ICTV19710313","ICTV19710313@prod")</f>
        <v/>
      </c>
    </row>
    <row r="1290">
      <c r="A1290" t="n">
        <v>17</v>
      </c>
      <c r="B1290" t="n">
        <v>19981653</v>
      </c>
      <c r="C1290" t="n">
        <v>19760792</v>
      </c>
      <c r="D1290" t="inlineStr">
        <is>
          <t>species</t>
        </is>
      </c>
      <c r="E1290" t="inlineStr">
        <is>
          <t>Enterobacteria phage fr</t>
        </is>
      </c>
      <c r="G1290" t="inlineStr">
        <is>
          <t>Merged,Assigned as Type Species,</t>
        </is>
      </c>
      <c r="H1290" t="inlineStr">
        <is>
          <t>Enterobacteria phage MS2</t>
        </is>
      </c>
      <c r="I1290" t="inlineStr">
        <is>
          <t>species</t>
        </is>
      </c>
      <c r="J1290" t="n">
        <v>19991070</v>
      </c>
      <c r="K1290" t="n">
        <v>19991070</v>
      </c>
      <c r="L1290" s="8">
        <f>HYPERLINK("https://test.ictv.global/id/TN19981653","TN19981653@TEST")</f>
        <v/>
      </c>
      <c r="M1290" s="8">
        <f>HYPERLINK("https://test.ictv.global/id/ICTV19760792","ICTV19760792@TEST")</f>
        <v/>
      </c>
      <c r="N1290" s="8">
        <f>HYPERLINK("https://ictv.global/id/TN19981653","TN19981653@prod")</f>
        <v/>
      </c>
      <c r="O1290" s="8">
        <f>HYPERLINK("https://ictv.global/id/ICTV19760792","ICTV19760792@prod")</f>
        <v/>
      </c>
    </row>
    <row r="1291">
      <c r="A1291" t="n">
        <v>17</v>
      </c>
      <c r="B1291" t="n">
        <v>19981654</v>
      </c>
      <c r="C1291" t="n">
        <v>19951196</v>
      </c>
      <c r="D1291" t="inlineStr">
        <is>
          <t>species</t>
        </is>
      </c>
      <c r="E1291" t="inlineStr">
        <is>
          <t>Enterobacteria phage GA</t>
        </is>
      </c>
      <c r="G1291" t="inlineStr">
        <is>
          <t>Merged,</t>
        </is>
      </c>
      <c r="H1291" t="inlineStr">
        <is>
          <t>Enterobacteria phage BZ13</t>
        </is>
      </c>
      <c r="I1291" t="inlineStr">
        <is>
          <t>species</t>
        </is>
      </c>
      <c r="J1291" t="n">
        <v>19991069</v>
      </c>
      <c r="K1291" t="n">
        <v>19991069</v>
      </c>
      <c r="L1291" s="8">
        <f>HYPERLINK("https://test.ictv.global/id/TN19981654","TN19981654@TEST")</f>
        <v/>
      </c>
      <c r="M1291" s="8">
        <f>HYPERLINK("https://test.ictv.global/id/ICTV19951196","ICTV19951196@TEST")</f>
        <v/>
      </c>
      <c r="N1291" s="8">
        <f>HYPERLINK("https://ictv.global/id/TN19981654","TN19981654@prod")</f>
        <v/>
      </c>
      <c r="O1291" s="8">
        <f>HYPERLINK("https://ictv.global/id/ICTV19951196","ICTV19951196@prod")</f>
        <v/>
      </c>
    </row>
    <row r="1292">
      <c r="A1292" t="n">
        <v>17</v>
      </c>
      <c r="B1292" t="n">
        <v>19981655</v>
      </c>
      <c r="C1292" t="n">
        <v>19951197</v>
      </c>
      <c r="D1292" t="inlineStr">
        <is>
          <t>species</t>
        </is>
      </c>
      <c r="E1292" t="inlineStr">
        <is>
          <t>Enterobacteria phage JP34</t>
        </is>
      </c>
      <c r="G1292" t="inlineStr">
        <is>
          <t>Merged,</t>
        </is>
      </c>
      <c r="H1292" t="inlineStr">
        <is>
          <t>Enterobacteria phage BZ13</t>
        </is>
      </c>
      <c r="I1292" t="inlineStr">
        <is>
          <t>species</t>
        </is>
      </c>
      <c r="J1292" t="n">
        <v>19991069</v>
      </c>
      <c r="K1292" t="n">
        <v>19991069</v>
      </c>
      <c r="L1292" s="8">
        <f>HYPERLINK("https://test.ictv.global/id/TN19981655","TN19981655@TEST")</f>
        <v/>
      </c>
      <c r="M1292" s="8">
        <f>HYPERLINK("https://test.ictv.global/id/ICTV19951197","ICTV19951197@TEST")</f>
        <v/>
      </c>
      <c r="N1292" s="8">
        <f>HYPERLINK("https://ictv.global/id/TN19981655","TN19981655@prod")</f>
        <v/>
      </c>
      <c r="O1292" s="8">
        <f>HYPERLINK("https://ictv.global/id/ICTV19951197","ICTV19951197@prod")</f>
        <v/>
      </c>
    </row>
    <row r="1293">
      <c r="A1293" t="n">
        <v>17</v>
      </c>
      <c r="B1293" t="n">
        <v>19981656</v>
      </c>
      <c r="C1293" t="n">
        <v>19951198</v>
      </c>
      <c r="D1293" t="inlineStr">
        <is>
          <t>species</t>
        </is>
      </c>
      <c r="E1293" t="inlineStr">
        <is>
          <t>Enterobacteria phage JP501</t>
        </is>
      </c>
      <c r="G1293" t="inlineStr">
        <is>
          <t>Merged,Assigned as Type Species,</t>
        </is>
      </c>
      <c r="H1293" t="inlineStr">
        <is>
          <t>Enterobacteria phage MS2</t>
        </is>
      </c>
      <c r="I1293" t="inlineStr">
        <is>
          <t>species</t>
        </is>
      </c>
      <c r="J1293" t="n">
        <v>19991070</v>
      </c>
      <c r="K1293" t="n">
        <v>19991070</v>
      </c>
      <c r="L1293" s="8">
        <f>HYPERLINK("https://test.ictv.global/id/TN19981656","TN19981656@TEST")</f>
        <v/>
      </c>
      <c r="M1293" s="8">
        <f>HYPERLINK("https://test.ictv.global/id/ICTV19951198","ICTV19951198@TEST")</f>
        <v/>
      </c>
      <c r="N1293" s="8">
        <f>HYPERLINK("https://ictv.global/id/TN19981656","TN19981656@prod")</f>
        <v/>
      </c>
      <c r="O1293" s="8">
        <f>HYPERLINK("https://ictv.global/id/ICTV19951198","ICTV19951198@prod")</f>
        <v/>
      </c>
    </row>
    <row r="1294">
      <c r="A1294" t="n">
        <v>17</v>
      </c>
      <c r="B1294" t="n">
        <v>19981657</v>
      </c>
      <c r="C1294" t="n">
        <v>19951199</v>
      </c>
      <c r="D1294" t="inlineStr">
        <is>
          <t>species</t>
        </is>
      </c>
      <c r="E1294" t="inlineStr">
        <is>
          <t>Enterobacteria phage KU1</t>
        </is>
      </c>
      <c r="G1294" t="inlineStr">
        <is>
          <t>Merged,</t>
        </is>
      </c>
      <c r="H1294" t="inlineStr">
        <is>
          <t>Enterobacteria phage BZ13</t>
        </is>
      </c>
      <c r="I1294" t="inlineStr">
        <is>
          <t>species</t>
        </is>
      </c>
      <c r="J1294" t="n">
        <v>19991069</v>
      </c>
      <c r="K1294" t="n">
        <v>19991069</v>
      </c>
      <c r="L1294" s="8">
        <f>HYPERLINK("https://test.ictv.global/id/TN19981657","TN19981657@TEST")</f>
        <v/>
      </c>
      <c r="M1294" s="8">
        <f>HYPERLINK("https://test.ictv.global/id/ICTV19951199","ICTV19951199@TEST")</f>
        <v/>
      </c>
      <c r="N1294" s="8">
        <f>HYPERLINK("https://ictv.global/id/TN19981657","TN19981657@prod")</f>
        <v/>
      </c>
      <c r="O1294" s="8">
        <f>HYPERLINK("https://ictv.global/id/ICTV19951199","ICTV19951199@prod")</f>
        <v/>
      </c>
    </row>
    <row r="1295">
      <c r="A1295" t="n">
        <v>17</v>
      </c>
      <c r="B1295" t="n">
        <v>19981658</v>
      </c>
      <c r="C1295" t="n">
        <v>19760793</v>
      </c>
      <c r="D1295" t="inlineStr">
        <is>
          <t>species</t>
        </is>
      </c>
      <c r="E1295" t="inlineStr">
        <is>
          <t>Enterobacteria phage M12</t>
        </is>
      </c>
      <c r="G1295" t="inlineStr">
        <is>
          <t>Merged,Assigned as Type Species,</t>
        </is>
      </c>
      <c r="H1295" t="inlineStr">
        <is>
          <t>Enterobacteria phage MS2</t>
        </is>
      </c>
      <c r="I1295" t="inlineStr">
        <is>
          <t>species</t>
        </is>
      </c>
      <c r="J1295" t="n">
        <v>19991070</v>
      </c>
      <c r="K1295" t="n">
        <v>19991070</v>
      </c>
      <c r="L1295" s="8">
        <f>HYPERLINK("https://test.ictv.global/id/TN19981658","TN19981658@TEST")</f>
        <v/>
      </c>
      <c r="M1295" s="8">
        <f>HYPERLINK("https://test.ictv.global/id/ICTV19760793","ICTV19760793@TEST")</f>
        <v/>
      </c>
      <c r="N1295" s="8">
        <f>HYPERLINK("https://ictv.global/id/TN19981658","TN19981658@prod")</f>
        <v/>
      </c>
      <c r="O1295" s="8">
        <f>HYPERLINK("https://ictv.global/id/ICTV19760793","ICTV19760793@prod")</f>
        <v/>
      </c>
    </row>
    <row r="1296">
      <c r="A1296" t="n">
        <v>17</v>
      </c>
      <c r="B1296" t="n">
        <v>19981659</v>
      </c>
      <c r="C1296" t="n">
        <v>19991070</v>
      </c>
      <c r="D1296" t="inlineStr">
        <is>
          <t>species</t>
        </is>
      </c>
      <c r="E1296" t="inlineStr">
        <is>
          <t>Enterobacteria phage MS2</t>
        </is>
      </c>
      <c r="F1296" t="inlineStr"/>
      <c r="G1296" t="inlineStr">
        <is>
          <t>Merged,</t>
        </is>
      </c>
      <c r="H1296" t="inlineStr">
        <is>
          <t>Enterobacteria phage MS2</t>
        </is>
      </c>
      <c r="I1296" t="inlineStr">
        <is>
          <t>species</t>
        </is>
      </c>
      <c r="J1296" t="n">
        <v>19991070</v>
      </c>
      <c r="K1296" t="n">
        <v>19991070</v>
      </c>
      <c r="L1296" s="8">
        <f>HYPERLINK("https://test.ictv.global/id/TN19981659","TN19981659@TEST")</f>
        <v/>
      </c>
      <c r="M1296" s="8">
        <f>HYPERLINK("https://test.ictv.global/id/ICTV19991070","ICTV19991070@TEST")</f>
        <v/>
      </c>
      <c r="N1296" s="8">
        <f>HYPERLINK("https://ictv.global/id/TN19981659","TN19981659@prod")</f>
        <v/>
      </c>
      <c r="O1296" s="8">
        <f>HYPERLINK("https://ictv.global/id/ICTV19991070","ICTV19991070@prod")</f>
        <v/>
      </c>
    </row>
    <row r="1297">
      <c r="A1297" t="n">
        <v>17</v>
      </c>
      <c r="B1297" t="n">
        <v>19981660</v>
      </c>
      <c r="C1297" t="n">
        <v>19760787</v>
      </c>
      <c r="D1297" t="inlineStr">
        <is>
          <t>species</t>
        </is>
      </c>
      <c r="E1297" t="inlineStr">
        <is>
          <t>Enterobacteria phage R17</t>
        </is>
      </c>
      <c r="G1297" t="inlineStr">
        <is>
          <t>Merged,Assigned as Type Species,</t>
        </is>
      </c>
      <c r="H1297" t="inlineStr">
        <is>
          <t>Enterobacteria phage MS2</t>
        </is>
      </c>
      <c r="I1297" t="inlineStr">
        <is>
          <t>species</t>
        </is>
      </c>
      <c r="J1297" t="n">
        <v>19991070</v>
      </c>
      <c r="K1297" t="n">
        <v>19991070</v>
      </c>
      <c r="L1297" s="8">
        <f>HYPERLINK("https://test.ictv.global/id/TN19981660","TN19981660@TEST")</f>
        <v/>
      </c>
      <c r="M1297" s="8">
        <f>HYPERLINK("https://test.ictv.global/id/ICTV19760787","ICTV19760787@TEST")</f>
        <v/>
      </c>
      <c r="N1297" s="8">
        <f>HYPERLINK("https://ictv.global/id/TN19981660","TN19981660@prod")</f>
        <v/>
      </c>
      <c r="O1297" s="8">
        <f>HYPERLINK("https://ictv.global/id/ICTV19760787","ICTV19760787@prod")</f>
        <v/>
      </c>
    </row>
    <row r="1298">
      <c r="A1298" t="n">
        <v>17</v>
      </c>
      <c r="B1298" t="n">
        <v>19981661</v>
      </c>
      <c r="C1298" t="n">
        <v>19951203</v>
      </c>
      <c r="D1298" t="inlineStr">
        <is>
          <t>species</t>
        </is>
      </c>
      <c r="E1298" t="inlineStr">
        <is>
          <t>Enterobacteria phage TH1</t>
        </is>
      </c>
      <c r="G1298" t="inlineStr">
        <is>
          <t>Merged,</t>
        </is>
      </c>
      <c r="H1298" t="inlineStr">
        <is>
          <t>Enterobacteria phage BZ13</t>
        </is>
      </c>
      <c r="I1298" t="inlineStr">
        <is>
          <t>species</t>
        </is>
      </c>
      <c r="J1298" t="n">
        <v>19991069</v>
      </c>
      <c r="K1298" t="n">
        <v>19991069</v>
      </c>
      <c r="L1298" s="8">
        <f>HYPERLINK("https://test.ictv.global/id/TN19981661","TN19981661@TEST")</f>
        <v/>
      </c>
      <c r="M1298" s="8">
        <f>HYPERLINK("https://test.ictv.global/id/ICTV19951203","ICTV19951203@TEST")</f>
        <v/>
      </c>
      <c r="N1298" s="8">
        <f>HYPERLINK("https://ictv.global/id/TN19981661","TN19981661@prod")</f>
        <v/>
      </c>
      <c r="O1298" s="8">
        <f>HYPERLINK("https://ictv.global/id/ICTV19951203","ICTV19951203@prod")</f>
        <v/>
      </c>
    </row>
    <row r="1299">
      <c r="A1299" t="n">
        <v>17</v>
      </c>
      <c r="B1299" t="n">
        <v>19981662</v>
      </c>
      <c r="C1299" t="n">
        <v>19790386</v>
      </c>
      <c r="D1299" t="inlineStr">
        <is>
          <t>species</t>
        </is>
      </c>
      <c r="E1299" t="inlineStr">
        <is>
          <t>Caulobacter phage phiCb12r</t>
        </is>
      </c>
      <c r="G1299" t="inlineStr">
        <is>
          <t>Abolished,</t>
        </is>
      </c>
      <c r="L1299" s="8">
        <f>HYPERLINK("https://test.ictv.global/id/TN19981662","TN19981662@TEST")</f>
        <v/>
      </c>
      <c r="M1299" s="8">
        <f>HYPERLINK("https://test.ictv.global/id/ICTV19790386","ICTV19790386@TEST")</f>
        <v/>
      </c>
      <c r="N1299" s="8">
        <f>HYPERLINK("https://ictv.global/id/TN19981662","TN19981662@prod")</f>
        <v/>
      </c>
      <c r="O1299" s="8">
        <f>HYPERLINK("https://ictv.global/id/ICTV19790386","ICTV19790386@prod")</f>
        <v/>
      </c>
    </row>
    <row r="1300">
      <c r="A1300" t="n">
        <v>17</v>
      </c>
      <c r="B1300" t="n">
        <v>19981663</v>
      </c>
      <c r="C1300" t="n">
        <v>19910916</v>
      </c>
      <c r="D1300" t="inlineStr">
        <is>
          <t>species</t>
        </is>
      </c>
      <c r="E1300" t="inlineStr">
        <is>
          <t>Caulobacter phage phiCb2</t>
        </is>
      </c>
      <c r="G1300" t="inlineStr">
        <is>
          <t>Abolished,</t>
        </is>
      </c>
      <c r="L1300" s="8">
        <f>HYPERLINK("https://test.ictv.global/id/TN19981663","TN19981663@TEST")</f>
        <v/>
      </c>
      <c r="M1300" s="8">
        <f>HYPERLINK("https://test.ictv.global/id/ICTV19910916","ICTV19910916@TEST")</f>
        <v/>
      </c>
      <c r="N1300" s="8">
        <f>HYPERLINK("https://ictv.global/id/TN19981663","TN19981663@prod")</f>
        <v/>
      </c>
      <c r="O1300" s="8">
        <f>HYPERLINK("https://ictv.global/id/ICTV19910916","ICTV19910916@prod")</f>
        <v/>
      </c>
    </row>
    <row r="1301">
      <c r="A1301" t="n">
        <v>17</v>
      </c>
      <c r="B1301" t="n">
        <v>19981664</v>
      </c>
      <c r="C1301" t="n">
        <v>19790387</v>
      </c>
      <c r="D1301" t="inlineStr">
        <is>
          <t>species</t>
        </is>
      </c>
      <c r="E1301" t="inlineStr">
        <is>
          <t>Caulobacter phage phiCb23r</t>
        </is>
      </c>
      <c r="G1301" t="inlineStr">
        <is>
          <t>Abolished,</t>
        </is>
      </c>
      <c r="L1301" s="8">
        <f>HYPERLINK("https://test.ictv.global/id/TN19981664","TN19981664@TEST")</f>
        <v/>
      </c>
      <c r="M1301" s="8">
        <f>HYPERLINK("https://test.ictv.global/id/ICTV19790387","ICTV19790387@TEST")</f>
        <v/>
      </c>
      <c r="N1301" s="8">
        <f>HYPERLINK("https://ictv.global/id/TN19981664","TN19981664@prod")</f>
        <v/>
      </c>
      <c r="O1301" s="8">
        <f>HYPERLINK("https://ictv.global/id/ICTV19790387","ICTV19790387@prod")</f>
        <v/>
      </c>
    </row>
    <row r="1302">
      <c r="A1302" t="n">
        <v>17</v>
      </c>
      <c r="B1302" t="n">
        <v>19981665</v>
      </c>
      <c r="C1302" t="n">
        <v>19910918</v>
      </c>
      <c r="D1302" t="inlineStr">
        <is>
          <t>species</t>
        </is>
      </c>
      <c r="E1302" t="inlineStr">
        <is>
          <t>Caulobacter phage phiCb4</t>
        </is>
      </c>
      <c r="G1302" t="inlineStr">
        <is>
          <t>Abolished,</t>
        </is>
      </c>
      <c r="L1302" s="8">
        <f>HYPERLINK("https://test.ictv.global/id/TN19981665","TN19981665@TEST")</f>
        <v/>
      </c>
      <c r="M1302" s="8">
        <f>HYPERLINK("https://test.ictv.global/id/ICTV19910918","ICTV19910918@TEST")</f>
        <v/>
      </c>
      <c r="N1302" s="8">
        <f>HYPERLINK("https://ictv.global/id/TN19981665","TN19981665@prod")</f>
        <v/>
      </c>
      <c r="O1302" s="8">
        <f>HYPERLINK("https://ictv.global/id/ICTV19910918","ICTV19910918@prod")</f>
        <v/>
      </c>
    </row>
    <row r="1303">
      <c r="A1303" t="n">
        <v>17</v>
      </c>
      <c r="B1303" t="n">
        <v>19981666</v>
      </c>
      <c r="C1303" t="n">
        <v>19790388</v>
      </c>
      <c r="D1303" t="inlineStr">
        <is>
          <t>species</t>
        </is>
      </c>
      <c r="E1303" t="inlineStr">
        <is>
          <t>Caulobacter phage phiCb5</t>
        </is>
      </c>
      <c r="G1303" t="inlineStr">
        <is>
          <t>Abolished,</t>
        </is>
      </c>
      <c r="L1303" s="8">
        <f>HYPERLINK("https://test.ictv.global/id/TN19981666","TN19981666@TEST")</f>
        <v/>
      </c>
      <c r="M1303" s="8">
        <f>HYPERLINK("https://test.ictv.global/id/ICTV19790388","ICTV19790388@TEST")</f>
        <v/>
      </c>
      <c r="N1303" s="8">
        <f>HYPERLINK("https://ictv.global/id/TN19981666","TN19981666@prod")</f>
        <v/>
      </c>
      <c r="O1303" s="8">
        <f>HYPERLINK("https://ictv.global/id/ICTV19790388","ICTV19790388@prod")</f>
        <v/>
      </c>
    </row>
    <row r="1304">
      <c r="A1304" t="n">
        <v>17</v>
      </c>
      <c r="B1304" t="n">
        <v>19981667</v>
      </c>
      <c r="C1304" t="n">
        <v>19790389</v>
      </c>
      <c r="D1304" t="inlineStr">
        <is>
          <t>species</t>
        </is>
      </c>
      <c r="E1304" t="inlineStr">
        <is>
          <t>Caulobacter phage phiCb8r</t>
        </is>
      </c>
      <c r="G1304" t="inlineStr">
        <is>
          <t>Abolished,</t>
        </is>
      </c>
      <c r="L1304" s="8">
        <f>HYPERLINK("https://test.ictv.global/id/TN19981667","TN19981667@TEST")</f>
        <v/>
      </c>
      <c r="M1304" s="8">
        <f>HYPERLINK("https://test.ictv.global/id/ICTV19790389","ICTV19790389@TEST")</f>
        <v/>
      </c>
      <c r="N1304" s="8">
        <f>HYPERLINK("https://ictv.global/id/TN19981667","TN19981667@prod")</f>
        <v/>
      </c>
      <c r="O1304" s="8">
        <f>HYPERLINK("https://ictv.global/id/ICTV19790389","ICTV19790389@prod")</f>
        <v/>
      </c>
    </row>
    <row r="1305">
      <c r="A1305" t="n">
        <v>17</v>
      </c>
      <c r="B1305" t="n">
        <v>19981668</v>
      </c>
      <c r="C1305" t="n">
        <v>19910921</v>
      </c>
      <c r="D1305" t="inlineStr">
        <is>
          <t>species</t>
        </is>
      </c>
      <c r="E1305" t="inlineStr">
        <is>
          <t>Caulobacter phage phiCb9</t>
        </is>
      </c>
      <c r="G1305" t="inlineStr">
        <is>
          <t>Abolished,</t>
        </is>
      </c>
      <c r="L1305" s="8">
        <f>HYPERLINK("https://test.ictv.global/id/TN19981668","TN19981668@TEST")</f>
        <v/>
      </c>
      <c r="M1305" s="8">
        <f>HYPERLINK("https://test.ictv.global/id/ICTV19910921","ICTV19910921@TEST")</f>
        <v/>
      </c>
      <c r="N1305" s="8">
        <f>HYPERLINK("https://ictv.global/id/TN19981668","TN19981668@prod")</f>
        <v/>
      </c>
      <c r="O1305" s="8">
        <f>HYPERLINK("https://ictv.global/id/ICTV19910921","ICTV19910921@prod")</f>
        <v/>
      </c>
    </row>
    <row r="1306">
      <c r="A1306" t="n">
        <v>17</v>
      </c>
      <c r="B1306" t="n">
        <v>19981669</v>
      </c>
      <c r="C1306" t="n">
        <v>19820530</v>
      </c>
      <c r="D1306" t="inlineStr">
        <is>
          <t>species</t>
        </is>
      </c>
      <c r="E1306" t="inlineStr">
        <is>
          <t>Caulobacter phage phiCP18</t>
        </is>
      </c>
      <c r="G1306" t="inlineStr">
        <is>
          <t>Abolished,</t>
        </is>
      </c>
      <c r="L1306" s="8">
        <f>HYPERLINK("https://test.ictv.global/id/TN19981669","TN19981669@TEST")</f>
        <v/>
      </c>
      <c r="M1306" s="8">
        <f>HYPERLINK("https://test.ictv.global/id/ICTV19820530","ICTV19820530@TEST")</f>
        <v/>
      </c>
      <c r="N1306" s="8">
        <f>HYPERLINK("https://ictv.global/id/TN19981669","TN19981669@prod")</f>
        <v/>
      </c>
      <c r="O1306" s="8">
        <f>HYPERLINK("https://ictv.global/id/ICTV19820530","ICTV19820530@prod")</f>
        <v/>
      </c>
    </row>
    <row r="1307">
      <c r="A1307" t="n">
        <v>17</v>
      </c>
      <c r="B1307" t="n">
        <v>19981670</v>
      </c>
      <c r="C1307" t="n">
        <v>19820531</v>
      </c>
      <c r="D1307" t="inlineStr">
        <is>
          <t>species</t>
        </is>
      </c>
      <c r="E1307" t="inlineStr">
        <is>
          <t>Caulobacter phage phiCP2</t>
        </is>
      </c>
      <c r="G1307" t="inlineStr">
        <is>
          <t>Abolished,</t>
        </is>
      </c>
      <c r="L1307" s="8">
        <f>HYPERLINK("https://test.ictv.global/id/TN19981670","TN19981670@TEST")</f>
        <v/>
      </c>
      <c r="M1307" s="8">
        <f>HYPERLINK("https://test.ictv.global/id/ICTV19820531","ICTV19820531@TEST")</f>
        <v/>
      </c>
      <c r="N1307" s="8">
        <f>HYPERLINK("https://ictv.global/id/TN19981670","TN19981670@prod")</f>
        <v/>
      </c>
      <c r="O1307" s="8">
        <f>HYPERLINK("https://ictv.global/id/ICTV19820531","ICTV19820531@prod")</f>
        <v/>
      </c>
    </row>
    <row r="1308">
      <c r="A1308" t="n">
        <v>17</v>
      </c>
      <c r="B1308" t="n">
        <v>19981671</v>
      </c>
      <c r="C1308" t="n">
        <v>19820532</v>
      </c>
      <c r="D1308" t="inlineStr">
        <is>
          <t>species</t>
        </is>
      </c>
      <c r="E1308" t="inlineStr">
        <is>
          <t>Caulobacter phage phiCr14</t>
        </is>
      </c>
      <c r="G1308" t="inlineStr">
        <is>
          <t>Abolished,</t>
        </is>
      </c>
      <c r="L1308" s="8">
        <f>HYPERLINK("https://test.ictv.global/id/TN19981671","TN19981671@TEST")</f>
        <v/>
      </c>
      <c r="M1308" s="8">
        <f>HYPERLINK("https://test.ictv.global/id/ICTV19820532","ICTV19820532@TEST")</f>
        <v/>
      </c>
      <c r="N1308" s="8">
        <f>HYPERLINK("https://ictv.global/id/TN19981671","TN19981671@prod")</f>
        <v/>
      </c>
      <c r="O1308" s="8">
        <f>HYPERLINK("https://ictv.global/id/ICTV19820532","ICTV19820532@prod")</f>
        <v/>
      </c>
    </row>
    <row r="1309">
      <c r="A1309" t="n">
        <v>17</v>
      </c>
      <c r="B1309" t="n">
        <v>19981672</v>
      </c>
      <c r="C1309" t="n">
        <v>19820533</v>
      </c>
      <c r="D1309" t="inlineStr">
        <is>
          <t>species</t>
        </is>
      </c>
      <c r="E1309" t="inlineStr">
        <is>
          <t>Caulobacter phage phiCr28</t>
        </is>
      </c>
      <c r="G1309" t="inlineStr">
        <is>
          <t>Abolished,</t>
        </is>
      </c>
      <c r="L1309" s="8">
        <f>HYPERLINK("https://test.ictv.global/id/TN19981672","TN19981672@TEST")</f>
        <v/>
      </c>
      <c r="M1309" s="8">
        <f>HYPERLINK("https://test.ictv.global/id/ICTV19820533","ICTV19820533@TEST")</f>
        <v/>
      </c>
      <c r="N1309" s="8">
        <f>HYPERLINK("https://ictv.global/id/TN19981672","TN19981672@prod")</f>
        <v/>
      </c>
      <c r="O1309" s="8">
        <f>HYPERLINK("https://ictv.global/id/ICTV19820533","ICTV19820533@prod")</f>
        <v/>
      </c>
    </row>
    <row r="1310">
      <c r="A1310" t="n">
        <v>17</v>
      </c>
      <c r="B1310" t="n">
        <v>19981673</v>
      </c>
      <c r="C1310" t="n">
        <v>19790390</v>
      </c>
      <c r="D1310" t="inlineStr">
        <is>
          <t>species</t>
        </is>
      </c>
      <c r="E1310" t="inlineStr">
        <is>
          <t>Caulobacter phage PP7</t>
        </is>
      </c>
      <c r="G1310" t="inlineStr">
        <is>
          <t>Abolished,</t>
        </is>
      </c>
      <c r="L1310" s="8">
        <f>HYPERLINK("https://test.ictv.global/id/TN19981673","TN19981673@TEST")</f>
        <v/>
      </c>
      <c r="M1310" s="8">
        <f>HYPERLINK("https://test.ictv.global/id/ICTV19790390","ICTV19790390@TEST")</f>
        <v/>
      </c>
      <c r="N1310" s="8">
        <f>HYPERLINK("https://ictv.global/id/TN19981673","TN19981673@prod")</f>
        <v/>
      </c>
      <c r="O1310" s="8">
        <f>HYPERLINK("https://ictv.global/id/ICTV19790390","ICTV19790390@prod")</f>
        <v/>
      </c>
    </row>
    <row r="1311">
      <c r="A1311" t="n">
        <v>17</v>
      </c>
      <c r="B1311" t="n">
        <v>19981674</v>
      </c>
      <c r="C1311" t="n">
        <v>19760788</v>
      </c>
      <c r="D1311" t="inlineStr">
        <is>
          <t>species</t>
        </is>
      </c>
      <c r="E1311" t="inlineStr">
        <is>
          <t>Enterobacteria phage alpha15</t>
        </is>
      </c>
      <c r="G1311" t="inlineStr">
        <is>
          <t>Abolished,</t>
        </is>
      </c>
      <c r="L1311" s="8">
        <f>HYPERLINK("https://test.ictv.global/id/TN19981674","TN19981674@TEST")</f>
        <v/>
      </c>
      <c r="M1311" s="8">
        <f>HYPERLINK("https://test.ictv.global/id/ICTV19760788","ICTV19760788@TEST")</f>
        <v/>
      </c>
      <c r="N1311" s="8">
        <f>HYPERLINK("https://ictv.global/id/TN19981674","TN19981674@prod")</f>
        <v/>
      </c>
      <c r="O1311" s="8">
        <f>HYPERLINK("https://ictv.global/id/ICTV19760788","ICTV19760788@prod")</f>
        <v/>
      </c>
    </row>
    <row r="1312">
      <c r="A1312" t="n">
        <v>17</v>
      </c>
      <c r="B1312" t="n">
        <v>19981675</v>
      </c>
      <c r="C1312" t="n">
        <v>19790376</v>
      </c>
      <c r="D1312" t="inlineStr">
        <is>
          <t>species</t>
        </is>
      </c>
      <c r="E1312" t="inlineStr">
        <is>
          <t>Enterobacteria phage B6</t>
        </is>
      </c>
      <c r="G1312" t="inlineStr">
        <is>
          <t>Abolished,</t>
        </is>
      </c>
      <c r="L1312" s="8">
        <f>HYPERLINK("https://test.ictv.global/id/TN19981675","TN19981675@TEST")</f>
        <v/>
      </c>
      <c r="M1312" s="8">
        <f>HYPERLINK("https://test.ictv.global/id/ICTV19790376","ICTV19790376@TEST")</f>
        <v/>
      </c>
      <c r="N1312" s="8">
        <f>HYPERLINK("https://ictv.global/id/TN19981675","TN19981675@prod")</f>
        <v/>
      </c>
      <c r="O1312" s="8">
        <f>HYPERLINK("https://ictv.global/id/ICTV19790376","ICTV19790376@prod")</f>
        <v/>
      </c>
    </row>
    <row r="1313">
      <c r="A1313" t="n">
        <v>17</v>
      </c>
      <c r="B1313" t="n">
        <v>19981676</v>
      </c>
      <c r="C1313" t="n">
        <v>19790377</v>
      </c>
      <c r="D1313" t="inlineStr">
        <is>
          <t>species</t>
        </is>
      </c>
      <c r="E1313" t="inlineStr">
        <is>
          <t>Enterobacteria phage B7</t>
        </is>
      </c>
      <c r="G1313" t="inlineStr">
        <is>
          <t>Abolished,</t>
        </is>
      </c>
      <c r="L1313" s="8">
        <f>HYPERLINK("https://test.ictv.global/id/TN19981676","TN19981676@TEST")</f>
        <v/>
      </c>
      <c r="M1313" s="8">
        <f>HYPERLINK("https://test.ictv.global/id/ICTV19790377","ICTV19790377@TEST")</f>
        <v/>
      </c>
      <c r="N1313" s="8">
        <f>HYPERLINK("https://ictv.global/id/TN19981676","TN19981676@prod")</f>
        <v/>
      </c>
      <c r="O1313" s="8">
        <f>HYPERLINK("https://ictv.global/id/ICTV19790377","ICTV19790377@prod")</f>
        <v/>
      </c>
    </row>
    <row r="1314">
      <c r="A1314" t="n">
        <v>17</v>
      </c>
      <c r="B1314" t="n">
        <v>19981677</v>
      </c>
      <c r="C1314" t="n">
        <v>19760789</v>
      </c>
      <c r="D1314" t="inlineStr">
        <is>
          <t>species</t>
        </is>
      </c>
      <c r="E1314" t="inlineStr">
        <is>
          <t>Enterobacteria phage beta</t>
        </is>
      </c>
      <c r="G1314" t="inlineStr">
        <is>
          <t>Abolished,</t>
        </is>
      </c>
      <c r="L1314" s="8">
        <f>HYPERLINK("https://test.ictv.global/id/TN19981677","TN19981677@TEST")</f>
        <v/>
      </c>
      <c r="M1314" s="8">
        <f>HYPERLINK("https://test.ictv.global/id/ICTV19760789","ICTV19760789@TEST")</f>
        <v/>
      </c>
      <c r="N1314" s="8">
        <f>HYPERLINK("https://ictv.global/id/TN19981677","TN19981677@prod")</f>
        <v/>
      </c>
      <c r="O1314" s="8">
        <f>HYPERLINK("https://ictv.global/id/ICTV19760789","ICTV19760789@prod")</f>
        <v/>
      </c>
    </row>
    <row r="1315">
      <c r="A1315" t="n">
        <v>17</v>
      </c>
      <c r="B1315" t="n">
        <v>19981678</v>
      </c>
      <c r="C1315" t="n">
        <v>19910908</v>
      </c>
      <c r="D1315" t="inlineStr">
        <is>
          <t>species</t>
        </is>
      </c>
      <c r="E1315" t="inlineStr">
        <is>
          <t>Enterobacteria phage C-1</t>
        </is>
      </c>
      <c r="G1315" t="inlineStr">
        <is>
          <t>Abolished,</t>
        </is>
      </c>
      <c r="L1315" s="8">
        <f>HYPERLINK("https://test.ictv.global/id/TN19981678","TN19981678@TEST")</f>
        <v/>
      </c>
      <c r="M1315" s="8">
        <f>HYPERLINK("https://test.ictv.global/id/ICTV19910908","ICTV19910908@TEST")</f>
        <v/>
      </c>
      <c r="N1315" s="8">
        <f>HYPERLINK("https://ictv.global/id/TN19981678","TN19981678@prod")</f>
        <v/>
      </c>
      <c r="O1315" s="8">
        <f>HYPERLINK("https://ictv.global/id/ICTV19910908","ICTV19910908@prod")</f>
        <v/>
      </c>
    </row>
    <row r="1316">
      <c r="A1316" t="n">
        <v>17</v>
      </c>
      <c r="B1316" t="n">
        <v>19981679</v>
      </c>
      <c r="C1316" t="n">
        <v>19910909</v>
      </c>
      <c r="D1316" t="inlineStr">
        <is>
          <t>species</t>
        </is>
      </c>
      <c r="E1316" t="inlineStr">
        <is>
          <t>Enterobacteria phage C2</t>
        </is>
      </c>
      <c r="G1316" t="inlineStr">
        <is>
          <t>Abolished,</t>
        </is>
      </c>
      <c r="L1316" s="8">
        <f>HYPERLINK("https://test.ictv.global/id/TN19981679","TN19981679@TEST")</f>
        <v/>
      </c>
      <c r="M1316" s="8">
        <f>HYPERLINK("https://test.ictv.global/id/ICTV19910909","ICTV19910909@TEST")</f>
        <v/>
      </c>
      <c r="N1316" s="8">
        <f>HYPERLINK("https://ictv.global/id/TN19981679","TN19981679@prod")</f>
        <v/>
      </c>
      <c r="O1316" s="8">
        <f>HYPERLINK("https://ictv.global/id/ICTV19910909","ICTV19910909@prod")</f>
        <v/>
      </c>
    </row>
    <row r="1317">
      <c r="A1317" t="n">
        <v>17</v>
      </c>
      <c r="B1317" t="n">
        <v>19981680</v>
      </c>
      <c r="C1317" t="n">
        <v>19760790</v>
      </c>
      <c r="D1317" t="inlineStr">
        <is>
          <t>species</t>
        </is>
      </c>
      <c r="E1317" t="inlineStr">
        <is>
          <t>Enterobacteria phage fcan</t>
        </is>
      </c>
      <c r="G1317" t="inlineStr">
        <is>
          <t>Abolished,</t>
        </is>
      </c>
      <c r="L1317" s="8">
        <f>HYPERLINK("https://test.ictv.global/id/TN19981680","TN19981680@TEST")</f>
        <v/>
      </c>
      <c r="M1317" s="8">
        <f>HYPERLINK("https://test.ictv.global/id/ICTV19760790","ICTV19760790@TEST")</f>
        <v/>
      </c>
      <c r="N1317" s="8">
        <f>HYPERLINK("https://ictv.global/id/TN19981680","TN19981680@prod")</f>
        <v/>
      </c>
      <c r="O1317" s="8">
        <f>HYPERLINK("https://ictv.global/id/ICTV19760790","ICTV19760790@prod")</f>
        <v/>
      </c>
    </row>
    <row r="1318">
      <c r="A1318" t="n">
        <v>17</v>
      </c>
      <c r="B1318" t="n">
        <v>19981681</v>
      </c>
      <c r="C1318" t="n">
        <v>19910911</v>
      </c>
      <c r="D1318" t="inlineStr">
        <is>
          <t>species</t>
        </is>
      </c>
      <c r="E1318" t="inlineStr">
        <is>
          <t>Enterobacteria phage Folac</t>
        </is>
      </c>
      <c r="G1318" t="inlineStr">
        <is>
          <t>Abolished,</t>
        </is>
      </c>
      <c r="L1318" s="8">
        <f>HYPERLINK("https://test.ictv.global/id/TN19981681","TN19981681@TEST")</f>
        <v/>
      </c>
      <c r="M1318" s="8">
        <f>HYPERLINK("https://test.ictv.global/id/ICTV19910911","ICTV19910911@TEST")</f>
        <v/>
      </c>
      <c r="N1318" s="8">
        <f>HYPERLINK("https://ictv.global/id/TN19981681","TN19981681@prod")</f>
        <v/>
      </c>
      <c r="O1318" s="8">
        <f>HYPERLINK("https://ictv.global/id/ICTV19910911","ICTV19910911@prod")</f>
        <v/>
      </c>
    </row>
    <row r="1319">
      <c r="A1319" t="n">
        <v>17</v>
      </c>
      <c r="B1319" t="n">
        <v>19981682</v>
      </c>
      <c r="C1319" t="n">
        <v>19910912</v>
      </c>
      <c r="D1319" t="inlineStr">
        <is>
          <t>species</t>
        </is>
      </c>
      <c r="E1319" t="inlineStr">
        <is>
          <t>Enterobacteria phage Ialpha</t>
        </is>
      </c>
      <c r="G1319" t="inlineStr">
        <is>
          <t>Abolished,</t>
        </is>
      </c>
      <c r="L1319" s="8">
        <f>HYPERLINK("https://test.ictv.global/id/TN19981682","TN19981682@TEST")</f>
        <v/>
      </c>
      <c r="M1319" s="8">
        <f>HYPERLINK("https://test.ictv.global/id/ICTV19910912","ICTV19910912@TEST")</f>
        <v/>
      </c>
      <c r="N1319" s="8">
        <f>HYPERLINK("https://ictv.global/id/TN19981682","TN19981682@prod")</f>
        <v/>
      </c>
      <c r="O1319" s="8">
        <f>HYPERLINK("https://ictv.global/id/ICTV19910912","ICTV19910912@prod")</f>
        <v/>
      </c>
    </row>
    <row r="1320">
      <c r="A1320" t="n">
        <v>17</v>
      </c>
      <c r="B1320" t="n">
        <v>19981683</v>
      </c>
      <c r="C1320" t="n">
        <v>19910913</v>
      </c>
      <c r="D1320" t="inlineStr">
        <is>
          <t>species</t>
        </is>
      </c>
      <c r="E1320" t="inlineStr">
        <is>
          <t>Enterobacteria phage M</t>
        </is>
      </c>
      <c r="G1320" t="inlineStr">
        <is>
          <t>Abolished,</t>
        </is>
      </c>
      <c r="L1320" s="8">
        <f>HYPERLINK("https://test.ictv.global/id/TN19981683","TN19981683@TEST")</f>
        <v/>
      </c>
      <c r="M1320" s="8">
        <f>HYPERLINK("https://test.ictv.global/id/ICTV19910913","ICTV19910913@TEST")</f>
        <v/>
      </c>
      <c r="N1320" s="8">
        <f>HYPERLINK("https://ictv.global/id/TN19981683","TN19981683@prod")</f>
        <v/>
      </c>
      <c r="O1320" s="8">
        <f>HYPERLINK("https://ictv.global/id/ICTV19910913","ICTV19910913@prod")</f>
        <v/>
      </c>
    </row>
    <row r="1321">
      <c r="A1321" t="n">
        <v>17</v>
      </c>
      <c r="B1321" t="n">
        <v>19981684</v>
      </c>
      <c r="C1321" t="n">
        <v>19760795</v>
      </c>
      <c r="D1321" t="inlineStr">
        <is>
          <t>species</t>
        </is>
      </c>
      <c r="E1321" t="inlineStr">
        <is>
          <t>Enterobacteria phage mu2</t>
        </is>
      </c>
      <c r="G1321" t="inlineStr">
        <is>
          <t>Abolished,</t>
        </is>
      </c>
      <c r="L1321" s="8">
        <f>HYPERLINK("https://test.ictv.global/id/TN19981684","TN19981684@TEST")</f>
        <v/>
      </c>
      <c r="M1321" s="8">
        <f>HYPERLINK("https://test.ictv.global/id/ICTV19760795","ICTV19760795@TEST")</f>
        <v/>
      </c>
      <c r="N1321" s="8">
        <f>HYPERLINK("https://ictv.global/id/TN19981684","TN19981684@prod")</f>
        <v/>
      </c>
      <c r="O1321" s="8">
        <f>HYPERLINK("https://ictv.global/id/ICTV19760795","ICTV19760795@prod")</f>
        <v/>
      </c>
    </row>
    <row r="1322">
      <c r="A1322" t="n">
        <v>17</v>
      </c>
      <c r="B1322" t="n">
        <v>19981685</v>
      </c>
      <c r="C1322" t="n">
        <v>19910926</v>
      </c>
      <c r="D1322" t="inlineStr">
        <is>
          <t>species</t>
        </is>
      </c>
      <c r="E1322" t="inlineStr">
        <is>
          <t>Enterobacteria phage pilHalpha</t>
        </is>
      </c>
      <c r="G1322" t="inlineStr">
        <is>
          <t>Abolished,</t>
        </is>
      </c>
      <c r="L1322" s="8">
        <f>HYPERLINK("https://test.ictv.global/id/TN19981685","TN19981685@TEST")</f>
        <v/>
      </c>
      <c r="M1322" s="8">
        <f>HYPERLINK("https://test.ictv.global/id/ICTV19910926","ICTV19910926@TEST")</f>
        <v/>
      </c>
      <c r="N1322" s="8">
        <f>HYPERLINK("https://ictv.global/id/TN19981685","TN19981685@prod")</f>
        <v/>
      </c>
      <c r="O1322" s="8">
        <f>HYPERLINK("https://ictv.global/id/ICTV19910926","ICTV19910926@prod")</f>
        <v/>
      </c>
    </row>
    <row r="1323">
      <c r="A1323" t="n">
        <v>17</v>
      </c>
      <c r="B1323" t="n">
        <v>19981686</v>
      </c>
      <c r="C1323" t="n">
        <v>19760797</v>
      </c>
      <c r="D1323" t="inlineStr">
        <is>
          <t>species</t>
        </is>
      </c>
      <c r="E1323" t="inlineStr">
        <is>
          <t>Enterobacteria phage R23</t>
        </is>
      </c>
      <c r="G1323" t="inlineStr">
        <is>
          <t>Abolished,</t>
        </is>
      </c>
      <c r="L1323" s="8">
        <f>HYPERLINK("https://test.ictv.global/id/TN19981686","TN19981686@TEST")</f>
        <v/>
      </c>
      <c r="M1323" s="8">
        <f>HYPERLINK("https://test.ictv.global/id/ICTV19760797","ICTV19760797@TEST")</f>
        <v/>
      </c>
      <c r="N1323" s="8">
        <f>HYPERLINK("https://ictv.global/id/TN19981686","TN19981686@prod")</f>
        <v/>
      </c>
      <c r="O1323" s="8">
        <f>HYPERLINK("https://ictv.global/id/ICTV19760797","ICTV19760797@prod")</f>
        <v/>
      </c>
    </row>
    <row r="1324">
      <c r="A1324" t="n">
        <v>17</v>
      </c>
      <c r="B1324" t="n">
        <v>19981687</v>
      </c>
      <c r="C1324" t="n">
        <v>19760798</v>
      </c>
      <c r="D1324" t="inlineStr">
        <is>
          <t>species</t>
        </is>
      </c>
      <c r="E1324" t="inlineStr">
        <is>
          <t>Enterobacteria phage R34</t>
        </is>
      </c>
      <c r="G1324" t="inlineStr">
        <is>
          <t>Abolished,</t>
        </is>
      </c>
      <c r="L1324" s="8">
        <f>HYPERLINK("https://test.ictv.global/id/TN19981687","TN19981687@TEST")</f>
        <v/>
      </c>
      <c r="M1324" s="8">
        <f>HYPERLINK("https://test.ictv.global/id/ICTV19760798","ICTV19760798@TEST")</f>
        <v/>
      </c>
      <c r="N1324" s="8">
        <f>HYPERLINK("https://ictv.global/id/TN19981687","TN19981687@prod")</f>
        <v/>
      </c>
      <c r="O1324" s="8">
        <f>HYPERLINK("https://ictv.global/id/ICTV19760798","ICTV19760798@prod")</f>
        <v/>
      </c>
    </row>
    <row r="1325">
      <c r="A1325" t="n">
        <v>17</v>
      </c>
      <c r="B1325" t="n">
        <v>19981688</v>
      </c>
      <c r="C1325" t="n">
        <v>19910931</v>
      </c>
      <c r="D1325" t="inlineStr">
        <is>
          <t>species</t>
        </is>
      </c>
      <c r="E1325" t="inlineStr">
        <is>
          <t>Enterobacteria phage tau</t>
        </is>
      </c>
      <c r="G1325" t="inlineStr">
        <is>
          <t>Abolished,</t>
        </is>
      </c>
      <c r="L1325" s="8">
        <f>HYPERLINK("https://test.ictv.global/id/TN19981688","TN19981688@TEST")</f>
        <v/>
      </c>
      <c r="M1325" s="8">
        <f>HYPERLINK("https://test.ictv.global/id/ICTV19910931","ICTV19910931@TEST")</f>
        <v/>
      </c>
      <c r="N1325" s="8">
        <f>HYPERLINK("https://ictv.global/id/TN19981688","TN19981688@prod")</f>
        <v/>
      </c>
      <c r="O1325" s="8">
        <f>HYPERLINK("https://ictv.global/id/ICTV19910931","ICTV19910931@prod")</f>
        <v/>
      </c>
    </row>
    <row r="1326">
      <c r="A1326" t="n">
        <v>17</v>
      </c>
      <c r="B1326" t="n">
        <v>19981689</v>
      </c>
      <c r="C1326" t="n">
        <v>19760800</v>
      </c>
      <c r="D1326" t="inlineStr">
        <is>
          <t>species</t>
        </is>
      </c>
      <c r="E1326" t="inlineStr">
        <is>
          <t>Enterobacteria phage ZG/1</t>
        </is>
      </c>
      <c r="G1326" t="inlineStr">
        <is>
          <t>Abolished,</t>
        </is>
      </c>
      <c r="L1326" s="8">
        <f>HYPERLINK("https://test.ictv.global/id/TN19981689","TN19981689@TEST")</f>
        <v/>
      </c>
      <c r="M1326" s="8">
        <f>HYPERLINK("https://test.ictv.global/id/ICTV19760800","ICTV19760800@TEST")</f>
        <v/>
      </c>
      <c r="N1326" s="8">
        <f>HYPERLINK("https://ictv.global/id/TN19981689","TN19981689@prod")</f>
        <v/>
      </c>
      <c r="O1326" s="8">
        <f>HYPERLINK("https://ictv.global/id/ICTV19760800","ICTV19760800@prod")</f>
        <v/>
      </c>
    </row>
    <row r="1327">
      <c r="A1327" t="n">
        <v>17</v>
      </c>
      <c r="B1327" t="n">
        <v>19981690</v>
      </c>
      <c r="C1327" t="n">
        <v>19790397</v>
      </c>
      <c r="D1327" t="inlineStr">
        <is>
          <t>species</t>
        </is>
      </c>
      <c r="E1327" t="inlineStr">
        <is>
          <t>Enterobacteria phage ZIK/1</t>
        </is>
      </c>
      <c r="G1327" t="inlineStr">
        <is>
          <t>Abolished,</t>
        </is>
      </c>
      <c r="L1327" s="8">
        <f>HYPERLINK("https://test.ictv.global/id/TN19981690","TN19981690@TEST")</f>
        <v/>
      </c>
      <c r="M1327" s="8">
        <f>HYPERLINK("https://test.ictv.global/id/ICTV19790397","ICTV19790397@TEST")</f>
        <v/>
      </c>
      <c r="N1327" s="8">
        <f>HYPERLINK("https://ictv.global/id/TN19981690","TN19981690@prod")</f>
        <v/>
      </c>
      <c r="O1327" s="8">
        <f>HYPERLINK("https://ictv.global/id/ICTV19790397","ICTV19790397@prod")</f>
        <v/>
      </c>
    </row>
    <row r="1328">
      <c r="A1328" t="n">
        <v>17</v>
      </c>
      <c r="B1328" t="n">
        <v>19981691</v>
      </c>
      <c r="C1328" t="n">
        <v>19760801</v>
      </c>
      <c r="D1328" t="inlineStr">
        <is>
          <t>species</t>
        </is>
      </c>
      <c r="E1328" t="inlineStr">
        <is>
          <t>Enterobacteria phage ZJ/1</t>
        </is>
      </c>
      <c r="G1328" t="inlineStr">
        <is>
          <t>Abolished,</t>
        </is>
      </c>
      <c r="L1328" s="8">
        <f>HYPERLINK("https://test.ictv.global/id/TN19981691","TN19981691@TEST")</f>
        <v/>
      </c>
      <c r="M1328" s="8">
        <f>HYPERLINK("https://test.ictv.global/id/ICTV19760801","ICTV19760801@TEST")</f>
        <v/>
      </c>
      <c r="N1328" s="8">
        <f>HYPERLINK("https://ictv.global/id/TN19981691","TN19981691@prod")</f>
        <v/>
      </c>
      <c r="O1328" s="8">
        <f>HYPERLINK("https://ictv.global/id/ICTV19760801","ICTV19760801@prod")</f>
        <v/>
      </c>
    </row>
    <row r="1329">
      <c r="A1329" t="n">
        <v>17</v>
      </c>
      <c r="B1329" t="n">
        <v>19981692</v>
      </c>
      <c r="C1329" t="n">
        <v>19760802</v>
      </c>
      <c r="D1329" t="inlineStr">
        <is>
          <t>species</t>
        </is>
      </c>
      <c r="E1329" t="inlineStr">
        <is>
          <t>Enterobacteria phage ZL/3</t>
        </is>
      </c>
      <c r="G1329" t="inlineStr">
        <is>
          <t>Abolished,</t>
        </is>
      </c>
      <c r="L1329" s="8">
        <f>HYPERLINK("https://test.ictv.global/id/TN19981692","TN19981692@TEST")</f>
        <v/>
      </c>
      <c r="M1329" s="8">
        <f>HYPERLINK("https://test.ictv.global/id/ICTV19760802","ICTV19760802@TEST")</f>
        <v/>
      </c>
      <c r="N1329" s="8">
        <f>HYPERLINK("https://ictv.global/id/TN19981692","TN19981692@prod")</f>
        <v/>
      </c>
      <c r="O1329" s="8">
        <f>HYPERLINK("https://ictv.global/id/ICTV19760802","ICTV19760802@prod")</f>
        <v/>
      </c>
    </row>
    <row r="1330">
      <c r="A1330" t="n">
        <v>17</v>
      </c>
      <c r="B1330" t="n">
        <v>19981693</v>
      </c>
      <c r="C1330" t="n">
        <v>19760803</v>
      </c>
      <c r="D1330" t="inlineStr">
        <is>
          <t>species</t>
        </is>
      </c>
      <c r="E1330" t="inlineStr">
        <is>
          <t>Enterobacteria phage ZS/3</t>
        </is>
      </c>
      <c r="G1330" t="inlineStr">
        <is>
          <t>Abolished,</t>
        </is>
      </c>
      <c r="L1330" s="8">
        <f>HYPERLINK("https://test.ictv.global/id/TN19981693","TN19981693@TEST")</f>
        <v/>
      </c>
      <c r="M1330" s="8">
        <f>HYPERLINK("https://test.ictv.global/id/ICTV19760803","ICTV19760803@TEST")</f>
        <v/>
      </c>
      <c r="N1330" s="8">
        <f>HYPERLINK("https://ictv.global/id/TN19981693","TN19981693@prod")</f>
        <v/>
      </c>
      <c r="O1330" s="8">
        <f>HYPERLINK("https://ictv.global/id/ICTV19760803","ICTV19760803@prod")</f>
        <v/>
      </c>
    </row>
    <row r="1331">
      <c r="A1331" t="n">
        <v>17</v>
      </c>
      <c r="B1331" t="n">
        <v>19981694</v>
      </c>
      <c r="C1331" t="n">
        <v>19790374</v>
      </c>
      <c r="D1331" t="inlineStr">
        <is>
          <t>species</t>
        </is>
      </c>
      <c r="E1331" t="inlineStr">
        <is>
          <t>Pseudomonas phage 7s</t>
        </is>
      </c>
      <c r="G1331" t="inlineStr">
        <is>
          <t>Abolished,</t>
        </is>
      </c>
      <c r="L1331" s="8">
        <f>HYPERLINK("https://test.ictv.global/id/TN19981694","TN19981694@TEST")</f>
        <v/>
      </c>
      <c r="M1331" s="8">
        <f>HYPERLINK("https://test.ictv.global/id/ICTV19790374","ICTV19790374@TEST")</f>
        <v/>
      </c>
      <c r="N1331" s="8">
        <f>HYPERLINK("https://ictv.global/id/TN19981694","TN19981694@prod")</f>
        <v/>
      </c>
      <c r="O1331" s="8">
        <f>HYPERLINK("https://ictv.global/id/ICTV19790374","ICTV19790374@prod")</f>
        <v/>
      </c>
    </row>
    <row r="1332">
      <c r="A1332" t="n">
        <v>17</v>
      </c>
      <c r="B1332" t="n">
        <v>19981695</v>
      </c>
      <c r="C1332" t="n">
        <v>19910928</v>
      </c>
      <c r="D1332" t="inlineStr">
        <is>
          <t>species</t>
        </is>
      </c>
      <c r="E1332" t="inlineStr">
        <is>
          <t>Pseudomonas phage PRR1</t>
        </is>
      </c>
      <c r="G1332" t="inlineStr">
        <is>
          <t>Abolished,</t>
        </is>
      </c>
      <c r="L1332" s="8">
        <f>HYPERLINK("https://test.ictv.global/id/TN19981695","TN19981695@TEST")</f>
        <v/>
      </c>
      <c r="M1332" s="8">
        <f>HYPERLINK("https://test.ictv.global/id/ICTV19910928","ICTV19910928@TEST")</f>
        <v/>
      </c>
      <c r="N1332" s="8">
        <f>HYPERLINK("https://ictv.global/id/TN19981695","TN19981695@prod")</f>
        <v/>
      </c>
      <c r="O1332" s="8">
        <f>HYPERLINK("https://ictv.global/id/ICTV19910928","ICTV19910928@prod")</f>
        <v/>
      </c>
    </row>
    <row r="1333">
      <c r="A1333" t="n">
        <v>17</v>
      </c>
      <c r="B1333" t="n">
        <v>19981698</v>
      </c>
      <c r="C1333" t="n">
        <v>19951241</v>
      </c>
      <c r="D1333" t="inlineStr">
        <is>
          <t>species</t>
        </is>
      </c>
      <c r="E1333" t="inlineStr">
        <is>
          <t>Thermoproteus virus 4</t>
        </is>
      </c>
      <c r="G1333" t="inlineStr">
        <is>
          <t>Abolished,</t>
        </is>
      </c>
      <c r="L1333" s="8">
        <f>HYPERLINK("https://test.ictv.global/id/TN19981698","TN19981698@TEST")</f>
        <v/>
      </c>
      <c r="M1333" s="8">
        <f>HYPERLINK("https://test.ictv.global/id/ICTV19951241","ICTV19951241@TEST")</f>
        <v/>
      </c>
      <c r="N1333" s="8">
        <f>HYPERLINK("https://ictv.global/id/TN19981698","TN19981698@prod")</f>
        <v/>
      </c>
      <c r="O1333" s="8">
        <f>HYPERLINK("https://ictv.global/id/ICTV19951241","ICTV19951241@prod")</f>
        <v/>
      </c>
    </row>
    <row r="1334">
      <c r="A1334" t="n">
        <v>17</v>
      </c>
      <c r="B1334" t="n">
        <v>19981699</v>
      </c>
      <c r="C1334" t="n">
        <v>19951240</v>
      </c>
      <c r="D1334" t="inlineStr">
        <is>
          <t>species</t>
        </is>
      </c>
      <c r="E1334" t="inlineStr">
        <is>
          <t>Thermoproteus virus 3</t>
        </is>
      </c>
      <c r="G1334" t="inlineStr">
        <is>
          <t>Abolished,</t>
        </is>
      </c>
      <c r="L1334" s="8">
        <f>HYPERLINK("https://test.ictv.global/id/TN19981699","TN19981699@TEST")</f>
        <v/>
      </c>
      <c r="M1334" s="8">
        <f>HYPERLINK("https://test.ictv.global/id/ICTV19951240","ICTV19951240@TEST")</f>
        <v/>
      </c>
      <c r="N1334" s="8">
        <f>HYPERLINK("https://ictv.global/id/TN19981699","TN19981699@prod")</f>
        <v/>
      </c>
      <c r="O1334" s="8">
        <f>HYPERLINK("https://ictv.global/id/ICTV19951240","ICTV19951240@prod")</f>
        <v/>
      </c>
    </row>
    <row r="1335">
      <c r="A1335" t="n">
        <v>17</v>
      </c>
      <c r="B1335" t="n">
        <v>19981702</v>
      </c>
      <c r="C1335" t="n">
        <v>19952389</v>
      </c>
      <c r="D1335" t="inlineStr">
        <is>
          <t>species</t>
        </is>
      </c>
      <c r="E1335" t="inlineStr">
        <is>
          <t>Barley yellow dwarf virus-PAV</t>
        </is>
      </c>
      <c r="F1335" t="inlineStr">
        <is>
          <t>X07653</t>
        </is>
      </c>
      <c r="G1335" t="inlineStr">
        <is>
          <t>Merged,</t>
        </is>
      </c>
      <c r="H1335" t="inlineStr">
        <is>
          <t>Barley yellow dwarf virus-PAV</t>
        </is>
      </c>
      <c r="I1335" t="inlineStr">
        <is>
          <t>species</t>
        </is>
      </c>
      <c r="J1335" t="n">
        <v>19952389</v>
      </c>
      <c r="K1335" t="n">
        <v>19991075</v>
      </c>
      <c r="L1335" s="8">
        <f>HYPERLINK("https://test.ictv.global/id/TN19981702","TN19981702@TEST")</f>
        <v/>
      </c>
      <c r="M1335" s="8">
        <f>HYPERLINK("https://test.ictv.global/id/ICTV19952389","ICTV19952389@TEST")</f>
        <v/>
      </c>
      <c r="N1335" s="8">
        <f>HYPERLINK("https://ictv.global/id/TN19981702","TN19981702@prod")</f>
        <v/>
      </c>
      <c r="O1335" s="8">
        <f>HYPERLINK("https://ictv.global/id/ICTV19952389","ICTV19952389@prod")</f>
        <v/>
      </c>
    </row>
    <row r="1336">
      <c r="A1336" t="n">
        <v>17</v>
      </c>
      <c r="B1336" t="n">
        <v>19981703</v>
      </c>
      <c r="C1336" t="n">
        <v>19952390</v>
      </c>
      <c r="D1336" t="inlineStr">
        <is>
          <t>species</t>
        </is>
      </c>
      <c r="E1336" t="inlineStr">
        <is>
          <t>Barley yellow dwarf virus-RGV</t>
        </is>
      </c>
      <c r="G1336" t="inlineStr">
        <is>
          <t>Merged,Assigned as Type Species,</t>
        </is>
      </c>
      <c r="H1336" t="inlineStr">
        <is>
          <t>Barley yellow dwarf virus-PAV</t>
        </is>
      </c>
      <c r="I1336" t="inlineStr">
        <is>
          <t>species</t>
        </is>
      </c>
      <c r="J1336" t="n">
        <v>19952389</v>
      </c>
      <c r="K1336" t="n">
        <v>19991075</v>
      </c>
      <c r="L1336" s="8">
        <f>HYPERLINK("https://test.ictv.global/id/TN19981703","TN19981703@TEST")</f>
        <v/>
      </c>
      <c r="M1336" s="8">
        <f>HYPERLINK("https://test.ictv.global/id/ICTV19952390","ICTV19952390@TEST")</f>
        <v/>
      </c>
      <c r="N1336" s="8">
        <f>HYPERLINK("https://ictv.global/id/TN19981703","TN19981703@prod")</f>
        <v/>
      </c>
      <c r="O1336" s="8">
        <f>HYPERLINK("https://ictv.global/id/ICTV19952390","ICTV19952390@prod")</f>
        <v/>
      </c>
    </row>
    <row r="1337">
      <c r="A1337" t="n">
        <v>17</v>
      </c>
      <c r="B1337" t="n">
        <v>19981705</v>
      </c>
      <c r="C1337" t="n">
        <v>19952400</v>
      </c>
      <c r="D1337" t="inlineStr">
        <is>
          <t>species</t>
        </is>
      </c>
      <c r="E1337" t="inlineStr">
        <is>
          <t>Solanum yellows virus</t>
        </is>
      </c>
      <c r="G1337" t="inlineStr">
        <is>
          <t>Merged,Moved,Assigned as Type Species,</t>
        </is>
      </c>
      <c r="H1337" t="inlineStr">
        <is>
          <t>Potato leafroll virus</t>
        </is>
      </c>
      <c r="I1337" t="inlineStr">
        <is>
          <t>species</t>
        </is>
      </c>
      <c r="J1337" t="n">
        <v>19991080</v>
      </c>
      <c r="K1337" t="n">
        <v>19991080</v>
      </c>
      <c r="L1337" s="8">
        <f>HYPERLINK("https://test.ictv.global/id/TN19981705","TN19981705@TEST")</f>
        <v/>
      </c>
      <c r="M1337" s="8">
        <f>HYPERLINK("https://test.ictv.global/id/ICTV19952400","ICTV19952400@TEST")</f>
        <v/>
      </c>
      <c r="N1337" s="8">
        <f>HYPERLINK("https://ictv.global/id/TN19981705","TN19981705@prod")</f>
        <v/>
      </c>
      <c r="O1337" s="8">
        <f>HYPERLINK("https://ictv.global/id/ICTV19952400","ICTV19952400@prod")</f>
        <v/>
      </c>
    </row>
    <row r="1338">
      <c r="A1338" t="n">
        <v>17</v>
      </c>
      <c r="B1338" t="n">
        <v>19981707</v>
      </c>
      <c r="C1338" t="n">
        <v>19952403</v>
      </c>
      <c r="D1338" t="inlineStr">
        <is>
          <t>species</t>
        </is>
      </c>
      <c r="E1338" t="inlineStr">
        <is>
          <t>Tomato yellow top virus</t>
        </is>
      </c>
      <c r="G1338" t="inlineStr">
        <is>
          <t>Merged,Moved,Assigned as Type Species,</t>
        </is>
      </c>
      <c r="H1338" t="inlineStr">
        <is>
          <t>Potato leafroll virus</t>
        </is>
      </c>
      <c r="I1338" t="inlineStr">
        <is>
          <t>species</t>
        </is>
      </c>
      <c r="J1338" t="n">
        <v>19991080</v>
      </c>
      <c r="K1338" t="n">
        <v>19991080</v>
      </c>
      <c r="L1338" s="8">
        <f>HYPERLINK("https://test.ictv.global/id/TN19981707","TN19981707@TEST")</f>
        <v/>
      </c>
      <c r="M1338" s="8">
        <f>HYPERLINK("https://test.ictv.global/id/ICTV19952403","ICTV19952403@TEST")</f>
        <v/>
      </c>
      <c r="N1338" s="8">
        <f>HYPERLINK("https://ictv.global/id/TN19981707","TN19981707@prod")</f>
        <v/>
      </c>
      <c r="O1338" s="8">
        <f>HYPERLINK("https://ictv.global/id/ICTV19952403","ICTV19952403@prod")</f>
        <v/>
      </c>
    </row>
    <row r="1339">
      <c r="A1339" t="n">
        <v>17</v>
      </c>
      <c r="B1339" t="n">
        <v>19981712</v>
      </c>
      <c r="C1339" t="n">
        <v>19991080</v>
      </c>
      <c r="D1339" t="inlineStr">
        <is>
          <t>species</t>
        </is>
      </c>
      <c r="E1339" t="inlineStr">
        <is>
          <t>Potato leafroll virus</t>
        </is>
      </c>
      <c r="F1339" t="inlineStr">
        <is>
          <t>D00530</t>
        </is>
      </c>
      <c r="G1339" t="inlineStr">
        <is>
          <t>Merged,</t>
        </is>
      </c>
      <c r="H1339" t="inlineStr">
        <is>
          <t>Potato leafroll virus</t>
        </is>
      </c>
      <c r="I1339" t="inlineStr">
        <is>
          <t>species</t>
        </is>
      </c>
      <c r="J1339" t="n">
        <v>19991080</v>
      </c>
      <c r="K1339" t="n">
        <v>19991080</v>
      </c>
      <c r="L1339" s="8">
        <f>HYPERLINK("https://test.ictv.global/id/TN19981712","TN19981712@TEST")</f>
        <v/>
      </c>
      <c r="M1339" s="8">
        <f>HYPERLINK("https://test.ictv.global/id/ICTV19991080","ICTV19991080@TEST")</f>
        <v/>
      </c>
      <c r="N1339" s="8">
        <f>HYPERLINK("https://ictv.global/id/TN19981712","TN19981712@prod")</f>
        <v/>
      </c>
      <c r="O1339" s="8">
        <f>HYPERLINK("https://ictv.global/id/ICTV19991080","ICTV19991080@prod")</f>
        <v/>
      </c>
    </row>
    <row r="1340">
      <c r="A1340" t="n">
        <v>17</v>
      </c>
      <c r="B1340" t="n">
        <v>19981724</v>
      </c>
      <c r="C1340" t="n">
        <v>19931086</v>
      </c>
      <c r="D1340" t="inlineStr">
        <is>
          <t>species</t>
        </is>
      </c>
      <c r="E1340" t="inlineStr">
        <is>
          <t>Bdellovibrio phage MAC 1'</t>
        </is>
      </c>
      <c r="G1340" t="inlineStr">
        <is>
          <t>Abolished,</t>
        </is>
      </c>
      <c r="L1340" s="8">
        <f>HYPERLINK("https://test.ictv.global/id/TN19981724","TN19981724@TEST")</f>
        <v/>
      </c>
      <c r="M1340" s="8">
        <f>HYPERLINK("https://test.ictv.global/id/ICTV19931086","ICTV19931086@TEST")</f>
        <v/>
      </c>
      <c r="N1340" s="8">
        <f>HYPERLINK("https://ictv.global/id/TN19981724","TN19981724@prod")</f>
        <v/>
      </c>
      <c r="O1340" s="8">
        <f>HYPERLINK("https://ictv.global/id/ICTV19931086","ICTV19931086@prod")</f>
        <v/>
      </c>
    </row>
    <row r="1341">
      <c r="A1341" t="n">
        <v>17</v>
      </c>
      <c r="B1341" t="n">
        <v>19981725</v>
      </c>
      <c r="C1341" t="n">
        <v>19931087</v>
      </c>
      <c r="D1341" t="inlineStr">
        <is>
          <t>species</t>
        </is>
      </c>
      <c r="E1341" t="inlineStr">
        <is>
          <t>Bdellovibrio phage MAC 2</t>
        </is>
      </c>
      <c r="G1341" t="inlineStr">
        <is>
          <t>Abolished,</t>
        </is>
      </c>
      <c r="L1341" s="8">
        <f>HYPERLINK("https://test.ictv.global/id/TN19981725","TN19981725@TEST")</f>
        <v/>
      </c>
      <c r="M1341" s="8">
        <f>HYPERLINK("https://test.ictv.global/id/ICTV19931087","ICTV19931087@TEST")</f>
        <v/>
      </c>
      <c r="N1341" s="8">
        <f>HYPERLINK("https://ictv.global/id/TN19981725","TN19981725@prod")</f>
        <v/>
      </c>
      <c r="O1341" s="8">
        <f>HYPERLINK("https://ictv.global/id/ICTV19931087","ICTV19931087@prod")</f>
        <v/>
      </c>
    </row>
    <row r="1342">
      <c r="A1342" t="n">
        <v>17</v>
      </c>
      <c r="B1342" t="n">
        <v>19981726</v>
      </c>
      <c r="C1342" t="n">
        <v>19931088</v>
      </c>
      <c r="D1342" t="inlineStr">
        <is>
          <t>species</t>
        </is>
      </c>
      <c r="E1342" t="inlineStr">
        <is>
          <t>Bdellovibrio phage MAC 4</t>
        </is>
      </c>
      <c r="G1342" t="inlineStr">
        <is>
          <t>Abolished,</t>
        </is>
      </c>
      <c r="L1342" s="8">
        <f>HYPERLINK("https://test.ictv.global/id/TN19981726","TN19981726@TEST")</f>
        <v/>
      </c>
      <c r="M1342" s="8">
        <f>HYPERLINK("https://test.ictv.global/id/ICTV19931088","ICTV19931088@TEST")</f>
        <v/>
      </c>
      <c r="N1342" s="8">
        <f>HYPERLINK("https://ictv.global/id/TN19981726","TN19981726@prod")</f>
        <v/>
      </c>
      <c r="O1342" s="8">
        <f>HYPERLINK("https://ictv.global/id/ICTV19931088","ICTV19931088@prod")</f>
        <v/>
      </c>
    </row>
    <row r="1343">
      <c r="A1343" t="n">
        <v>17</v>
      </c>
      <c r="B1343" t="n">
        <v>19981727</v>
      </c>
      <c r="C1343" t="n">
        <v>19931089</v>
      </c>
      <c r="D1343" t="inlineStr">
        <is>
          <t>species</t>
        </is>
      </c>
      <c r="E1343" t="inlineStr">
        <is>
          <t>Bdellovibrio phage MAC 4'</t>
        </is>
      </c>
      <c r="G1343" t="inlineStr">
        <is>
          <t>Abolished,</t>
        </is>
      </c>
      <c r="L1343" s="8">
        <f>HYPERLINK("https://test.ictv.global/id/TN19981727","TN19981727@TEST")</f>
        <v/>
      </c>
      <c r="M1343" s="8">
        <f>HYPERLINK("https://test.ictv.global/id/ICTV19931089","ICTV19931089@TEST")</f>
        <v/>
      </c>
      <c r="N1343" s="8">
        <f>HYPERLINK("https://ictv.global/id/TN19981727","TN19981727@prod")</f>
        <v/>
      </c>
      <c r="O1343" s="8">
        <f>HYPERLINK("https://ictv.global/id/ICTV19931089","ICTV19931089@prod")</f>
        <v/>
      </c>
    </row>
    <row r="1344">
      <c r="A1344" t="n">
        <v>17</v>
      </c>
      <c r="B1344" t="n">
        <v>19981728</v>
      </c>
      <c r="C1344" t="n">
        <v>19931090</v>
      </c>
      <c r="D1344" t="inlineStr">
        <is>
          <t>species</t>
        </is>
      </c>
      <c r="E1344" t="inlineStr">
        <is>
          <t>Bdellovibrio phage MAC 5</t>
        </is>
      </c>
      <c r="G1344" t="inlineStr">
        <is>
          <t>Abolished,</t>
        </is>
      </c>
      <c r="L1344" s="8">
        <f>HYPERLINK("https://test.ictv.global/id/TN19981728","TN19981728@TEST")</f>
        <v/>
      </c>
      <c r="M1344" s="8">
        <f>HYPERLINK("https://test.ictv.global/id/ICTV19931090","ICTV19931090@TEST")</f>
        <v/>
      </c>
      <c r="N1344" s="8">
        <f>HYPERLINK("https://ictv.global/id/TN19981728","TN19981728@prod")</f>
        <v/>
      </c>
      <c r="O1344" s="8">
        <f>HYPERLINK("https://ictv.global/id/ICTV19931090","ICTV19931090@prod")</f>
        <v/>
      </c>
    </row>
    <row r="1345">
      <c r="A1345" t="n">
        <v>17</v>
      </c>
      <c r="B1345" t="n">
        <v>19981729</v>
      </c>
      <c r="C1345" t="n">
        <v>19931091</v>
      </c>
      <c r="D1345" t="inlineStr">
        <is>
          <t>species</t>
        </is>
      </c>
      <c r="E1345" t="inlineStr">
        <is>
          <t>Bdellovibrio phage MAC 7</t>
        </is>
      </c>
      <c r="G1345" t="inlineStr">
        <is>
          <t>Abolished,</t>
        </is>
      </c>
      <c r="L1345" s="8">
        <f>HYPERLINK("https://test.ictv.global/id/TN19981729","TN19981729@TEST")</f>
        <v/>
      </c>
      <c r="M1345" s="8">
        <f>HYPERLINK("https://test.ictv.global/id/ICTV19931091","ICTV19931091@TEST")</f>
        <v/>
      </c>
      <c r="N1345" s="8">
        <f>HYPERLINK("https://ictv.global/id/TN19981729","TN19981729@prod")</f>
        <v/>
      </c>
      <c r="O1345" s="8">
        <f>HYPERLINK("https://ictv.global/id/ICTV19931091","ICTV19931091@prod")</f>
        <v/>
      </c>
    </row>
    <row r="1346">
      <c r="A1346" t="n">
        <v>17</v>
      </c>
      <c r="B1346" t="n">
        <v>19981731</v>
      </c>
      <c r="C1346" t="n">
        <v>19760721</v>
      </c>
      <c r="D1346" t="inlineStr">
        <is>
          <t>species</t>
        </is>
      </c>
      <c r="E1346" t="inlineStr">
        <is>
          <t>Coliphage 1phi1</t>
        </is>
      </c>
      <c r="G1346" t="inlineStr">
        <is>
          <t>Abolished,</t>
        </is>
      </c>
      <c r="L1346" s="8">
        <f>HYPERLINK("https://test.ictv.global/id/TN19981731","TN19981731@TEST")</f>
        <v/>
      </c>
      <c r="M1346" s="8">
        <f>HYPERLINK("https://test.ictv.global/id/ICTV19760721","ICTV19760721@TEST")</f>
        <v/>
      </c>
      <c r="N1346" s="8">
        <f>HYPERLINK("https://ictv.global/id/TN19981731","TN19981731@prod")</f>
        <v/>
      </c>
      <c r="O1346" s="8">
        <f>HYPERLINK("https://ictv.global/id/ICTV19760721","ICTV19760721@prod")</f>
        <v/>
      </c>
    </row>
    <row r="1347">
      <c r="A1347" t="n">
        <v>17</v>
      </c>
      <c r="B1347" t="n">
        <v>19981732</v>
      </c>
      <c r="C1347" t="n">
        <v>19760722</v>
      </c>
      <c r="D1347" t="inlineStr">
        <is>
          <t>species</t>
        </is>
      </c>
      <c r="E1347" t="inlineStr">
        <is>
          <t>Coliphage 1phi3</t>
        </is>
      </c>
      <c r="G1347" t="inlineStr">
        <is>
          <t>Abolished,</t>
        </is>
      </c>
      <c r="L1347" s="8">
        <f>HYPERLINK("https://test.ictv.global/id/TN19981732","TN19981732@TEST")</f>
        <v/>
      </c>
      <c r="M1347" s="8">
        <f>HYPERLINK("https://test.ictv.global/id/ICTV19760722","ICTV19760722@TEST")</f>
        <v/>
      </c>
      <c r="N1347" s="8">
        <f>HYPERLINK("https://ictv.global/id/TN19981732","TN19981732@prod")</f>
        <v/>
      </c>
      <c r="O1347" s="8">
        <f>HYPERLINK("https://ictv.global/id/ICTV19760722","ICTV19760722@prod")</f>
        <v/>
      </c>
    </row>
    <row r="1348">
      <c r="A1348" t="n">
        <v>17</v>
      </c>
      <c r="B1348" t="n">
        <v>19981733</v>
      </c>
      <c r="C1348" t="n">
        <v>19760723</v>
      </c>
      <c r="D1348" t="inlineStr">
        <is>
          <t>species</t>
        </is>
      </c>
      <c r="E1348" t="inlineStr">
        <is>
          <t>Coliphage 1phi7</t>
        </is>
      </c>
      <c r="G1348" t="inlineStr">
        <is>
          <t>Abolished,</t>
        </is>
      </c>
      <c r="L1348" s="8">
        <f>HYPERLINK("https://test.ictv.global/id/TN19981733","TN19981733@TEST")</f>
        <v/>
      </c>
      <c r="M1348" s="8">
        <f>HYPERLINK("https://test.ictv.global/id/ICTV19760723","ICTV19760723@TEST")</f>
        <v/>
      </c>
      <c r="N1348" s="8">
        <f>HYPERLINK("https://ictv.global/id/TN19981733","TN19981733@prod")</f>
        <v/>
      </c>
      <c r="O1348" s="8">
        <f>HYPERLINK("https://ictv.global/id/ICTV19760723","ICTV19760723@prod")</f>
        <v/>
      </c>
    </row>
    <row r="1349">
      <c r="A1349" t="n">
        <v>17</v>
      </c>
      <c r="B1349" t="n">
        <v>19981734</v>
      </c>
      <c r="C1349" t="n">
        <v>19760724</v>
      </c>
      <c r="D1349" t="inlineStr">
        <is>
          <t>species</t>
        </is>
      </c>
      <c r="E1349" t="inlineStr">
        <is>
          <t>Coliphage 1phi9</t>
        </is>
      </c>
      <c r="G1349" t="inlineStr">
        <is>
          <t>Abolished,</t>
        </is>
      </c>
      <c r="L1349" s="8">
        <f>HYPERLINK("https://test.ictv.global/id/TN19981734","TN19981734@TEST")</f>
        <v/>
      </c>
      <c r="M1349" s="8">
        <f>HYPERLINK("https://test.ictv.global/id/ICTV19760724","ICTV19760724@TEST")</f>
        <v/>
      </c>
      <c r="N1349" s="8">
        <f>HYPERLINK("https://ictv.global/id/TN19981734","TN19981734@prod")</f>
        <v/>
      </c>
      <c r="O1349" s="8">
        <f>HYPERLINK("https://ictv.global/id/ICTV19760724","ICTV19760724@prod")</f>
        <v/>
      </c>
    </row>
    <row r="1350">
      <c r="A1350" t="n">
        <v>17</v>
      </c>
      <c r="B1350" t="n">
        <v>19981735</v>
      </c>
      <c r="C1350" t="n">
        <v>19910942</v>
      </c>
      <c r="D1350" t="inlineStr">
        <is>
          <t>species</t>
        </is>
      </c>
      <c r="E1350" t="inlineStr">
        <is>
          <t>Coliphage 2D/13</t>
        </is>
      </c>
      <c r="G1350" t="inlineStr">
        <is>
          <t>Abolished,</t>
        </is>
      </c>
      <c r="L1350" s="8">
        <f>HYPERLINK("https://test.ictv.global/id/TN19981735","TN19981735@TEST")</f>
        <v/>
      </c>
      <c r="M1350" s="8">
        <f>HYPERLINK("https://test.ictv.global/id/ICTV19910942","ICTV19910942@TEST")</f>
        <v/>
      </c>
      <c r="N1350" s="8">
        <f>HYPERLINK("https://ictv.global/id/TN19981735","TN19981735@prod")</f>
        <v/>
      </c>
      <c r="O1350" s="8">
        <f>HYPERLINK("https://ictv.global/id/ICTV19910942","ICTV19910942@prod")</f>
        <v/>
      </c>
    </row>
    <row r="1351">
      <c r="A1351" t="n">
        <v>17</v>
      </c>
      <c r="B1351" t="n">
        <v>19981736</v>
      </c>
      <c r="C1351" t="n">
        <v>19760725</v>
      </c>
      <c r="D1351" t="inlineStr">
        <is>
          <t>species</t>
        </is>
      </c>
      <c r="E1351" t="inlineStr">
        <is>
          <t>Coliphage alpha10</t>
        </is>
      </c>
      <c r="G1351" t="inlineStr">
        <is>
          <t>Abolished,</t>
        </is>
      </c>
      <c r="L1351" s="8">
        <f>HYPERLINK("https://test.ictv.global/id/TN19981736","TN19981736@TEST")</f>
        <v/>
      </c>
      <c r="M1351" s="8">
        <f>HYPERLINK("https://test.ictv.global/id/ICTV19760725","ICTV19760725@TEST")</f>
        <v/>
      </c>
      <c r="N1351" s="8">
        <f>HYPERLINK("https://ictv.global/id/TN19981736","TN19981736@prod")</f>
        <v/>
      </c>
      <c r="O1351" s="8">
        <f>HYPERLINK("https://ictv.global/id/ICTV19760725","ICTV19760725@prod")</f>
        <v/>
      </c>
    </row>
    <row r="1352">
      <c r="A1352" t="n">
        <v>17</v>
      </c>
      <c r="B1352" t="n">
        <v>19981737</v>
      </c>
      <c r="C1352" t="n">
        <v>19760726</v>
      </c>
      <c r="D1352" t="inlineStr">
        <is>
          <t>species</t>
        </is>
      </c>
      <c r="E1352" t="inlineStr">
        <is>
          <t>Coliphage alpha3</t>
        </is>
      </c>
      <c r="G1352" t="inlineStr">
        <is>
          <t>Abolished,</t>
        </is>
      </c>
      <c r="L1352" s="8">
        <f>HYPERLINK("https://test.ictv.global/id/TN19981737","TN19981737@TEST")</f>
        <v/>
      </c>
      <c r="M1352" s="8">
        <f>HYPERLINK("https://test.ictv.global/id/ICTV19760726","ICTV19760726@TEST")</f>
        <v/>
      </c>
      <c r="N1352" s="8">
        <f>HYPERLINK("https://ictv.global/id/TN19981737","TN19981737@prod")</f>
        <v/>
      </c>
      <c r="O1352" s="8">
        <f>HYPERLINK("https://ictv.global/id/ICTV19760726","ICTV19760726@prod")</f>
        <v/>
      </c>
    </row>
    <row r="1353">
      <c r="A1353" t="n">
        <v>17</v>
      </c>
      <c r="B1353" t="n">
        <v>19981738</v>
      </c>
      <c r="C1353" t="n">
        <v>19910945</v>
      </c>
      <c r="D1353" t="inlineStr">
        <is>
          <t>species</t>
        </is>
      </c>
      <c r="E1353" t="inlineStr">
        <is>
          <t>Coliphage BE/1</t>
        </is>
      </c>
      <c r="G1353" t="inlineStr">
        <is>
          <t>Abolished,</t>
        </is>
      </c>
      <c r="L1353" s="8">
        <f>HYPERLINK("https://test.ictv.global/id/TN19981738","TN19981738@TEST")</f>
        <v/>
      </c>
      <c r="M1353" s="8">
        <f>HYPERLINK("https://test.ictv.global/id/ICTV19910945","ICTV19910945@TEST")</f>
        <v/>
      </c>
      <c r="N1353" s="8">
        <f>HYPERLINK("https://ictv.global/id/TN19981738","TN19981738@prod")</f>
        <v/>
      </c>
      <c r="O1353" s="8">
        <f>HYPERLINK("https://ictv.global/id/ICTV19910945","ICTV19910945@prod")</f>
        <v/>
      </c>
    </row>
    <row r="1354">
      <c r="A1354" t="n">
        <v>17</v>
      </c>
      <c r="B1354" t="n">
        <v>19981739</v>
      </c>
      <c r="C1354" t="n">
        <v>19760727</v>
      </c>
      <c r="D1354" t="inlineStr">
        <is>
          <t>species</t>
        </is>
      </c>
      <c r="E1354" t="inlineStr">
        <is>
          <t>Coliphage delta1</t>
        </is>
      </c>
      <c r="G1354" t="inlineStr">
        <is>
          <t>Abolished,</t>
        </is>
      </c>
      <c r="L1354" s="8">
        <f>HYPERLINK("https://test.ictv.global/id/TN19981739","TN19981739@TEST")</f>
        <v/>
      </c>
      <c r="M1354" s="8">
        <f>HYPERLINK("https://test.ictv.global/id/ICTV19760727","ICTV19760727@TEST")</f>
        <v/>
      </c>
      <c r="N1354" s="8">
        <f>HYPERLINK("https://ictv.global/id/TN19981739","TN19981739@prod")</f>
        <v/>
      </c>
      <c r="O1354" s="8">
        <f>HYPERLINK("https://ictv.global/id/ICTV19760727","ICTV19760727@prod")</f>
        <v/>
      </c>
    </row>
    <row r="1355">
      <c r="A1355" t="n">
        <v>17</v>
      </c>
      <c r="B1355" t="n">
        <v>19981740</v>
      </c>
      <c r="C1355" t="n">
        <v>19760728</v>
      </c>
      <c r="D1355" t="inlineStr">
        <is>
          <t>species</t>
        </is>
      </c>
      <c r="E1355" t="inlineStr">
        <is>
          <t>Coliphage dphi3</t>
        </is>
      </c>
      <c r="G1355" t="inlineStr">
        <is>
          <t>Abolished,</t>
        </is>
      </c>
      <c r="L1355" s="8">
        <f>HYPERLINK("https://test.ictv.global/id/TN19981740","TN19981740@TEST")</f>
        <v/>
      </c>
      <c r="M1355" s="8">
        <f>HYPERLINK("https://test.ictv.global/id/ICTV19760728","ICTV19760728@TEST")</f>
        <v/>
      </c>
      <c r="N1355" s="8">
        <f>HYPERLINK("https://ictv.global/id/TN19981740","TN19981740@prod")</f>
        <v/>
      </c>
      <c r="O1355" s="8">
        <f>HYPERLINK("https://ictv.global/id/ICTV19760728","ICTV19760728@prod")</f>
        <v/>
      </c>
    </row>
    <row r="1356">
      <c r="A1356" t="n">
        <v>17</v>
      </c>
      <c r="B1356" t="n">
        <v>19981741</v>
      </c>
      <c r="C1356" t="n">
        <v>19760729</v>
      </c>
      <c r="D1356" t="inlineStr">
        <is>
          <t>species</t>
        </is>
      </c>
      <c r="E1356" t="inlineStr">
        <is>
          <t>Coliphage dphi4</t>
        </is>
      </c>
      <c r="G1356" t="inlineStr">
        <is>
          <t>Abolished,</t>
        </is>
      </c>
      <c r="L1356" s="8">
        <f>HYPERLINK("https://test.ictv.global/id/TN19981741","TN19981741@TEST")</f>
        <v/>
      </c>
      <c r="M1356" s="8">
        <f>HYPERLINK("https://test.ictv.global/id/ICTV19760729","ICTV19760729@TEST")</f>
        <v/>
      </c>
      <c r="N1356" s="8">
        <f>HYPERLINK("https://ictv.global/id/TN19981741","TN19981741@prod")</f>
        <v/>
      </c>
      <c r="O1356" s="8">
        <f>HYPERLINK("https://ictv.global/id/ICTV19760729","ICTV19760729@prod")</f>
        <v/>
      </c>
    </row>
    <row r="1357">
      <c r="A1357" t="n">
        <v>17</v>
      </c>
      <c r="B1357" t="n">
        <v>19981742</v>
      </c>
      <c r="C1357" t="n">
        <v>19760730</v>
      </c>
      <c r="D1357" t="inlineStr">
        <is>
          <t>species</t>
        </is>
      </c>
      <c r="E1357" t="inlineStr">
        <is>
          <t>Coliphage dphi5</t>
        </is>
      </c>
      <c r="G1357" t="inlineStr">
        <is>
          <t>Abolished,</t>
        </is>
      </c>
      <c r="L1357" s="8">
        <f>HYPERLINK("https://test.ictv.global/id/TN19981742","TN19981742@TEST")</f>
        <v/>
      </c>
      <c r="M1357" s="8">
        <f>HYPERLINK("https://test.ictv.global/id/ICTV19760730","ICTV19760730@TEST")</f>
        <v/>
      </c>
      <c r="N1357" s="8">
        <f>HYPERLINK("https://ictv.global/id/TN19981742","TN19981742@prod")</f>
        <v/>
      </c>
      <c r="O1357" s="8">
        <f>HYPERLINK("https://ictv.global/id/ICTV19760730","ICTV19760730@prod")</f>
        <v/>
      </c>
    </row>
    <row r="1358">
      <c r="A1358" t="n">
        <v>17</v>
      </c>
      <c r="B1358" t="n">
        <v>19981743</v>
      </c>
      <c r="C1358" t="n">
        <v>19760731</v>
      </c>
      <c r="D1358" t="inlineStr">
        <is>
          <t>species</t>
        </is>
      </c>
      <c r="E1358" t="inlineStr">
        <is>
          <t>Coliphage eta8</t>
        </is>
      </c>
      <c r="G1358" t="inlineStr">
        <is>
          <t>Abolished,</t>
        </is>
      </c>
      <c r="L1358" s="8">
        <f>HYPERLINK("https://test.ictv.global/id/TN19981743","TN19981743@TEST")</f>
        <v/>
      </c>
      <c r="M1358" s="8">
        <f>HYPERLINK("https://test.ictv.global/id/ICTV19760731","ICTV19760731@TEST")</f>
        <v/>
      </c>
      <c r="N1358" s="8">
        <f>HYPERLINK("https://ictv.global/id/TN19981743","TN19981743@prod")</f>
        <v/>
      </c>
      <c r="O1358" s="8">
        <f>HYPERLINK("https://ictv.global/id/ICTV19760731","ICTV19760731@prod")</f>
        <v/>
      </c>
    </row>
    <row r="1359">
      <c r="A1359" t="n">
        <v>17</v>
      </c>
      <c r="B1359" t="n">
        <v>19981744</v>
      </c>
      <c r="C1359" t="n">
        <v>19760732</v>
      </c>
      <c r="D1359" t="inlineStr">
        <is>
          <t>species</t>
        </is>
      </c>
      <c r="E1359" t="inlineStr">
        <is>
          <t>Coliphage G13</t>
        </is>
      </c>
      <c r="G1359" t="inlineStr">
        <is>
          <t>Abolished,</t>
        </is>
      </c>
      <c r="L1359" s="8">
        <f>HYPERLINK("https://test.ictv.global/id/TN19981744","TN19981744@TEST")</f>
        <v/>
      </c>
      <c r="M1359" s="8">
        <f>HYPERLINK("https://test.ictv.global/id/ICTV19760732","ICTV19760732@TEST")</f>
        <v/>
      </c>
      <c r="N1359" s="8">
        <f>HYPERLINK("https://ictv.global/id/TN19981744","TN19981744@prod")</f>
        <v/>
      </c>
      <c r="O1359" s="8">
        <f>HYPERLINK("https://ictv.global/id/ICTV19760732","ICTV19760732@prod")</f>
        <v/>
      </c>
    </row>
    <row r="1360">
      <c r="A1360" t="n">
        <v>17</v>
      </c>
      <c r="B1360" t="n">
        <v>19981745</v>
      </c>
      <c r="C1360" t="n">
        <v>19910952</v>
      </c>
      <c r="D1360" t="inlineStr">
        <is>
          <t>species</t>
        </is>
      </c>
      <c r="E1360" t="inlineStr">
        <is>
          <t>Coliphage G14</t>
        </is>
      </c>
      <c r="G1360" t="inlineStr">
        <is>
          <t>Abolished,</t>
        </is>
      </c>
      <c r="L1360" s="8">
        <f>HYPERLINK("https://test.ictv.global/id/TN19981745","TN19981745@TEST")</f>
        <v/>
      </c>
      <c r="M1360" s="8">
        <f>HYPERLINK("https://test.ictv.global/id/ICTV19910952","ICTV19910952@TEST")</f>
        <v/>
      </c>
      <c r="N1360" s="8">
        <f>HYPERLINK("https://ictv.global/id/TN19981745","TN19981745@prod")</f>
        <v/>
      </c>
      <c r="O1360" s="8">
        <f>HYPERLINK("https://ictv.global/id/ICTV19910952","ICTV19910952@prod")</f>
        <v/>
      </c>
    </row>
    <row r="1361">
      <c r="A1361" t="n">
        <v>17</v>
      </c>
      <c r="B1361" t="n">
        <v>19981747</v>
      </c>
      <c r="C1361" t="n">
        <v>19760734</v>
      </c>
      <c r="D1361" t="inlineStr">
        <is>
          <t>species</t>
        </is>
      </c>
      <c r="E1361" t="inlineStr">
        <is>
          <t>Coliphage G6</t>
        </is>
      </c>
      <c r="G1361" t="inlineStr">
        <is>
          <t>Abolished,</t>
        </is>
      </c>
      <c r="L1361" s="8">
        <f>HYPERLINK("https://test.ictv.global/id/TN19981747","TN19981747@TEST")</f>
        <v/>
      </c>
      <c r="M1361" s="8">
        <f>HYPERLINK("https://test.ictv.global/id/ICTV19760734","ICTV19760734@TEST")</f>
        <v/>
      </c>
      <c r="N1361" s="8">
        <f>HYPERLINK("https://ictv.global/id/TN19981747","TN19981747@prod")</f>
        <v/>
      </c>
      <c r="O1361" s="8">
        <f>HYPERLINK("https://ictv.global/id/ICTV19760734","ICTV19760734@prod")</f>
        <v/>
      </c>
    </row>
    <row r="1362">
      <c r="A1362" t="n">
        <v>17</v>
      </c>
      <c r="B1362" t="n">
        <v>19981748</v>
      </c>
      <c r="C1362" t="n">
        <v>19760735</v>
      </c>
      <c r="D1362" t="inlineStr">
        <is>
          <t>species</t>
        </is>
      </c>
      <c r="E1362" t="inlineStr">
        <is>
          <t>Coliphage M20</t>
        </is>
      </c>
      <c r="G1362" t="inlineStr">
        <is>
          <t>Abolished,</t>
        </is>
      </c>
      <c r="L1362" s="8">
        <f>HYPERLINK("https://test.ictv.global/id/TN19981748","TN19981748@TEST")</f>
        <v/>
      </c>
      <c r="M1362" s="8">
        <f>HYPERLINK("https://test.ictv.global/id/ICTV19760735","ICTV19760735@TEST")</f>
        <v/>
      </c>
      <c r="N1362" s="8">
        <f>HYPERLINK("https://ictv.global/id/TN19981748","TN19981748@prod")</f>
        <v/>
      </c>
      <c r="O1362" s="8">
        <f>HYPERLINK("https://ictv.global/id/ICTV19760735","ICTV19760735@prod")</f>
        <v/>
      </c>
    </row>
    <row r="1363">
      <c r="A1363" t="n">
        <v>17</v>
      </c>
      <c r="B1363" t="n">
        <v>19981749</v>
      </c>
      <c r="C1363" t="n">
        <v>19760736</v>
      </c>
      <c r="D1363" t="inlineStr">
        <is>
          <t>species</t>
        </is>
      </c>
      <c r="E1363" t="inlineStr">
        <is>
          <t>Coliphage omicron6</t>
        </is>
      </c>
      <c r="G1363" t="inlineStr">
        <is>
          <t>Abolished,</t>
        </is>
      </c>
      <c r="L1363" s="8">
        <f>HYPERLINK("https://test.ictv.global/id/TN19981749","TN19981749@TEST")</f>
        <v/>
      </c>
      <c r="M1363" s="8">
        <f>HYPERLINK("https://test.ictv.global/id/ICTV19760736","ICTV19760736@TEST")</f>
        <v/>
      </c>
      <c r="N1363" s="8">
        <f>HYPERLINK("https://ictv.global/id/TN19981749","TN19981749@prod")</f>
        <v/>
      </c>
      <c r="O1363" s="8">
        <f>HYPERLINK("https://ictv.global/id/ICTV19760736","ICTV19760736@prod")</f>
        <v/>
      </c>
    </row>
    <row r="1364">
      <c r="A1364" t="n">
        <v>17</v>
      </c>
      <c r="B1364" t="n">
        <v>19981750</v>
      </c>
      <c r="C1364" t="n">
        <v>19760737</v>
      </c>
      <c r="D1364" t="inlineStr">
        <is>
          <t>species</t>
        </is>
      </c>
      <c r="E1364" t="inlineStr">
        <is>
          <t>Coliphage phiA</t>
        </is>
      </c>
      <c r="G1364" t="inlineStr">
        <is>
          <t>Abolished,</t>
        </is>
      </c>
      <c r="L1364" s="8">
        <f>HYPERLINK("https://test.ictv.global/id/TN19981750","TN19981750@TEST")</f>
        <v/>
      </c>
      <c r="M1364" s="8">
        <f>HYPERLINK("https://test.ictv.global/id/ICTV19760737","ICTV19760737@TEST")</f>
        <v/>
      </c>
      <c r="N1364" s="8">
        <f>HYPERLINK("https://ictv.global/id/TN19981750","TN19981750@prod")</f>
        <v/>
      </c>
      <c r="O1364" s="8">
        <f>HYPERLINK("https://ictv.global/id/ICTV19760737","ICTV19760737@prod")</f>
        <v/>
      </c>
    </row>
    <row r="1365">
      <c r="A1365" t="n">
        <v>17</v>
      </c>
      <c r="B1365" t="n">
        <v>19981751</v>
      </c>
      <c r="C1365" t="n">
        <v>19951270</v>
      </c>
      <c r="D1365" t="inlineStr">
        <is>
          <t>species</t>
        </is>
      </c>
      <c r="E1365" t="inlineStr">
        <is>
          <t>Coliphage phiB</t>
        </is>
      </c>
      <c r="G1365" t="inlineStr">
        <is>
          <t>Abolished,</t>
        </is>
      </c>
      <c r="L1365" s="8">
        <f>HYPERLINK("https://test.ictv.global/id/TN19981751","TN19981751@TEST")</f>
        <v/>
      </c>
      <c r="M1365" s="8">
        <f>HYPERLINK("https://test.ictv.global/id/ICTV19951270","ICTV19951270@TEST")</f>
        <v/>
      </c>
      <c r="N1365" s="8">
        <f>HYPERLINK("https://ictv.global/id/TN19981751","TN19981751@prod")</f>
        <v/>
      </c>
      <c r="O1365" s="8">
        <f>HYPERLINK("https://ictv.global/id/ICTV19951270","ICTV19951270@prod")</f>
        <v/>
      </c>
    </row>
    <row r="1366">
      <c r="A1366" t="n">
        <v>17</v>
      </c>
      <c r="B1366" t="n">
        <v>19981752</v>
      </c>
      <c r="C1366" t="n">
        <v>19951271</v>
      </c>
      <c r="D1366" t="inlineStr">
        <is>
          <t>species</t>
        </is>
      </c>
      <c r="E1366" t="inlineStr">
        <is>
          <t>Coliphage phiC</t>
        </is>
      </c>
      <c r="G1366" t="inlineStr">
        <is>
          <t>Abolished,</t>
        </is>
      </c>
      <c r="L1366" s="8">
        <f>HYPERLINK("https://test.ictv.global/id/TN19981752","TN19981752@TEST")</f>
        <v/>
      </c>
      <c r="M1366" s="8">
        <f>HYPERLINK("https://test.ictv.global/id/ICTV19951271","ICTV19951271@TEST")</f>
        <v/>
      </c>
      <c r="N1366" s="8">
        <f>HYPERLINK("https://ictv.global/id/TN19981752","TN19981752@prod")</f>
        <v/>
      </c>
      <c r="O1366" s="8">
        <f>HYPERLINK("https://ictv.global/id/ICTV19951271","ICTV19951271@prod")</f>
        <v/>
      </c>
    </row>
    <row r="1367">
      <c r="A1367" t="n">
        <v>17</v>
      </c>
      <c r="B1367" t="n">
        <v>19981753</v>
      </c>
      <c r="C1367" t="n">
        <v>19951272</v>
      </c>
      <c r="D1367" t="inlineStr">
        <is>
          <t>species</t>
        </is>
      </c>
      <c r="E1367" t="inlineStr">
        <is>
          <t>Coliphage phiK</t>
        </is>
      </c>
      <c r="G1367" t="inlineStr">
        <is>
          <t>Abolished,</t>
        </is>
      </c>
      <c r="L1367" s="8">
        <f>HYPERLINK("https://test.ictv.global/id/TN19981753","TN19981753@TEST")</f>
        <v/>
      </c>
      <c r="M1367" s="8">
        <f>HYPERLINK("https://test.ictv.global/id/ICTV19951272","ICTV19951272@TEST")</f>
        <v/>
      </c>
      <c r="N1367" s="8">
        <f>HYPERLINK("https://ictv.global/id/TN19981753","TN19981753@prod")</f>
        <v/>
      </c>
      <c r="O1367" s="8">
        <f>HYPERLINK("https://ictv.global/id/ICTV19951272","ICTV19951272@prod")</f>
        <v/>
      </c>
    </row>
    <row r="1368">
      <c r="A1368" t="n">
        <v>17</v>
      </c>
      <c r="B1368" t="n">
        <v>19981754</v>
      </c>
      <c r="C1368" t="n">
        <v>19760738</v>
      </c>
      <c r="D1368" t="inlineStr">
        <is>
          <t>species</t>
        </is>
      </c>
      <c r="E1368" t="inlineStr">
        <is>
          <t>Coliphage phiR</t>
        </is>
      </c>
      <c r="G1368" t="inlineStr">
        <is>
          <t>Abolished,</t>
        </is>
      </c>
      <c r="L1368" s="8">
        <f>HYPERLINK("https://test.ictv.global/id/TN19981754","TN19981754@TEST")</f>
        <v/>
      </c>
      <c r="M1368" s="8">
        <f>HYPERLINK("https://test.ictv.global/id/ICTV19760738","ICTV19760738@TEST")</f>
        <v/>
      </c>
      <c r="N1368" s="8">
        <f>HYPERLINK("https://ictv.global/id/TN19981754","TN19981754@prod")</f>
        <v/>
      </c>
      <c r="O1368" s="8">
        <f>HYPERLINK("https://ictv.global/id/ICTV19760738","ICTV19760738@prod")</f>
        <v/>
      </c>
    </row>
    <row r="1369">
      <c r="A1369" t="n">
        <v>17</v>
      </c>
      <c r="B1369" t="n">
        <v>19981758</v>
      </c>
      <c r="C1369" t="n">
        <v>19820566</v>
      </c>
      <c r="D1369" t="inlineStr">
        <is>
          <t>species</t>
        </is>
      </c>
      <c r="E1369" t="inlineStr">
        <is>
          <t>Coliphage U3</t>
        </is>
      </c>
      <c r="G1369" t="inlineStr">
        <is>
          <t>Abolished,</t>
        </is>
      </c>
      <c r="L1369" s="8">
        <f>HYPERLINK("https://test.ictv.global/id/TN19981758","TN19981758@TEST")</f>
        <v/>
      </c>
      <c r="M1369" s="8">
        <f>HYPERLINK("https://test.ictv.global/id/ICTV19820566","ICTV19820566@TEST")</f>
        <v/>
      </c>
      <c r="N1369" s="8">
        <f>HYPERLINK("https://ictv.global/id/TN19981758","TN19981758@prod")</f>
        <v/>
      </c>
      <c r="O1369" s="8">
        <f>HYPERLINK("https://ictv.global/id/ICTV19820566","ICTV19820566@prod")</f>
        <v/>
      </c>
    </row>
    <row r="1370">
      <c r="A1370" t="n">
        <v>17</v>
      </c>
      <c r="B1370" t="n">
        <v>19981759</v>
      </c>
      <c r="C1370" t="n">
        <v>19760740</v>
      </c>
      <c r="D1370" t="inlineStr">
        <is>
          <t>species</t>
        </is>
      </c>
      <c r="E1370" t="inlineStr">
        <is>
          <t>Coliphage WA/1</t>
        </is>
      </c>
      <c r="G1370" t="inlineStr">
        <is>
          <t>Abolished,</t>
        </is>
      </c>
      <c r="L1370" s="8">
        <f>HYPERLINK("https://test.ictv.global/id/TN19981759","TN19981759@TEST")</f>
        <v/>
      </c>
      <c r="M1370" s="8">
        <f>HYPERLINK("https://test.ictv.global/id/ICTV19760740","ICTV19760740@TEST")</f>
        <v/>
      </c>
      <c r="N1370" s="8">
        <f>HYPERLINK("https://ictv.global/id/TN19981759","TN19981759@prod")</f>
        <v/>
      </c>
      <c r="O1370" s="8">
        <f>HYPERLINK("https://ictv.global/id/ICTV19760740","ICTV19760740@prod")</f>
        <v/>
      </c>
    </row>
    <row r="1371">
      <c r="A1371" t="n">
        <v>17</v>
      </c>
      <c r="B1371" t="n">
        <v>19981760</v>
      </c>
      <c r="C1371" t="n">
        <v>19760741</v>
      </c>
      <c r="D1371" t="inlineStr">
        <is>
          <t>species</t>
        </is>
      </c>
      <c r="E1371" t="inlineStr">
        <is>
          <t>Coliphage WF/1</t>
        </is>
      </c>
      <c r="G1371" t="inlineStr">
        <is>
          <t>Abolished,</t>
        </is>
      </c>
      <c r="L1371" s="8">
        <f>HYPERLINK("https://test.ictv.global/id/TN19981760","TN19981760@TEST")</f>
        <v/>
      </c>
      <c r="M1371" s="8">
        <f>HYPERLINK("https://test.ictv.global/id/ICTV19760741","ICTV19760741@TEST")</f>
        <v/>
      </c>
      <c r="N1371" s="8">
        <f>HYPERLINK("https://ictv.global/id/TN19981760","TN19981760@prod")</f>
        <v/>
      </c>
      <c r="O1371" s="8">
        <f>HYPERLINK("https://ictv.global/id/ICTV19760741","ICTV19760741@prod")</f>
        <v/>
      </c>
    </row>
    <row r="1372">
      <c r="A1372" t="n">
        <v>17</v>
      </c>
      <c r="B1372" t="n">
        <v>19981761</v>
      </c>
      <c r="C1372" t="n">
        <v>19910965</v>
      </c>
      <c r="D1372" t="inlineStr">
        <is>
          <t>species</t>
        </is>
      </c>
      <c r="E1372" t="inlineStr">
        <is>
          <t>Coliphage WW/1</t>
        </is>
      </c>
      <c r="G1372" t="inlineStr">
        <is>
          <t>Abolished,</t>
        </is>
      </c>
      <c r="L1372" s="8">
        <f>HYPERLINK("https://test.ictv.global/id/TN19981761","TN19981761@TEST")</f>
        <v/>
      </c>
      <c r="M1372" s="8">
        <f>HYPERLINK("https://test.ictv.global/id/ICTV19910965","ICTV19910965@TEST")</f>
        <v/>
      </c>
      <c r="N1372" s="8">
        <f>HYPERLINK("https://ictv.global/id/TN19981761","TN19981761@prod")</f>
        <v/>
      </c>
      <c r="O1372" s="8">
        <f>HYPERLINK("https://ictv.global/id/ICTV19910965","ICTV19910965@prod")</f>
        <v/>
      </c>
    </row>
    <row r="1373">
      <c r="A1373" t="n">
        <v>17</v>
      </c>
      <c r="B1373" t="n">
        <v>19981762</v>
      </c>
      <c r="C1373" t="n">
        <v>19760742</v>
      </c>
      <c r="D1373" t="inlineStr">
        <is>
          <t>species</t>
        </is>
      </c>
      <c r="E1373" t="inlineStr">
        <is>
          <t>Coliphage zeta3</t>
        </is>
      </c>
      <c r="G1373" t="inlineStr">
        <is>
          <t>Abolished,</t>
        </is>
      </c>
      <c r="L1373" s="8">
        <f>HYPERLINK("https://test.ictv.global/id/TN19981762","TN19981762@TEST")</f>
        <v/>
      </c>
      <c r="M1373" s="8">
        <f>HYPERLINK("https://test.ictv.global/id/ICTV19760742","ICTV19760742@TEST")</f>
        <v/>
      </c>
      <c r="N1373" s="8">
        <f>HYPERLINK("https://ictv.global/id/TN19981762","TN19981762@prod")</f>
        <v/>
      </c>
      <c r="O1373" s="8">
        <f>HYPERLINK("https://ictv.global/id/ICTV19760742","ICTV19760742@prod")</f>
        <v/>
      </c>
    </row>
    <row r="1374">
      <c r="A1374" t="n">
        <v>17</v>
      </c>
      <c r="B1374" t="n">
        <v>19981784</v>
      </c>
      <c r="C1374" t="n">
        <v>19951381</v>
      </c>
      <c r="D1374" t="inlineStr">
        <is>
          <t>species</t>
        </is>
      </c>
      <c r="E1374" t="inlineStr">
        <is>
          <t>Bovine papillomavirus 1</t>
        </is>
      </c>
      <c r="G1374" t="inlineStr">
        <is>
          <t>Merged,</t>
        </is>
      </c>
      <c r="H1374" t="inlineStr">
        <is>
          <t>Bovine papillomavirus</t>
        </is>
      </c>
      <c r="I1374" t="inlineStr">
        <is>
          <t>species</t>
        </is>
      </c>
      <c r="J1374" t="n">
        <v>19991139</v>
      </c>
      <c r="K1374" t="n">
        <v>19991139</v>
      </c>
      <c r="L1374" s="8">
        <f>HYPERLINK("https://test.ictv.global/id/TN19981784","TN19981784@TEST")</f>
        <v/>
      </c>
      <c r="M1374" s="8">
        <f>HYPERLINK("https://test.ictv.global/id/ICTV19951381","ICTV19951381@TEST")</f>
        <v/>
      </c>
      <c r="N1374" s="8">
        <f>HYPERLINK("https://ictv.global/id/TN19981784","TN19981784@prod")</f>
        <v/>
      </c>
      <c r="O1374" s="8">
        <f>HYPERLINK("https://ictv.global/id/ICTV19951381","ICTV19951381@prod")</f>
        <v/>
      </c>
    </row>
    <row r="1375">
      <c r="A1375" t="n">
        <v>17</v>
      </c>
      <c r="B1375" t="n">
        <v>19981785</v>
      </c>
      <c r="C1375" t="n">
        <v>19951382</v>
      </c>
      <c r="D1375" t="inlineStr">
        <is>
          <t>species</t>
        </is>
      </c>
      <c r="E1375" t="inlineStr">
        <is>
          <t>Bovine papillomavirus 2</t>
        </is>
      </c>
      <c r="G1375" t="inlineStr">
        <is>
          <t>Merged,</t>
        </is>
      </c>
      <c r="H1375" t="inlineStr">
        <is>
          <t>Bovine papillomavirus</t>
        </is>
      </c>
      <c r="I1375" t="inlineStr">
        <is>
          <t>species</t>
        </is>
      </c>
      <c r="J1375" t="n">
        <v>19991139</v>
      </c>
      <c r="K1375" t="n">
        <v>19991139</v>
      </c>
      <c r="L1375" s="8">
        <f>HYPERLINK("https://test.ictv.global/id/TN19981785","TN19981785@TEST")</f>
        <v/>
      </c>
      <c r="M1375" s="8">
        <f>HYPERLINK("https://test.ictv.global/id/ICTV19951382","ICTV19951382@TEST")</f>
        <v/>
      </c>
      <c r="N1375" s="8">
        <f>HYPERLINK("https://ictv.global/id/TN19981785","TN19981785@prod")</f>
        <v/>
      </c>
      <c r="O1375" s="8">
        <f>HYPERLINK("https://ictv.global/id/ICTV19951382","ICTV19951382@prod")</f>
        <v/>
      </c>
    </row>
    <row r="1376">
      <c r="A1376" t="n">
        <v>17</v>
      </c>
      <c r="B1376" t="n">
        <v>19981786</v>
      </c>
      <c r="C1376" t="n">
        <v>19951383</v>
      </c>
      <c r="D1376" t="inlineStr">
        <is>
          <t>species</t>
        </is>
      </c>
      <c r="E1376" t="inlineStr">
        <is>
          <t>Bovine papillomavirus 4</t>
        </is>
      </c>
      <c r="G1376" t="inlineStr">
        <is>
          <t>Merged,</t>
        </is>
      </c>
      <c r="H1376" t="inlineStr">
        <is>
          <t>Bovine papillomavirus</t>
        </is>
      </c>
      <c r="I1376" t="inlineStr">
        <is>
          <t>species</t>
        </is>
      </c>
      <c r="J1376" t="n">
        <v>19991139</v>
      </c>
      <c r="K1376" t="n">
        <v>19991139</v>
      </c>
      <c r="L1376" s="8">
        <f>HYPERLINK("https://test.ictv.global/id/TN19981786","TN19981786@TEST")</f>
        <v/>
      </c>
      <c r="M1376" s="8">
        <f>HYPERLINK("https://test.ictv.global/id/ICTV19951383","ICTV19951383@TEST")</f>
        <v/>
      </c>
      <c r="N1376" s="8">
        <f>HYPERLINK("https://ictv.global/id/TN19981786","TN19981786@prod")</f>
        <v/>
      </c>
      <c r="O1376" s="8">
        <f>HYPERLINK("https://ictv.global/id/ICTV19951383","ICTV19951383@prod")</f>
        <v/>
      </c>
    </row>
    <row r="1377">
      <c r="A1377" t="n">
        <v>17</v>
      </c>
      <c r="B1377" t="n">
        <v>19981788</v>
      </c>
      <c r="C1377" t="n">
        <v>19951385</v>
      </c>
      <c r="D1377" t="inlineStr">
        <is>
          <t>species</t>
        </is>
      </c>
      <c r="E1377" t="inlineStr">
        <is>
          <t>Chaffinch papillomavirus</t>
        </is>
      </c>
      <c r="G1377" t="inlineStr">
        <is>
          <t>Abolished,</t>
        </is>
      </c>
      <c r="L1377" s="8">
        <f>HYPERLINK("https://test.ictv.global/id/TN19981788","TN19981788@TEST")</f>
        <v/>
      </c>
      <c r="M1377" s="8">
        <f>HYPERLINK("https://test.ictv.global/id/ICTV19951385","ICTV19951385@TEST")</f>
        <v/>
      </c>
      <c r="N1377" s="8">
        <f>HYPERLINK("https://ictv.global/id/TN19981788","TN19981788@prod")</f>
        <v/>
      </c>
      <c r="O1377" s="8">
        <f>HYPERLINK("https://ictv.global/id/ICTV19951385","ICTV19951385@prod")</f>
        <v/>
      </c>
    </row>
    <row r="1378">
      <c r="A1378" t="n">
        <v>17</v>
      </c>
      <c r="B1378" t="n">
        <v>19981791</v>
      </c>
      <c r="C1378" t="n">
        <v>19951388</v>
      </c>
      <c r="D1378" t="inlineStr">
        <is>
          <t>species</t>
        </is>
      </c>
      <c r="E1378" t="inlineStr">
        <is>
          <t>Elephant papillomavirus</t>
        </is>
      </c>
      <c r="G1378" t="inlineStr">
        <is>
          <t>Abolished,</t>
        </is>
      </c>
      <c r="L1378" s="8">
        <f>HYPERLINK("https://test.ictv.global/id/TN19981791","TN19981791@TEST")</f>
        <v/>
      </c>
      <c r="M1378" s="8">
        <f>HYPERLINK("https://test.ictv.global/id/ICTV19951388","ICTV19951388@TEST")</f>
        <v/>
      </c>
      <c r="N1378" s="8">
        <f>HYPERLINK("https://ictv.global/id/TN19981791","TN19981791@prod")</f>
        <v/>
      </c>
      <c r="O1378" s="8">
        <f>HYPERLINK("https://ictv.global/id/ICTV19951388","ICTV19951388@prod")</f>
        <v/>
      </c>
    </row>
    <row r="1379">
      <c r="A1379" t="n">
        <v>17</v>
      </c>
      <c r="B1379" t="n">
        <v>19981792</v>
      </c>
      <c r="C1379" t="n">
        <v>19760270</v>
      </c>
      <c r="D1379" t="inlineStr">
        <is>
          <t>species</t>
        </is>
      </c>
      <c r="E1379" t="inlineStr">
        <is>
          <t>Equine papillomavirus</t>
        </is>
      </c>
      <c r="G1379" t="inlineStr">
        <is>
          <t>Abolished,</t>
        </is>
      </c>
      <c r="L1379" s="8">
        <f>HYPERLINK("https://test.ictv.global/id/TN19981792","TN19981792@TEST")</f>
        <v/>
      </c>
      <c r="M1379" s="8">
        <f>HYPERLINK("https://test.ictv.global/id/ICTV19760270","ICTV19760270@TEST")</f>
        <v/>
      </c>
      <c r="N1379" s="8">
        <f>HYPERLINK("https://ictv.global/id/TN19981792","TN19981792@prod")</f>
        <v/>
      </c>
      <c r="O1379" s="8">
        <f>HYPERLINK("https://ictv.global/id/ICTV19760270","ICTV19760270@prod")</f>
        <v/>
      </c>
    </row>
    <row r="1380">
      <c r="A1380" t="n">
        <v>17</v>
      </c>
      <c r="B1380" t="n">
        <v>19981794</v>
      </c>
      <c r="C1380" t="n">
        <v>19951391</v>
      </c>
      <c r="D1380" t="inlineStr">
        <is>
          <t>species</t>
        </is>
      </c>
      <c r="E1380" t="inlineStr">
        <is>
          <t>Human papillomavirus 11</t>
        </is>
      </c>
      <c r="G1380" t="inlineStr">
        <is>
          <t>Merged,</t>
        </is>
      </c>
      <c r="H1380" t="inlineStr">
        <is>
          <t>Human papillomavirus</t>
        </is>
      </c>
      <c r="I1380" t="inlineStr">
        <is>
          <t>species</t>
        </is>
      </c>
      <c r="J1380" t="n">
        <v>19991144</v>
      </c>
      <c r="K1380" t="n">
        <v>19991144</v>
      </c>
      <c r="L1380" s="8">
        <f>HYPERLINK("https://test.ictv.global/id/TN19981794","TN19981794@TEST")</f>
        <v/>
      </c>
      <c r="M1380" s="8">
        <f>HYPERLINK("https://test.ictv.global/id/ICTV19951391","ICTV19951391@TEST")</f>
        <v/>
      </c>
      <c r="N1380" s="8">
        <f>HYPERLINK("https://ictv.global/id/TN19981794","TN19981794@prod")</f>
        <v/>
      </c>
      <c r="O1380" s="8">
        <f>HYPERLINK("https://ictv.global/id/ICTV19951391","ICTV19951391@prod")</f>
        <v/>
      </c>
    </row>
    <row r="1381">
      <c r="A1381" t="n">
        <v>17</v>
      </c>
      <c r="B1381" t="n">
        <v>19981795</v>
      </c>
      <c r="C1381" t="n">
        <v>19951392</v>
      </c>
      <c r="D1381" t="inlineStr">
        <is>
          <t>species</t>
        </is>
      </c>
      <c r="E1381" t="inlineStr">
        <is>
          <t>Human papillomavirus 16</t>
        </is>
      </c>
      <c r="G1381" t="inlineStr">
        <is>
          <t>Merged,</t>
        </is>
      </c>
      <c r="H1381" t="inlineStr">
        <is>
          <t>Human papillomavirus</t>
        </is>
      </c>
      <c r="I1381" t="inlineStr">
        <is>
          <t>species</t>
        </is>
      </c>
      <c r="J1381" t="n">
        <v>19991144</v>
      </c>
      <c r="K1381" t="n">
        <v>19991144</v>
      </c>
      <c r="L1381" s="8">
        <f>HYPERLINK("https://test.ictv.global/id/TN19981795","TN19981795@TEST")</f>
        <v/>
      </c>
      <c r="M1381" s="8">
        <f>HYPERLINK("https://test.ictv.global/id/ICTV19951392","ICTV19951392@TEST")</f>
        <v/>
      </c>
      <c r="N1381" s="8">
        <f>HYPERLINK("https://ictv.global/id/TN19981795","TN19981795@prod")</f>
        <v/>
      </c>
      <c r="O1381" s="8">
        <f>HYPERLINK("https://ictv.global/id/ICTV19951392","ICTV19951392@prod")</f>
        <v/>
      </c>
    </row>
    <row r="1382">
      <c r="A1382" t="n">
        <v>17</v>
      </c>
      <c r="B1382" t="n">
        <v>19981796</v>
      </c>
      <c r="C1382" t="n">
        <v>19951393</v>
      </c>
      <c r="D1382" t="inlineStr">
        <is>
          <t>species</t>
        </is>
      </c>
      <c r="E1382" t="inlineStr">
        <is>
          <t>Human papillomavirus 18</t>
        </is>
      </c>
      <c r="G1382" t="inlineStr">
        <is>
          <t>Merged,</t>
        </is>
      </c>
      <c r="H1382" t="inlineStr">
        <is>
          <t>Human papillomavirus</t>
        </is>
      </c>
      <c r="I1382" t="inlineStr">
        <is>
          <t>species</t>
        </is>
      </c>
      <c r="J1382" t="n">
        <v>19991144</v>
      </c>
      <c r="K1382" t="n">
        <v>19991144</v>
      </c>
      <c r="L1382" s="8">
        <f>HYPERLINK("https://test.ictv.global/id/TN19981796","TN19981796@TEST")</f>
        <v/>
      </c>
      <c r="M1382" s="8">
        <f>HYPERLINK("https://test.ictv.global/id/ICTV19951393","ICTV19951393@TEST")</f>
        <v/>
      </c>
      <c r="N1382" s="8">
        <f>HYPERLINK("https://ictv.global/id/TN19981796","TN19981796@prod")</f>
        <v/>
      </c>
      <c r="O1382" s="8">
        <f>HYPERLINK("https://ictv.global/id/ICTV19951393","ICTV19951393@prod")</f>
        <v/>
      </c>
    </row>
    <row r="1383">
      <c r="A1383" t="n">
        <v>17</v>
      </c>
      <c r="B1383" t="n">
        <v>19981797</v>
      </c>
      <c r="C1383" t="n">
        <v>19951394</v>
      </c>
      <c r="D1383" t="inlineStr">
        <is>
          <t>species</t>
        </is>
      </c>
      <c r="E1383" t="inlineStr">
        <is>
          <t>Human papillomavirus 1a</t>
        </is>
      </c>
      <c r="G1383" t="inlineStr">
        <is>
          <t>Merged,</t>
        </is>
      </c>
      <c r="H1383" t="inlineStr">
        <is>
          <t>Human papillomavirus</t>
        </is>
      </c>
      <c r="I1383" t="inlineStr">
        <is>
          <t>species</t>
        </is>
      </c>
      <c r="J1383" t="n">
        <v>19991144</v>
      </c>
      <c r="K1383" t="n">
        <v>19991144</v>
      </c>
      <c r="L1383" s="8">
        <f>HYPERLINK("https://test.ictv.global/id/TN19981797","TN19981797@TEST")</f>
        <v/>
      </c>
      <c r="M1383" s="8">
        <f>HYPERLINK("https://test.ictv.global/id/ICTV19951394","ICTV19951394@TEST")</f>
        <v/>
      </c>
      <c r="N1383" s="8">
        <f>HYPERLINK("https://ictv.global/id/TN19981797","TN19981797@prod")</f>
        <v/>
      </c>
      <c r="O1383" s="8">
        <f>HYPERLINK("https://ictv.global/id/ICTV19951394","ICTV19951394@prod")</f>
        <v/>
      </c>
    </row>
    <row r="1384">
      <c r="A1384" t="n">
        <v>17</v>
      </c>
      <c r="B1384" t="n">
        <v>19981798</v>
      </c>
      <c r="C1384" t="n">
        <v>19951395</v>
      </c>
      <c r="D1384" t="inlineStr">
        <is>
          <t>species</t>
        </is>
      </c>
      <c r="E1384" t="inlineStr">
        <is>
          <t>Human papillomavirus 31</t>
        </is>
      </c>
      <c r="G1384" t="inlineStr">
        <is>
          <t>Merged,</t>
        </is>
      </c>
      <c r="H1384" t="inlineStr">
        <is>
          <t>Human papillomavirus</t>
        </is>
      </c>
      <c r="I1384" t="inlineStr">
        <is>
          <t>species</t>
        </is>
      </c>
      <c r="J1384" t="n">
        <v>19991144</v>
      </c>
      <c r="K1384" t="n">
        <v>19991144</v>
      </c>
      <c r="L1384" s="8">
        <f>HYPERLINK("https://test.ictv.global/id/TN19981798","TN19981798@TEST")</f>
        <v/>
      </c>
      <c r="M1384" s="8">
        <f>HYPERLINK("https://test.ictv.global/id/ICTV19951395","ICTV19951395@TEST")</f>
        <v/>
      </c>
      <c r="N1384" s="8">
        <f>HYPERLINK("https://ictv.global/id/TN19981798","TN19981798@prod")</f>
        <v/>
      </c>
      <c r="O1384" s="8">
        <f>HYPERLINK("https://ictv.global/id/ICTV19951395","ICTV19951395@prod")</f>
        <v/>
      </c>
    </row>
    <row r="1385">
      <c r="A1385" t="n">
        <v>17</v>
      </c>
      <c r="B1385" t="n">
        <v>19981799</v>
      </c>
      <c r="C1385" t="n">
        <v>19951396</v>
      </c>
      <c r="D1385" t="inlineStr">
        <is>
          <t>species</t>
        </is>
      </c>
      <c r="E1385" t="inlineStr">
        <is>
          <t>Human papillomavirus 33</t>
        </is>
      </c>
      <c r="G1385" t="inlineStr">
        <is>
          <t>Merged,</t>
        </is>
      </c>
      <c r="H1385" t="inlineStr">
        <is>
          <t>Human papillomavirus</t>
        </is>
      </c>
      <c r="I1385" t="inlineStr">
        <is>
          <t>species</t>
        </is>
      </c>
      <c r="J1385" t="n">
        <v>19991144</v>
      </c>
      <c r="K1385" t="n">
        <v>19991144</v>
      </c>
      <c r="L1385" s="8">
        <f>HYPERLINK("https://test.ictv.global/id/TN19981799","TN19981799@TEST")</f>
        <v/>
      </c>
      <c r="M1385" s="8">
        <f>HYPERLINK("https://test.ictv.global/id/ICTV19951396","ICTV19951396@TEST")</f>
        <v/>
      </c>
      <c r="N1385" s="8">
        <f>HYPERLINK("https://ictv.global/id/TN19981799","TN19981799@prod")</f>
        <v/>
      </c>
      <c r="O1385" s="8">
        <f>HYPERLINK("https://ictv.global/id/ICTV19951396","ICTV19951396@prod")</f>
        <v/>
      </c>
    </row>
    <row r="1386">
      <c r="A1386" t="n">
        <v>17</v>
      </c>
      <c r="B1386" t="n">
        <v>19981800</v>
      </c>
      <c r="C1386" t="n">
        <v>19951397</v>
      </c>
      <c r="D1386" t="inlineStr">
        <is>
          <t>species</t>
        </is>
      </c>
      <c r="E1386" t="inlineStr">
        <is>
          <t>Human papillomavirus 5</t>
        </is>
      </c>
      <c r="G1386" t="inlineStr">
        <is>
          <t>Merged,</t>
        </is>
      </c>
      <c r="H1386" t="inlineStr">
        <is>
          <t>Human papillomavirus</t>
        </is>
      </c>
      <c r="I1386" t="inlineStr">
        <is>
          <t>species</t>
        </is>
      </c>
      <c r="J1386" t="n">
        <v>19991144</v>
      </c>
      <c r="K1386" t="n">
        <v>19991144</v>
      </c>
      <c r="L1386" s="8">
        <f>HYPERLINK("https://test.ictv.global/id/TN19981800","TN19981800@TEST")</f>
        <v/>
      </c>
      <c r="M1386" s="8">
        <f>HYPERLINK("https://test.ictv.global/id/ICTV19951397","ICTV19951397@TEST")</f>
        <v/>
      </c>
      <c r="N1386" s="8">
        <f>HYPERLINK("https://ictv.global/id/TN19981800","TN19981800@prod")</f>
        <v/>
      </c>
      <c r="O1386" s="8">
        <f>HYPERLINK("https://ictv.global/id/ICTV19951397","ICTV19951397@prod")</f>
        <v/>
      </c>
    </row>
    <row r="1387">
      <c r="A1387" t="n">
        <v>17</v>
      </c>
      <c r="B1387" t="n">
        <v>19981801</v>
      </c>
      <c r="C1387" t="n">
        <v>19951398</v>
      </c>
      <c r="D1387" t="inlineStr">
        <is>
          <t>species</t>
        </is>
      </c>
      <c r="E1387" t="inlineStr">
        <is>
          <t>Human papillomavirus 6b</t>
        </is>
      </c>
      <c r="G1387" t="inlineStr">
        <is>
          <t>Merged,</t>
        </is>
      </c>
      <c r="H1387" t="inlineStr">
        <is>
          <t>Human papillomavirus</t>
        </is>
      </c>
      <c r="I1387" t="inlineStr">
        <is>
          <t>species</t>
        </is>
      </c>
      <c r="J1387" t="n">
        <v>19991144</v>
      </c>
      <c r="K1387" t="n">
        <v>19991144</v>
      </c>
      <c r="L1387" s="8">
        <f>HYPERLINK("https://test.ictv.global/id/TN19981801","TN19981801@TEST")</f>
        <v/>
      </c>
      <c r="M1387" s="8">
        <f>HYPERLINK("https://test.ictv.global/id/ICTV19951398","ICTV19951398@TEST")</f>
        <v/>
      </c>
      <c r="N1387" s="8">
        <f>HYPERLINK("https://ictv.global/id/TN19981801","TN19981801@prod")</f>
        <v/>
      </c>
      <c r="O1387" s="8">
        <f>HYPERLINK("https://ictv.global/id/ICTV19951398","ICTV19951398@prod")</f>
        <v/>
      </c>
    </row>
    <row r="1388">
      <c r="A1388" t="n">
        <v>17</v>
      </c>
      <c r="B1388" t="n">
        <v>19981802</v>
      </c>
      <c r="C1388" t="n">
        <v>19951399</v>
      </c>
      <c r="D1388" t="inlineStr">
        <is>
          <t>species</t>
        </is>
      </c>
      <c r="E1388" t="inlineStr">
        <is>
          <t>Human papillomavirus 8</t>
        </is>
      </c>
      <c r="G1388" t="inlineStr">
        <is>
          <t>Merged,</t>
        </is>
      </c>
      <c r="H1388" t="inlineStr">
        <is>
          <t>Human papillomavirus</t>
        </is>
      </c>
      <c r="I1388" t="inlineStr">
        <is>
          <t>species</t>
        </is>
      </c>
      <c r="J1388" t="n">
        <v>19991144</v>
      </c>
      <c r="K1388" t="n">
        <v>19991144</v>
      </c>
      <c r="L1388" s="8">
        <f>HYPERLINK("https://test.ictv.global/id/TN19981802","TN19981802@TEST")</f>
        <v/>
      </c>
      <c r="M1388" s="8">
        <f>HYPERLINK("https://test.ictv.global/id/ICTV19951399","ICTV19951399@TEST")</f>
        <v/>
      </c>
      <c r="N1388" s="8">
        <f>HYPERLINK("https://ictv.global/id/TN19981802","TN19981802@prod")</f>
        <v/>
      </c>
      <c r="O1388" s="8">
        <f>HYPERLINK("https://ictv.global/id/ICTV19951399","ICTV19951399@prod")</f>
        <v/>
      </c>
    </row>
    <row r="1389">
      <c r="A1389" t="n">
        <v>17</v>
      </c>
      <c r="B1389" t="n">
        <v>19981803</v>
      </c>
      <c r="C1389" t="n">
        <v>19951400</v>
      </c>
      <c r="D1389" t="inlineStr">
        <is>
          <t>species</t>
        </is>
      </c>
      <c r="E1389" t="inlineStr">
        <is>
          <t>Multimammate mouse papillomavirus</t>
        </is>
      </c>
      <c r="G1389" t="inlineStr">
        <is>
          <t>Abolished,</t>
        </is>
      </c>
      <c r="L1389" s="8">
        <f>HYPERLINK("https://test.ictv.global/id/TN19981803","TN19981803@TEST")</f>
        <v/>
      </c>
      <c r="M1389" s="8">
        <f>HYPERLINK("https://test.ictv.global/id/ICTV19951400","ICTV19951400@TEST")</f>
        <v/>
      </c>
      <c r="N1389" s="8">
        <f>HYPERLINK("https://ictv.global/id/TN19981803","TN19981803@prod")</f>
        <v/>
      </c>
      <c r="O1389" s="8">
        <f>HYPERLINK("https://ictv.global/id/ICTV19951400","ICTV19951400@prod")</f>
        <v/>
      </c>
    </row>
    <row r="1390">
      <c r="A1390" t="n">
        <v>17</v>
      </c>
      <c r="B1390" t="n">
        <v>19981804</v>
      </c>
      <c r="C1390" t="n">
        <v>19951401</v>
      </c>
      <c r="D1390" t="inlineStr">
        <is>
          <t>species</t>
        </is>
      </c>
      <c r="E1390" t="inlineStr">
        <is>
          <t>Rabbit oral papillomavirus</t>
        </is>
      </c>
      <c r="G1390" t="inlineStr">
        <is>
          <t>Abolished,</t>
        </is>
      </c>
      <c r="L1390" s="8">
        <f>HYPERLINK("https://test.ictv.global/id/TN19981804","TN19981804@TEST")</f>
        <v/>
      </c>
      <c r="M1390" s="8">
        <f>HYPERLINK("https://test.ictv.global/id/ICTV19951401","ICTV19951401@TEST")</f>
        <v/>
      </c>
      <c r="N1390" s="8">
        <f>HYPERLINK("https://ictv.global/id/TN19981804","TN19981804@prod")</f>
        <v/>
      </c>
      <c r="O1390" s="8">
        <f>HYPERLINK("https://ictv.global/id/ICTV19951401","ICTV19951401@prod")</f>
        <v/>
      </c>
    </row>
    <row r="1391">
      <c r="A1391" t="n">
        <v>17</v>
      </c>
      <c r="B1391" t="n">
        <v>19981805</v>
      </c>
      <c r="C1391" t="n">
        <v>19951402</v>
      </c>
      <c r="D1391" t="inlineStr">
        <is>
          <t>species</t>
        </is>
      </c>
      <c r="E1391" t="inlineStr">
        <is>
          <t>Reindeer papillomavirus</t>
        </is>
      </c>
      <c r="G1391" t="inlineStr">
        <is>
          <t>Abolished,</t>
        </is>
      </c>
      <c r="L1391" s="8">
        <f>HYPERLINK("https://test.ictv.global/id/TN19981805","TN19981805@TEST")</f>
        <v/>
      </c>
      <c r="M1391" s="8">
        <f>HYPERLINK("https://test.ictv.global/id/ICTV19951402","ICTV19951402@TEST")</f>
        <v/>
      </c>
      <c r="N1391" s="8">
        <f>HYPERLINK("https://ictv.global/id/TN19981805","TN19981805@prod")</f>
        <v/>
      </c>
      <c r="O1391" s="8">
        <f>HYPERLINK("https://ictv.global/id/ICTV19951402","ICTV19951402@prod")</f>
        <v/>
      </c>
    </row>
    <row r="1392">
      <c r="A1392" t="n">
        <v>17</v>
      </c>
      <c r="B1392" t="n">
        <v>19981806</v>
      </c>
      <c r="C1392" t="n">
        <v>19951403</v>
      </c>
      <c r="D1392" t="inlineStr">
        <is>
          <t>species</t>
        </is>
      </c>
      <c r="E1392" t="inlineStr">
        <is>
          <t>Rhesus monkey papillomavirus</t>
        </is>
      </c>
      <c r="G1392" t="inlineStr">
        <is>
          <t>Abolished,</t>
        </is>
      </c>
      <c r="L1392" s="8">
        <f>HYPERLINK("https://test.ictv.global/id/TN19981806","TN19981806@TEST")</f>
        <v/>
      </c>
      <c r="M1392" s="8">
        <f>HYPERLINK("https://test.ictv.global/id/ICTV19951403","ICTV19951403@TEST")</f>
        <v/>
      </c>
      <c r="N1392" s="8">
        <f>HYPERLINK("https://ictv.global/id/TN19981806","TN19981806@prod")</f>
        <v/>
      </c>
      <c r="O1392" s="8">
        <f>HYPERLINK("https://ictv.global/id/ICTV19951403","ICTV19951403@prod")</f>
        <v/>
      </c>
    </row>
    <row r="1393">
      <c r="A1393" t="n">
        <v>17</v>
      </c>
      <c r="B1393" t="n">
        <v>19981885</v>
      </c>
      <c r="C1393" t="n">
        <v>19911046</v>
      </c>
      <c r="D1393" t="inlineStr">
        <is>
          <t>species</t>
        </is>
      </c>
      <c r="E1393" t="inlineStr">
        <is>
          <t>Hydra viridis Chlorella virus 2</t>
        </is>
      </c>
      <c r="G1393" t="inlineStr">
        <is>
          <t>Abolished,</t>
        </is>
      </c>
      <c r="L1393" s="8">
        <f>HYPERLINK("https://test.ictv.global/id/TN19981885","TN19981885@TEST")</f>
        <v/>
      </c>
      <c r="M1393" s="8">
        <f>HYPERLINK("https://test.ictv.global/id/ICTV19911046","ICTV19911046@TEST")</f>
        <v/>
      </c>
      <c r="N1393" s="8">
        <f>HYPERLINK("https://ictv.global/id/TN19981885","TN19981885@prod")</f>
        <v/>
      </c>
      <c r="O1393" s="8">
        <f>HYPERLINK("https://ictv.global/id/ICTV19911046","ICTV19911046@prod")</f>
        <v/>
      </c>
    </row>
    <row r="1394">
      <c r="A1394" t="n">
        <v>17</v>
      </c>
      <c r="B1394" t="n">
        <v>19981886</v>
      </c>
      <c r="C1394" t="n">
        <v>19911047</v>
      </c>
      <c r="D1394" t="inlineStr">
        <is>
          <t>species</t>
        </is>
      </c>
      <c r="E1394" t="inlineStr">
        <is>
          <t>Hydra viridis Chlorella virus 3</t>
        </is>
      </c>
      <c r="G1394" t="inlineStr">
        <is>
          <t>Abolished,</t>
        </is>
      </c>
      <c r="L1394" s="8">
        <f>HYPERLINK("https://test.ictv.global/id/TN19981886","TN19981886@TEST")</f>
        <v/>
      </c>
      <c r="M1394" s="8">
        <f>HYPERLINK("https://test.ictv.global/id/ICTV19911047","ICTV19911047@TEST")</f>
        <v/>
      </c>
      <c r="N1394" s="8">
        <f>HYPERLINK("https://ictv.global/id/TN19981886","TN19981886@prod")</f>
        <v/>
      </c>
      <c r="O1394" s="8">
        <f>HYPERLINK("https://ictv.global/id/ICTV19911047","ICTV19911047@prod")</f>
        <v/>
      </c>
    </row>
    <row r="1395">
      <c r="A1395" t="n">
        <v>17</v>
      </c>
      <c r="B1395" t="n">
        <v>19981891</v>
      </c>
      <c r="C1395" t="n">
        <v>19911052</v>
      </c>
      <c r="D1395" t="inlineStr">
        <is>
          <t>species</t>
        </is>
      </c>
      <c r="E1395" t="inlineStr">
        <is>
          <t>Paramecium bursaria Chlorella virus AL2C</t>
        </is>
      </c>
      <c r="G1395" t="inlineStr">
        <is>
          <t>Abolished,</t>
        </is>
      </c>
      <c r="L1395" s="8">
        <f>HYPERLINK("https://test.ictv.global/id/TN19981891","TN19981891@TEST")</f>
        <v/>
      </c>
      <c r="M1395" s="8">
        <f>HYPERLINK("https://test.ictv.global/id/ICTV19911052","ICTV19911052@TEST")</f>
        <v/>
      </c>
      <c r="N1395" s="8">
        <f>HYPERLINK("https://ictv.global/id/TN19981891","TN19981891@prod")</f>
        <v/>
      </c>
      <c r="O1395" s="8">
        <f>HYPERLINK("https://ictv.global/id/ICTV19911052","ICTV19911052@prod")</f>
        <v/>
      </c>
    </row>
    <row r="1396">
      <c r="A1396" t="n">
        <v>17</v>
      </c>
      <c r="B1396" t="n">
        <v>19981892</v>
      </c>
      <c r="C1396" t="n">
        <v>19911053</v>
      </c>
      <c r="D1396" t="inlineStr">
        <is>
          <t>species</t>
        </is>
      </c>
      <c r="E1396" t="inlineStr">
        <is>
          <t>Paramecium bursaria Chlorella virus B1</t>
        </is>
      </c>
      <c r="G1396" t="inlineStr">
        <is>
          <t>Abolished,</t>
        </is>
      </c>
      <c r="L1396" s="8">
        <f>HYPERLINK("https://test.ictv.global/id/TN19981892","TN19981892@TEST")</f>
        <v/>
      </c>
      <c r="M1396" s="8">
        <f>HYPERLINK("https://test.ictv.global/id/ICTV19911053","ICTV19911053@TEST")</f>
        <v/>
      </c>
      <c r="N1396" s="8">
        <f>HYPERLINK("https://ictv.global/id/TN19981892","TN19981892@prod")</f>
        <v/>
      </c>
      <c r="O1396" s="8">
        <f>HYPERLINK("https://ictv.global/id/ICTV19911053","ICTV19911053@prod")</f>
        <v/>
      </c>
    </row>
    <row r="1397">
      <c r="A1397" t="n">
        <v>17</v>
      </c>
      <c r="B1397" t="n">
        <v>19981894</v>
      </c>
      <c r="C1397" t="n">
        <v>19911055</v>
      </c>
      <c r="D1397" t="inlineStr">
        <is>
          <t>species</t>
        </is>
      </c>
      <c r="E1397" t="inlineStr">
        <is>
          <t>Paramecium bursaria Chlorella virus CA1A</t>
        </is>
      </c>
      <c r="G1397" t="inlineStr">
        <is>
          <t>Abolished,</t>
        </is>
      </c>
      <c r="L1397" s="8">
        <f>HYPERLINK("https://test.ictv.global/id/TN19981894","TN19981894@TEST")</f>
        <v/>
      </c>
      <c r="M1397" s="8">
        <f>HYPERLINK("https://test.ictv.global/id/ICTV19911055","ICTV19911055@TEST")</f>
        <v/>
      </c>
      <c r="N1397" s="8">
        <f>HYPERLINK("https://ictv.global/id/TN19981894","TN19981894@prod")</f>
        <v/>
      </c>
      <c r="O1397" s="8">
        <f>HYPERLINK("https://ictv.global/id/ICTV19911055","ICTV19911055@prod")</f>
        <v/>
      </c>
    </row>
    <row r="1398">
      <c r="A1398" t="n">
        <v>17</v>
      </c>
      <c r="B1398" t="n">
        <v>19981895</v>
      </c>
      <c r="C1398" t="n">
        <v>19911056</v>
      </c>
      <c r="D1398" t="inlineStr">
        <is>
          <t>species</t>
        </is>
      </c>
      <c r="E1398" t="inlineStr">
        <is>
          <t>Paramecium bursaria Chlorella virus CA1D</t>
        </is>
      </c>
      <c r="G1398" t="inlineStr">
        <is>
          <t>Abolished,</t>
        </is>
      </c>
      <c r="L1398" s="8">
        <f>HYPERLINK("https://test.ictv.global/id/TN19981895","TN19981895@TEST")</f>
        <v/>
      </c>
      <c r="M1398" s="8">
        <f>HYPERLINK("https://test.ictv.global/id/ICTV19911056","ICTV19911056@TEST")</f>
        <v/>
      </c>
      <c r="N1398" s="8">
        <f>HYPERLINK("https://ictv.global/id/TN19981895","TN19981895@prod")</f>
        <v/>
      </c>
      <c r="O1398" s="8">
        <f>HYPERLINK("https://ictv.global/id/ICTV19911056","ICTV19911056@prod")</f>
        <v/>
      </c>
    </row>
    <row r="1399">
      <c r="A1399" t="n">
        <v>17</v>
      </c>
      <c r="B1399" t="n">
        <v>19981896</v>
      </c>
      <c r="C1399" t="n">
        <v>19911057</v>
      </c>
      <c r="D1399" t="inlineStr">
        <is>
          <t>species</t>
        </is>
      </c>
      <c r="E1399" t="inlineStr">
        <is>
          <t>Paramecium bursaria Chlorella virus CA2A</t>
        </is>
      </c>
      <c r="G1399" t="inlineStr">
        <is>
          <t>Abolished,</t>
        </is>
      </c>
      <c r="L1399" s="8">
        <f>HYPERLINK("https://test.ictv.global/id/TN19981896","TN19981896@TEST")</f>
        <v/>
      </c>
      <c r="M1399" s="8">
        <f>HYPERLINK("https://test.ictv.global/id/ICTV19911057","ICTV19911057@TEST")</f>
        <v/>
      </c>
      <c r="N1399" s="8">
        <f>HYPERLINK("https://ictv.global/id/TN19981896","TN19981896@prod")</f>
        <v/>
      </c>
      <c r="O1399" s="8">
        <f>HYPERLINK("https://ictv.global/id/ICTV19911057","ICTV19911057@prod")</f>
        <v/>
      </c>
    </row>
    <row r="1400">
      <c r="A1400" t="n">
        <v>17</v>
      </c>
      <c r="B1400" t="n">
        <v>19981899</v>
      </c>
      <c r="C1400" t="n">
        <v>19911060</v>
      </c>
      <c r="D1400" t="inlineStr">
        <is>
          <t>species</t>
        </is>
      </c>
      <c r="E1400" t="inlineStr">
        <is>
          <t>Paramecium bursaria Chlorella virus G1</t>
        </is>
      </c>
      <c r="G1400" t="inlineStr">
        <is>
          <t>Abolished,</t>
        </is>
      </c>
      <c r="L1400" s="8">
        <f>HYPERLINK("https://test.ictv.global/id/TN19981899","TN19981899@TEST")</f>
        <v/>
      </c>
      <c r="M1400" s="8">
        <f>HYPERLINK("https://test.ictv.global/id/ICTV19911060","ICTV19911060@TEST")</f>
        <v/>
      </c>
      <c r="N1400" s="8">
        <f>HYPERLINK("https://ictv.global/id/TN19981899","TN19981899@prod")</f>
        <v/>
      </c>
      <c r="O1400" s="8">
        <f>HYPERLINK("https://ictv.global/id/ICTV19911060","ICTV19911060@prod")</f>
        <v/>
      </c>
    </row>
    <row r="1401">
      <c r="A1401" t="n">
        <v>17</v>
      </c>
      <c r="B1401" t="n">
        <v>19981900</v>
      </c>
      <c r="C1401" t="n">
        <v>19911061</v>
      </c>
      <c r="D1401" t="inlineStr">
        <is>
          <t>species</t>
        </is>
      </c>
      <c r="E1401" t="inlineStr">
        <is>
          <t>Paramecium bursaria Chlorella virus IL2A</t>
        </is>
      </c>
      <c r="G1401" t="inlineStr">
        <is>
          <t>Abolished,</t>
        </is>
      </c>
      <c r="L1401" s="8">
        <f>HYPERLINK("https://test.ictv.global/id/TN19981900","TN19981900@TEST")</f>
        <v/>
      </c>
      <c r="M1401" s="8">
        <f>HYPERLINK("https://test.ictv.global/id/ICTV19911061","ICTV19911061@TEST")</f>
        <v/>
      </c>
      <c r="N1401" s="8">
        <f>HYPERLINK("https://ictv.global/id/TN19981900","TN19981900@prod")</f>
        <v/>
      </c>
      <c r="O1401" s="8">
        <f>HYPERLINK("https://ictv.global/id/ICTV19911061","ICTV19911061@prod")</f>
        <v/>
      </c>
    </row>
    <row r="1402">
      <c r="A1402" t="n">
        <v>17</v>
      </c>
      <c r="B1402" t="n">
        <v>19981901</v>
      </c>
      <c r="C1402" t="n">
        <v>19911062</v>
      </c>
      <c r="D1402" t="inlineStr">
        <is>
          <t>species</t>
        </is>
      </c>
      <c r="E1402" t="inlineStr">
        <is>
          <t>Paramecium bursaria Chlorella virus IL2B</t>
        </is>
      </c>
      <c r="G1402" t="inlineStr">
        <is>
          <t>Abolished,</t>
        </is>
      </c>
      <c r="L1402" s="8">
        <f>HYPERLINK("https://test.ictv.global/id/TN19981901","TN19981901@TEST")</f>
        <v/>
      </c>
      <c r="M1402" s="8">
        <f>HYPERLINK("https://test.ictv.global/id/ICTV19911062","ICTV19911062@TEST")</f>
        <v/>
      </c>
      <c r="N1402" s="8">
        <f>HYPERLINK("https://ictv.global/id/TN19981901","TN19981901@prod")</f>
        <v/>
      </c>
      <c r="O1402" s="8">
        <f>HYPERLINK("https://ictv.global/id/ICTV19911062","ICTV19911062@prod")</f>
        <v/>
      </c>
    </row>
    <row r="1403">
      <c r="A1403" t="n">
        <v>17</v>
      </c>
      <c r="B1403" t="n">
        <v>19981903</v>
      </c>
      <c r="C1403" t="n">
        <v>19911064</v>
      </c>
      <c r="D1403" t="inlineStr">
        <is>
          <t>species</t>
        </is>
      </c>
      <c r="E1403" t="inlineStr">
        <is>
          <t>Paramecium bursaria Chlorella virus IL3D</t>
        </is>
      </c>
      <c r="G1403" t="inlineStr">
        <is>
          <t>Abolished,</t>
        </is>
      </c>
      <c r="L1403" s="8">
        <f>HYPERLINK("https://test.ictv.global/id/TN19981903","TN19981903@TEST")</f>
        <v/>
      </c>
      <c r="M1403" s="8">
        <f>HYPERLINK("https://test.ictv.global/id/ICTV19911064","ICTV19911064@TEST")</f>
        <v/>
      </c>
      <c r="N1403" s="8">
        <f>HYPERLINK("https://ictv.global/id/TN19981903","TN19981903@prod")</f>
        <v/>
      </c>
      <c r="O1403" s="8">
        <f>HYPERLINK("https://ictv.global/id/ICTV19911064","ICTV19911064@prod")</f>
        <v/>
      </c>
    </row>
    <row r="1404">
      <c r="A1404" t="n">
        <v>17</v>
      </c>
      <c r="B1404" t="n">
        <v>19981904</v>
      </c>
      <c r="C1404" t="n">
        <v>19911065</v>
      </c>
      <c r="D1404" t="inlineStr">
        <is>
          <t>species</t>
        </is>
      </c>
      <c r="E1404" t="inlineStr">
        <is>
          <t>Paramecium bursaria Chlorella virus IL5-2s1</t>
        </is>
      </c>
      <c r="G1404" t="inlineStr">
        <is>
          <t>Abolished,</t>
        </is>
      </c>
      <c r="L1404" s="8">
        <f>HYPERLINK("https://test.ictv.global/id/TN19981904","TN19981904@TEST")</f>
        <v/>
      </c>
      <c r="M1404" s="8">
        <f>HYPERLINK("https://test.ictv.global/id/ICTV19911065","ICTV19911065@TEST")</f>
        <v/>
      </c>
      <c r="N1404" s="8">
        <f>HYPERLINK("https://ictv.global/id/TN19981904","TN19981904@prod")</f>
        <v/>
      </c>
      <c r="O1404" s="8">
        <f>HYPERLINK("https://ictv.global/id/ICTV19911065","ICTV19911065@prod")</f>
        <v/>
      </c>
    </row>
    <row r="1405">
      <c r="A1405" t="n">
        <v>17</v>
      </c>
      <c r="B1405" t="n">
        <v>19981905</v>
      </c>
      <c r="C1405" t="n">
        <v>19911066</v>
      </c>
      <c r="D1405" t="inlineStr">
        <is>
          <t>species</t>
        </is>
      </c>
      <c r="E1405" t="inlineStr">
        <is>
          <t>Paramecium bursaria Chlorella virus M1</t>
        </is>
      </c>
      <c r="G1405" t="inlineStr">
        <is>
          <t>Abolished,</t>
        </is>
      </c>
      <c r="L1405" s="8">
        <f>HYPERLINK("https://test.ictv.global/id/TN19981905","TN19981905@TEST")</f>
        <v/>
      </c>
      <c r="M1405" s="8">
        <f>HYPERLINK("https://test.ictv.global/id/ICTV19911066","ICTV19911066@TEST")</f>
        <v/>
      </c>
      <c r="N1405" s="8">
        <f>HYPERLINK("https://ictv.global/id/TN19981905","TN19981905@prod")</f>
        <v/>
      </c>
      <c r="O1405" s="8">
        <f>HYPERLINK("https://ictv.global/id/ICTV19911066","ICTV19911066@prod")</f>
        <v/>
      </c>
    </row>
    <row r="1406">
      <c r="A1406" t="n">
        <v>17</v>
      </c>
      <c r="B1406" t="n">
        <v>19981906</v>
      </c>
      <c r="C1406" t="n">
        <v>19911067</v>
      </c>
      <c r="D1406" t="inlineStr">
        <is>
          <t>species</t>
        </is>
      </c>
      <c r="E1406" t="inlineStr">
        <is>
          <t>Paramecium bursaria Chlorella virus MA1D</t>
        </is>
      </c>
      <c r="G1406" t="inlineStr">
        <is>
          <t>Abolished,</t>
        </is>
      </c>
      <c r="L1406" s="8">
        <f>HYPERLINK("https://test.ictv.global/id/TN19981906","TN19981906@TEST")</f>
        <v/>
      </c>
      <c r="M1406" s="8">
        <f>HYPERLINK("https://test.ictv.global/id/ICTV19911067","ICTV19911067@TEST")</f>
        <v/>
      </c>
      <c r="N1406" s="8">
        <f>HYPERLINK("https://ictv.global/id/TN19981906","TN19981906@prod")</f>
        <v/>
      </c>
      <c r="O1406" s="8">
        <f>HYPERLINK("https://ictv.global/id/ICTV19911067","ICTV19911067@prod")</f>
        <v/>
      </c>
    </row>
    <row r="1407">
      <c r="A1407" t="n">
        <v>17</v>
      </c>
      <c r="B1407" t="n">
        <v>19981907</v>
      </c>
      <c r="C1407" t="n">
        <v>19911068</v>
      </c>
      <c r="D1407" t="inlineStr">
        <is>
          <t>species</t>
        </is>
      </c>
      <c r="E1407" t="inlineStr">
        <is>
          <t>Paramecium bursaria Chlorella virus MA1E</t>
        </is>
      </c>
      <c r="G1407" t="inlineStr">
        <is>
          <t>Abolished,</t>
        </is>
      </c>
      <c r="L1407" s="8">
        <f>HYPERLINK("https://test.ictv.global/id/TN19981907","TN19981907@TEST")</f>
        <v/>
      </c>
      <c r="M1407" s="8">
        <f>HYPERLINK("https://test.ictv.global/id/ICTV19911068","ICTV19911068@TEST")</f>
        <v/>
      </c>
      <c r="N1407" s="8">
        <f>HYPERLINK("https://ictv.global/id/TN19981907","TN19981907@prod")</f>
        <v/>
      </c>
      <c r="O1407" s="8">
        <f>HYPERLINK("https://ictv.global/id/ICTV19911068","ICTV19911068@prod")</f>
        <v/>
      </c>
    </row>
    <row r="1408">
      <c r="A1408" t="n">
        <v>17</v>
      </c>
      <c r="B1408" t="n">
        <v>19981909</v>
      </c>
      <c r="C1408" t="n">
        <v>19911070</v>
      </c>
      <c r="D1408" t="inlineStr">
        <is>
          <t>species</t>
        </is>
      </c>
      <c r="E1408" t="inlineStr">
        <is>
          <t>Paramecium bursaria Chlorella virus NC1B</t>
        </is>
      </c>
      <c r="G1408" t="inlineStr">
        <is>
          <t>Abolished,</t>
        </is>
      </c>
      <c r="L1408" s="8">
        <f>HYPERLINK("https://test.ictv.global/id/TN19981909","TN19981909@TEST")</f>
        <v/>
      </c>
      <c r="M1408" s="8">
        <f>HYPERLINK("https://test.ictv.global/id/ICTV19911070","ICTV19911070@TEST")</f>
        <v/>
      </c>
      <c r="N1408" s="8">
        <f>HYPERLINK("https://ictv.global/id/TN19981909","TN19981909@prod")</f>
        <v/>
      </c>
      <c r="O1408" s="8">
        <f>HYPERLINK("https://ictv.global/id/ICTV19911070","ICTV19911070@prod")</f>
        <v/>
      </c>
    </row>
    <row r="1409">
      <c r="A1409" t="n">
        <v>17</v>
      </c>
      <c r="B1409" t="n">
        <v>19981910</v>
      </c>
      <c r="C1409" t="n">
        <v>19911071</v>
      </c>
      <c r="D1409" t="inlineStr">
        <is>
          <t>species</t>
        </is>
      </c>
      <c r="E1409" t="inlineStr">
        <is>
          <t>Paramecium bursaria Chlorella virus NC1C</t>
        </is>
      </c>
      <c r="G1409" t="inlineStr">
        <is>
          <t>Abolished,</t>
        </is>
      </c>
      <c r="L1409" s="8">
        <f>HYPERLINK("https://test.ictv.global/id/TN19981910","TN19981910@TEST")</f>
        <v/>
      </c>
      <c r="M1409" s="8">
        <f>HYPERLINK("https://test.ictv.global/id/ICTV19911071","ICTV19911071@TEST")</f>
        <v/>
      </c>
      <c r="N1409" s="8">
        <f>HYPERLINK("https://ictv.global/id/TN19981910","TN19981910@prod")</f>
        <v/>
      </c>
      <c r="O1409" s="8">
        <f>HYPERLINK("https://ictv.global/id/ICTV19911071","ICTV19911071@prod")</f>
        <v/>
      </c>
    </row>
    <row r="1410">
      <c r="A1410" t="n">
        <v>17</v>
      </c>
      <c r="B1410" t="n">
        <v>19981911</v>
      </c>
      <c r="C1410" t="n">
        <v>19911072</v>
      </c>
      <c r="D1410" t="inlineStr">
        <is>
          <t>species</t>
        </is>
      </c>
      <c r="E1410" t="inlineStr">
        <is>
          <t>Paramecium bursaria Chlorella virus NC1D</t>
        </is>
      </c>
      <c r="G1410" t="inlineStr">
        <is>
          <t>Abolished,</t>
        </is>
      </c>
      <c r="L1410" s="8">
        <f>HYPERLINK("https://test.ictv.global/id/TN19981911","TN19981911@TEST")</f>
        <v/>
      </c>
      <c r="M1410" s="8">
        <f>HYPERLINK("https://test.ictv.global/id/ICTV19911072","ICTV19911072@TEST")</f>
        <v/>
      </c>
      <c r="N1410" s="8">
        <f>HYPERLINK("https://ictv.global/id/TN19981911","TN19981911@prod")</f>
        <v/>
      </c>
      <c r="O1410" s="8">
        <f>HYPERLINK("https://ictv.global/id/ICTV19911072","ICTV19911072@prod")</f>
        <v/>
      </c>
    </row>
    <row r="1411">
      <c r="A1411" t="n">
        <v>17</v>
      </c>
      <c r="B1411" t="n">
        <v>19981913</v>
      </c>
      <c r="C1411" t="n">
        <v>19911074</v>
      </c>
      <c r="D1411" t="inlineStr">
        <is>
          <t>species</t>
        </is>
      </c>
      <c r="E1411" t="inlineStr">
        <is>
          <t>Paramecium bursaria Chlorella virus NE-8D</t>
        </is>
      </c>
      <c r="G1411" t="inlineStr">
        <is>
          <t>Abolished,</t>
        </is>
      </c>
      <c r="L1411" s="8">
        <f>HYPERLINK("https://test.ictv.global/id/TN19981913","TN19981913@TEST")</f>
        <v/>
      </c>
      <c r="M1411" s="8">
        <f>HYPERLINK("https://test.ictv.global/id/ICTV19911074","ICTV19911074@TEST")</f>
        <v/>
      </c>
      <c r="N1411" s="8">
        <f>HYPERLINK("https://ictv.global/id/TN19981913","TN19981913@prod")</f>
        <v/>
      </c>
      <c r="O1411" s="8">
        <f>HYPERLINK("https://ictv.global/id/ICTV19911074","ICTV19911074@prod")</f>
        <v/>
      </c>
    </row>
    <row r="1412">
      <c r="A1412" t="n">
        <v>17</v>
      </c>
      <c r="B1412" t="n">
        <v>19981915</v>
      </c>
      <c r="C1412" t="n">
        <v>19911076</v>
      </c>
      <c r="D1412" t="inlineStr">
        <is>
          <t>species</t>
        </is>
      </c>
      <c r="E1412" t="inlineStr">
        <is>
          <t>Paramecium bursaria Chlorella virus NY2B</t>
        </is>
      </c>
      <c r="G1412" t="inlineStr">
        <is>
          <t>Abolished,</t>
        </is>
      </c>
      <c r="L1412" s="8">
        <f>HYPERLINK("https://test.ictv.global/id/TN19981915","TN19981915@TEST")</f>
        <v/>
      </c>
      <c r="M1412" s="8">
        <f>HYPERLINK("https://test.ictv.global/id/ICTV19911076","ICTV19911076@TEST")</f>
        <v/>
      </c>
      <c r="N1412" s="8">
        <f>HYPERLINK("https://ictv.global/id/TN19981915","TN19981915@prod")</f>
        <v/>
      </c>
      <c r="O1412" s="8">
        <f>HYPERLINK("https://ictv.global/id/ICTV19911076","ICTV19911076@prod")</f>
        <v/>
      </c>
    </row>
    <row r="1413">
      <c r="A1413" t="n">
        <v>17</v>
      </c>
      <c r="B1413" t="n">
        <v>19981916</v>
      </c>
      <c r="C1413" t="n">
        <v>19911077</v>
      </c>
      <c r="D1413" t="inlineStr">
        <is>
          <t>species</t>
        </is>
      </c>
      <c r="E1413" t="inlineStr">
        <is>
          <t>Paramecium bursaria Chlorella virus NY2C</t>
        </is>
      </c>
      <c r="G1413" t="inlineStr">
        <is>
          <t>Abolished,</t>
        </is>
      </c>
      <c r="L1413" s="8">
        <f>HYPERLINK("https://test.ictv.global/id/TN19981916","TN19981916@TEST")</f>
        <v/>
      </c>
      <c r="M1413" s="8">
        <f>HYPERLINK("https://test.ictv.global/id/ICTV19911077","ICTV19911077@TEST")</f>
        <v/>
      </c>
      <c r="N1413" s="8">
        <f>HYPERLINK("https://ictv.global/id/TN19981916","TN19981916@prod")</f>
        <v/>
      </c>
      <c r="O1413" s="8">
        <f>HYPERLINK("https://ictv.global/id/ICTV19911077","ICTV19911077@prod")</f>
        <v/>
      </c>
    </row>
    <row r="1414">
      <c r="A1414" t="n">
        <v>17</v>
      </c>
      <c r="B1414" t="n">
        <v>19981917</v>
      </c>
      <c r="C1414" t="n">
        <v>19911078</v>
      </c>
      <c r="D1414" t="inlineStr">
        <is>
          <t>species</t>
        </is>
      </c>
      <c r="E1414" t="inlineStr">
        <is>
          <t>Paramecium bursaria Chlorella virus NY2F</t>
        </is>
      </c>
      <c r="G1414" t="inlineStr">
        <is>
          <t>Abolished,</t>
        </is>
      </c>
      <c r="L1414" s="8">
        <f>HYPERLINK("https://test.ictv.global/id/TN19981917","TN19981917@TEST")</f>
        <v/>
      </c>
      <c r="M1414" s="8">
        <f>HYPERLINK("https://test.ictv.global/id/ICTV19911078","ICTV19911078@TEST")</f>
        <v/>
      </c>
      <c r="N1414" s="8">
        <f>HYPERLINK("https://ictv.global/id/TN19981917","TN19981917@prod")</f>
        <v/>
      </c>
      <c r="O1414" s="8">
        <f>HYPERLINK("https://ictv.global/id/ICTV19911078","ICTV19911078@prod")</f>
        <v/>
      </c>
    </row>
    <row r="1415">
      <c r="A1415" t="n">
        <v>17</v>
      </c>
      <c r="B1415" t="n">
        <v>19981918</v>
      </c>
      <c r="C1415" t="n">
        <v>19911079</v>
      </c>
      <c r="D1415" t="inlineStr">
        <is>
          <t>species</t>
        </is>
      </c>
      <c r="E1415" t="inlineStr">
        <is>
          <t>Paramecium bursaria Chlorella virus NYb1</t>
        </is>
      </c>
      <c r="G1415" t="inlineStr">
        <is>
          <t>Abolished,</t>
        </is>
      </c>
      <c r="L1415" s="8">
        <f>HYPERLINK("https://test.ictv.global/id/TN19981918","TN19981918@TEST")</f>
        <v/>
      </c>
      <c r="M1415" s="8">
        <f>HYPERLINK("https://test.ictv.global/id/ICTV19911079","ICTV19911079@TEST")</f>
        <v/>
      </c>
      <c r="N1415" s="8">
        <f>HYPERLINK("https://ictv.global/id/TN19981918","TN19981918@prod")</f>
        <v/>
      </c>
      <c r="O1415" s="8">
        <f>HYPERLINK("https://ictv.global/id/ICTV19911079","ICTV19911079@prod")</f>
        <v/>
      </c>
    </row>
    <row r="1416">
      <c r="A1416" t="n">
        <v>17</v>
      </c>
      <c r="B1416" t="n">
        <v>19981920</v>
      </c>
      <c r="C1416" t="n">
        <v>19911081</v>
      </c>
      <c r="D1416" t="inlineStr">
        <is>
          <t>species</t>
        </is>
      </c>
      <c r="E1416" t="inlineStr">
        <is>
          <t>Paramecium bursaria Chlorella virus R1</t>
        </is>
      </c>
      <c r="G1416" t="inlineStr">
        <is>
          <t>Abolished,</t>
        </is>
      </c>
      <c r="L1416" s="8">
        <f>HYPERLINK("https://test.ictv.global/id/TN19981920","TN19981920@TEST")</f>
        <v/>
      </c>
      <c r="M1416" s="8">
        <f>HYPERLINK("https://test.ictv.global/id/ICTV19911081","ICTV19911081@TEST")</f>
        <v/>
      </c>
      <c r="N1416" s="8">
        <f>HYPERLINK("https://ictv.global/id/TN19981920","TN19981920@prod")</f>
        <v/>
      </c>
      <c r="O1416" s="8">
        <f>HYPERLINK("https://ictv.global/id/ICTV19911081","ICTV19911081@prod")</f>
        <v/>
      </c>
    </row>
    <row r="1417">
      <c r="A1417" t="n">
        <v>17</v>
      </c>
      <c r="B1417" t="n">
        <v>19981922</v>
      </c>
      <c r="C1417" t="n">
        <v>19911083</v>
      </c>
      <c r="D1417" t="inlineStr">
        <is>
          <t>species</t>
        </is>
      </c>
      <c r="E1417" t="inlineStr">
        <is>
          <t>Paramecium bursaria Chlorella virus SC1B</t>
        </is>
      </c>
      <c r="G1417" t="inlineStr">
        <is>
          <t>Abolished,</t>
        </is>
      </c>
      <c r="L1417" s="8">
        <f>HYPERLINK("https://test.ictv.global/id/TN19981922","TN19981922@TEST")</f>
        <v/>
      </c>
      <c r="M1417" s="8">
        <f>HYPERLINK("https://test.ictv.global/id/ICTV19911083","ICTV19911083@TEST")</f>
        <v/>
      </c>
      <c r="N1417" s="8">
        <f>HYPERLINK("https://ictv.global/id/TN19981922","TN19981922@prod")</f>
        <v/>
      </c>
      <c r="O1417" s="8">
        <f>HYPERLINK("https://ictv.global/id/ICTV19911083","ICTV19911083@prod")</f>
        <v/>
      </c>
    </row>
    <row r="1418">
      <c r="A1418" t="n">
        <v>17</v>
      </c>
      <c r="B1418" t="n">
        <v>19981923</v>
      </c>
      <c r="C1418" t="n">
        <v>19911084</v>
      </c>
      <c r="D1418" t="inlineStr">
        <is>
          <t>species</t>
        </is>
      </c>
      <c r="E1418" t="inlineStr">
        <is>
          <t>Paramecium bursaria Chlorella virus SH6A</t>
        </is>
      </c>
      <c r="G1418" t="inlineStr">
        <is>
          <t>Abolished,</t>
        </is>
      </c>
      <c r="L1418" s="8">
        <f>HYPERLINK("https://test.ictv.global/id/TN19981923","TN19981923@TEST")</f>
        <v/>
      </c>
      <c r="M1418" s="8">
        <f>HYPERLINK("https://test.ictv.global/id/ICTV19911084","ICTV19911084@TEST")</f>
        <v/>
      </c>
      <c r="N1418" s="8">
        <f>HYPERLINK("https://ictv.global/id/TN19981923","TN19981923@prod")</f>
        <v/>
      </c>
      <c r="O1418" s="8">
        <f>HYPERLINK("https://ictv.global/id/ICTV19911084","ICTV19911084@prod")</f>
        <v/>
      </c>
    </row>
    <row r="1419">
      <c r="A1419" t="n">
        <v>17</v>
      </c>
      <c r="B1419" t="n">
        <v>19981928</v>
      </c>
      <c r="C1419" t="n">
        <v>19911088</v>
      </c>
      <c r="D1419" t="inlineStr">
        <is>
          <t>species</t>
        </is>
      </c>
      <c r="E1419" t="inlineStr">
        <is>
          <t>Paramecium bursaria Chlorella virus XZ5C</t>
        </is>
      </c>
      <c r="G1419" t="inlineStr">
        <is>
          <t>Abolished,</t>
        </is>
      </c>
      <c r="L1419" s="8">
        <f>HYPERLINK("https://test.ictv.global/id/TN19981928","TN19981928@TEST")</f>
        <v/>
      </c>
      <c r="M1419" s="8">
        <f>HYPERLINK("https://test.ictv.global/id/ICTV19911088","ICTV19911088@TEST")</f>
        <v/>
      </c>
      <c r="N1419" s="8">
        <f>HYPERLINK("https://ictv.global/id/TN19981928","TN19981928@prod")</f>
        <v/>
      </c>
      <c r="O1419" s="8">
        <f>HYPERLINK("https://ictv.global/id/ICTV19911088","ICTV19911088@prod")</f>
        <v/>
      </c>
    </row>
    <row r="1420">
      <c r="A1420" t="n">
        <v>17</v>
      </c>
      <c r="B1420" t="n">
        <v>19981932</v>
      </c>
      <c r="C1420" t="n">
        <v>19820653</v>
      </c>
      <c r="D1420" t="inlineStr">
        <is>
          <t>species</t>
        </is>
      </c>
      <c r="E1420" t="inlineStr">
        <is>
          <t>Aphthovirus A</t>
        </is>
      </c>
      <c r="G1420" t="inlineStr">
        <is>
          <t>Merged,Assigned as Type Species,</t>
        </is>
      </c>
      <c r="H1420" t="inlineStr">
        <is>
          <t>Foot-and-mouth disease virus</t>
        </is>
      </c>
      <c r="I1420" t="inlineStr">
        <is>
          <t>species</t>
        </is>
      </c>
      <c r="J1420" t="n">
        <v>19991243</v>
      </c>
      <c r="K1420" t="n">
        <v>19991243</v>
      </c>
      <c r="L1420" s="8">
        <f>HYPERLINK("https://test.ictv.global/id/TN19981932","TN19981932@TEST")</f>
        <v/>
      </c>
      <c r="M1420" s="8">
        <f>HYPERLINK("https://test.ictv.global/id/ICTV19820653","ICTV19820653@TEST")</f>
        <v/>
      </c>
      <c r="N1420" s="8">
        <f>HYPERLINK("https://ictv.global/id/TN19981932","TN19981932@prod")</f>
        <v/>
      </c>
      <c r="O1420" s="8">
        <f>HYPERLINK("https://ictv.global/id/ICTV19820653","ICTV19820653@prod")</f>
        <v/>
      </c>
    </row>
    <row r="1421">
      <c r="A1421" t="n">
        <v>17</v>
      </c>
      <c r="B1421" t="n">
        <v>19981933</v>
      </c>
      <c r="C1421" t="n">
        <v>19790480</v>
      </c>
      <c r="D1421" t="inlineStr">
        <is>
          <t>species</t>
        </is>
      </c>
      <c r="E1421" t="inlineStr">
        <is>
          <t>Aphthovirus Asia 1</t>
        </is>
      </c>
      <c r="G1421" t="inlineStr">
        <is>
          <t>Merged,Assigned as Type Species,</t>
        </is>
      </c>
      <c r="H1421" t="inlineStr">
        <is>
          <t>Foot-and-mouth disease virus</t>
        </is>
      </c>
      <c r="I1421" t="inlineStr">
        <is>
          <t>species</t>
        </is>
      </c>
      <c r="J1421" t="n">
        <v>19991243</v>
      </c>
      <c r="K1421" t="n">
        <v>19991243</v>
      </c>
      <c r="L1421" s="8">
        <f>HYPERLINK("https://test.ictv.global/id/TN19981933","TN19981933@TEST")</f>
        <v/>
      </c>
      <c r="M1421" s="8">
        <f>HYPERLINK("https://test.ictv.global/id/ICTV19790480","ICTV19790480@TEST")</f>
        <v/>
      </c>
      <c r="N1421" s="8">
        <f>HYPERLINK("https://ictv.global/id/TN19981933","TN19981933@prod")</f>
        <v/>
      </c>
      <c r="O1421" s="8">
        <f>HYPERLINK("https://ictv.global/id/ICTV19790480","ICTV19790480@prod")</f>
        <v/>
      </c>
    </row>
    <row r="1422">
      <c r="A1422" t="n">
        <v>17</v>
      </c>
      <c r="B1422" t="n">
        <v>19981934</v>
      </c>
      <c r="C1422" t="n">
        <v>19790481</v>
      </c>
      <c r="D1422" t="inlineStr">
        <is>
          <t>species</t>
        </is>
      </c>
      <c r="E1422" t="inlineStr">
        <is>
          <t>Aphthovirus C</t>
        </is>
      </c>
      <c r="G1422" t="inlineStr">
        <is>
          <t>Merged,Assigned as Type Species,</t>
        </is>
      </c>
      <c r="H1422" t="inlineStr">
        <is>
          <t>Foot-and-mouth disease virus</t>
        </is>
      </c>
      <c r="I1422" t="inlineStr">
        <is>
          <t>species</t>
        </is>
      </c>
      <c r="J1422" t="n">
        <v>19991243</v>
      </c>
      <c r="K1422" t="n">
        <v>19991243</v>
      </c>
      <c r="L1422" s="8">
        <f>HYPERLINK("https://test.ictv.global/id/TN19981934","TN19981934@TEST")</f>
        <v/>
      </c>
      <c r="M1422" s="8">
        <f>HYPERLINK("https://test.ictv.global/id/ICTV19790481","ICTV19790481@TEST")</f>
        <v/>
      </c>
      <c r="N1422" s="8">
        <f>HYPERLINK("https://ictv.global/id/TN19981934","TN19981934@prod")</f>
        <v/>
      </c>
      <c r="O1422" s="8">
        <f>HYPERLINK("https://ictv.global/id/ICTV19790481","ICTV19790481@prod")</f>
        <v/>
      </c>
    </row>
    <row r="1423">
      <c r="A1423" t="n">
        <v>17</v>
      </c>
      <c r="B1423" t="n">
        <v>19981935</v>
      </c>
      <c r="C1423" t="n">
        <v>19820656</v>
      </c>
      <c r="D1423" t="inlineStr">
        <is>
          <t>species</t>
        </is>
      </c>
      <c r="E1423" t="inlineStr">
        <is>
          <t>Aphthovirus O</t>
        </is>
      </c>
      <c r="G1423" t="inlineStr">
        <is>
          <t>Merged,</t>
        </is>
      </c>
      <c r="H1423" t="inlineStr">
        <is>
          <t>Foot-and-mouth disease virus</t>
        </is>
      </c>
      <c r="I1423" t="inlineStr">
        <is>
          <t>species</t>
        </is>
      </c>
      <c r="J1423" t="n">
        <v>19991243</v>
      </c>
      <c r="K1423" t="n">
        <v>19991243</v>
      </c>
      <c r="L1423" s="8">
        <f>HYPERLINK("https://test.ictv.global/id/TN19981935","TN19981935@TEST")</f>
        <v/>
      </c>
      <c r="M1423" s="8">
        <f>HYPERLINK("https://test.ictv.global/id/ICTV19820656","ICTV19820656@TEST")</f>
        <v/>
      </c>
      <c r="N1423" s="8">
        <f>HYPERLINK("https://ictv.global/id/TN19981935","TN19981935@prod")</f>
        <v/>
      </c>
      <c r="O1423" s="8">
        <f>HYPERLINK("https://ictv.global/id/ICTV19820656","ICTV19820656@prod")</f>
        <v/>
      </c>
    </row>
    <row r="1424">
      <c r="A1424" t="n">
        <v>17</v>
      </c>
      <c r="B1424" t="n">
        <v>19981936</v>
      </c>
      <c r="C1424" t="n">
        <v>19790483</v>
      </c>
      <c r="D1424" t="inlineStr">
        <is>
          <t>species</t>
        </is>
      </c>
      <c r="E1424" t="inlineStr">
        <is>
          <t>Aphthovirus SAT1</t>
        </is>
      </c>
      <c r="G1424" t="inlineStr">
        <is>
          <t>Merged,Assigned as Type Species,</t>
        </is>
      </c>
      <c r="H1424" t="inlineStr">
        <is>
          <t>Foot-and-mouth disease virus</t>
        </is>
      </c>
      <c r="I1424" t="inlineStr">
        <is>
          <t>species</t>
        </is>
      </c>
      <c r="J1424" t="n">
        <v>19991243</v>
      </c>
      <c r="K1424" t="n">
        <v>19991243</v>
      </c>
      <c r="L1424" s="8">
        <f>HYPERLINK("https://test.ictv.global/id/TN19981936","TN19981936@TEST")</f>
        <v/>
      </c>
      <c r="M1424" s="8">
        <f>HYPERLINK("https://test.ictv.global/id/ICTV19790483","ICTV19790483@TEST")</f>
        <v/>
      </c>
      <c r="N1424" s="8">
        <f>HYPERLINK("https://ictv.global/id/TN19981936","TN19981936@prod")</f>
        <v/>
      </c>
      <c r="O1424" s="8">
        <f>HYPERLINK("https://ictv.global/id/ICTV19790483","ICTV19790483@prod")</f>
        <v/>
      </c>
    </row>
    <row r="1425">
      <c r="A1425" t="n">
        <v>17</v>
      </c>
      <c r="B1425" t="n">
        <v>19981937</v>
      </c>
      <c r="C1425" t="n">
        <v>19790484</v>
      </c>
      <c r="D1425" t="inlineStr">
        <is>
          <t>species</t>
        </is>
      </c>
      <c r="E1425" t="inlineStr">
        <is>
          <t>Aphthovirus SAT2</t>
        </is>
      </c>
      <c r="G1425" t="inlineStr">
        <is>
          <t>Merged,Assigned as Type Species,</t>
        </is>
      </c>
      <c r="H1425" t="inlineStr">
        <is>
          <t>Foot-and-mouth disease virus</t>
        </is>
      </c>
      <c r="I1425" t="inlineStr">
        <is>
          <t>species</t>
        </is>
      </c>
      <c r="J1425" t="n">
        <v>19991243</v>
      </c>
      <c r="K1425" t="n">
        <v>19991243</v>
      </c>
      <c r="L1425" s="8">
        <f>HYPERLINK("https://test.ictv.global/id/TN19981937","TN19981937@TEST")</f>
        <v/>
      </c>
      <c r="M1425" s="8">
        <f>HYPERLINK("https://test.ictv.global/id/ICTV19790484","ICTV19790484@TEST")</f>
        <v/>
      </c>
      <c r="N1425" s="8">
        <f>HYPERLINK("https://ictv.global/id/TN19981937","TN19981937@prod")</f>
        <v/>
      </c>
      <c r="O1425" s="8">
        <f>HYPERLINK("https://ictv.global/id/ICTV19790484","ICTV19790484@prod")</f>
        <v/>
      </c>
    </row>
    <row r="1426">
      <c r="A1426" t="n">
        <v>17</v>
      </c>
      <c r="B1426" t="n">
        <v>19981938</v>
      </c>
      <c r="C1426" t="n">
        <v>19790485</v>
      </c>
      <c r="D1426" t="inlineStr">
        <is>
          <t>species</t>
        </is>
      </c>
      <c r="E1426" t="inlineStr">
        <is>
          <t>Aphthovirus SAT3</t>
        </is>
      </c>
      <c r="G1426" t="inlineStr">
        <is>
          <t>Merged,Assigned as Type Species,</t>
        </is>
      </c>
      <c r="H1426" t="inlineStr">
        <is>
          <t>Foot-and-mouth disease virus</t>
        </is>
      </c>
      <c r="I1426" t="inlineStr">
        <is>
          <t>species</t>
        </is>
      </c>
      <c r="J1426" t="n">
        <v>19991243</v>
      </c>
      <c r="K1426" t="n">
        <v>19991243</v>
      </c>
      <c r="L1426" s="8">
        <f>HYPERLINK("https://test.ictv.global/id/TN19981938","TN19981938@TEST")</f>
        <v/>
      </c>
      <c r="M1426" s="8">
        <f>HYPERLINK("https://test.ictv.global/id/ICTV19790485","ICTV19790485@TEST")</f>
        <v/>
      </c>
      <c r="N1426" s="8">
        <f>HYPERLINK("https://ictv.global/id/TN19981938","TN19981938@prod")</f>
        <v/>
      </c>
      <c r="O1426" s="8">
        <f>HYPERLINK("https://ictv.global/id/ICTV19790485","ICTV19790485@prod")</f>
        <v/>
      </c>
    </row>
    <row r="1427">
      <c r="A1427" t="n">
        <v>17</v>
      </c>
      <c r="B1427" t="n">
        <v>19981941</v>
      </c>
      <c r="C1427" t="n">
        <v>19951534</v>
      </c>
      <c r="D1427" t="inlineStr">
        <is>
          <t>species</t>
        </is>
      </c>
      <c r="E1427" t="inlineStr">
        <is>
          <t>Theiler's murine encephalomyelitis virus</t>
        </is>
      </c>
      <c r="G1427" t="inlineStr">
        <is>
          <t>Merged,</t>
        </is>
      </c>
      <c r="H1427" t="inlineStr">
        <is>
          <t>Theilovirus</t>
        </is>
      </c>
      <c r="I1427" t="inlineStr">
        <is>
          <t>species</t>
        </is>
      </c>
      <c r="J1427" t="n">
        <v>19991245</v>
      </c>
      <c r="K1427" t="n">
        <v>19991245</v>
      </c>
      <c r="L1427" s="8">
        <f>HYPERLINK("https://test.ictv.global/id/TN19981941","TN19981941@TEST")</f>
        <v/>
      </c>
      <c r="M1427" s="8">
        <f>HYPERLINK("https://test.ictv.global/id/ICTV19951534","ICTV19951534@TEST")</f>
        <v/>
      </c>
      <c r="N1427" s="8">
        <f>HYPERLINK("https://ictv.global/id/TN19981941","TN19981941@prod")</f>
        <v/>
      </c>
      <c r="O1427" s="8">
        <f>HYPERLINK("https://ictv.global/id/ICTV19951534","ICTV19951534@prod")</f>
        <v/>
      </c>
    </row>
    <row r="1428">
      <c r="A1428" t="n">
        <v>17</v>
      </c>
      <c r="B1428" t="n">
        <v>19981942</v>
      </c>
      <c r="C1428" t="n">
        <v>19961587</v>
      </c>
      <c r="D1428" t="inlineStr">
        <is>
          <t>species</t>
        </is>
      </c>
      <c r="E1428" t="inlineStr">
        <is>
          <t>Vilyuisk human encephalomyelitis virus</t>
        </is>
      </c>
      <c r="G1428" t="inlineStr">
        <is>
          <t>Merged,</t>
        </is>
      </c>
      <c r="H1428" t="inlineStr">
        <is>
          <t>Theilovirus</t>
        </is>
      </c>
      <c r="I1428" t="inlineStr">
        <is>
          <t>species</t>
        </is>
      </c>
      <c r="J1428" t="n">
        <v>19991245</v>
      </c>
      <c r="K1428" t="n">
        <v>19991245</v>
      </c>
      <c r="L1428" s="8">
        <f>HYPERLINK("https://test.ictv.global/id/TN19981942","TN19981942@TEST")</f>
        <v/>
      </c>
      <c r="M1428" s="8">
        <f>HYPERLINK("https://test.ictv.global/id/ICTV19961587","ICTV19961587@TEST")</f>
        <v/>
      </c>
      <c r="N1428" s="8">
        <f>HYPERLINK("https://ictv.global/id/TN19981942","TN19981942@prod")</f>
        <v/>
      </c>
      <c r="O1428" s="8">
        <f>HYPERLINK("https://ictv.global/id/ICTV19961587","ICTV19961587@prod")</f>
        <v/>
      </c>
    </row>
    <row r="1429">
      <c r="A1429" t="n">
        <v>17</v>
      </c>
      <c r="B1429" t="n">
        <v>19981945</v>
      </c>
      <c r="C1429" t="n">
        <v>19820881</v>
      </c>
      <c r="D1429" t="inlineStr">
        <is>
          <t>species</t>
        </is>
      </c>
      <c r="E1429" t="inlineStr">
        <is>
          <t>Gonometa virus</t>
        </is>
      </c>
      <c r="G1429" t="inlineStr">
        <is>
          <t>Abolished,</t>
        </is>
      </c>
      <c r="L1429" s="8">
        <f>HYPERLINK("https://test.ictv.global/id/TN19981945","TN19981945@TEST")</f>
        <v/>
      </c>
      <c r="M1429" s="8">
        <f>HYPERLINK("https://test.ictv.global/id/ICTV19820881","ICTV19820881@TEST")</f>
        <v/>
      </c>
      <c r="N1429" s="8">
        <f>HYPERLINK("https://ictv.global/id/TN19981945","TN19981945@prod")</f>
        <v/>
      </c>
      <c r="O1429" s="8">
        <f>HYPERLINK("https://ictv.global/id/ICTV19820881","ICTV19820881@prod")</f>
        <v/>
      </c>
    </row>
    <row r="1430">
      <c r="A1430" t="n">
        <v>17</v>
      </c>
      <c r="B1430" t="n">
        <v>19981946</v>
      </c>
      <c r="C1430" t="n">
        <v>19790488</v>
      </c>
      <c r="D1430" t="inlineStr">
        <is>
          <t>species</t>
        </is>
      </c>
      <c r="E1430" t="inlineStr">
        <is>
          <t>Bovine enterovirus 1</t>
        </is>
      </c>
      <c r="G1430" t="inlineStr">
        <is>
          <t>Merged,</t>
        </is>
      </c>
      <c r="H1430" t="inlineStr">
        <is>
          <t>Bovine enterovirus</t>
        </is>
      </c>
      <c r="I1430" t="inlineStr">
        <is>
          <t>species</t>
        </is>
      </c>
      <c r="J1430" t="n">
        <v>19991246</v>
      </c>
      <c r="K1430" t="n">
        <v>19991246</v>
      </c>
      <c r="L1430" s="8">
        <f>HYPERLINK("https://test.ictv.global/id/TN19981946","TN19981946@TEST")</f>
        <v/>
      </c>
      <c r="M1430" s="8">
        <f>HYPERLINK("https://test.ictv.global/id/ICTV19790488","ICTV19790488@TEST")</f>
        <v/>
      </c>
      <c r="N1430" s="8">
        <f>HYPERLINK("https://ictv.global/id/TN19981946","TN19981946@prod")</f>
        <v/>
      </c>
      <c r="O1430" s="8">
        <f>HYPERLINK("https://ictv.global/id/ICTV19790488","ICTV19790488@prod")</f>
        <v/>
      </c>
    </row>
    <row r="1431">
      <c r="A1431" t="n">
        <v>17</v>
      </c>
      <c r="B1431" t="n">
        <v>19981947</v>
      </c>
      <c r="C1431" t="n">
        <v>19790489</v>
      </c>
      <c r="D1431" t="inlineStr">
        <is>
          <t>species</t>
        </is>
      </c>
      <c r="E1431" t="inlineStr">
        <is>
          <t>Bovine enterovirus 2</t>
        </is>
      </c>
      <c r="G1431" t="inlineStr">
        <is>
          <t>Merged,</t>
        </is>
      </c>
      <c r="H1431" t="inlineStr">
        <is>
          <t>Bovine enterovirus</t>
        </is>
      </c>
      <c r="I1431" t="inlineStr">
        <is>
          <t>species</t>
        </is>
      </c>
      <c r="J1431" t="n">
        <v>19991246</v>
      </c>
      <c r="K1431" t="n">
        <v>19991246</v>
      </c>
      <c r="L1431" s="8">
        <f>HYPERLINK("https://test.ictv.global/id/TN19981947","TN19981947@TEST")</f>
        <v/>
      </c>
      <c r="M1431" s="8">
        <f>HYPERLINK("https://test.ictv.global/id/ICTV19790489","ICTV19790489@TEST")</f>
        <v/>
      </c>
      <c r="N1431" s="8">
        <f>HYPERLINK("https://ictv.global/id/TN19981947","TN19981947@prod")</f>
        <v/>
      </c>
      <c r="O1431" s="8">
        <f>HYPERLINK("https://ictv.global/id/ICTV19790489","ICTV19790489@prod")</f>
        <v/>
      </c>
    </row>
    <row r="1432">
      <c r="A1432" t="n">
        <v>17</v>
      </c>
      <c r="B1432" t="n">
        <v>19981948</v>
      </c>
      <c r="C1432" t="n">
        <v>19790490</v>
      </c>
      <c r="D1432" t="inlineStr">
        <is>
          <t>species</t>
        </is>
      </c>
      <c r="E1432" t="inlineStr">
        <is>
          <t>Human coxsackievirus A1</t>
        </is>
      </c>
      <c r="G1432" t="inlineStr">
        <is>
          <t>Merged,</t>
        </is>
      </c>
      <c r="H1432" t="inlineStr">
        <is>
          <t>Human enterovirus C</t>
        </is>
      </c>
      <c r="I1432" t="inlineStr">
        <is>
          <t>species</t>
        </is>
      </c>
      <c r="J1432" t="n">
        <v>19991249</v>
      </c>
      <c r="K1432" t="n">
        <v>19991249</v>
      </c>
      <c r="L1432" s="8">
        <f>HYPERLINK("https://test.ictv.global/id/TN19981948","TN19981948@TEST")</f>
        <v/>
      </c>
      <c r="M1432" s="8">
        <f>HYPERLINK("https://test.ictv.global/id/ICTV19790490","ICTV19790490@TEST")</f>
        <v/>
      </c>
      <c r="N1432" s="8">
        <f>HYPERLINK("https://ictv.global/id/TN19981948","TN19981948@prod")</f>
        <v/>
      </c>
      <c r="O1432" s="8">
        <f>HYPERLINK("https://ictv.global/id/ICTV19790490","ICTV19790490@prod")</f>
        <v/>
      </c>
    </row>
    <row r="1433">
      <c r="A1433" t="n">
        <v>17</v>
      </c>
      <c r="B1433" t="n">
        <v>19981949</v>
      </c>
      <c r="C1433" t="n">
        <v>19790491</v>
      </c>
      <c r="D1433" t="inlineStr">
        <is>
          <t>species</t>
        </is>
      </c>
      <c r="E1433" t="inlineStr">
        <is>
          <t>Human coxsackievirus A10</t>
        </is>
      </c>
      <c r="G1433" t="inlineStr">
        <is>
          <t>Merged,</t>
        </is>
      </c>
      <c r="H1433" t="inlineStr">
        <is>
          <t>Human enterovirus A</t>
        </is>
      </c>
      <c r="I1433" t="inlineStr">
        <is>
          <t>species</t>
        </is>
      </c>
      <c r="J1433" t="n">
        <v>19991247</v>
      </c>
      <c r="K1433" t="n">
        <v>19991247</v>
      </c>
      <c r="L1433" s="8">
        <f>HYPERLINK("https://test.ictv.global/id/TN19981949","TN19981949@TEST")</f>
        <v/>
      </c>
      <c r="M1433" s="8">
        <f>HYPERLINK("https://test.ictv.global/id/ICTV19790491","ICTV19790491@TEST")</f>
        <v/>
      </c>
      <c r="N1433" s="8">
        <f>HYPERLINK("https://ictv.global/id/TN19981949","TN19981949@prod")</f>
        <v/>
      </c>
      <c r="O1433" s="8">
        <f>HYPERLINK("https://ictv.global/id/ICTV19790491","ICTV19790491@prod")</f>
        <v/>
      </c>
    </row>
    <row r="1434">
      <c r="A1434" t="n">
        <v>17</v>
      </c>
      <c r="B1434" t="n">
        <v>19981950</v>
      </c>
      <c r="C1434" t="n">
        <v>19790492</v>
      </c>
      <c r="D1434" t="inlineStr">
        <is>
          <t>species</t>
        </is>
      </c>
      <c r="E1434" t="inlineStr">
        <is>
          <t>Human coxsackievirus A11</t>
        </is>
      </c>
      <c r="G1434" t="inlineStr">
        <is>
          <t>Merged,</t>
        </is>
      </c>
      <c r="H1434" t="inlineStr">
        <is>
          <t>Human enterovirus C</t>
        </is>
      </c>
      <c r="I1434" t="inlineStr">
        <is>
          <t>species</t>
        </is>
      </c>
      <c r="J1434" t="n">
        <v>19991249</v>
      </c>
      <c r="K1434" t="n">
        <v>19991249</v>
      </c>
      <c r="L1434" s="8">
        <f>HYPERLINK("https://test.ictv.global/id/TN19981950","TN19981950@TEST")</f>
        <v/>
      </c>
      <c r="M1434" s="8">
        <f>HYPERLINK("https://test.ictv.global/id/ICTV19790492","ICTV19790492@TEST")</f>
        <v/>
      </c>
      <c r="N1434" s="8">
        <f>HYPERLINK("https://ictv.global/id/TN19981950","TN19981950@prod")</f>
        <v/>
      </c>
      <c r="O1434" s="8">
        <f>HYPERLINK("https://ictv.global/id/ICTV19790492","ICTV19790492@prod")</f>
        <v/>
      </c>
    </row>
    <row r="1435">
      <c r="A1435" t="n">
        <v>17</v>
      </c>
      <c r="B1435" t="n">
        <v>19981951</v>
      </c>
      <c r="C1435" t="n">
        <v>19790493</v>
      </c>
      <c r="D1435" t="inlineStr">
        <is>
          <t>species</t>
        </is>
      </c>
      <c r="E1435" t="inlineStr">
        <is>
          <t>Human coxsackievirus A12</t>
        </is>
      </c>
      <c r="G1435" t="inlineStr">
        <is>
          <t>Merged,</t>
        </is>
      </c>
      <c r="H1435" t="inlineStr">
        <is>
          <t>Human enterovirus A</t>
        </is>
      </c>
      <c r="I1435" t="inlineStr">
        <is>
          <t>species</t>
        </is>
      </c>
      <c r="J1435" t="n">
        <v>19991247</v>
      </c>
      <c r="K1435" t="n">
        <v>19991247</v>
      </c>
      <c r="L1435" s="8">
        <f>HYPERLINK("https://test.ictv.global/id/TN19981951","TN19981951@TEST")</f>
        <v/>
      </c>
      <c r="M1435" s="8">
        <f>HYPERLINK("https://test.ictv.global/id/ICTV19790493","ICTV19790493@TEST")</f>
        <v/>
      </c>
      <c r="N1435" s="8">
        <f>HYPERLINK("https://ictv.global/id/TN19981951","TN19981951@prod")</f>
        <v/>
      </c>
      <c r="O1435" s="8">
        <f>HYPERLINK("https://ictv.global/id/ICTV19790493","ICTV19790493@prod")</f>
        <v/>
      </c>
    </row>
    <row r="1436">
      <c r="A1436" t="n">
        <v>17</v>
      </c>
      <c r="B1436" t="n">
        <v>19981952</v>
      </c>
      <c r="C1436" t="n">
        <v>19790494</v>
      </c>
      <c r="D1436" t="inlineStr">
        <is>
          <t>species</t>
        </is>
      </c>
      <c r="E1436" t="inlineStr">
        <is>
          <t>Human coxsackievirus A13</t>
        </is>
      </c>
      <c r="G1436" t="inlineStr">
        <is>
          <t>Merged,</t>
        </is>
      </c>
      <c r="H1436" t="inlineStr">
        <is>
          <t>Human enterovirus C</t>
        </is>
      </c>
      <c r="I1436" t="inlineStr">
        <is>
          <t>species</t>
        </is>
      </c>
      <c r="J1436" t="n">
        <v>19991249</v>
      </c>
      <c r="K1436" t="n">
        <v>19991249</v>
      </c>
      <c r="L1436" s="8">
        <f>HYPERLINK("https://test.ictv.global/id/TN19981952","TN19981952@TEST")</f>
        <v/>
      </c>
      <c r="M1436" s="8">
        <f>HYPERLINK("https://test.ictv.global/id/ICTV19790494","ICTV19790494@TEST")</f>
        <v/>
      </c>
      <c r="N1436" s="8">
        <f>HYPERLINK("https://ictv.global/id/TN19981952","TN19981952@prod")</f>
        <v/>
      </c>
      <c r="O1436" s="8">
        <f>HYPERLINK("https://ictv.global/id/ICTV19790494","ICTV19790494@prod")</f>
        <v/>
      </c>
    </row>
    <row r="1437">
      <c r="A1437" t="n">
        <v>17</v>
      </c>
      <c r="B1437" t="n">
        <v>19981953</v>
      </c>
      <c r="C1437" t="n">
        <v>19790495</v>
      </c>
      <c r="D1437" t="inlineStr">
        <is>
          <t>species</t>
        </is>
      </c>
      <c r="E1437" t="inlineStr">
        <is>
          <t>Human coxsackievirus A14</t>
        </is>
      </c>
      <c r="G1437" t="inlineStr">
        <is>
          <t>Merged,</t>
        </is>
      </c>
      <c r="H1437" t="inlineStr">
        <is>
          <t>Human enterovirus A</t>
        </is>
      </c>
      <c r="I1437" t="inlineStr">
        <is>
          <t>species</t>
        </is>
      </c>
      <c r="J1437" t="n">
        <v>19991247</v>
      </c>
      <c r="K1437" t="n">
        <v>19991247</v>
      </c>
      <c r="L1437" s="8">
        <f>HYPERLINK("https://test.ictv.global/id/TN19981953","TN19981953@TEST")</f>
        <v/>
      </c>
      <c r="M1437" s="8">
        <f>HYPERLINK("https://test.ictv.global/id/ICTV19790495","ICTV19790495@TEST")</f>
        <v/>
      </c>
      <c r="N1437" s="8">
        <f>HYPERLINK("https://ictv.global/id/TN19981953","TN19981953@prod")</f>
        <v/>
      </c>
      <c r="O1437" s="8">
        <f>HYPERLINK("https://ictv.global/id/ICTV19790495","ICTV19790495@prod")</f>
        <v/>
      </c>
    </row>
    <row r="1438">
      <c r="A1438" t="n">
        <v>17</v>
      </c>
      <c r="B1438" t="n">
        <v>19981954</v>
      </c>
      <c r="C1438" t="n">
        <v>19790496</v>
      </c>
      <c r="D1438" t="inlineStr">
        <is>
          <t>species</t>
        </is>
      </c>
      <c r="E1438" t="inlineStr">
        <is>
          <t>Human coxsackievirus A15</t>
        </is>
      </c>
      <c r="G1438" t="inlineStr">
        <is>
          <t>Merged,</t>
        </is>
      </c>
      <c r="H1438" t="inlineStr">
        <is>
          <t>Human enterovirus C</t>
        </is>
      </c>
      <c r="I1438" t="inlineStr">
        <is>
          <t>species</t>
        </is>
      </c>
      <c r="J1438" t="n">
        <v>19991249</v>
      </c>
      <c r="K1438" t="n">
        <v>19991249</v>
      </c>
      <c r="L1438" s="8">
        <f>HYPERLINK("https://test.ictv.global/id/TN19981954","TN19981954@TEST")</f>
        <v/>
      </c>
      <c r="M1438" s="8">
        <f>HYPERLINK("https://test.ictv.global/id/ICTV19790496","ICTV19790496@TEST")</f>
        <v/>
      </c>
      <c r="N1438" s="8">
        <f>HYPERLINK("https://ictv.global/id/TN19981954","TN19981954@prod")</f>
        <v/>
      </c>
      <c r="O1438" s="8">
        <f>HYPERLINK("https://ictv.global/id/ICTV19790496","ICTV19790496@prod")</f>
        <v/>
      </c>
    </row>
    <row r="1439">
      <c r="A1439" t="n">
        <v>17</v>
      </c>
      <c r="B1439" t="n">
        <v>19981955</v>
      </c>
      <c r="C1439" t="n">
        <v>19790497</v>
      </c>
      <c r="D1439" t="inlineStr">
        <is>
          <t>species</t>
        </is>
      </c>
      <c r="E1439" t="inlineStr">
        <is>
          <t>Human coxsackievirus A16</t>
        </is>
      </c>
      <c r="G1439" t="inlineStr">
        <is>
          <t>Merged,</t>
        </is>
      </c>
      <c r="H1439" t="inlineStr">
        <is>
          <t>Human enterovirus A</t>
        </is>
      </c>
      <c r="I1439" t="inlineStr">
        <is>
          <t>species</t>
        </is>
      </c>
      <c r="J1439" t="n">
        <v>19991247</v>
      </c>
      <c r="K1439" t="n">
        <v>19991247</v>
      </c>
      <c r="L1439" s="8">
        <f>HYPERLINK("https://test.ictv.global/id/TN19981955","TN19981955@TEST")</f>
        <v/>
      </c>
      <c r="M1439" s="8">
        <f>HYPERLINK("https://test.ictv.global/id/ICTV19790497","ICTV19790497@TEST")</f>
        <v/>
      </c>
      <c r="N1439" s="8">
        <f>HYPERLINK("https://ictv.global/id/TN19981955","TN19981955@prod")</f>
        <v/>
      </c>
      <c r="O1439" s="8">
        <f>HYPERLINK("https://ictv.global/id/ICTV19790497","ICTV19790497@prod")</f>
        <v/>
      </c>
    </row>
    <row r="1440">
      <c r="A1440" t="n">
        <v>17</v>
      </c>
      <c r="B1440" t="n">
        <v>19981956</v>
      </c>
      <c r="C1440" t="n">
        <v>19790498</v>
      </c>
      <c r="D1440" t="inlineStr">
        <is>
          <t>species</t>
        </is>
      </c>
      <c r="E1440" t="inlineStr">
        <is>
          <t>Human coxsackievirus A17</t>
        </is>
      </c>
      <c r="G1440" t="inlineStr">
        <is>
          <t>Merged,</t>
        </is>
      </c>
      <c r="H1440" t="inlineStr">
        <is>
          <t>Human enterovirus C</t>
        </is>
      </c>
      <c r="I1440" t="inlineStr">
        <is>
          <t>species</t>
        </is>
      </c>
      <c r="J1440" t="n">
        <v>19991249</v>
      </c>
      <c r="K1440" t="n">
        <v>19991249</v>
      </c>
      <c r="L1440" s="8">
        <f>HYPERLINK("https://test.ictv.global/id/TN19981956","TN19981956@TEST")</f>
        <v/>
      </c>
      <c r="M1440" s="8">
        <f>HYPERLINK("https://test.ictv.global/id/ICTV19790498","ICTV19790498@TEST")</f>
        <v/>
      </c>
      <c r="N1440" s="8">
        <f>HYPERLINK("https://ictv.global/id/TN19981956","TN19981956@prod")</f>
        <v/>
      </c>
      <c r="O1440" s="8">
        <f>HYPERLINK("https://ictv.global/id/ICTV19790498","ICTV19790498@prod")</f>
        <v/>
      </c>
    </row>
    <row r="1441">
      <c r="A1441" t="n">
        <v>17</v>
      </c>
      <c r="B1441" t="n">
        <v>19981957</v>
      </c>
      <c r="C1441" t="n">
        <v>19790499</v>
      </c>
      <c r="D1441" t="inlineStr">
        <is>
          <t>species</t>
        </is>
      </c>
      <c r="E1441" t="inlineStr">
        <is>
          <t>Human coxsackievirus A18</t>
        </is>
      </c>
      <c r="G1441" t="inlineStr">
        <is>
          <t>Merged,</t>
        </is>
      </c>
      <c r="H1441" t="inlineStr">
        <is>
          <t>Human enterovirus C</t>
        </is>
      </c>
      <c r="I1441" t="inlineStr">
        <is>
          <t>species</t>
        </is>
      </c>
      <c r="J1441" t="n">
        <v>19991249</v>
      </c>
      <c r="K1441" t="n">
        <v>19991249</v>
      </c>
      <c r="L1441" s="8">
        <f>HYPERLINK("https://test.ictv.global/id/TN19981957","TN19981957@TEST")</f>
        <v/>
      </c>
      <c r="M1441" s="8">
        <f>HYPERLINK("https://test.ictv.global/id/ICTV19790499","ICTV19790499@TEST")</f>
        <v/>
      </c>
      <c r="N1441" s="8">
        <f>HYPERLINK("https://ictv.global/id/TN19981957","TN19981957@prod")</f>
        <v/>
      </c>
      <c r="O1441" s="8">
        <f>HYPERLINK("https://ictv.global/id/ICTV19790499","ICTV19790499@prod")</f>
        <v/>
      </c>
    </row>
    <row r="1442">
      <c r="A1442" t="n">
        <v>17</v>
      </c>
      <c r="B1442" t="n">
        <v>19981958</v>
      </c>
      <c r="C1442" t="n">
        <v>19790500</v>
      </c>
      <c r="D1442" t="inlineStr">
        <is>
          <t>species</t>
        </is>
      </c>
      <c r="E1442" t="inlineStr">
        <is>
          <t>Human coxsackievirus A19</t>
        </is>
      </c>
      <c r="G1442" t="inlineStr">
        <is>
          <t>Merged,</t>
        </is>
      </c>
      <c r="H1442" t="inlineStr">
        <is>
          <t>Human enterovirus C</t>
        </is>
      </c>
      <c r="I1442" t="inlineStr">
        <is>
          <t>species</t>
        </is>
      </c>
      <c r="J1442" t="n">
        <v>19991249</v>
      </c>
      <c r="K1442" t="n">
        <v>19991249</v>
      </c>
      <c r="L1442" s="8">
        <f>HYPERLINK("https://test.ictv.global/id/TN19981958","TN19981958@TEST")</f>
        <v/>
      </c>
      <c r="M1442" s="8">
        <f>HYPERLINK("https://test.ictv.global/id/ICTV19790500","ICTV19790500@TEST")</f>
        <v/>
      </c>
      <c r="N1442" s="8">
        <f>HYPERLINK("https://ictv.global/id/TN19981958","TN19981958@prod")</f>
        <v/>
      </c>
      <c r="O1442" s="8">
        <f>HYPERLINK("https://ictv.global/id/ICTV19790500","ICTV19790500@prod")</f>
        <v/>
      </c>
    </row>
    <row r="1443">
      <c r="A1443" t="n">
        <v>17</v>
      </c>
      <c r="B1443" t="n">
        <v>19981959</v>
      </c>
      <c r="C1443" t="n">
        <v>19790501</v>
      </c>
      <c r="D1443" t="inlineStr">
        <is>
          <t>species</t>
        </is>
      </c>
      <c r="E1443" t="inlineStr">
        <is>
          <t>Human coxsackievirus A2</t>
        </is>
      </c>
      <c r="G1443" t="inlineStr">
        <is>
          <t>Merged,</t>
        </is>
      </c>
      <c r="H1443" t="inlineStr">
        <is>
          <t>Human enterovirus A</t>
        </is>
      </c>
      <c r="I1443" t="inlineStr">
        <is>
          <t>species</t>
        </is>
      </c>
      <c r="J1443" t="n">
        <v>19991247</v>
      </c>
      <c r="K1443" t="n">
        <v>19991247</v>
      </c>
      <c r="L1443" s="8">
        <f>HYPERLINK("https://test.ictv.global/id/TN19981959","TN19981959@TEST")</f>
        <v/>
      </c>
      <c r="M1443" s="8">
        <f>HYPERLINK("https://test.ictv.global/id/ICTV19790501","ICTV19790501@TEST")</f>
        <v/>
      </c>
      <c r="N1443" s="8">
        <f>HYPERLINK("https://ictv.global/id/TN19981959","TN19981959@prod")</f>
        <v/>
      </c>
      <c r="O1443" s="8">
        <f>HYPERLINK("https://ictv.global/id/ICTV19790501","ICTV19790501@prod")</f>
        <v/>
      </c>
    </row>
    <row r="1444">
      <c r="A1444" t="n">
        <v>17</v>
      </c>
      <c r="B1444" t="n">
        <v>19981960</v>
      </c>
      <c r="C1444" t="n">
        <v>19790502</v>
      </c>
      <c r="D1444" t="inlineStr">
        <is>
          <t>species</t>
        </is>
      </c>
      <c r="E1444" t="inlineStr">
        <is>
          <t>Human coxsackievirus A20</t>
        </is>
      </c>
      <c r="G1444" t="inlineStr">
        <is>
          <t>Merged,</t>
        </is>
      </c>
      <c r="H1444" t="inlineStr">
        <is>
          <t>Human enterovirus C</t>
        </is>
      </c>
      <c r="I1444" t="inlineStr">
        <is>
          <t>species</t>
        </is>
      </c>
      <c r="J1444" t="n">
        <v>19991249</v>
      </c>
      <c r="K1444" t="n">
        <v>19991249</v>
      </c>
      <c r="L1444" s="8">
        <f>HYPERLINK("https://test.ictv.global/id/TN19981960","TN19981960@TEST")</f>
        <v/>
      </c>
      <c r="M1444" s="8">
        <f>HYPERLINK("https://test.ictv.global/id/ICTV19790502","ICTV19790502@TEST")</f>
        <v/>
      </c>
      <c r="N1444" s="8">
        <f>HYPERLINK("https://ictv.global/id/TN19981960","TN19981960@prod")</f>
        <v/>
      </c>
      <c r="O1444" s="8">
        <f>HYPERLINK("https://ictv.global/id/ICTV19790502","ICTV19790502@prod")</f>
        <v/>
      </c>
    </row>
    <row r="1445">
      <c r="A1445" t="n">
        <v>17</v>
      </c>
      <c r="B1445" t="n">
        <v>19981961</v>
      </c>
      <c r="C1445" t="n">
        <v>19790503</v>
      </c>
      <c r="D1445" t="inlineStr">
        <is>
          <t>species</t>
        </is>
      </c>
      <c r="E1445" t="inlineStr">
        <is>
          <t>Human coxsackievirus A21</t>
        </is>
      </c>
      <c r="G1445" t="inlineStr">
        <is>
          <t>Merged,</t>
        </is>
      </c>
      <c r="H1445" t="inlineStr">
        <is>
          <t>Human enterovirus C</t>
        </is>
      </c>
      <c r="I1445" t="inlineStr">
        <is>
          <t>species</t>
        </is>
      </c>
      <c r="J1445" t="n">
        <v>19991249</v>
      </c>
      <c r="K1445" t="n">
        <v>19991249</v>
      </c>
      <c r="L1445" s="8">
        <f>HYPERLINK("https://test.ictv.global/id/TN19981961","TN19981961@TEST")</f>
        <v/>
      </c>
      <c r="M1445" s="8">
        <f>HYPERLINK("https://test.ictv.global/id/ICTV19790503","ICTV19790503@TEST")</f>
        <v/>
      </c>
      <c r="N1445" s="8">
        <f>HYPERLINK("https://ictv.global/id/TN19981961","TN19981961@prod")</f>
        <v/>
      </c>
      <c r="O1445" s="8">
        <f>HYPERLINK("https://ictv.global/id/ICTV19790503","ICTV19790503@prod")</f>
        <v/>
      </c>
    </row>
    <row r="1446">
      <c r="A1446" t="n">
        <v>17</v>
      </c>
      <c r="B1446" t="n">
        <v>19981962</v>
      </c>
      <c r="C1446" t="n">
        <v>19790504</v>
      </c>
      <c r="D1446" t="inlineStr">
        <is>
          <t>species</t>
        </is>
      </c>
      <c r="E1446" t="inlineStr">
        <is>
          <t>Human coxsackievirus A22</t>
        </is>
      </c>
      <c r="G1446" t="inlineStr">
        <is>
          <t>Merged,</t>
        </is>
      </c>
      <c r="H1446" t="inlineStr">
        <is>
          <t>Human enterovirus C</t>
        </is>
      </c>
      <c r="I1446" t="inlineStr">
        <is>
          <t>species</t>
        </is>
      </c>
      <c r="J1446" t="n">
        <v>19991249</v>
      </c>
      <c r="K1446" t="n">
        <v>19991249</v>
      </c>
      <c r="L1446" s="8">
        <f>HYPERLINK("https://test.ictv.global/id/TN19981962","TN19981962@TEST")</f>
        <v/>
      </c>
      <c r="M1446" s="8">
        <f>HYPERLINK("https://test.ictv.global/id/ICTV19790504","ICTV19790504@TEST")</f>
        <v/>
      </c>
      <c r="N1446" s="8">
        <f>HYPERLINK("https://ictv.global/id/TN19981962","TN19981962@prod")</f>
        <v/>
      </c>
      <c r="O1446" s="8">
        <f>HYPERLINK("https://ictv.global/id/ICTV19790504","ICTV19790504@prod")</f>
        <v/>
      </c>
    </row>
    <row r="1447">
      <c r="A1447" t="n">
        <v>17</v>
      </c>
      <c r="B1447" t="n">
        <v>19981963</v>
      </c>
      <c r="C1447" t="n">
        <v>19790505</v>
      </c>
      <c r="D1447" t="inlineStr">
        <is>
          <t>species</t>
        </is>
      </c>
      <c r="E1447" t="inlineStr">
        <is>
          <t>Human coxsackievirus A24</t>
        </is>
      </c>
      <c r="G1447" t="inlineStr">
        <is>
          <t>Merged,</t>
        </is>
      </c>
      <c r="H1447" t="inlineStr">
        <is>
          <t>Human enterovirus C</t>
        </is>
      </c>
      <c r="I1447" t="inlineStr">
        <is>
          <t>species</t>
        </is>
      </c>
      <c r="J1447" t="n">
        <v>19991249</v>
      </c>
      <c r="K1447" t="n">
        <v>19991249</v>
      </c>
      <c r="L1447" s="8">
        <f>HYPERLINK("https://test.ictv.global/id/TN19981963","TN19981963@TEST")</f>
        <v/>
      </c>
      <c r="M1447" s="8">
        <f>HYPERLINK("https://test.ictv.global/id/ICTV19790505","ICTV19790505@TEST")</f>
        <v/>
      </c>
      <c r="N1447" s="8">
        <f>HYPERLINK("https://ictv.global/id/TN19981963","TN19981963@prod")</f>
        <v/>
      </c>
      <c r="O1447" s="8">
        <f>HYPERLINK("https://ictv.global/id/ICTV19790505","ICTV19790505@prod")</f>
        <v/>
      </c>
    </row>
    <row r="1448">
      <c r="A1448" t="n">
        <v>17</v>
      </c>
      <c r="B1448" t="n">
        <v>19981964</v>
      </c>
      <c r="C1448" t="n">
        <v>19790506</v>
      </c>
      <c r="D1448" t="inlineStr">
        <is>
          <t>species</t>
        </is>
      </c>
      <c r="E1448" t="inlineStr">
        <is>
          <t>Human coxsackievirus A3</t>
        </is>
      </c>
      <c r="G1448" t="inlineStr">
        <is>
          <t>Merged,</t>
        </is>
      </c>
      <c r="H1448" t="inlineStr">
        <is>
          <t>Human enterovirus A</t>
        </is>
      </c>
      <c r="I1448" t="inlineStr">
        <is>
          <t>species</t>
        </is>
      </c>
      <c r="J1448" t="n">
        <v>19991247</v>
      </c>
      <c r="K1448" t="n">
        <v>19991247</v>
      </c>
      <c r="L1448" s="8">
        <f>HYPERLINK("https://test.ictv.global/id/TN19981964","TN19981964@TEST")</f>
        <v/>
      </c>
      <c r="M1448" s="8">
        <f>HYPERLINK("https://test.ictv.global/id/ICTV19790506","ICTV19790506@TEST")</f>
        <v/>
      </c>
      <c r="N1448" s="8">
        <f>HYPERLINK("https://ictv.global/id/TN19981964","TN19981964@prod")</f>
        <v/>
      </c>
      <c r="O1448" s="8">
        <f>HYPERLINK("https://ictv.global/id/ICTV19790506","ICTV19790506@prod")</f>
        <v/>
      </c>
    </row>
    <row r="1449">
      <c r="A1449" t="n">
        <v>17</v>
      </c>
      <c r="B1449" t="n">
        <v>19981965</v>
      </c>
      <c r="C1449" t="n">
        <v>19790507</v>
      </c>
      <c r="D1449" t="inlineStr">
        <is>
          <t>species</t>
        </is>
      </c>
      <c r="E1449" t="inlineStr">
        <is>
          <t>Human coxsackievirus A4</t>
        </is>
      </c>
      <c r="G1449" t="inlineStr">
        <is>
          <t>Abolished,</t>
        </is>
      </c>
      <c r="L1449" s="8">
        <f>HYPERLINK("https://test.ictv.global/id/TN19981965","TN19981965@TEST")</f>
        <v/>
      </c>
      <c r="M1449" s="8">
        <f>HYPERLINK("https://test.ictv.global/id/ICTV19790507","ICTV19790507@TEST")</f>
        <v/>
      </c>
      <c r="N1449" s="8">
        <f>HYPERLINK("https://ictv.global/id/TN19981965","TN19981965@prod")</f>
        <v/>
      </c>
      <c r="O1449" s="8">
        <f>HYPERLINK("https://ictv.global/id/ICTV19790507","ICTV19790507@prod")</f>
        <v/>
      </c>
    </row>
    <row r="1450">
      <c r="A1450" t="n">
        <v>17</v>
      </c>
      <c r="B1450" t="n">
        <v>19981966</v>
      </c>
      <c r="C1450" t="n">
        <v>19790508</v>
      </c>
      <c r="D1450" t="inlineStr">
        <is>
          <t>species</t>
        </is>
      </c>
      <c r="E1450" t="inlineStr">
        <is>
          <t>Human coxsackievirus A5</t>
        </is>
      </c>
      <c r="G1450" t="inlineStr">
        <is>
          <t>Merged,</t>
        </is>
      </c>
      <c r="H1450" t="inlineStr">
        <is>
          <t>Human enterovirus A</t>
        </is>
      </c>
      <c r="I1450" t="inlineStr">
        <is>
          <t>species</t>
        </is>
      </c>
      <c r="J1450" t="n">
        <v>19991247</v>
      </c>
      <c r="K1450" t="n">
        <v>19991247</v>
      </c>
      <c r="L1450" s="8">
        <f>HYPERLINK("https://test.ictv.global/id/TN19981966","TN19981966@TEST")</f>
        <v/>
      </c>
      <c r="M1450" s="8">
        <f>HYPERLINK("https://test.ictv.global/id/ICTV19790508","ICTV19790508@TEST")</f>
        <v/>
      </c>
      <c r="N1450" s="8">
        <f>HYPERLINK("https://ictv.global/id/TN19981966","TN19981966@prod")</f>
        <v/>
      </c>
      <c r="O1450" s="8">
        <f>HYPERLINK("https://ictv.global/id/ICTV19790508","ICTV19790508@prod")</f>
        <v/>
      </c>
    </row>
    <row r="1451">
      <c r="A1451" t="n">
        <v>17</v>
      </c>
      <c r="B1451" t="n">
        <v>19981967</v>
      </c>
      <c r="C1451" t="n">
        <v>19790509</v>
      </c>
      <c r="D1451" t="inlineStr">
        <is>
          <t>species</t>
        </is>
      </c>
      <c r="E1451" t="inlineStr">
        <is>
          <t>Human coxsackievirus A6</t>
        </is>
      </c>
      <c r="G1451" t="inlineStr">
        <is>
          <t>Abolished,</t>
        </is>
      </c>
      <c r="L1451" s="8">
        <f>HYPERLINK("https://test.ictv.global/id/TN19981967","TN19981967@TEST")</f>
        <v/>
      </c>
      <c r="M1451" s="8">
        <f>HYPERLINK("https://test.ictv.global/id/ICTV19790509","ICTV19790509@TEST")</f>
        <v/>
      </c>
      <c r="N1451" s="8">
        <f>HYPERLINK("https://ictv.global/id/TN19981967","TN19981967@prod")</f>
        <v/>
      </c>
      <c r="O1451" s="8">
        <f>HYPERLINK("https://ictv.global/id/ICTV19790509","ICTV19790509@prod")</f>
        <v/>
      </c>
    </row>
    <row r="1452">
      <c r="A1452" t="n">
        <v>17</v>
      </c>
      <c r="B1452" t="n">
        <v>19981968</v>
      </c>
      <c r="C1452" t="n">
        <v>19790510</v>
      </c>
      <c r="D1452" t="inlineStr">
        <is>
          <t>species</t>
        </is>
      </c>
      <c r="E1452" t="inlineStr">
        <is>
          <t>Human coxsackievirus A7</t>
        </is>
      </c>
      <c r="G1452" t="inlineStr">
        <is>
          <t>Merged,</t>
        </is>
      </c>
      <c r="H1452" t="inlineStr">
        <is>
          <t>Human enterovirus A</t>
        </is>
      </c>
      <c r="I1452" t="inlineStr">
        <is>
          <t>species</t>
        </is>
      </c>
      <c r="J1452" t="n">
        <v>19991247</v>
      </c>
      <c r="K1452" t="n">
        <v>19991247</v>
      </c>
      <c r="L1452" s="8">
        <f>HYPERLINK("https://test.ictv.global/id/TN19981968","TN19981968@TEST")</f>
        <v/>
      </c>
      <c r="M1452" s="8">
        <f>HYPERLINK("https://test.ictv.global/id/ICTV19790510","ICTV19790510@TEST")</f>
        <v/>
      </c>
      <c r="N1452" s="8">
        <f>HYPERLINK("https://ictv.global/id/TN19981968","TN19981968@prod")</f>
        <v/>
      </c>
      <c r="O1452" s="8">
        <f>HYPERLINK("https://ictv.global/id/ICTV19790510","ICTV19790510@prod")</f>
        <v/>
      </c>
    </row>
    <row r="1453">
      <c r="A1453" t="n">
        <v>17</v>
      </c>
      <c r="B1453" t="n">
        <v>19981969</v>
      </c>
      <c r="C1453" t="n">
        <v>19790511</v>
      </c>
      <c r="D1453" t="inlineStr">
        <is>
          <t>species</t>
        </is>
      </c>
      <c r="E1453" t="inlineStr">
        <is>
          <t>Human coxsackievirus A8</t>
        </is>
      </c>
      <c r="G1453" t="inlineStr">
        <is>
          <t>Merged,</t>
        </is>
      </c>
      <c r="H1453" t="inlineStr">
        <is>
          <t>Human enterovirus A</t>
        </is>
      </c>
      <c r="I1453" t="inlineStr">
        <is>
          <t>species</t>
        </is>
      </c>
      <c r="J1453" t="n">
        <v>19991247</v>
      </c>
      <c r="K1453" t="n">
        <v>19991247</v>
      </c>
      <c r="L1453" s="8">
        <f>HYPERLINK("https://test.ictv.global/id/TN19981969","TN19981969@TEST")</f>
        <v/>
      </c>
      <c r="M1453" s="8">
        <f>HYPERLINK("https://test.ictv.global/id/ICTV19790511","ICTV19790511@TEST")</f>
        <v/>
      </c>
      <c r="N1453" s="8">
        <f>HYPERLINK("https://ictv.global/id/TN19981969","TN19981969@prod")</f>
        <v/>
      </c>
      <c r="O1453" s="8">
        <f>HYPERLINK("https://ictv.global/id/ICTV19790511","ICTV19790511@prod")</f>
        <v/>
      </c>
    </row>
    <row r="1454">
      <c r="A1454" t="n">
        <v>17</v>
      </c>
      <c r="B1454" t="n">
        <v>19981970</v>
      </c>
      <c r="C1454" t="n">
        <v>19790512</v>
      </c>
      <c r="D1454" t="inlineStr">
        <is>
          <t>species</t>
        </is>
      </c>
      <c r="E1454" t="inlineStr">
        <is>
          <t>Human coxsackievirus A9</t>
        </is>
      </c>
      <c r="G1454" t="inlineStr">
        <is>
          <t>Merged,</t>
        </is>
      </c>
      <c r="H1454" t="inlineStr">
        <is>
          <t>Human enterovirus B</t>
        </is>
      </c>
      <c r="I1454" t="inlineStr">
        <is>
          <t>species</t>
        </is>
      </c>
      <c r="J1454" t="n">
        <v>19991248</v>
      </c>
      <c r="K1454" t="n">
        <v>19991248</v>
      </c>
      <c r="L1454" s="8">
        <f>HYPERLINK("https://test.ictv.global/id/TN19981970","TN19981970@TEST")</f>
        <v/>
      </c>
      <c r="M1454" s="8">
        <f>HYPERLINK("https://test.ictv.global/id/ICTV19790512","ICTV19790512@TEST")</f>
        <v/>
      </c>
      <c r="N1454" s="8">
        <f>HYPERLINK("https://ictv.global/id/TN19981970","TN19981970@prod")</f>
        <v/>
      </c>
      <c r="O1454" s="8">
        <f>HYPERLINK("https://ictv.global/id/ICTV19790512","ICTV19790512@prod")</f>
        <v/>
      </c>
    </row>
    <row r="1455">
      <c r="A1455" t="n">
        <v>17</v>
      </c>
      <c r="B1455" t="n">
        <v>19981971</v>
      </c>
      <c r="C1455" t="n">
        <v>19790513</v>
      </c>
      <c r="D1455" t="inlineStr">
        <is>
          <t>species</t>
        </is>
      </c>
      <c r="E1455" t="inlineStr">
        <is>
          <t>Human coxsackievirus B1</t>
        </is>
      </c>
      <c r="G1455" t="inlineStr">
        <is>
          <t>Merged,</t>
        </is>
      </c>
      <c r="H1455" t="inlineStr">
        <is>
          <t>Human enterovirus B</t>
        </is>
      </c>
      <c r="I1455" t="inlineStr">
        <is>
          <t>species</t>
        </is>
      </c>
      <c r="J1455" t="n">
        <v>19991248</v>
      </c>
      <c r="K1455" t="n">
        <v>19991248</v>
      </c>
      <c r="L1455" s="8">
        <f>HYPERLINK("https://test.ictv.global/id/TN19981971","TN19981971@TEST")</f>
        <v/>
      </c>
      <c r="M1455" s="8">
        <f>HYPERLINK("https://test.ictv.global/id/ICTV19790513","ICTV19790513@TEST")</f>
        <v/>
      </c>
      <c r="N1455" s="8">
        <f>HYPERLINK("https://ictv.global/id/TN19981971","TN19981971@prod")</f>
        <v/>
      </c>
      <c r="O1455" s="8">
        <f>HYPERLINK("https://ictv.global/id/ICTV19790513","ICTV19790513@prod")</f>
        <v/>
      </c>
    </row>
    <row r="1456">
      <c r="A1456" t="n">
        <v>17</v>
      </c>
      <c r="B1456" t="n">
        <v>19981972</v>
      </c>
      <c r="C1456" t="n">
        <v>19790514</v>
      </c>
      <c r="D1456" t="inlineStr">
        <is>
          <t>species</t>
        </is>
      </c>
      <c r="E1456" t="inlineStr">
        <is>
          <t>Human coxsackievirus B2</t>
        </is>
      </c>
      <c r="G1456" t="inlineStr">
        <is>
          <t>Merged,</t>
        </is>
      </c>
      <c r="H1456" t="inlineStr">
        <is>
          <t>Human enterovirus B</t>
        </is>
      </c>
      <c r="I1456" t="inlineStr">
        <is>
          <t>species</t>
        </is>
      </c>
      <c r="J1456" t="n">
        <v>19991248</v>
      </c>
      <c r="K1456" t="n">
        <v>19991248</v>
      </c>
      <c r="L1456" s="8">
        <f>HYPERLINK("https://test.ictv.global/id/TN19981972","TN19981972@TEST")</f>
        <v/>
      </c>
      <c r="M1456" s="8">
        <f>HYPERLINK("https://test.ictv.global/id/ICTV19790514","ICTV19790514@TEST")</f>
        <v/>
      </c>
      <c r="N1456" s="8">
        <f>HYPERLINK("https://ictv.global/id/TN19981972","TN19981972@prod")</f>
        <v/>
      </c>
      <c r="O1456" s="8">
        <f>HYPERLINK("https://ictv.global/id/ICTV19790514","ICTV19790514@prod")</f>
        <v/>
      </c>
    </row>
    <row r="1457">
      <c r="A1457" t="n">
        <v>17</v>
      </c>
      <c r="B1457" t="n">
        <v>19981973</v>
      </c>
      <c r="C1457" t="n">
        <v>19790515</v>
      </c>
      <c r="D1457" t="inlineStr">
        <is>
          <t>species</t>
        </is>
      </c>
      <c r="E1457" t="inlineStr">
        <is>
          <t>Human coxsackievirus B3</t>
        </is>
      </c>
      <c r="G1457" t="inlineStr">
        <is>
          <t>Merged,</t>
        </is>
      </c>
      <c r="H1457" t="inlineStr">
        <is>
          <t>Human enterovirus B</t>
        </is>
      </c>
      <c r="I1457" t="inlineStr">
        <is>
          <t>species</t>
        </is>
      </c>
      <c r="J1457" t="n">
        <v>19991248</v>
      </c>
      <c r="K1457" t="n">
        <v>19991248</v>
      </c>
      <c r="L1457" s="8">
        <f>HYPERLINK("https://test.ictv.global/id/TN19981973","TN19981973@TEST")</f>
        <v/>
      </c>
      <c r="M1457" s="8">
        <f>HYPERLINK("https://test.ictv.global/id/ICTV19790515","ICTV19790515@TEST")</f>
        <v/>
      </c>
      <c r="N1457" s="8">
        <f>HYPERLINK("https://ictv.global/id/TN19981973","TN19981973@prod")</f>
        <v/>
      </c>
      <c r="O1457" s="8">
        <f>HYPERLINK("https://ictv.global/id/ICTV19790515","ICTV19790515@prod")</f>
        <v/>
      </c>
    </row>
    <row r="1458">
      <c r="A1458" t="n">
        <v>17</v>
      </c>
      <c r="B1458" t="n">
        <v>19981974</v>
      </c>
      <c r="C1458" t="n">
        <v>19790516</v>
      </c>
      <c r="D1458" t="inlineStr">
        <is>
          <t>species</t>
        </is>
      </c>
      <c r="E1458" t="inlineStr">
        <is>
          <t>Human coxsackievirus B4</t>
        </is>
      </c>
      <c r="G1458" t="inlineStr">
        <is>
          <t>Merged,</t>
        </is>
      </c>
      <c r="H1458" t="inlineStr">
        <is>
          <t>Human enterovirus B</t>
        </is>
      </c>
      <c r="I1458" t="inlineStr">
        <is>
          <t>species</t>
        </is>
      </c>
      <c r="J1458" t="n">
        <v>19991248</v>
      </c>
      <c r="K1458" t="n">
        <v>19991248</v>
      </c>
      <c r="L1458" s="8">
        <f>HYPERLINK("https://test.ictv.global/id/TN19981974","TN19981974@TEST")</f>
        <v/>
      </c>
      <c r="M1458" s="8">
        <f>HYPERLINK("https://test.ictv.global/id/ICTV19790516","ICTV19790516@TEST")</f>
        <v/>
      </c>
      <c r="N1458" s="8">
        <f>HYPERLINK("https://ictv.global/id/TN19981974","TN19981974@prod")</f>
        <v/>
      </c>
      <c r="O1458" s="8">
        <f>HYPERLINK("https://ictv.global/id/ICTV19790516","ICTV19790516@prod")</f>
        <v/>
      </c>
    </row>
    <row r="1459">
      <c r="A1459" t="n">
        <v>17</v>
      </c>
      <c r="B1459" t="n">
        <v>19981975</v>
      </c>
      <c r="C1459" t="n">
        <v>19790517</v>
      </c>
      <c r="D1459" t="inlineStr">
        <is>
          <t>species</t>
        </is>
      </c>
      <c r="E1459" t="inlineStr">
        <is>
          <t>Human coxsackievirus B5</t>
        </is>
      </c>
      <c r="G1459" t="inlineStr">
        <is>
          <t>Merged,</t>
        </is>
      </c>
      <c r="H1459" t="inlineStr">
        <is>
          <t>Human enterovirus B</t>
        </is>
      </c>
      <c r="I1459" t="inlineStr">
        <is>
          <t>species</t>
        </is>
      </c>
      <c r="J1459" t="n">
        <v>19991248</v>
      </c>
      <c r="K1459" t="n">
        <v>19991248</v>
      </c>
      <c r="L1459" s="8">
        <f>HYPERLINK("https://test.ictv.global/id/TN19981975","TN19981975@TEST")</f>
        <v/>
      </c>
      <c r="M1459" s="8">
        <f>HYPERLINK("https://test.ictv.global/id/ICTV19790517","ICTV19790517@TEST")</f>
        <v/>
      </c>
      <c r="N1459" s="8">
        <f>HYPERLINK("https://ictv.global/id/TN19981975","TN19981975@prod")</f>
        <v/>
      </c>
      <c r="O1459" s="8">
        <f>HYPERLINK("https://ictv.global/id/ICTV19790517","ICTV19790517@prod")</f>
        <v/>
      </c>
    </row>
    <row r="1460">
      <c r="A1460" t="n">
        <v>17</v>
      </c>
      <c r="B1460" t="n">
        <v>19981976</v>
      </c>
      <c r="C1460" t="n">
        <v>19790518</v>
      </c>
      <c r="D1460" t="inlineStr">
        <is>
          <t>species</t>
        </is>
      </c>
      <c r="E1460" t="inlineStr">
        <is>
          <t>Human coxsackievirus B6</t>
        </is>
      </c>
      <c r="G1460" t="inlineStr">
        <is>
          <t>Merged,</t>
        </is>
      </c>
      <c r="H1460" t="inlineStr">
        <is>
          <t>Human enterovirus B</t>
        </is>
      </c>
      <c r="I1460" t="inlineStr">
        <is>
          <t>species</t>
        </is>
      </c>
      <c r="J1460" t="n">
        <v>19991248</v>
      </c>
      <c r="K1460" t="n">
        <v>19991248</v>
      </c>
      <c r="L1460" s="8">
        <f>HYPERLINK("https://test.ictv.global/id/TN19981976","TN19981976@TEST")</f>
        <v/>
      </c>
      <c r="M1460" s="8">
        <f>HYPERLINK("https://test.ictv.global/id/ICTV19790518","ICTV19790518@TEST")</f>
        <v/>
      </c>
      <c r="N1460" s="8">
        <f>HYPERLINK("https://ictv.global/id/TN19981976","TN19981976@prod")</f>
        <v/>
      </c>
      <c r="O1460" s="8">
        <f>HYPERLINK("https://ictv.global/id/ICTV19790518","ICTV19790518@prod")</f>
        <v/>
      </c>
    </row>
    <row r="1461">
      <c r="A1461" t="n">
        <v>17</v>
      </c>
      <c r="B1461" t="n">
        <v>19981977</v>
      </c>
      <c r="C1461" t="n">
        <v>19790519</v>
      </c>
      <c r="D1461" t="inlineStr">
        <is>
          <t>species</t>
        </is>
      </c>
      <c r="E1461" t="inlineStr">
        <is>
          <t>Human echovirus 1</t>
        </is>
      </c>
      <c r="G1461" t="inlineStr">
        <is>
          <t>Merged,</t>
        </is>
      </c>
      <c r="H1461" t="inlineStr">
        <is>
          <t>Human enterovirus B</t>
        </is>
      </c>
      <c r="I1461" t="inlineStr">
        <is>
          <t>species</t>
        </is>
      </c>
      <c r="J1461" t="n">
        <v>19991248</v>
      </c>
      <c r="K1461" t="n">
        <v>19991248</v>
      </c>
      <c r="L1461" s="8">
        <f>HYPERLINK("https://test.ictv.global/id/TN19981977","TN19981977@TEST")</f>
        <v/>
      </c>
      <c r="M1461" s="8">
        <f>HYPERLINK("https://test.ictv.global/id/ICTV19790519","ICTV19790519@TEST")</f>
        <v/>
      </c>
      <c r="N1461" s="8">
        <f>HYPERLINK("https://ictv.global/id/TN19981977","TN19981977@prod")</f>
        <v/>
      </c>
      <c r="O1461" s="8">
        <f>HYPERLINK("https://ictv.global/id/ICTV19790519","ICTV19790519@prod")</f>
        <v/>
      </c>
    </row>
    <row r="1462">
      <c r="A1462" t="n">
        <v>17</v>
      </c>
      <c r="B1462" t="n">
        <v>19981978</v>
      </c>
      <c r="C1462" t="n">
        <v>19790520</v>
      </c>
      <c r="D1462" t="inlineStr">
        <is>
          <t>species</t>
        </is>
      </c>
      <c r="E1462" t="inlineStr">
        <is>
          <t>Human echovirus 11</t>
        </is>
      </c>
      <c r="G1462" t="inlineStr">
        <is>
          <t>Merged,</t>
        </is>
      </c>
      <c r="H1462" t="inlineStr">
        <is>
          <t>Human enterovirus B</t>
        </is>
      </c>
      <c r="I1462" t="inlineStr">
        <is>
          <t>species</t>
        </is>
      </c>
      <c r="J1462" t="n">
        <v>19991248</v>
      </c>
      <c r="K1462" t="n">
        <v>19991248</v>
      </c>
      <c r="L1462" s="8">
        <f>HYPERLINK("https://test.ictv.global/id/TN19981978","TN19981978@TEST")</f>
        <v/>
      </c>
      <c r="M1462" s="8">
        <f>HYPERLINK("https://test.ictv.global/id/ICTV19790520","ICTV19790520@TEST")</f>
        <v/>
      </c>
      <c r="N1462" s="8">
        <f>HYPERLINK("https://ictv.global/id/TN19981978","TN19981978@prod")</f>
        <v/>
      </c>
      <c r="O1462" s="8">
        <f>HYPERLINK("https://ictv.global/id/ICTV19790520","ICTV19790520@prod")</f>
        <v/>
      </c>
    </row>
    <row r="1463">
      <c r="A1463" t="n">
        <v>17</v>
      </c>
      <c r="B1463" t="n">
        <v>19981979</v>
      </c>
      <c r="C1463" t="n">
        <v>19790521</v>
      </c>
      <c r="D1463" t="inlineStr">
        <is>
          <t>species</t>
        </is>
      </c>
      <c r="E1463" t="inlineStr">
        <is>
          <t>Human echovirus 12</t>
        </is>
      </c>
      <c r="G1463" t="inlineStr">
        <is>
          <t>Merged,</t>
        </is>
      </c>
      <c r="H1463" t="inlineStr">
        <is>
          <t>Human enterovirus B</t>
        </is>
      </c>
      <c r="I1463" t="inlineStr">
        <is>
          <t>species</t>
        </is>
      </c>
      <c r="J1463" t="n">
        <v>19991248</v>
      </c>
      <c r="K1463" t="n">
        <v>19991248</v>
      </c>
      <c r="L1463" s="8">
        <f>HYPERLINK("https://test.ictv.global/id/TN19981979","TN19981979@TEST")</f>
        <v/>
      </c>
      <c r="M1463" s="8">
        <f>HYPERLINK("https://test.ictv.global/id/ICTV19790521","ICTV19790521@TEST")</f>
        <v/>
      </c>
      <c r="N1463" s="8">
        <f>HYPERLINK("https://ictv.global/id/TN19981979","TN19981979@prod")</f>
        <v/>
      </c>
      <c r="O1463" s="8">
        <f>HYPERLINK("https://ictv.global/id/ICTV19790521","ICTV19790521@prod")</f>
        <v/>
      </c>
    </row>
    <row r="1464">
      <c r="A1464" t="n">
        <v>17</v>
      </c>
      <c r="B1464" t="n">
        <v>19981980</v>
      </c>
      <c r="C1464" t="n">
        <v>19790522</v>
      </c>
      <c r="D1464" t="inlineStr">
        <is>
          <t>species</t>
        </is>
      </c>
      <c r="E1464" t="inlineStr">
        <is>
          <t>Human echovirus 13</t>
        </is>
      </c>
      <c r="G1464" t="inlineStr">
        <is>
          <t>Merged,</t>
        </is>
      </c>
      <c r="H1464" t="inlineStr">
        <is>
          <t>Human enterovirus B</t>
        </is>
      </c>
      <c r="I1464" t="inlineStr">
        <is>
          <t>species</t>
        </is>
      </c>
      <c r="J1464" t="n">
        <v>19991248</v>
      </c>
      <c r="K1464" t="n">
        <v>19991248</v>
      </c>
      <c r="L1464" s="8">
        <f>HYPERLINK("https://test.ictv.global/id/TN19981980","TN19981980@TEST")</f>
        <v/>
      </c>
      <c r="M1464" s="8">
        <f>HYPERLINK("https://test.ictv.global/id/ICTV19790522","ICTV19790522@TEST")</f>
        <v/>
      </c>
      <c r="N1464" s="8">
        <f>HYPERLINK("https://ictv.global/id/TN19981980","TN19981980@prod")</f>
        <v/>
      </c>
      <c r="O1464" s="8">
        <f>HYPERLINK("https://ictv.global/id/ICTV19790522","ICTV19790522@prod")</f>
        <v/>
      </c>
    </row>
    <row r="1465">
      <c r="A1465" t="n">
        <v>17</v>
      </c>
      <c r="B1465" t="n">
        <v>19981981</v>
      </c>
      <c r="C1465" t="n">
        <v>19790523</v>
      </c>
      <c r="D1465" t="inlineStr">
        <is>
          <t>species</t>
        </is>
      </c>
      <c r="E1465" t="inlineStr">
        <is>
          <t>Human echovirus 14</t>
        </is>
      </c>
      <c r="G1465" t="inlineStr">
        <is>
          <t>Merged,</t>
        </is>
      </c>
      <c r="H1465" t="inlineStr">
        <is>
          <t>Human enterovirus B</t>
        </is>
      </c>
      <c r="I1465" t="inlineStr">
        <is>
          <t>species</t>
        </is>
      </c>
      <c r="J1465" t="n">
        <v>19991248</v>
      </c>
      <c r="K1465" t="n">
        <v>19991248</v>
      </c>
      <c r="L1465" s="8">
        <f>HYPERLINK("https://test.ictv.global/id/TN19981981","TN19981981@TEST")</f>
        <v/>
      </c>
      <c r="M1465" s="8">
        <f>HYPERLINK("https://test.ictv.global/id/ICTV19790523","ICTV19790523@TEST")</f>
        <v/>
      </c>
      <c r="N1465" s="8">
        <f>HYPERLINK("https://ictv.global/id/TN19981981","TN19981981@prod")</f>
        <v/>
      </c>
      <c r="O1465" s="8">
        <f>HYPERLINK("https://ictv.global/id/ICTV19790523","ICTV19790523@prod")</f>
        <v/>
      </c>
    </row>
    <row r="1466">
      <c r="A1466" t="n">
        <v>17</v>
      </c>
      <c r="B1466" t="n">
        <v>19981982</v>
      </c>
      <c r="C1466" t="n">
        <v>19790524</v>
      </c>
      <c r="D1466" t="inlineStr">
        <is>
          <t>species</t>
        </is>
      </c>
      <c r="E1466" t="inlineStr">
        <is>
          <t>Human echovirus 15</t>
        </is>
      </c>
      <c r="G1466" t="inlineStr">
        <is>
          <t>Merged,</t>
        </is>
      </c>
      <c r="H1466" t="inlineStr">
        <is>
          <t>Human enterovirus B</t>
        </is>
      </c>
      <c r="I1466" t="inlineStr">
        <is>
          <t>species</t>
        </is>
      </c>
      <c r="J1466" t="n">
        <v>19991248</v>
      </c>
      <c r="K1466" t="n">
        <v>19991248</v>
      </c>
      <c r="L1466" s="8">
        <f>HYPERLINK("https://test.ictv.global/id/TN19981982","TN19981982@TEST")</f>
        <v/>
      </c>
      <c r="M1466" s="8">
        <f>HYPERLINK("https://test.ictv.global/id/ICTV19790524","ICTV19790524@TEST")</f>
        <v/>
      </c>
      <c r="N1466" s="8">
        <f>HYPERLINK("https://ictv.global/id/TN19981982","TN19981982@prod")</f>
        <v/>
      </c>
      <c r="O1466" s="8">
        <f>HYPERLINK("https://ictv.global/id/ICTV19790524","ICTV19790524@prod")</f>
        <v/>
      </c>
    </row>
    <row r="1467">
      <c r="A1467" t="n">
        <v>17</v>
      </c>
      <c r="B1467" t="n">
        <v>19981983</v>
      </c>
      <c r="C1467" t="n">
        <v>19790525</v>
      </c>
      <c r="D1467" t="inlineStr">
        <is>
          <t>species</t>
        </is>
      </c>
      <c r="E1467" t="inlineStr">
        <is>
          <t>Human echovirus 16</t>
        </is>
      </c>
      <c r="G1467" t="inlineStr">
        <is>
          <t>Merged,</t>
        </is>
      </c>
      <c r="H1467" t="inlineStr">
        <is>
          <t>Human enterovirus B</t>
        </is>
      </c>
      <c r="I1467" t="inlineStr">
        <is>
          <t>species</t>
        </is>
      </c>
      <c r="J1467" t="n">
        <v>19991248</v>
      </c>
      <c r="K1467" t="n">
        <v>19991248</v>
      </c>
      <c r="L1467" s="8">
        <f>HYPERLINK("https://test.ictv.global/id/TN19981983","TN19981983@TEST")</f>
        <v/>
      </c>
      <c r="M1467" s="8">
        <f>HYPERLINK("https://test.ictv.global/id/ICTV19790525","ICTV19790525@TEST")</f>
        <v/>
      </c>
      <c r="N1467" s="8">
        <f>HYPERLINK("https://ictv.global/id/TN19981983","TN19981983@prod")</f>
        <v/>
      </c>
      <c r="O1467" s="8">
        <f>HYPERLINK("https://ictv.global/id/ICTV19790525","ICTV19790525@prod")</f>
        <v/>
      </c>
    </row>
    <row r="1468">
      <c r="A1468" t="n">
        <v>17</v>
      </c>
      <c r="B1468" t="n">
        <v>19981984</v>
      </c>
      <c r="C1468" t="n">
        <v>19790526</v>
      </c>
      <c r="D1468" t="inlineStr">
        <is>
          <t>species</t>
        </is>
      </c>
      <c r="E1468" t="inlineStr">
        <is>
          <t>Human echovirus 17</t>
        </is>
      </c>
      <c r="G1468" t="inlineStr">
        <is>
          <t>Merged,</t>
        </is>
      </c>
      <c r="H1468" t="inlineStr">
        <is>
          <t>Human enterovirus B</t>
        </is>
      </c>
      <c r="I1468" t="inlineStr">
        <is>
          <t>species</t>
        </is>
      </c>
      <c r="J1468" t="n">
        <v>19991248</v>
      </c>
      <c r="K1468" t="n">
        <v>19991248</v>
      </c>
      <c r="L1468" s="8">
        <f>HYPERLINK("https://test.ictv.global/id/TN19981984","TN19981984@TEST")</f>
        <v/>
      </c>
      <c r="M1468" s="8">
        <f>HYPERLINK("https://test.ictv.global/id/ICTV19790526","ICTV19790526@TEST")</f>
        <v/>
      </c>
      <c r="N1468" s="8">
        <f>HYPERLINK("https://ictv.global/id/TN19981984","TN19981984@prod")</f>
        <v/>
      </c>
      <c r="O1468" s="8">
        <f>HYPERLINK("https://ictv.global/id/ICTV19790526","ICTV19790526@prod")</f>
        <v/>
      </c>
    </row>
    <row r="1469">
      <c r="A1469" t="n">
        <v>17</v>
      </c>
      <c r="B1469" t="n">
        <v>19981985</v>
      </c>
      <c r="C1469" t="n">
        <v>19790527</v>
      </c>
      <c r="D1469" t="inlineStr">
        <is>
          <t>species</t>
        </is>
      </c>
      <c r="E1469" t="inlineStr">
        <is>
          <t>Human echovirus 18</t>
        </is>
      </c>
      <c r="G1469" t="inlineStr">
        <is>
          <t>Merged,</t>
        </is>
      </c>
      <c r="H1469" t="inlineStr">
        <is>
          <t>Human enterovirus B</t>
        </is>
      </c>
      <c r="I1469" t="inlineStr">
        <is>
          <t>species</t>
        </is>
      </c>
      <c r="J1469" t="n">
        <v>19991248</v>
      </c>
      <c r="K1469" t="n">
        <v>19991248</v>
      </c>
      <c r="L1469" s="8">
        <f>HYPERLINK("https://test.ictv.global/id/TN19981985","TN19981985@TEST")</f>
        <v/>
      </c>
      <c r="M1469" s="8">
        <f>HYPERLINK("https://test.ictv.global/id/ICTV19790527","ICTV19790527@TEST")</f>
        <v/>
      </c>
      <c r="N1469" s="8">
        <f>HYPERLINK("https://ictv.global/id/TN19981985","TN19981985@prod")</f>
        <v/>
      </c>
      <c r="O1469" s="8">
        <f>HYPERLINK("https://ictv.global/id/ICTV19790527","ICTV19790527@prod")</f>
        <v/>
      </c>
    </row>
    <row r="1470">
      <c r="A1470" t="n">
        <v>17</v>
      </c>
      <c r="B1470" t="n">
        <v>19981986</v>
      </c>
      <c r="C1470" t="n">
        <v>19790528</v>
      </c>
      <c r="D1470" t="inlineStr">
        <is>
          <t>species</t>
        </is>
      </c>
      <c r="E1470" t="inlineStr">
        <is>
          <t>Human echovirus 19</t>
        </is>
      </c>
      <c r="G1470" t="inlineStr">
        <is>
          <t>Merged,</t>
        </is>
      </c>
      <c r="H1470" t="inlineStr">
        <is>
          <t>Human enterovirus B</t>
        </is>
      </c>
      <c r="I1470" t="inlineStr">
        <is>
          <t>species</t>
        </is>
      </c>
      <c r="J1470" t="n">
        <v>19991248</v>
      </c>
      <c r="K1470" t="n">
        <v>19991248</v>
      </c>
      <c r="L1470" s="8">
        <f>HYPERLINK("https://test.ictv.global/id/TN19981986","TN19981986@TEST")</f>
        <v/>
      </c>
      <c r="M1470" s="8">
        <f>HYPERLINK("https://test.ictv.global/id/ICTV19790528","ICTV19790528@TEST")</f>
        <v/>
      </c>
      <c r="N1470" s="8">
        <f>HYPERLINK("https://ictv.global/id/TN19981986","TN19981986@prod")</f>
        <v/>
      </c>
      <c r="O1470" s="8">
        <f>HYPERLINK("https://ictv.global/id/ICTV19790528","ICTV19790528@prod")</f>
        <v/>
      </c>
    </row>
    <row r="1471">
      <c r="A1471" t="n">
        <v>17</v>
      </c>
      <c r="B1471" t="n">
        <v>19981987</v>
      </c>
      <c r="C1471" t="n">
        <v>19790529</v>
      </c>
      <c r="D1471" t="inlineStr">
        <is>
          <t>species</t>
        </is>
      </c>
      <c r="E1471" t="inlineStr">
        <is>
          <t>Human echovirus 2</t>
        </is>
      </c>
      <c r="G1471" t="inlineStr">
        <is>
          <t>Merged,</t>
        </is>
      </c>
      <c r="H1471" t="inlineStr">
        <is>
          <t>Human enterovirus B</t>
        </is>
      </c>
      <c r="I1471" t="inlineStr">
        <is>
          <t>species</t>
        </is>
      </c>
      <c r="J1471" t="n">
        <v>19991248</v>
      </c>
      <c r="K1471" t="n">
        <v>19991248</v>
      </c>
      <c r="L1471" s="8">
        <f>HYPERLINK("https://test.ictv.global/id/TN19981987","TN19981987@TEST")</f>
        <v/>
      </c>
      <c r="M1471" s="8">
        <f>HYPERLINK("https://test.ictv.global/id/ICTV19790529","ICTV19790529@TEST")</f>
        <v/>
      </c>
      <c r="N1471" s="8">
        <f>HYPERLINK("https://ictv.global/id/TN19981987","TN19981987@prod")</f>
        <v/>
      </c>
      <c r="O1471" s="8">
        <f>HYPERLINK("https://ictv.global/id/ICTV19790529","ICTV19790529@prod")</f>
        <v/>
      </c>
    </row>
    <row r="1472">
      <c r="A1472" t="n">
        <v>17</v>
      </c>
      <c r="B1472" t="n">
        <v>19981988</v>
      </c>
      <c r="C1472" t="n">
        <v>19790530</v>
      </c>
      <c r="D1472" t="inlineStr">
        <is>
          <t>species</t>
        </is>
      </c>
      <c r="E1472" t="inlineStr">
        <is>
          <t>Human echovirus 20</t>
        </is>
      </c>
      <c r="G1472" t="inlineStr">
        <is>
          <t>Merged,</t>
        </is>
      </c>
      <c r="H1472" t="inlineStr">
        <is>
          <t>Human enterovirus B</t>
        </is>
      </c>
      <c r="I1472" t="inlineStr">
        <is>
          <t>species</t>
        </is>
      </c>
      <c r="J1472" t="n">
        <v>19991248</v>
      </c>
      <c r="K1472" t="n">
        <v>19991248</v>
      </c>
      <c r="L1472" s="8">
        <f>HYPERLINK("https://test.ictv.global/id/TN19981988","TN19981988@TEST")</f>
        <v/>
      </c>
      <c r="M1472" s="8">
        <f>HYPERLINK("https://test.ictv.global/id/ICTV19790530","ICTV19790530@TEST")</f>
        <v/>
      </c>
      <c r="N1472" s="8">
        <f>HYPERLINK("https://ictv.global/id/TN19981988","TN19981988@prod")</f>
        <v/>
      </c>
      <c r="O1472" s="8">
        <f>HYPERLINK("https://ictv.global/id/ICTV19790530","ICTV19790530@prod")</f>
        <v/>
      </c>
    </row>
    <row r="1473">
      <c r="A1473" t="n">
        <v>17</v>
      </c>
      <c r="B1473" t="n">
        <v>19981989</v>
      </c>
      <c r="C1473" t="n">
        <v>19790531</v>
      </c>
      <c r="D1473" t="inlineStr">
        <is>
          <t>species</t>
        </is>
      </c>
      <c r="E1473" t="inlineStr">
        <is>
          <t>Human echovirus 21</t>
        </is>
      </c>
      <c r="G1473" t="inlineStr">
        <is>
          <t>Merged,</t>
        </is>
      </c>
      <c r="H1473" t="inlineStr">
        <is>
          <t>Human enterovirus B</t>
        </is>
      </c>
      <c r="I1473" t="inlineStr">
        <is>
          <t>species</t>
        </is>
      </c>
      <c r="J1473" t="n">
        <v>19991248</v>
      </c>
      <c r="K1473" t="n">
        <v>19991248</v>
      </c>
      <c r="L1473" s="8">
        <f>HYPERLINK("https://test.ictv.global/id/TN19981989","TN19981989@TEST")</f>
        <v/>
      </c>
      <c r="M1473" s="8">
        <f>HYPERLINK("https://test.ictv.global/id/ICTV19790531","ICTV19790531@TEST")</f>
        <v/>
      </c>
      <c r="N1473" s="8">
        <f>HYPERLINK("https://ictv.global/id/TN19981989","TN19981989@prod")</f>
        <v/>
      </c>
      <c r="O1473" s="8">
        <f>HYPERLINK("https://ictv.global/id/ICTV19790531","ICTV19790531@prod")</f>
        <v/>
      </c>
    </row>
    <row r="1474">
      <c r="A1474" t="n">
        <v>17</v>
      </c>
      <c r="B1474" t="n">
        <v>19981990</v>
      </c>
      <c r="C1474" t="n">
        <v>19790534</v>
      </c>
      <c r="D1474" t="inlineStr">
        <is>
          <t>species</t>
        </is>
      </c>
      <c r="E1474" t="inlineStr">
        <is>
          <t>Human echovirus 24</t>
        </is>
      </c>
      <c r="G1474" t="inlineStr">
        <is>
          <t>Merged,</t>
        </is>
      </c>
      <c r="H1474" t="inlineStr">
        <is>
          <t>Human enterovirus B</t>
        </is>
      </c>
      <c r="I1474" t="inlineStr">
        <is>
          <t>species</t>
        </is>
      </c>
      <c r="J1474" t="n">
        <v>19991248</v>
      </c>
      <c r="K1474" t="n">
        <v>19991248</v>
      </c>
      <c r="L1474" s="8">
        <f>HYPERLINK("https://test.ictv.global/id/TN19981990","TN19981990@TEST")</f>
        <v/>
      </c>
      <c r="M1474" s="8">
        <f>HYPERLINK("https://test.ictv.global/id/ICTV19790534","ICTV19790534@TEST")</f>
        <v/>
      </c>
      <c r="N1474" s="8">
        <f>HYPERLINK("https://ictv.global/id/TN19981990","TN19981990@prod")</f>
        <v/>
      </c>
      <c r="O1474" s="8">
        <f>HYPERLINK("https://ictv.global/id/ICTV19790534","ICTV19790534@prod")</f>
        <v/>
      </c>
    </row>
    <row r="1475">
      <c r="A1475" t="n">
        <v>17</v>
      </c>
      <c r="B1475" t="n">
        <v>19981991</v>
      </c>
      <c r="C1475" t="n">
        <v>19790535</v>
      </c>
      <c r="D1475" t="inlineStr">
        <is>
          <t>species</t>
        </is>
      </c>
      <c r="E1475" t="inlineStr">
        <is>
          <t>Human echovirus 25</t>
        </is>
      </c>
      <c r="G1475" t="inlineStr">
        <is>
          <t>Merged,</t>
        </is>
      </c>
      <c r="H1475" t="inlineStr">
        <is>
          <t>Human enterovirus B</t>
        </is>
      </c>
      <c r="I1475" t="inlineStr">
        <is>
          <t>species</t>
        </is>
      </c>
      <c r="J1475" t="n">
        <v>19991248</v>
      </c>
      <c r="K1475" t="n">
        <v>19991248</v>
      </c>
      <c r="L1475" s="8">
        <f>HYPERLINK("https://test.ictv.global/id/TN19981991","TN19981991@TEST")</f>
        <v/>
      </c>
      <c r="M1475" s="8">
        <f>HYPERLINK("https://test.ictv.global/id/ICTV19790535","ICTV19790535@TEST")</f>
        <v/>
      </c>
      <c r="N1475" s="8">
        <f>HYPERLINK("https://ictv.global/id/TN19981991","TN19981991@prod")</f>
        <v/>
      </c>
      <c r="O1475" s="8">
        <f>HYPERLINK("https://ictv.global/id/ICTV19790535","ICTV19790535@prod")</f>
        <v/>
      </c>
    </row>
    <row r="1476">
      <c r="A1476" t="n">
        <v>17</v>
      </c>
      <c r="B1476" t="n">
        <v>19981992</v>
      </c>
      <c r="C1476" t="n">
        <v>19790536</v>
      </c>
      <c r="D1476" t="inlineStr">
        <is>
          <t>species</t>
        </is>
      </c>
      <c r="E1476" t="inlineStr">
        <is>
          <t>Human echovirus 26</t>
        </is>
      </c>
      <c r="G1476" t="inlineStr">
        <is>
          <t>Merged,</t>
        </is>
      </c>
      <c r="H1476" t="inlineStr">
        <is>
          <t>Human enterovirus B</t>
        </is>
      </c>
      <c r="I1476" t="inlineStr">
        <is>
          <t>species</t>
        </is>
      </c>
      <c r="J1476" t="n">
        <v>19991248</v>
      </c>
      <c r="K1476" t="n">
        <v>19991248</v>
      </c>
      <c r="L1476" s="8">
        <f>HYPERLINK("https://test.ictv.global/id/TN19981992","TN19981992@TEST")</f>
        <v/>
      </c>
      <c r="M1476" s="8">
        <f>HYPERLINK("https://test.ictv.global/id/ICTV19790536","ICTV19790536@TEST")</f>
        <v/>
      </c>
      <c r="N1476" s="8">
        <f>HYPERLINK("https://ictv.global/id/TN19981992","TN19981992@prod")</f>
        <v/>
      </c>
      <c r="O1476" s="8">
        <f>HYPERLINK("https://ictv.global/id/ICTV19790536","ICTV19790536@prod")</f>
        <v/>
      </c>
    </row>
    <row r="1477">
      <c r="A1477" t="n">
        <v>17</v>
      </c>
      <c r="B1477" t="n">
        <v>19981993</v>
      </c>
      <c r="C1477" t="n">
        <v>19790537</v>
      </c>
      <c r="D1477" t="inlineStr">
        <is>
          <t>species</t>
        </is>
      </c>
      <c r="E1477" t="inlineStr">
        <is>
          <t>Human echovirus 27</t>
        </is>
      </c>
      <c r="G1477" t="inlineStr">
        <is>
          <t>Merged,</t>
        </is>
      </c>
      <c r="H1477" t="inlineStr">
        <is>
          <t>Human enterovirus B</t>
        </is>
      </c>
      <c r="I1477" t="inlineStr">
        <is>
          <t>species</t>
        </is>
      </c>
      <c r="J1477" t="n">
        <v>19991248</v>
      </c>
      <c r="K1477" t="n">
        <v>19991248</v>
      </c>
      <c r="L1477" s="8">
        <f>HYPERLINK("https://test.ictv.global/id/TN19981993","TN19981993@TEST")</f>
        <v/>
      </c>
      <c r="M1477" s="8">
        <f>HYPERLINK("https://test.ictv.global/id/ICTV19790537","ICTV19790537@TEST")</f>
        <v/>
      </c>
      <c r="N1477" s="8">
        <f>HYPERLINK("https://ictv.global/id/TN19981993","TN19981993@prod")</f>
        <v/>
      </c>
      <c r="O1477" s="8">
        <f>HYPERLINK("https://ictv.global/id/ICTV19790537","ICTV19790537@prod")</f>
        <v/>
      </c>
    </row>
    <row r="1478">
      <c r="A1478" t="n">
        <v>17</v>
      </c>
      <c r="B1478" t="n">
        <v>19981994</v>
      </c>
      <c r="C1478" t="n">
        <v>19790538</v>
      </c>
      <c r="D1478" t="inlineStr">
        <is>
          <t>species</t>
        </is>
      </c>
      <c r="E1478" t="inlineStr">
        <is>
          <t>Human echovirus 29</t>
        </is>
      </c>
      <c r="G1478" t="inlineStr">
        <is>
          <t>Merged,</t>
        </is>
      </c>
      <c r="H1478" t="inlineStr">
        <is>
          <t>Human enterovirus B</t>
        </is>
      </c>
      <c r="I1478" t="inlineStr">
        <is>
          <t>species</t>
        </is>
      </c>
      <c r="J1478" t="n">
        <v>19991248</v>
      </c>
      <c r="K1478" t="n">
        <v>19991248</v>
      </c>
      <c r="L1478" s="8">
        <f>HYPERLINK("https://test.ictv.global/id/TN19981994","TN19981994@TEST")</f>
        <v/>
      </c>
      <c r="M1478" s="8">
        <f>HYPERLINK("https://test.ictv.global/id/ICTV19790538","ICTV19790538@TEST")</f>
        <v/>
      </c>
      <c r="N1478" s="8">
        <f>HYPERLINK("https://ictv.global/id/TN19981994","TN19981994@prod")</f>
        <v/>
      </c>
      <c r="O1478" s="8">
        <f>HYPERLINK("https://ictv.global/id/ICTV19790538","ICTV19790538@prod")</f>
        <v/>
      </c>
    </row>
    <row r="1479">
      <c r="A1479" t="n">
        <v>17</v>
      </c>
      <c r="B1479" t="n">
        <v>19981995</v>
      </c>
      <c r="C1479" t="n">
        <v>19790539</v>
      </c>
      <c r="D1479" t="inlineStr">
        <is>
          <t>species</t>
        </is>
      </c>
      <c r="E1479" t="inlineStr">
        <is>
          <t>Human echovirus 3</t>
        </is>
      </c>
      <c r="G1479" t="inlineStr">
        <is>
          <t>Merged,</t>
        </is>
      </c>
      <c r="H1479" t="inlineStr">
        <is>
          <t>Human enterovirus B</t>
        </is>
      </c>
      <c r="I1479" t="inlineStr">
        <is>
          <t>species</t>
        </is>
      </c>
      <c r="J1479" t="n">
        <v>19991248</v>
      </c>
      <c r="K1479" t="n">
        <v>19991248</v>
      </c>
      <c r="L1479" s="8">
        <f>HYPERLINK("https://test.ictv.global/id/TN19981995","TN19981995@TEST")</f>
        <v/>
      </c>
      <c r="M1479" s="8">
        <f>HYPERLINK("https://test.ictv.global/id/ICTV19790539","ICTV19790539@TEST")</f>
        <v/>
      </c>
      <c r="N1479" s="8">
        <f>HYPERLINK("https://ictv.global/id/TN19981995","TN19981995@prod")</f>
        <v/>
      </c>
      <c r="O1479" s="8">
        <f>HYPERLINK("https://ictv.global/id/ICTV19790539","ICTV19790539@prod")</f>
        <v/>
      </c>
    </row>
    <row r="1480">
      <c r="A1480" t="n">
        <v>17</v>
      </c>
      <c r="B1480" t="n">
        <v>19981996</v>
      </c>
      <c r="C1480" t="n">
        <v>19790540</v>
      </c>
      <c r="D1480" t="inlineStr">
        <is>
          <t>species</t>
        </is>
      </c>
      <c r="E1480" t="inlineStr">
        <is>
          <t>Human echovirus 30</t>
        </is>
      </c>
      <c r="G1480" t="inlineStr">
        <is>
          <t>Merged,</t>
        </is>
      </c>
      <c r="H1480" t="inlineStr">
        <is>
          <t>Human enterovirus B</t>
        </is>
      </c>
      <c r="I1480" t="inlineStr">
        <is>
          <t>species</t>
        </is>
      </c>
      <c r="J1480" t="n">
        <v>19991248</v>
      </c>
      <c r="K1480" t="n">
        <v>19991248</v>
      </c>
      <c r="L1480" s="8">
        <f>HYPERLINK("https://test.ictv.global/id/TN19981996","TN19981996@TEST")</f>
        <v/>
      </c>
      <c r="M1480" s="8">
        <f>HYPERLINK("https://test.ictv.global/id/ICTV19790540","ICTV19790540@TEST")</f>
        <v/>
      </c>
      <c r="N1480" s="8">
        <f>HYPERLINK("https://ictv.global/id/TN19981996","TN19981996@prod")</f>
        <v/>
      </c>
      <c r="O1480" s="8">
        <f>HYPERLINK("https://ictv.global/id/ICTV19790540","ICTV19790540@prod")</f>
        <v/>
      </c>
    </row>
    <row r="1481">
      <c r="A1481" t="n">
        <v>17</v>
      </c>
      <c r="B1481" t="n">
        <v>19981997</v>
      </c>
      <c r="C1481" t="n">
        <v>19790541</v>
      </c>
      <c r="D1481" t="inlineStr">
        <is>
          <t>species</t>
        </is>
      </c>
      <c r="E1481" t="inlineStr">
        <is>
          <t>Human echovirus 31</t>
        </is>
      </c>
      <c r="G1481" t="inlineStr">
        <is>
          <t>Merged,</t>
        </is>
      </c>
      <c r="H1481" t="inlineStr">
        <is>
          <t>Human enterovirus B</t>
        </is>
      </c>
      <c r="I1481" t="inlineStr">
        <is>
          <t>species</t>
        </is>
      </c>
      <c r="J1481" t="n">
        <v>19991248</v>
      </c>
      <c r="K1481" t="n">
        <v>19991248</v>
      </c>
      <c r="L1481" s="8">
        <f>HYPERLINK("https://test.ictv.global/id/TN19981997","TN19981997@TEST")</f>
        <v/>
      </c>
      <c r="M1481" s="8">
        <f>HYPERLINK("https://test.ictv.global/id/ICTV19790541","ICTV19790541@TEST")</f>
        <v/>
      </c>
      <c r="N1481" s="8">
        <f>HYPERLINK("https://ictv.global/id/TN19981997","TN19981997@prod")</f>
        <v/>
      </c>
      <c r="O1481" s="8">
        <f>HYPERLINK("https://ictv.global/id/ICTV19790541","ICTV19790541@prod")</f>
        <v/>
      </c>
    </row>
    <row r="1482">
      <c r="A1482" t="n">
        <v>17</v>
      </c>
      <c r="B1482" t="n">
        <v>19981998</v>
      </c>
      <c r="C1482" t="n">
        <v>19790542</v>
      </c>
      <c r="D1482" t="inlineStr">
        <is>
          <t>species</t>
        </is>
      </c>
      <c r="E1482" t="inlineStr">
        <is>
          <t>Human echovirus 32</t>
        </is>
      </c>
      <c r="G1482" t="inlineStr">
        <is>
          <t>Merged,</t>
        </is>
      </c>
      <c r="H1482" t="inlineStr">
        <is>
          <t>Human enterovirus B</t>
        </is>
      </c>
      <c r="I1482" t="inlineStr">
        <is>
          <t>species</t>
        </is>
      </c>
      <c r="J1482" t="n">
        <v>19991248</v>
      </c>
      <c r="K1482" t="n">
        <v>19991248</v>
      </c>
      <c r="L1482" s="8">
        <f>HYPERLINK("https://test.ictv.global/id/TN19981998","TN19981998@TEST")</f>
        <v/>
      </c>
      <c r="M1482" s="8">
        <f>HYPERLINK("https://test.ictv.global/id/ICTV19790542","ICTV19790542@TEST")</f>
        <v/>
      </c>
      <c r="N1482" s="8">
        <f>HYPERLINK("https://ictv.global/id/TN19981998","TN19981998@prod")</f>
        <v/>
      </c>
      <c r="O1482" s="8">
        <f>HYPERLINK("https://ictv.global/id/ICTV19790542","ICTV19790542@prod")</f>
        <v/>
      </c>
    </row>
    <row r="1483">
      <c r="A1483" t="n">
        <v>17</v>
      </c>
      <c r="B1483" t="n">
        <v>19981999</v>
      </c>
      <c r="C1483" t="n">
        <v>19790543</v>
      </c>
      <c r="D1483" t="inlineStr">
        <is>
          <t>species</t>
        </is>
      </c>
      <c r="E1483" t="inlineStr">
        <is>
          <t>Human echovirus 33</t>
        </is>
      </c>
      <c r="G1483" t="inlineStr">
        <is>
          <t>Merged,</t>
        </is>
      </c>
      <c r="H1483" t="inlineStr">
        <is>
          <t>Human enterovirus B</t>
        </is>
      </c>
      <c r="I1483" t="inlineStr">
        <is>
          <t>species</t>
        </is>
      </c>
      <c r="J1483" t="n">
        <v>19991248</v>
      </c>
      <c r="K1483" t="n">
        <v>19991248</v>
      </c>
      <c r="L1483" s="8">
        <f>HYPERLINK("https://test.ictv.global/id/TN19981999","TN19981999@TEST")</f>
        <v/>
      </c>
      <c r="M1483" s="8">
        <f>HYPERLINK("https://test.ictv.global/id/ICTV19790543","ICTV19790543@TEST")</f>
        <v/>
      </c>
      <c r="N1483" s="8">
        <f>HYPERLINK("https://ictv.global/id/TN19981999","TN19981999@prod")</f>
        <v/>
      </c>
      <c r="O1483" s="8">
        <f>HYPERLINK("https://ictv.global/id/ICTV19790543","ICTV19790543@prod")</f>
        <v/>
      </c>
    </row>
    <row r="1484">
      <c r="A1484" t="n">
        <v>17</v>
      </c>
      <c r="B1484" t="n">
        <v>19982000</v>
      </c>
      <c r="C1484" t="n">
        <v>19790545</v>
      </c>
      <c r="D1484" t="inlineStr">
        <is>
          <t>species</t>
        </is>
      </c>
      <c r="E1484" t="inlineStr">
        <is>
          <t>Human echovirus 4</t>
        </is>
      </c>
      <c r="G1484" t="inlineStr">
        <is>
          <t>Merged,</t>
        </is>
      </c>
      <c r="H1484" t="inlineStr">
        <is>
          <t>Human enterovirus B</t>
        </is>
      </c>
      <c r="I1484" t="inlineStr">
        <is>
          <t>species</t>
        </is>
      </c>
      <c r="J1484" t="n">
        <v>19991248</v>
      </c>
      <c r="K1484" t="n">
        <v>19991248</v>
      </c>
      <c r="L1484" s="8">
        <f>HYPERLINK("https://test.ictv.global/id/TN19982000","TN19982000@TEST")</f>
        <v/>
      </c>
      <c r="M1484" s="8">
        <f>HYPERLINK("https://test.ictv.global/id/ICTV19790545","ICTV19790545@TEST")</f>
        <v/>
      </c>
      <c r="N1484" s="8">
        <f>HYPERLINK("https://ictv.global/id/TN19982000","TN19982000@prod")</f>
        <v/>
      </c>
      <c r="O1484" s="8">
        <f>HYPERLINK("https://ictv.global/id/ICTV19790545","ICTV19790545@prod")</f>
        <v/>
      </c>
    </row>
    <row r="1485">
      <c r="A1485" t="n">
        <v>17</v>
      </c>
      <c r="B1485" t="n">
        <v>19982001</v>
      </c>
      <c r="C1485" t="n">
        <v>19790546</v>
      </c>
      <c r="D1485" t="inlineStr">
        <is>
          <t>species</t>
        </is>
      </c>
      <c r="E1485" t="inlineStr">
        <is>
          <t>Human echovirus 5</t>
        </is>
      </c>
      <c r="G1485" t="inlineStr">
        <is>
          <t>Merged,</t>
        </is>
      </c>
      <c r="H1485" t="inlineStr">
        <is>
          <t>Human enterovirus B</t>
        </is>
      </c>
      <c r="I1485" t="inlineStr">
        <is>
          <t>species</t>
        </is>
      </c>
      <c r="J1485" t="n">
        <v>19991248</v>
      </c>
      <c r="K1485" t="n">
        <v>19991248</v>
      </c>
      <c r="L1485" s="8">
        <f>HYPERLINK("https://test.ictv.global/id/TN19982001","TN19982001@TEST")</f>
        <v/>
      </c>
      <c r="M1485" s="8">
        <f>HYPERLINK("https://test.ictv.global/id/ICTV19790546","ICTV19790546@TEST")</f>
        <v/>
      </c>
      <c r="N1485" s="8">
        <f>HYPERLINK("https://ictv.global/id/TN19982001","TN19982001@prod")</f>
        <v/>
      </c>
      <c r="O1485" s="8">
        <f>HYPERLINK("https://ictv.global/id/ICTV19790546","ICTV19790546@prod")</f>
        <v/>
      </c>
    </row>
    <row r="1486">
      <c r="A1486" t="n">
        <v>17</v>
      </c>
      <c r="B1486" t="n">
        <v>19982002</v>
      </c>
      <c r="C1486" t="n">
        <v>19790547</v>
      </c>
      <c r="D1486" t="inlineStr">
        <is>
          <t>species</t>
        </is>
      </c>
      <c r="E1486" t="inlineStr">
        <is>
          <t>Human echovirus 6</t>
        </is>
      </c>
      <c r="G1486" t="inlineStr">
        <is>
          <t>Merged,</t>
        </is>
      </c>
      <c r="H1486" t="inlineStr">
        <is>
          <t>Human enterovirus B</t>
        </is>
      </c>
      <c r="I1486" t="inlineStr">
        <is>
          <t>species</t>
        </is>
      </c>
      <c r="J1486" t="n">
        <v>19991248</v>
      </c>
      <c r="K1486" t="n">
        <v>19991248</v>
      </c>
      <c r="L1486" s="8">
        <f>HYPERLINK("https://test.ictv.global/id/TN19982002","TN19982002@TEST")</f>
        <v/>
      </c>
      <c r="M1486" s="8">
        <f>HYPERLINK("https://test.ictv.global/id/ICTV19790547","ICTV19790547@TEST")</f>
        <v/>
      </c>
      <c r="N1486" s="8">
        <f>HYPERLINK("https://ictv.global/id/TN19982002","TN19982002@prod")</f>
        <v/>
      </c>
      <c r="O1486" s="8">
        <f>HYPERLINK("https://ictv.global/id/ICTV19790547","ICTV19790547@prod")</f>
        <v/>
      </c>
    </row>
    <row r="1487">
      <c r="A1487" t="n">
        <v>17</v>
      </c>
      <c r="B1487" t="n">
        <v>19982003</v>
      </c>
      <c r="C1487" t="n">
        <v>19790548</v>
      </c>
      <c r="D1487" t="inlineStr">
        <is>
          <t>species</t>
        </is>
      </c>
      <c r="E1487" t="inlineStr">
        <is>
          <t>Human echovirus 7</t>
        </is>
      </c>
      <c r="G1487" t="inlineStr">
        <is>
          <t>Merged,</t>
        </is>
      </c>
      <c r="H1487" t="inlineStr">
        <is>
          <t>Human enterovirus B</t>
        </is>
      </c>
      <c r="I1487" t="inlineStr">
        <is>
          <t>species</t>
        </is>
      </c>
      <c r="J1487" t="n">
        <v>19991248</v>
      </c>
      <c r="K1487" t="n">
        <v>19991248</v>
      </c>
      <c r="L1487" s="8">
        <f>HYPERLINK("https://test.ictv.global/id/TN19982003","TN19982003@TEST")</f>
        <v/>
      </c>
      <c r="M1487" s="8">
        <f>HYPERLINK("https://test.ictv.global/id/ICTV19790548","ICTV19790548@TEST")</f>
        <v/>
      </c>
      <c r="N1487" s="8">
        <f>HYPERLINK("https://ictv.global/id/TN19982003","TN19982003@prod")</f>
        <v/>
      </c>
      <c r="O1487" s="8">
        <f>HYPERLINK("https://ictv.global/id/ICTV19790548","ICTV19790548@prod")</f>
        <v/>
      </c>
    </row>
    <row r="1488">
      <c r="A1488" t="n">
        <v>17</v>
      </c>
      <c r="B1488" t="n">
        <v>19982004</v>
      </c>
      <c r="C1488" t="n">
        <v>19790550</v>
      </c>
      <c r="D1488" t="inlineStr">
        <is>
          <t>species</t>
        </is>
      </c>
      <c r="E1488" t="inlineStr">
        <is>
          <t>Human echovirus 9</t>
        </is>
      </c>
      <c r="G1488" t="inlineStr">
        <is>
          <t>Merged,</t>
        </is>
      </c>
      <c r="H1488" t="inlineStr">
        <is>
          <t>Human enterovirus B</t>
        </is>
      </c>
      <c r="I1488" t="inlineStr">
        <is>
          <t>species</t>
        </is>
      </c>
      <c r="J1488" t="n">
        <v>19991248</v>
      </c>
      <c r="K1488" t="n">
        <v>19991248</v>
      </c>
      <c r="L1488" s="8">
        <f>HYPERLINK("https://test.ictv.global/id/TN19982004","TN19982004@TEST")</f>
        <v/>
      </c>
      <c r="M1488" s="8">
        <f>HYPERLINK("https://test.ictv.global/id/ICTV19790550","ICTV19790550@TEST")</f>
        <v/>
      </c>
      <c r="N1488" s="8">
        <f>HYPERLINK("https://ictv.global/id/TN19982004","TN19982004@prod")</f>
        <v/>
      </c>
      <c r="O1488" s="8">
        <f>HYPERLINK("https://ictv.global/id/ICTV19790550","ICTV19790550@prod")</f>
        <v/>
      </c>
    </row>
    <row r="1489">
      <c r="A1489" t="n">
        <v>17</v>
      </c>
      <c r="B1489" t="n">
        <v>19982005</v>
      </c>
      <c r="C1489" t="n">
        <v>19790551</v>
      </c>
      <c r="D1489" t="inlineStr">
        <is>
          <t>species</t>
        </is>
      </c>
      <c r="E1489" t="inlineStr">
        <is>
          <t>Human enterovirus 68</t>
        </is>
      </c>
      <c r="G1489" t="inlineStr">
        <is>
          <t>Merged,</t>
        </is>
      </c>
      <c r="H1489" t="inlineStr">
        <is>
          <t>Human enterovirus D</t>
        </is>
      </c>
      <c r="I1489" t="inlineStr">
        <is>
          <t>species</t>
        </is>
      </c>
      <c r="J1489" t="n">
        <v>19991250</v>
      </c>
      <c r="K1489" t="n">
        <v>19991250</v>
      </c>
      <c r="L1489" s="8">
        <f>HYPERLINK("https://test.ictv.global/id/TN19982005","TN19982005@TEST")</f>
        <v/>
      </c>
      <c r="M1489" s="8">
        <f>HYPERLINK("https://test.ictv.global/id/ICTV19790551","ICTV19790551@TEST")</f>
        <v/>
      </c>
      <c r="N1489" s="8">
        <f>HYPERLINK("https://ictv.global/id/TN19982005","TN19982005@prod")</f>
        <v/>
      </c>
      <c r="O1489" s="8">
        <f>HYPERLINK("https://ictv.global/id/ICTV19790551","ICTV19790551@prod")</f>
        <v/>
      </c>
    </row>
    <row r="1490">
      <c r="A1490" t="n">
        <v>17</v>
      </c>
      <c r="B1490" t="n">
        <v>19982006</v>
      </c>
      <c r="C1490" t="n">
        <v>19790552</v>
      </c>
      <c r="D1490" t="inlineStr">
        <is>
          <t>species</t>
        </is>
      </c>
      <c r="E1490" t="inlineStr">
        <is>
          <t>Human enterovirus 69</t>
        </is>
      </c>
      <c r="G1490" t="inlineStr">
        <is>
          <t>Merged,</t>
        </is>
      </c>
      <c r="H1490" t="inlineStr">
        <is>
          <t>Human enterovirus B</t>
        </is>
      </c>
      <c r="I1490" t="inlineStr">
        <is>
          <t>species</t>
        </is>
      </c>
      <c r="J1490" t="n">
        <v>19991248</v>
      </c>
      <c r="K1490" t="n">
        <v>19991248</v>
      </c>
      <c r="L1490" s="8">
        <f>HYPERLINK("https://test.ictv.global/id/TN19982006","TN19982006@TEST")</f>
        <v/>
      </c>
      <c r="M1490" s="8">
        <f>HYPERLINK("https://test.ictv.global/id/ICTV19790552","ICTV19790552@TEST")</f>
        <v/>
      </c>
      <c r="N1490" s="8">
        <f>HYPERLINK("https://ictv.global/id/TN19982006","TN19982006@prod")</f>
        <v/>
      </c>
      <c r="O1490" s="8">
        <f>HYPERLINK("https://ictv.global/id/ICTV19790552","ICTV19790552@prod")</f>
        <v/>
      </c>
    </row>
    <row r="1491">
      <c r="A1491" t="n">
        <v>17</v>
      </c>
      <c r="B1491" t="n">
        <v>19982007</v>
      </c>
      <c r="C1491" t="n">
        <v>19790553</v>
      </c>
      <c r="D1491" t="inlineStr">
        <is>
          <t>species</t>
        </is>
      </c>
      <c r="E1491" t="inlineStr">
        <is>
          <t>Human enterovirus 70</t>
        </is>
      </c>
      <c r="G1491" t="inlineStr">
        <is>
          <t>Merged,</t>
        </is>
      </c>
      <c r="H1491" t="inlineStr">
        <is>
          <t>Human enterovirus D</t>
        </is>
      </c>
      <c r="I1491" t="inlineStr">
        <is>
          <t>species</t>
        </is>
      </c>
      <c r="J1491" t="n">
        <v>19991250</v>
      </c>
      <c r="K1491" t="n">
        <v>19991250</v>
      </c>
      <c r="L1491" s="8">
        <f>HYPERLINK("https://test.ictv.global/id/TN19982007","TN19982007@TEST")</f>
        <v/>
      </c>
      <c r="M1491" s="8">
        <f>HYPERLINK("https://test.ictv.global/id/ICTV19790553","ICTV19790553@TEST")</f>
        <v/>
      </c>
      <c r="N1491" s="8">
        <f>HYPERLINK("https://ictv.global/id/TN19982007","TN19982007@prod")</f>
        <v/>
      </c>
      <c r="O1491" s="8">
        <f>HYPERLINK("https://ictv.global/id/ICTV19790553","ICTV19790553@prod")</f>
        <v/>
      </c>
    </row>
    <row r="1492">
      <c r="A1492" t="n">
        <v>17</v>
      </c>
      <c r="B1492" t="n">
        <v>19982008</v>
      </c>
      <c r="C1492" t="n">
        <v>19790554</v>
      </c>
      <c r="D1492" t="inlineStr">
        <is>
          <t>species</t>
        </is>
      </c>
      <c r="E1492" t="inlineStr">
        <is>
          <t>Human enterovirus 71</t>
        </is>
      </c>
      <c r="G1492" t="inlineStr">
        <is>
          <t>Merged,</t>
        </is>
      </c>
      <c r="H1492" t="inlineStr">
        <is>
          <t>Human enterovirus A</t>
        </is>
      </c>
      <c r="I1492" t="inlineStr">
        <is>
          <t>species</t>
        </is>
      </c>
      <c r="J1492" t="n">
        <v>19991247</v>
      </c>
      <c r="K1492" t="n">
        <v>19991247</v>
      </c>
      <c r="L1492" s="8">
        <f>HYPERLINK("https://test.ictv.global/id/TN19982008","TN19982008@TEST")</f>
        <v/>
      </c>
      <c r="M1492" s="8">
        <f>HYPERLINK("https://test.ictv.global/id/ICTV19790554","ICTV19790554@TEST")</f>
        <v/>
      </c>
      <c r="N1492" s="8">
        <f>HYPERLINK("https://ictv.global/id/TN19982008","TN19982008@prod")</f>
        <v/>
      </c>
      <c r="O1492" s="8">
        <f>HYPERLINK("https://ictv.global/id/ICTV19790554","ICTV19790554@prod")</f>
        <v/>
      </c>
    </row>
    <row r="1493">
      <c r="A1493" t="n">
        <v>17</v>
      </c>
      <c r="B1493" t="n">
        <v>19982009</v>
      </c>
      <c r="C1493" t="n">
        <v>19820730</v>
      </c>
      <c r="D1493" t="inlineStr">
        <is>
          <t>species</t>
        </is>
      </c>
      <c r="E1493" t="inlineStr">
        <is>
          <t>Human enterovirus 72</t>
        </is>
      </c>
      <c r="G1493" t="inlineStr">
        <is>
          <t>Abolished,</t>
        </is>
      </c>
      <c r="L1493" s="8">
        <f>HYPERLINK("https://test.ictv.global/id/TN19982009","TN19982009@TEST")</f>
        <v/>
      </c>
      <c r="M1493" s="8">
        <f>HYPERLINK("https://test.ictv.global/id/ICTV19820730","ICTV19820730@TEST")</f>
        <v/>
      </c>
      <c r="N1493" s="8">
        <f>HYPERLINK("https://ictv.global/id/TN19982009","TN19982009@prod")</f>
        <v/>
      </c>
      <c r="O1493" s="8">
        <f>HYPERLINK("https://ictv.global/id/ICTV19820730","ICTV19820730@prod")</f>
        <v/>
      </c>
    </row>
    <row r="1494">
      <c r="A1494" t="n">
        <v>17</v>
      </c>
      <c r="B1494" t="n">
        <v>19982010</v>
      </c>
      <c r="C1494" t="n">
        <v>20083305</v>
      </c>
      <c r="D1494" t="inlineStr">
        <is>
          <t>species</t>
        </is>
      </c>
      <c r="E1494" t="inlineStr">
        <is>
          <t>Human poliovirus 1</t>
        </is>
      </c>
      <c r="G1494" t="inlineStr">
        <is>
          <t>Merged,</t>
        </is>
      </c>
      <c r="H1494" t="inlineStr">
        <is>
          <t>Poliovirus</t>
        </is>
      </c>
      <c r="I1494" t="inlineStr">
        <is>
          <t>species</t>
        </is>
      </c>
      <c r="J1494" t="n">
        <v>20083305</v>
      </c>
      <c r="K1494" t="n">
        <v>19991251</v>
      </c>
      <c r="L1494" s="8">
        <f>HYPERLINK("https://test.ictv.global/id/TN19982010","TN19982010@TEST")</f>
        <v/>
      </c>
      <c r="M1494" s="8">
        <f>HYPERLINK("https://test.ictv.global/id/ICTV20083305","ICTV20083305@TEST")</f>
        <v/>
      </c>
      <c r="N1494" s="8">
        <f>HYPERLINK("https://ictv.global/id/TN19982010","TN19982010@prod")</f>
        <v/>
      </c>
      <c r="O1494" s="8">
        <f>HYPERLINK("https://ictv.global/id/ICTV20083305","ICTV20083305@prod")</f>
        <v/>
      </c>
    </row>
    <row r="1495">
      <c r="A1495" t="n">
        <v>17</v>
      </c>
      <c r="B1495" t="n">
        <v>19982011</v>
      </c>
      <c r="C1495" t="n">
        <v>19790556</v>
      </c>
      <c r="D1495" t="inlineStr">
        <is>
          <t>species</t>
        </is>
      </c>
      <c r="E1495" t="inlineStr">
        <is>
          <t>Human poliovirus 2</t>
        </is>
      </c>
      <c r="G1495" t="inlineStr">
        <is>
          <t>Merged,Assigned as Type Species,</t>
        </is>
      </c>
      <c r="H1495" t="inlineStr">
        <is>
          <t>Poliovirus</t>
        </is>
      </c>
      <c r="I1495" t="inlineStr">
        <is>
          <t>species</t>
        </is>
      </c>
      <c r="J1495" t="n">
        <v>20083305</v>
      </c>
      <c r="K1495" t="n">
        <v>19991251</v>
      </c>
      <c r="L1495" s="8">
        <f>HYPERLINK("https://test.ictv.global/id/TN19982011","TN19982011@TEST")</f>
        <v/>
      </c>
      <c r="M1495" s="8">
        <f>HYPERLINK("https://test.ictv.global/id/ICTV19790556","ICTV19790556@TEST")</f>
        <v/>
      </c>
      <c r="N1495" s="8">
        <f>HYPERLINK("https://ictv.global/id/TN19982011","TN19982011@prod")</f>
        <v/>
      </c>
      <c r="O1495" s="8">
        <f>HYPERLINK("https://ictv.global/id/ICTV19790556","ICTV19790556@prod")</f>
        <v/>
      </c>
    </row>
    <row r="1496">
      <c r="A1496" t="n">
        <v>17</v>
      </c>
      <c r="B1496" t="n">
        <v>19982012</v>
      </c>
      <c r="C1496" t="n">
        <v>19790557</v>
      </c>
      <c r="D1496" t="inlineStr">
        <is>
          <t>species</t>
        </is>
      </c>
      <c r="E1496" t="inlineStr">
        <is>
          <t>Human poliovirus 3</t>
        </is>
      </c>
      <c r="G1496" t="inlineStr">
        <is>
          <t>Merged,Assigned as Type Species,</t>
        </is>
      </c>
      <c r="H1496" t="inlineStr">
        <is>
          <t>Poliovirus</t>
        </is>
      </c>
      <c r="I1496" t="inlineStr">
        <is>
          <t>species</t>
        </is>
      </c>
      <c r="J1496" t="n">
        <v>20083305</v>
      </c>
      <c r="K1496" t="n">
        <v>19991251</v>
      </c>
      <c r="L1496" s="8">
        <f>HYPERLINK("https://test.ictv.global/id/TN19982012","TN19982012@TEST")</f>
        <v/>
      </c>
      <c r="M1496" s="8">
        <f>HYPERLINK("https://test.ictv.global/id/ICTV19790557","ICTV19790557@TEST")</f>
        <v/>
      </c>
      <c r="N1496" s="8">
        <f>HYPERLINK("https://ictv.global/id/TN19982012","TN19982012@prod")</f>
        <v/>
      </c>
      <c r="O1496" s="8">
        <f>HYPERLINK("https://ictv.global/id/ICTV19790557","ICTV19790557@prod")</f>
        <v/>
      </c>
    </row>
    <row r="1497">
      <c r="A1497" t="n">
        <v>17</v>
      </c>
      <c r="B1497" t="n">
        <v>19982014</v>
      </c>
      <c r="C1497" t="n">
        <v>19790560</v>
      </c>
      <c r="D1497" t="inlineStr">
        <is>
          <t>species</t>
        </is>
      </c>
      <c r="E1497" t="inlineStr">
        <is>
          <t>Porcine enterovirus 2</t>
        </is>
      </c>
      <c r="G1497" t="inlineStr">
        <is>
          <t>Abolished,</t>
        </is>
      </c>
      <c r="L1497" s="8">
        <f>HYPERLINK("https://test.ictv.global/id/TN19982014","TN19982014@TEST")</f>
        <v/>
      </c>
      <c r="M1497" s="8">
        <f>HYPERLINK("https://test.ictv.global/id/ICTV19790560","ICTV19790560@TEST")</f>
        <v/>
      </c>
      <c r="N1497" s="8">
        <f>HYPERLINK("https://ictv.global/id/TN19982014","TN19982014@prod")</f>
        <v/>
      </c>
      <c r="O1497" s="8">
        <f>HYPERLINK("https://ictv.global/id/ICTV19790560","ICTV19790560@prod")</f>
        <v/>
      </c>
    </row>
    <row r="1498">
      <c r="A1498" t="n">
        <v>17</v>
      </c>
      <c r="B1498" t="n">
        <v>19982015</v>
      </c>
      <c r="C1498" t="n">
        <v>19790561</v>
      </c>
      <c r="D1498" t="inlineStr">
        <is>
          <t>species</t>
        </is>
      </c>
      <c r="E1498" t="inlineStr">
        <is>
          <t>Porcine enterovirus 3</t>
        </is>
      </c>
      <c r="G1498" t="inlineStr">
        <is>
          <t>Abolished,</t>
        </is>
      </c>
      <c r="L1498" s="8">
        <f>HYPERLINK("https://test.ictv.global/id/TN19982015","TN19982015@TEST")</f>
        <v/>
      </c>
      <c r="M1498" s="8">
        <f>HYPERLINK("https://test.ictv.global/id/ICTV19790561","ICTV19790561@TEST")</f>
        <v/>
      </c>
      <c r="N1498" s="8">
        <f>HYPERLINK("https://ictv.global/id/TN19982015","TN19982015@prod")</f>
        <v/>
      </c>
      <c r="O1498" s="8">
        <f>HYPERLINK("https://ictv.global/id/ICTV19790561","ICTV19790561@prod")</f>
        <v/>
      </c>
    </row>
    <row r="1499">
      <c r="A1499" t="n">
        <v>17</v>
      </c>
      <c r="B1499" t="n">
        <v>19982016</v>
      </c>
      <c r="C1499" t="n">
        <v>19790562</v>
      </c>
      <c r="D1499" t="inlineStr">
        <is>
          <t>species</t>
        </is>
      </c>
      <c r="E1499" t="inlineStr">
        <is>
          <t>Porcine enterovirus 4</t>
        </is>
      </c>
      <c r="G1499" t="inlineStr">
        <is>
          <t>Abolished,</t>
        </is>
      </c>
      <c r="L1499" s="8">
        <f>HYPERLINK("https://test.ictv.global/id/TN19982016","TN19982016@TEST")</f>
        <v/>
      </c>
      <c r="M1499" s="8">
        <f>HYPERLINK("https://test.ictv.global/id/ICTV19790562","ICTV19790562@TEST")</f>
        <v/>
      </c>
      <c r="N1499" s="8">
        <f>HYPERLINK("https://ictv.global/id/TN19982016","TN19982016@prod")</f>
        <v/>
      </c>
      <c r="O1499" s="8">
        <f>HYPERLINK("https://ictv.global/id/ICTV19790562","ICTV19790562@prod")</f>
        <v/>
      </c>
    </row>
    <row r="1500">
      <c r="A1500" t="n">
        <v>17</v>
      </c>
      <c r="B1500" t="n">
        <v>19982017</v>
      </c>
      <c r="C1500" t="n">
        <v>19790563</v>
      </c>
      <c r="D1500" t="inlineStr">
        <is>
          <t>species</t>
        </is>
      </c>
      <c r="E1500" t="inlineStr">
        <is>
          <t>Porcine enterovirus 5</t>
        </is>
      </c>
      <c r="G1500" t="inlineStr">
        <is>
          <t>Abolished,</t>
        </is>
      </c>
      <c r="L1500" s="8">
        <f>HYPERLINK("https://test.ictv.global/id/TN19982017","TN19982017@TEST")</f>
        <v/>
      </c>
      <c r="M1500" s="8">
        <f>HYPERLINK("https://test.ictv.global/id/ICTV19790563","ICTV19790563@TEST")</f>
        <v/>
      </c>
      <c r="N1500" s="8">
        <f>HYPERLINK("https://ictv.global/id/TN19982017","TN19982017@prod")</f>
        <v/>
      </c>
      <c r="O1500" s="8">
        <f>HYPERLINK("https://ictv.global/id/ICTV19790563","ICTV19790563@prod")</f>
        <v/>
      </c>
    </row>
    <row r="1501">
      <c r="A1501" t="n">
        <v>17</v>
      </c>
      <c r="B1501" t="n">
        <v>19982018</v>
      </c>
      <c r="C1501" t="n">
        <v>19790564</v>
      </c>
      <c r="D1501" t="inlineStr">
        <is>
          <t>species</t>
        </is>
      </c>
      <c r="E1501" t="inlineStr">
        <is>
          <t>Porcine enterovirus 6</t>
        </is>
      </c>
      <c r="G1501" t="inlineStr">
        <is>
          <t>Abolished,</t>
        </is>
      </c>
      <c r="L1501" s="8">
        <f>HYPERLINK("https://test.ictv.global/id/TN19982018","TN19982018@TEST")</f>
        <v/>
      </c>
      <c r="M1501" s="8">
        <f>HYPERLINK("https://test.ictv.global/id/ICTV19790564","ICTV19790564@TEST")</f>
        <v/>
      </c>
      <c r="N1501" s="8">
        <f>HYPERLINK("https://ictv.global/id/TN19982018","TN19982018@prod")</f>
        <v/>
      </c>
      <c r="O1501" s="8">
        <f>HYPERLINK("https://ictv.global/id/ICTV19790564","ICTV19790564@prod")</f>
        <v/>
      </c>
    </row>
    <row r="1502">
      <c r="A1502" t="n">
        <v>17</v>
      </c>
      <c r="B1502" t="n">
        <v>19982019</v>
      </c>
      <c r="C1502" t="n">
        <v>19790565</v>
      </c>
      <c r="D1502" t="inlineStr">
        <is>
          <t>species</t>
        </is>
      </c>
      <c r="E1502" t="inlineStr">
        <is>
          <t>Porcine enterovirus 7</t>
        </is>
      </c>
      <c r="G1502" t="inlineStr">
        <is>
          <t>Abolished,</t>
        </is>
      </c>
      <c r="L1502" s="8">
        <f>HYPERLINK("https://test.ictv.global/id/TN19982019","TN19982019@TEST")</f>
        <v/>
      </c>
      <c r="M1502" s="8">
        <f>HYPERLINK("https://test.ictv.global/id/ICTV19790565","ICTV19790565@TEST")</f>
        <v/>
      </c>
      <c r="N1502" s="8">
        <f>HYPERLINK("https://ictv.global/id/TN19982019","TN19982019@prod")</f>
        <v/>
      </c>
      <c r="O1502" s="8">
        <f>HYPERLINK("https://ictv.global/id/ICTV19790565","ICTV19790565@prod")</f>
        <v/>
      </c>
    </row>
    <row r="1503">
      <c r="A1503" t="n">
        <v>17</v>
      </c>
      <c r="B1503" t="n">
        <v>19982021</v>
      </c>
      <c r="C1503" t="n">
        <v>19790567</v>
      </c>
      <c r="D1503" t="inlineStr">
        <is>
          <t>species</t>
        </is>
      </c>
      <c r="E1503" t="inlineStr">
        <is>
          <t>Simian enterovirus 1</t>
        </is>
      </c>
      <c r="G1503" t="inlineStr">
        <is>
          <t>Abolished,</t>
        </is>
      </c>
      <c r="L1503" s="8">
        <f>HYPERLINK("https://test.ictv.global/id/TN19982021","TN19982021@TEST")</f>
        <v/>
      </c>
      <c r="M1503" s="8">
        <f>HYPERLINK("https://test.ictv.global/id/ICTV19790567","ICTV19790567@TEST")</f>
        <v/>
      </c>
      <c r="N1503" s="8">
        <f>HYPERLINK("https://ictv.global/id/TN19982021","TN19982021@prod")</f>
        <v/>
      </c>
      <c r="O1503" s="8">
        <f>HYPERLINK("https://ictv.global/id/ICTV19790567","ICTV19790567@prod")</f>
        <v/>
      </c>
    </row>
    <row r="1504">
      <c r="A1504" t="n">
        <v>17</v>
      </c>
      <c r="B1504" t="n">
        <v>19982022</v>
      </c>
      <c r="C1504" t="n">
        <v>19790568</v>
      </c>
      <c r="D1504" t="inlineStr">
        <is>
          <t>species</t>
        </is>
      </c>
      <c r="E1504" t="inlineStr">
        <is>
          <t>Simian enterovirus 10</t>
        </is>
      </c>
      <c r="G1504" t="inlineStr">
        <is>
          <t>Abolished,</t>
        </is>
      </c>
      <c r="L1504" s="8">
        <f>HYPERLINK("https://test.ictv.global/id/TN19982022","TN19982022@TEST")</f>
        <v/>
      </c>
      <c r="M1504" s="8">
        <f>HYPERLINK("https://test.ictv.global/id/ICTV19790568","ICTV19790568@TEST")</f>
        <v/>
      </c>
      <c r="N1504" s="8">
        <f>HYPERLINK("https://ictv.global/id/TN19982022","TN19982022@prod")</f>
        <v/>
      </c>
      <c r="O1504" s="8">
        <f>HYPERLINK("https://ictv.global/id/ICTV19790568","ICTV19790568@prod")</f>
        <v/>
      </c>
    </row>
    <row r="1505">
      <c r="A1505" t="n">
        <v>17</v>
      </c>
      <c r="B1505" t="n">
        <v>19982023</v>
      </c>
      <c r="C1505" t="n">
        <v>19790569</v>
      </c>
      <c r="D1505" t="inlineStr">
        <is>
          <t>species</t>
        </is>
      </c>
      <c r="E1505" t="inlineStr">
        <is>
          <t>Simian enterovirus 11</t>
        </is>
      </c>
      <c r="G1505" t="inlineStr">
        <is>
          <t>Abolished,</t>
        </is>
      </c>
      <c r="L1505" s="8">
        <f>HYPERLINK("https://test.ictv.global/id/TN19982023","TN19982023@TEST")</f>
        <v/>
      </c>
      <c r="M1505" s="8">
        <f>HYPERLINK("https://test.ictv.global/id/ICTV19790569","ICTV19790569@TEST")</f>
        <v/>
      </c>
      <c r="N1505" s="8">
        <f>HYPERLINK("https://ictv.global/id/TN19982023","TN19982023@prod")</f>
        <v/>
      </c>
      <c r="O1505" s="8">
        <f>HYPERLINK("https://ictv.global/id/ICTV19790569","ICTV19790569@prod")</f>
        <v/>
      </c>
    </row>
    <row r="1506">
      <c r="A1506" t="n">
        <v>17</v>
      </c>
      <c r="B1506" t="n">
        <v>19982024</v>
      </c>
      <c r="C1506" t="n">
        <v>19790570</v>
      </c>
      <c r="D1506" t="inlineStr">
        <is>
          <t>species</t>
        </is>
      </c>
      <c r="E1506" t="inlineStr">
        <is>
          <t>Simian enterovirus 12</t>
        </is>
      </c>
      <c r="G1506" t="inlineStr">
        <is>
          <t>Abolished,</t>
        </is>
      </c>
      <c r="L1506" s="8">
        <f>HYPERLINK("https://test.ictv.global/id/TN19982024","TN19982024@TEST")</f>
        <v/>
      </c>
      <c r="M1506" s="8">
        <f>HYPERLINK("https://test.ictv.global/id/ICTV19790570","ICTV19790570@TEST")</f>
        <v/>
      </c>
      <c r="N1506" s="8">
        <f>HYPERLINK("https://ictv.global/id/TN19982024","TN19982024@prod")</f>
        <v/>
      </c>
      <c r="O1506" s="8">
        <f>HYPERLINK("https://ictv.global/id/ICTV19790570","ICTV19790570@prod")</f>
        <v/>
      </c>
    </row>
    <row r="1507">
      <c r="A1507" t="n">
        <v>17</v>
      </c>
      <c r="B1507" t="n">
        <v>19982025</v>
      </c>
      <c r="C1507" t="n">
        <v>19790571</v>
      </c>
      <c r="D1507" t="inlineStr">
        <is>
          <t>species</t>
        </is>
      </c>
      <c r="E1507" t="inlineStr">
        <is>
          <t>Simian enterovirus 13</t>
        </is>
      </c>
      <c r="G1507" t="inlineStr">
        <is>
          <t>Abolished,</t>
        </is>
      </c>
      <c r="L1507" s="8">
        <f>HYPERLINK("https://test.ictv.global/id/TN19982025","TN19982025@TEST")</f>
        <v/>
      </c>
      <c r="M1507" s="8">
        <f>HYPERLINK("https://test.ictv.global/id/ICTV19790571","ICTV19790571@TEST")</f>
        <v/>
      </c>
      <c r="N1507" s="8">
        <f>HYPERLINK("https://ictv.global/id/TN19982025","TN19982025@prod")</f>
        <v/>
      </c>
      <c r="O1507" s="8">
        <f>HYPERLINK("https://ictv.global/id/ICTV19790571","ICTV19790571@prod")</f>
        <v/>
      </c>
    </row>
    <row r="1508">
      <c r="A1508" t="n">
        <v>17</v>
      </c>
      <c r="B1508" t="n">
        <v>19982026</v>
      </c>
      <c r="C1508" t="n">
        <v>19790572</v>
      </c>
      <c r="D1508" t="inlineStr">
        <is>
          <t>species</t>
        </is>
      </c>
      <c r="E1508" t="inlineStr">
        <is>
          <t>Simian enterovirus 14</t>
        </is>
      </c>
      <c r="G1508" t="inlineStr">
        <is>
          <t>Abolished,</t>
        </is>
      </c>
      <c r="L1508" s="8">
        <f>HYPERLINK("https://test.ictv.global/id/TN19982026","TN19982026@TEST")</f>
        <v/>
      </c>
      <c r="M1508" s="8">
        <f>HYPERLINK("https://test.ictv.global/id/ICTV19790572","ICTV19790572@TEST")</f>
        <v/>
      </c>
      <c r="N1508" s="8">
        <f>HYPERLINK("https://ictv.global/id/TN19982026","TN19982026@prod")</f>
        <v/>
      </c>
      <c r="O1508" s="8">
        <f>HYPERLINK("https://ictv.global/id/ICTV19790572","ICTV19790572@prod")</f>
        <v/>
      </c>
    </row>
    <row r="1509">
      <c r="A1509" t="n">
        <v>17</v>
      </c>
      <c r="B1509" t="n">
        <v>19982027</v>
      </c>
      <c r="C1509" t="n">
        <v>19790573</v>
      </c>
      <c r="D1509" t="inlineStr">
        <is>
          <t>species</t>
        </is>
      </c>
      <c r="E1509" t="inlineStr">
        <is>
          <t>Simian enterovirus 15</t>
        </is>
      </c>
      <c r="G1509" t="inlineStr">
        <is>
          <t>Abolished,</t>
        </is>
      </c>
      <c r="L1509" s="8">
        <f>HYPERLINK("https://test.ictv.global/id/TN19982027","TN19982027@TEST")</f>
        <v/>
      </c>
      <c r="M1509" s="8">
        <f>HYPERLINK("https://test.ictv.global/id/ICTV19790573","ICTV19790573@TEST")</f>
        <v/>
      </c>
      <c r="N1509" s="8">
        <f>HYPERLINK("https://ictv.global/id/TN19982027","TN19982027@prod")</f>
        <v/>
      </c>
      <c r="O1509" s="8">
        <f>HYPERLINK("https://ictv.global/id/ICTV19790573","ICTV19790573@prod")</f>
        <v/>
      </c>
    </row>
    <row r="1510">
      <c r="A1510" t="n">
        <v>17</v>
      </c>
      <c r="B1510" t="n">
        <v>19982028</v>
      </c>
      <c r="C1510" t="n">
        <v>19790574</v>
      </c>
      <c r="D1510" t="inlineStr">
        <is>
          <t>species</t>
        </is>
      </c>
      <c r="E1510" t="inlineStr">
        <is>
          <t>Simian enterovirus 16</t>
        </is>
      </c>
      <c r="G1510" t="inlineStr">
        <is>
          <t>Abolished,</t>
        </is>
      </c>
      <c r="L1510" s="8">
        <f>HYPERLINK("https://test.ictv.global/id/TN19982028","TN19982028@TEST")</f>
        <v/>
      </c>
      <c r="M1510" s="8">
        <f>HYPERLINK("https://test.ictv.global/id/ICTV19790574","ICTV19790574@TEST")</f>
        <v/>
      </c>
      <c r="N1510" s="8">
        <f>HYPERLINK("https://ictv.global/id/TN19982028","TN19982028@prod")</f>
        <v/>
      </c>
      <c r="O1510" s="8">
        <f>HYPERLINK("https://ictv.global/id/ICTV19790574","ICTV19790574@prod")</f>
        <v/>
      </c>
    </row>
    <row r="1511">
      <c r="A1511" t="n">
        <v>17</v>
      </c>
      <c r="B1511" t="n">
        <v>19982029</v>
      </c>
      <c r="C1511" t="n">
        <v>19790575</v>
      </c>
      <c r="D1511" t="inlineStr">
        <is>
          <t>species</t>
        </is>
      </c>
      <c r="E1511" t="inlineStr">
        <is>
          <t>Simian enterovirus 17</t>
        </is>
      </c>
      <c r="G1511" t="inlineStr">
        <is>
          <t>Abolished,</t>
        </is>
      </c>
      <c r="L1511" s="8">
        <f>HYPERLINK("https://test.ictv.global/id/TN19982029","TN19982029@TEST")</f>
        <v/>
      </c>
      <c r="M1511" s="8">
        <f>HYPERLINK("https://test.ictv.global/id/ICTV19790575","ICTV19790575@TEST")</f>
        <v/>
      </c>
      <c r="N1511" s="8">
        <f>HYPERLINK("https://ictv.global/id/TN19982029","TN19982029@prod")</f>
        <v/>
      </c>
      <c r="O1511" s="8">
        <f>HYPERLINK("https://ictv.global/id/ICTV19790575","ICTV19790575@prod")</f>
        <v/>
      </c>
    </row>
    <row r="1512">
      <c r="A1512" t="n">
        <v>17</v>
      </c>
      <c r="B1512" t="n">
        <v>19982030</v>
      </c>
      <c r="C1512" t="n">
        <v>19790576</v>
      </c>
      <c r="D1512" t="inlineStr">
        <is>
          <t>species</t>
        </is>
      </c>
      <c r="E1512" t="inlineStr">
        <is>
          <t>Simian enterovirus 18</t>
        </is>
      </c>
      <c r="G1512" t="inlineStr">
        <is>
          <t>Abolished,</t>
        </is>
      </c>
      <c r="L1512" s="8">
        <f>HYPERLINK("https://test.ictv.global/id/TN19982030","TN19982030@TEST")</f>
        <v/>
      </c>
      <c r="M1512" s="8">
        <f>HYPERLINK("https://test.ictv.global/id/ICTV19790576","ICTV19790576@TEST")</f>
        <v/>
      </c>
      <c r="N1512" s="8">
        <f>HYPERLINK("https://ictv.global/id/TN19982030","TN19982030@prod")</f>
        <v/>
      </c>
      <c r="O1512" s="8">
        <f>HYPERLINK("https://ictv.global/id/ICTV19790576","ICTV19790576@prod")</f>
        <v/>
      </c>
    </row>
    <row r="1513">
      <c r="A1513" t="n">
        <v>17</v>
      </c>
      <c r="B1513" t="n">
        <v>19982031</v>
      </c>
      <c r="C1513" t="n">
        <v>19790577</v>
      </c>
      <c r="D1513" t="inlineStr">
        <is>
          <t>species</t>
        </is>
      </c>
      <c r="E1513" t="inlineStr">
        <is>
          <t>Simian enterovirus 2</t>
        </is>
      </c>
      <c r="G1513" t="inlineStr">
        <is>
          <t>Abolished,</t>
        </is>
      </c>
      <c r="L1513" s="8">
        <f>HYPERLINK("https://test.ictv.global/id/TN19982031","TN19982031@TEST")</f>
        <v/>
      </c>
      <c r="M1513" s="8">
        <f>HYPERLINK("https://test.ictv.global/id/ICTV19790577","ICTV19790577@TEST")</f>
        <v/>
      </c>
      <c r="N1513" s="8">
        <f>HYPERLINK("https://ictv.global/id/TN19982031","TN19982031@prod")</f>
        <v/>
      </c>
      <c r="O1513" s="8">
        <f>HYPERLINK("https://ictv.global/id/ICTV19790577","ICTV19790577@prod")</f>
        <v/>
      </c>
    </row>
    <row r="1514">
      <c r="A1514" t="n">
        <v>17</v>
      </c>
      <c r="B1514" t="n">
        <v>19982032</v>
      </c>
      <c r="C1514" t="n">
        <v>19790578</v>
      </c>
      <c r="D1514" t="inlineStr">
        <is>
          <t>species</t>
        </is>
      </c>
      <c r="E1514" t="inlineStr">
        <is>
          <t>Simian enterovirus 3</t>
        </is>
      </c>
      <c r="G1514" t="inlineStr">
        <is>
          <t>Abolished,</t>
        </is>
      </c>
      <c r="L1514" s="8">
        <f>HYPERLINK("https://test.ictv.global/id/TN19982032","TN19982032@TEST")</f>
        <v/>
      </c>
      <c r="M1514" s="8">
        <f>HYPERLINK("https://test.ictv.global/id/ICTV19790578","ICTV19790578@TEST")</f>
        <v/>
      </c>
      <c r="N1514" s="8">
        <f>HYPERLINK("https://ictv.global/id/TN19982032","TN19982032@prod")</f>
        <v/>
      </c>
      <c r="O1514" s="8">
        <f>HYPERLINK("https://ictv.global/id/ICTV19790578","ICTV19790578@prod")</f>
        <v/>
      </c>
    </row>
    <row r="1515">
      <c r="A1515" t="n">
        <v>17</v>
      </c>
      <c r="B1515" t="n">
        <v>19982033</v>
      </c>
      <c r="C1515" t="n">
        <v>19790579</v>
      </c>
      <c r="D1515" t="inlineStr">
        <is>
          <t>species</t>
        </is>
      </c>
      <c r="E1515" t="inlineStr">
        <is>
          <t>Simian enterovirus 4</t>
        </is>
      </c>
      <c r="G1515" t="inlineStr">
        <is>
          <t>Abolished,</t>
        </is>
      </c>
      <c r="L1515" s="8">
        <f>HYPERLINK("https://test.ictv.global/id/TN19982033","TN19982033@TEST")</f>
        <v/>
      </c>
      <c r="M1515" s="8">
        <f>HYPERLINK("https://test.ictv.global/id/ICTV19790579","ICTV19790579@TEST")</f>
        <v/>
      </c>
      <c r="N1515" s="8">
        <f>HYPERLINK("https://ictv.global/id/TN19982033","TN19982033@prod")</f>
        <v/>
      </c>
      <c r="O1515" s="8">
        <f>HYPERLINK("https://ictv.global/id/ICTV19790579","ICTV19790579@prod")</f>
        <v/>
      </c>
    </row>
    <row r="1516">
      <c r="A1516" t="n">
        <v>17</v>
      </c>
      <c r="B1516" t="n">
        <v>19982034</v>
      </c>
      <c r="C1516" t="n">
        <v>19790580</v>
      </c>
      <c r="D1516" t="inlineStr">
        <is>
          <t>species</t>
        </is>
      </c>
      <c r="E1516" t="inlineStr">
        <is>
          <t>Simian enterovirus 5</t>
        </is>
      </c>
      <c r="G1516" t="inlineStr">
        <is>
          <t>Abolished,</t>
        </is>
      </c>
      <c r="L1516" s="8">
        <f>HYPERLINK("https://test.ictv.global/id/TN19982034","TN19982034@TEST")</f>
        <v/>
      </c>
      <c r="M1516" s="8">
        <f>HYPERLINK("https://test.ictv.global/id/ICTV19790580","ICTV19790580@TEST")</f>
        <v/>
      </c>
      <c r="N1516" s="8">
        <f>HYPERLINK("https://ictv.global/id/TN19982034","TN19982034@prod")</f>
        <v/>
      </c>
      <c r="O1516" s="8">
        <f>HYPERLINK("https://ictv.global/id/ICTV19790580","ICTV19790580@prod")</f>
        <v/>
      </c>
    </row>
    <row r="1517">
      <c r="A1517" t="n">
        <v>17</v>
      </c>
      <c r="B1517" t="n">
        <v>19982035</v>
      </c>
      <c r="C1517" t="n">
        <v>19790581</v>
      </c>
      <c r="D1517" t="inlineStr">
        <is>
          <t>species</t>
        </is>
      </c>
      <c r="E1517" t="inlineStr">
        <is>
          <t>Simian enterovirus 6</t>
        </is>
      </c>
      <c r="G1517" t="inlineStr">
        <is>
          <t>Abolished,</t>
        </is>
      </c>
      <c r="L1517" s="8">
        <f>HYPERLINK("https://test.ictv.global/id/TN19982035","TN19982035@TEST")</f>
        <v/>
      </c>
      <c r="M1517" s="8">
        <f>HYPERLINK("https://test.ictv.global/id/ICTV19790581","ICTV19790581@TEST")</f>
        <v/>
      </c>
      <c r="N1517" s="8">
        <f>HYPERLINK("https://ictv.global/id/TN19982035","TN19982035@prod")</f>
        <v/>
      </c>
      <c r="O1517" s="8">
        <f>HYPERLINK("https://ictv.global/id/ICTV19790581","ICTV19790581@prod")</f>
        <v/>
      </c>
    </row>
    <row r="1518">
      <c r="A1518" t="n">
        <v>17</v>
      </c>
      <c r="B1518" t="n">
        <v>19982036</v>
      </c>
      <c r="C1518" t="n">
        <v>19790582</v>
      </c>
      <c r="D1518" t="inlineStr">
        <is>
          <t>species</t>
        </is>
      </c>
      <c r="E1518" t="inlineStr">
        <is>
          <t>Simian enterovirus 7</t>
        </is>
      </c>
      <c r="G1518" t="inlineStr">
        <is>
          <t>Abolished,</t>
        </is>
      </c>
      <c r="L1518" s="8">
        <f>HYPERLINK("https://test.ictv.global/id/TN19982036","TN19982036@TEST")</f>
        <v/>
      </c>
      <c r="M1518" s="8">
        <f>HYPERLINK("https://test.ictv.global/id/ICTV19790582","ICTV19790582@TEST")</f>
        <v/>
      </c>
      <c r="N1518" s="8">
        <f>HYPERLINK("https://ictv.global/id/TN19982036","TN19982036@prod")</f>
        <v/>
      </c>
      <c r="O1518" s="8">
        <f>HYPERLINK("https://ictv.global/id/ICTV19790582","ICTV19790582@prod")</f>
        <v/>
      </c>
    </row>
    <row r="1519">
      <c r="A1519" t="n">
        <v>17</v>
      </c>
      <c r="B1519" t="n">
        <v>19982037</v>
      </c>
      <c r="C1519" t="n">
        <v>19790583</v>
      </c>
      <c r="D1519" t="inlineStr">
        <is>
          <t>species</t>
        </is>
      </c>
      <c r="E1519" t="inlineStr">
        <is>
          <t>Simian enterovirus 8</t>
        </is>
      </c>
      <c r="G1519" t="inlineStr">
        <is>
          <t>Abolished,</t>
        </is>
      </c>
      <c r="L1519" s="8">
        <f>HYPERLINK("https://test.ictv.global/id/TN19982037","TN19982037@TEST")</f>
        <v/>
      </c>
      <c r="M1519" s="8">
        <f>HYPERLINK("https://test.ictv.global/id/ICTV19790583","ICTV19790583@TEST")</f>
        <v/>
      </c>
      <c r="N1519" s="8">
        <f>HYPERLINK("https://ictv.global/id/TN19982037","TN19982037@prod")</f>
        <v/>
      </c>
      <c r="O1519" s="8">
        <f>HYPERLINK("https://ictv.global/id/ICTV19790583","ICTV19790583@prod")</f>
        <v/>
      </c>
    </row>
    <row r="1520">
      <c r="A1520" t="n">
        <v>17</v>
      </c>
      <c r="B1520" t="n">
        <v>19982038</v>
      </c>
      <c r="C1520" t="n">
        <v>19790584</v>
      </c>
      <c r="D1520" t="inlineStr">
        <is>
          <t>species</t>
        </is>
      </c>
      <c r="E1520" t="inlineStr">
        <is>
          <t>Simian enterovirus 9</t>
        </is>
      </c>
      <c r="G1520" t="inlineStr">
        <is>
          <t>Abolished,</t>
        </is>
      </c>
      <c r="L1520" s="8">
        <f>HYPERLINK("https://test.ictv.global/id/TN19982038","TN19982038@TEST")</f>
        <v/>
      </c>
      <c r="M1520" s="8">
        <f>HYPERLINK("https://test.ictv.global/id/ICTV19790584","ICTV19790584@TEST")</f>
        <v/>
      </c>
      <c r="N1520" s="8">
        <f>HYPERLINK("https://ictv.global/id/TN19982038","TN19982038@prod")</f>
        <v/>
      </c>
      <c r="O1520" s="8">
        <f>HYPERLINK("https://ictv.global/id/ICTV19790584","ICTV19790584@prod")</f>
        <v/>
      </c>
    </row>
    <row r="1521">
      <c r="A1521" t="n">
        <v>17</v>
      </c>
      <c r="B1521" t="n">
        <v>19982039</v>
      </c>
      <c r="C1521" t="n">
        <v>19911201</v>
      </c>
      <c r="D1521" t="inlineStr">
        <is>
          <t>species</t>
        </is>
      </c>
      <c r="E1521" t="inlineStr">
        <is>
          <t>Human hepatitis A virus</t>
        </is>
      </c>
      <c r="G1521" t="inlineStr">
        <is>
          <t>Merged,</t>
        </is>
      </c>
      <c r="H1521" t="inlineStr">
        <is>
          <t>Hepatitis A virus</t>
        </is>
      </c>
      <c r="I1521" t="inlineStr">
        <is>
          <t>species</t>
        </is>
      </c>
      <c r="J1521" t="n">
        <v>19991254</v>
      </c>
      <c r="K1521" t="n">
        <v>19991254</v>
      </c>
      <c r="L1521" s="8">
        <f>HYPERLINK("https://test.ictv.global/id/TN19982039","TN19982039@TEST")</f>
        <v/>
      </c>
      <c r="M1521" s="8">
        <f>HYPERLINK("https://test.ictv.global/id/ICTV19911201","ICTV19911201@TEST")</f>
        <v/>
      </c>
      <c r="N1521" s="8">
        <f>HYPERLINK("https://ictv.global/id/TN19982039","TN19982039@prod")</f>
        <v/>
      </c>
      <c r="O1521" s="8">
        <f>HYPERLINK("https://ictv.global/id/ICTV19911201","ICTV19911201@prod")</f>
        <v/>
      </c>
    </row>
    <row r="1522">
      <c r="A1522" t="n">
        <v>17</v>
      </c>
      <c r="B1522" t="n">
        <v>19982040</v>
      </c>
      <c r="C1522" t="n">
        <v>19911202</v>
      </c>
      <c r="D1522" t="inlineStr">
        <is>
          <t>species</t>
        </is>
      </c>
      <c r="E1522" t="inlineStr">
        <is>
          <t>Simian hepatitis A virus</t>
        </is>
      </c>
      <c r="G1522" t="inlineStr">
        <is>
          <t>Merged,Assigned as Type Species,</t>
        </is>
      </c>
      <c r="H1522" t="inlineStr">
        <is>
          <t>Hepatitis A virus</t>
        </is>
      </c>
      <c r="I1522" t="inlineStr">
        <is>
          <t>species</t>
        </is>
      </c>
      <c r="J1522" t="n">
        <v>19991254</v>
      </c>
      <c r="K1522" t="n">
        <v>19991254</v>
      </c>
      <c r="L1522" s="8">
        <f>HYPERLINK("https://test.ictv.global/id/TN19982040","TN19982040@TEST")</f>
        <v/>
      </c>
      <c r="M1522" s="8">
        <f>HYPERLINK("https://test.ictv.global/id/ICTV19911202","ICTV19911202@TEST")</f>
        <v/>
      </c>
      <c r="N1522" s="8">
        <f>HYPERLINK("https://ictv.global/id/TN19982040","TN19982040@prod")</f>
        <v/>
      </c>
      <c r="O1522" s="8">
        <f>HYPERLINK("https://ictv.global/id/ICTV19911202","ICTV19911202@prod")</f>
        <v/>
      </c>
    </row>
    <row r="1523">
      <c r="A1523" t="n">
        <v>17</v>
      </c>
      <c r="B1523" t="n">
        <v>19982041</v>
      </c>
      <c r="C1523" t="n">
        <v>19790533</v>
      </c>
      <c r="D1523" t="inlineStr">
        <is>
          <t>species</t>
        </is>
      </c>
      <c r="E1523" t="inlineStr">
        <is>
          <t>Human echovirus 23</t>
        </is>
      </c>
      <c r="G1523" t="inlineStr">
        <is>
          <t>Merged,Assigned as Type Species,</t>
        </is>
      </c>
      <c r="H1523" t="inlineStr">
        <is>
          <t>Human parechovirus</t>
        </is>
      </c>
      <c r="I1523" t="inlineStr">
        <is>
          <t>species</t>
        </is>
      </c>
      <c r="J1523" t="n">
        <v>19991255</v>
      </c>
      <c r="K1523" t="n">
        <v>19991255</v>
      </c>
      <c r="L1523" s="8">
        <f>HYPERLINK("https://test.ictv.global/id/TN19982041","TN19982041@TEST")</f>
        <v/>
      </c>
      <c r="M1523" s="8">
        <f>HYPERLINK("https://test.ictv.global/id/ICTV19790533","ICTV19790533@TEST")</f>
        <v/>
      </c>
      <c r="N1523" s="8">
        <f>HYPERLINK("https://ictv.global/id/TN19982041","TN19982041@prod")</f>
        <v/>
      </c>
      <c r="O1523" s="8">
        <f>HYPERLINK("https://ictv.global/id/ICTV19790533","ICTV19790533@prod")</f>
        <v/>
      </c>
    </row>
    <row r="1524">
      <c r="A1524" t="n">
        <v>17</v>
      </c>
      <c r="B1524" t="n">
        <v>19982042</v>
      </c>
      <c r="C1524" t="n">
        <v>19991255</v>
      </c>
      <c r="D1524" t="inlineStr">
        <is>
          <t>species</t>
        </is>
      </c>
      <c r="E1524" t="inlineStr">
        <is>
          <t>Human parechovirus</t>
        </is>
      </c>
      <c r="G1524" t="inlineStr">
        <is>
          <t>Merged,</t>
        </is>
      </c>
      <c r="H1524" t="inlineStr">
        <is>
          <t>Human parechovirus</t>
        </is>
      </c>
      <c r="I1524" t="inlineStr">
        <is>
          <t>species</t>
        </is>
      </c>
      <c r="J1524" t="n">
        <v>19991255</v>
      </c>
      <c r="K1524" t="n">
        <v>19991255</v>
      </c>
      <c r="L1524" s="8">
        <f>HYPERLINK("https://test.ictv.global/id/TN19982042","TN19982042@TEST")</f>
        <v/>
      </c>
      <c r="M1524" s="8">
        <f>HYPERLINK("https://test.ictv.global/id/ICTV19991255","ICTV19991255@TEST")</f>
        <v/>
      </c>
      <c r="N1524" s="8">
        <f>HYPERLINK("https://ictv.global/id/TN19982042","TN19982042@prod")</f>
        <v/>
      </c>
      <c r="O1524" s="8">
        <f>HYPERLINK("https://ictv.global/id/ICTV19991255","ICTV19991255@prod")</f>
        <v/>
      </c>
    </row>
    <row r="1525">
      <c r="A1525" t="n">
        <v>17</v>
      </c>
      <c r="B1525" t="n">
        <v>19982043</v>
      </c>
      <c r="C1525" t="n">
        <v>19790585</v>
      </c>
      <c r="D1525" t="inlineStr">
        <is>
          <t>species</t>
        </is>
      </c>
      <c r="E1525" t="inlineStr">
        <is>
          <t>Bovine rhinovirus 1</t>
        </is>
      </c>
      <c r="G1525" t="inlineStr">
        <is>
          <t>Abolished,</t>
        </is>
      </c>
      <c r="L1525" s="8">
        <f>HYPERLINK("https://test.ictv.global/id/TN19982043","TN19982043@TEST")</f>
        <v/>
      </c>
      <c r="M1525" s="8">
        <f>HYPERLINK("https://test.ictv.global/id/ICTV19790585","ICTV19790585@TEST")</f>
        <v/>
      </c>
      <c r="N1525" s="8">
        <f>HYPERLINK("https://ictv.global/id/TN19982043","TN19982043@prod")</f>
        <v/>
      </c>
      <c r="O1525" s="8">
        <f>HYPERLINK("https://ictv.global/id/ICTV19790585","ICTV19790585@prod")</f>
        <v/>
      </c>
    </row>
    <row r="1526">
      <c r="A1526" t="n">
        <v>17</v>
      </c>
      <c r="B1526" t="n">
        <v>19982044</v>
      </c>
      <c r="C1526" t="n">
        <v>19790586</v>
      </c>
      <c r="D1526" t="inlineStr">
        <is>
          <t>species</t>
        </is>
      </c>
      <c r="E1526" t="inlineStr">
        <is>
          <t>Bovine rhinovirus 2</t>
        </is>
      </c>
      <c r="G1526" t="inlineStr">
        <is>
          <t>Abolished,</t>
        </is>
      </c>
      <c r="L1526" s="8">
        <f>HYPERLINK("https://test.ictv.global/id/TN19982044","TN19982044@TEST")</f>
        <v/>
      </c>
      <c r="M1526" s="8">
        <f>HYPERLINK("https://test.ictv.global/id/ICTV19790586","ICTV19790586@TEST")</f>
        <v/>
      </c>
      <c r="N1526" s="8">
        <f>HYPERLINK("https://ictv.global/id/TN19982044","TN19982044@prod")</f>
        <v/>
      </c>
      <c r="O1526" s="8">
        <f>HYPERLINK("https://ictv.global/id/ICTV19790586","ICTV19790586@prod")</f>
        <v/>
      </c>
    </row>
    <row r="1527">
      <c r="A1527" t="n">
        <v>17</v>
      </c>
      <c r="B1527" t="n">
        <v>19982045</v>
      </c>
      <c r="C1527" t="n">
        <v>19760332</v>
      </c>
      <c r="D1527" t="inlineStr">
        <is>
          <t>species</t>
        </is>
      </c>
      <c r="E1527" t="inlineStr">
        <is>
          <t>Human rhinovirus 10</t>
        </is>
      </c>
      <c r="G1527" t="inlineStr">
        <is>
          <t>Abolished,</t>
        </is>
      </c>
      <c r="L1527" s="8">
        <f>HYPERLINK("https://test.ictv.global/id/TN19982045","TN19982045@TEST")</f>
        <v/>
      </c>
      <c r="M1527" s="8">
        <f>HYPERLINK("https://test.ictv.global/id/ICTV19760332","ICTV19760332@TEST")</f>
        <v/>
      </c>
      <c r="N1527" s="8">
        <f>HYPERLINK("https://ictv.global/id/TN19982045","TN19982045@prod")</f>
        <v/>
      </c>
      <c r="O1527" s="8">
        <f>HYPERLINK("https://ictv.global/id/ICTV19760332","ICTV19760332@prod")</f>
        <v/>
      </c>
    </row>
    <row r="1528">
      <c r="A1528" t="n">
        <v>17</v>
      </c>
      <c r="B1528" t="n">
        <v>19982046</v>
      </c>
      <c r="C1528" t="n">
        <v>19760333</v>
      </c>
      <c r="D1528" t="inlineStr">
        <is>
          <t>species</t>
        </is>
      </c>
      <c r="E1528" t="inlineStr">
        <is>
          <t>Human rhinovirus 100</t>
        </is>
      </c>
      <c r="G1528" t="inlineStr">
        <is>
          <t>Abolished,</t>
        </is>
      </c>
      <c r="L1528" s="8">
        <f>HYPERLINK("https://test.ictv.global/id/TN19982046","TN19982046@TEST")</f>
        <v/>
      </c>
      <c r="M1528" s="8">
        <f>HYPERLINK("https://test.ictv.global/id/ICTV19760333","ICTV19760333@TEST")</f>
        <v/>
      </c>
      <c r="N1528" s="8">
        <f>HYPERLINK("https://ictv.global/id/TN19982046","TN19982046@prod")</f>
        <v/>
      </c>
      <c r="O1528" s="8">
        <f>HYPERLINK("https://ictv.global/id/ICTV19760333","ICTV19760333@prod")</f>
        <v/>
      </c>
    </row>
    <row r="1529">
      <c r="A1529" t="n">
        <v>17</v>
      </c>
      <c r="B1529" t="n">
        <v>19982047</v>
      </c>
      <c r="C1529" t="n">
        <v>19760343</v>
      </c>
      <c r="D1529" t="inlineStr">
        <is>
          <t>species</t>
        </is>
      </c>
      <c r="E1529" t="inlineStr">
        <is>
          <t>Human rhinovirus 11</t>
        </is>
      </c>
      <c r="G1529" t="inlineStr">
        <is>
          <t>Merged,Assigned as Type Species,</t>
        </is>
      </c>
      <c r="H1529" t="inlineStr">
        <is>
          <t>Human rhinovirus A</t>
        </is>
      </c>
      <c r="I1529" t="inlineStr">
        <is>
          <t>species</t>
        </is>
      </c>
      <c r="J1529" t="n">
        <v>19991256</v>
      </c>
      <c r="K1529" t="n">
        <v>19991256</v>
      </c>
      <c r="L1529" s="8">
        <f>HYPERLINK("https://test.ictv.global/id/TN19982047","TN19982047@TEST")</f>
        <v/>
      </c>
      <c r="M1529" s="8">
        <f>HYPERLINK("https://test.ictv.global/id/ICTV19760343","ICTV19760343@TEST")</f>
        <v/>
      </c>
      <c r="N1529" s="8">
        <f>HYPERLINK("https://ictv.global/id/TN19982047","TN19982047@prod")</f>
        <v/>
      </c>
      <c r="O1529" s="8">
        <f>HYPERLINK("https://ictv.global/id/ICTV19760343","ICTV19760343@prod")</f>
        <v/>
      </c>
    </row>
    <row r="1530">
      <c r="A1530" t="n">
        <v>17</v>
      </c>
      <c r="B1530" t="n">
        <v>19982048</v>
      </c>
      <c r="C1530" t="n">
        <v>19760348</v>
      </c>
      <c r="D1530" t="inlineStr">
        <is>
          <t>species</t>
        </is>
      </c>
      <c r="E1530" t="inlineStr">
        <is>
          <t>Human rhinovirus 12</t>
        </is>
      </c>
      <c r="G1530" t="inlineStr">
        <is>
          <t>Abolished,</t>
        </is>
      </c>
      <c r="L1530" s="8">
        <f>HYPERLINK("https://test.ictv.global/id/TN19982048","TN19982048@TEST")</f>
        <v/>
      </c>
      <c r="M1530" s="8">
        <f>HYPERLINK("https://test.ictv.global/id/ICTV19760348","ICTV19760348@TEST")</f>
        <v/>
      </c>
      <c r="N1530" s="8">
        <f>HYPERLINK("https://ictv.global/id/TN19982048","TN19982048@prod")</f>
        <v/>
      </c>
      <c r="O1530" s="8">
        <f>HYPERLINK("https://ictv.global/id/ICTV19760348","ICTV19760348@prod")</f>
        <v/>
      </c>
    </row>
    <row r="1531">
      <c r="A1531" t="n">
        <v>17</v>
      </c>
      <c r="B1531" t="n">
        <v>19982049</v>
      </c>
      <c r="C1531" t="n">
        <v>19760349</v>
      </c>
      <c r="D1531" t="inlineStr">
        <is>
          <t>species</t>
        </is>
      </c>
      <c r="E1531" t="inlineStr">
        <is>
          <t>Human rhinovirus 13</t>
        </is>
      </c>
      <c r="G1531" t="inlineStr">
        <is>
          <t>Abolished,</t>
        </is>
      </c>
      <c r="L1531" s="8">
        <f>HYPERLINK("https://test.ictv.global/id/TN19982049","TN19982049@TEST")</f>
        <v/>
      </c>
      <c r="M1531" s="8">
        <f>HYPERLINK("https://test.ictv.global/id/ICTV19760349","ICTV19760349@TEST")</f>
        <v/>
      </c>
      <c r="N1531" s="8">
        <f>HYPERLINK("https://ictv.global/id/TN19982049","TN19982049@prod")</f>
        <v/>
      </c>
      <c r="O1531" s="8">
        <f>HYPERLINK("https://ictv.global/id/ICTV19760349","ICTV19760349@prod")</f>
        <v/>
      </c>
    </row>
    <row r="1532">
      <c r="A1532" t="n">
        <v>17</v>
      </c>
      <c r="B1532" t="n">
        <v>19982050</v>
      </c>
      <c r="C1532" t="n">
        <v>19760350</v>
      </c>
      <c r="D1532" t="inlineStr">
        <is>
          <t>species</t>
        </is>
      </c>
      <c r="E1532" t="inlineStr">
        <is>
          <t>Human rhinovirus 14</t>
        </is>
      </c>
      <c r="G1532" t="inlineStr">
        <is>
          <t>Merged,</t>
        </is>
      </c>
      <c r="H1532" t="inlineStr">
        <is>
          <t>Human rhinovirus B</t>
        </is>
      </c>
      <c r="I1532" t="inlineStr">
        <is>
          <t>species</t>
        </is>
      </c>
      <c r="J1532" t="n">
        <v>19991257</v>
      </c>
      <c r="K1532" t="n">
        <v>19991257</v>
      </c>
      <c r="L1532" s="8">
        <f>HYPERLINK("https://test.ictv.global/id/TN19982050","TN19982050@TEST")</f>
        <v/>
      </c>
      <c r="M1532" s="8">
        <f>HYPERLINK("https://test.ictv.global/id/ICTV19760350","ICTV19760350@TEST")</f>
        <v/>
      </c>
      <c r="N1532" s="8">
        <f>HYPERLINK("https://ictv.global/id/TN19982050","TN19982050@prod")</f>
        <v/>
      </c>
      <c r="O1532" s="8">
        <f>HYPERLINK("https://ictv.global/id/ICTV19760350","ICTV19760350@prod")</f>
        <v/>
      </c>
    </row>
    <row r="1533">
      <c r="A1533" t="n">
        <v>17</v>
      </c>
      <c r="B1533" t="n">
        <v>19982051</v>
      </c>
      <c r="C1533" t="n">
        <v>19760351</v>
      </c>
      <c r="D1533" t="inlineStr">
        <is>
          <t>species</t>
        </is>
      </c>
      <c r="E1533" t="inlineStr">
        <is>
          <t>Human rhinovirus 15</t>
        </is>
      </c>
      <c r="G1533" t="inlineStr">
        <is>
          <t>Merged,Assigned as Type Species,</t>
        </is>
      </c>
      <c r="H1533" t="inlineStr">
        <is>
          <t>Human rhinovirus A</t>
        </is>
      </c>
      <c r="I1533" t="inlineStr">
        <is>
          <t>species</t>
        </is>
      </c>
      <c r="J1533" t="n">
        <v>19991256</v>
      </c>
      <c r="K1533" t="n">
        <v>19991256</v>
      </c>
      <c r="L1533" s="8">
        <f>HYPERLINK("https://test.ictv.global/id/TN19982051","TN19982051@TEST")</f>
        <v/>
      </c>
      <c r="M1533" s="8">
        <f>HYPERLINK("https://test.ictv.global/id/ICTV19760351","ICTV19760351@TEST")</f>
        <v/>
      </c>
      <c r="N1533" s="8">
        <f>HYPERLINK("https://ictv.global/id/TN19982051","TN19982051@prod")</f>
        <v/>
      </c>
      <c r="O1533" s="8">
        <f>HYPERLINK("https://ictv.global/id/ICTV19760351","ICTV19760351@prod")</f>
        <v/>
      </c>
    </row>
    <row r="1534">
      <c r="A1534" t="n">
        <v>17</v>
      </c>
      <c r="B1534" t="n">
        <v>19982052</v>
      </c>
      <c r="C1534" t="n">
        <v>19760352</v>
      </c>
      <c r="D1534" t="inlineStr">
        <is>
          <t>species</t>
        </is>
      </c>
      <c r="E1534" t="inlineStr">
        <is>
          <t>Human rhinovirus 16</t>
        </is>
      </c>
      <c r="G1534" t="inlineStr">
        <is>
          <t>Merged,Assigned as Type Species,</t>
        </is>
      </c>
      <c r="H1534" t="inlineStr">
        <is>
          <t>Human rhinovirus A</t>
        </is>
      </c>
      <c r="I1534" t="inlineStr">
        <is>
          <t>species</t>
        </is>
      </c>
      <c r="J1534" t="n">
        <v>19991256</v>
      </c>
      <c r="K1534" t="n">
        <v>19991256</v>
      </c>
      <c r="L1534" s="8">
        <f>HYPERLINK("https://test.ictv.global/id/TN19982052","TN19982052@TEST")</f>
        <v/>
      </c>
      <c r="M1534" s="8">
        <f>HYPERLINK("https://test.ictv.global/id/ICTV19760352","ICTV19760352@TEST")</f>
        <v/>
      </c>
      <c r="N1534" s="8">
        <f>HYPERLINK("https://ictv.global/id/TN19982052","TN19982052@prod")</f>
        <v/>
      </c>
      <c r="O1534" s="8">
        <f>HYPERLINK("https://ictv.global/id/ICTV19760352","ICTV19760352@prod")</f>
        <v/>
      </c>
    </row>
    <row r="1535">
      <c r="A1535" t="n">
        <v>17</v>
      </c>
      <c r="B1535" t="n">
        <v>19982053</v>
      </c>
      <c r="C1535" t="n">
        <v>19760353</v>
      </c>
      <c r="D1535" t="inlineStr">
        <is>
          <t>species</t>
        </is>
      </c>
      <c r="E1535" t="inlineStr">
        <is>
          <t>Human rhinovirus 17</t>
        </is>
      </c>
      <c r="G1535" t="inlineStr">
        <is>
          <t>Abolished,</t>
        </is>
      </c>
      <c r="L1535" s="8">
        <f>HYPERLINK("https://test.ictv.global/id/TN19982053","TN19982053@TEST")</f>
        <v/>
      </c>
      <c r="M1535" s="8">
        <f>HYPERLINK("https://test.ictv.global/id/ICTV19760353","ICTV19760353@TEST")</f>
        <v/>
      </c>
      <c r="N1535" s="8">
        <f>HYPERLINK("https://ictv.global/id/TN19982053","TN19982053@prod")</f>
        <v/>
      </c>
      <c r="O1535" s="8">
        <f>HYPERLINK("https://ictv.global/id/ICTV19760353","ICTV19760353@prod")</f>
        <v/>
      </c>
    </row>
    <row r="1536">
      <c r="A1536" t="n">
        <v>17</v>
      </c>
      <c r="B1536" t="n">
        <v>19982054</v>
      </c>
      <c r="C1536" t="n">
        <v>19760354</v>
      </c>
      <c r="D1536" t="inlineStr">
        <is>
          <t>species</t>
        </is>
      </c>
      <c r="E1536" t="inlineStr">
        <is>
          <t>Human rhinovirus 18</t>
        </is>
      </c>
      <c r="G1536" t="inlineStr">
        <is>
          <t>Abolished,</t>
        </is>
      </c>
      <c r="L1536" s="8">
        <f>HYPERLINK("https://test.ictv.global/id/TN19982054","TN19982054@TEST")</f>
        <v/>
      </c>
      <c r="M1536" s="8">
        <f>HYPERLINK("https://test.ictv.global/id/ICTV19760354","ICTV19760354@TEST")</f>
        <v/>
      </c>
      <c r="N1536" s="8">
        <f>HYPERLINK("https://ictv.global/id/TN19982054","TN19982054@prod")</f>
        <v/>
      </c>
      <c r="O1536" s="8">
        <f>HYPERLINK("https://ictv.global/id/ICTV19760354","ICTV19760354@prod")</f>
        <v/>
      </c>
    </row>
    <row r="1537">
      <c r="A1537" t="n">
        <v>17</v>
      </c>
      <c r="B1537" t="n">
        <v>19982055</v>
      </c>
      <c r="C1537" t="n">
        <v>19760355</v>
      </c>
      <c r="D1537" t="inlineStr">
        <is>
          <t>species</t>
        </is>
      </c>
      <c r="E1537" t="inlineStr">
        <is>
          <t>Human rhinovirus 19</t>
        </is>
      </c>
      <c r="G1537" t="inlineStr">
        <is>
          <t>Abolished,</t>
        </is>
      </c>
      <c r="L1537" s="8">
        <f>HYPERLINK("https://test.ictv.global/id/TN19982055","TN19982055@TEST")</f>
        <v/>
      </c>
      <c r="M1537" s="8">
        <f>HYPERLINK("https://test.ictv.global/id/ICTV19760355","ICTV19760355@TEST")</f>
        <v/>
      </c>
      <c r="N1537" s="8">
        <f>HYPERLINK("https://ictv.global/id/TN19982055","TN19982055@prod")</f>
        <v/>
      </c>
      <c r="O1537" s="8">
        <f>HYPERLINK("https://ictv.global/id/ICTV19760355","ICTV19760355@prod")</f>
        <v/>
      </c>
    </row>
    <row r="1538">
      <c r="A1538" t="n">
        <v>17</v>
      </c>
      <c r="B1538" t="n">
        <v>19982056</v>
      </c>
      <c r="C1538" t="n">
        <v>19710070</v>
      </c>
      <c r="D1538" t="inlineStr">
        <is>
          <t>species</t>
        </is>
      </c>
      <c r="E1538" t="inlineStr">
        <is>
          <t>Human rhinovirus 1A</t>
        </is>
      </c>
      <c r="G1538" t="inlineStr">
        <is>
          <t>Merged,</t>
        </is>
      </c>
      <c r="H1538" t="inlineStr">
        <is>
          <t>Human rhinovirus A</t>
        </is>
      </c>
      <c r="I1538" t="inlineStr">
        <is>
          <t>species</t>
        </is>
      </c>
      <c r="J1538" t="n">
        <v>19991256</v>
      </c>
      <c r="K1538" t="n">
        <v>19991256</v>
      </c>
      <c r="L1538" s="8">
        <f>HYPERLINK("https://test.ictv.global/id/TN19982056","TN19982056@TEST")</f>
        <v/>
      </c>
      <c r="M1538" s="8">
        <f>HYPERLINK("https://test.ictv.global/id/ICTV19710070","ICTV19710070@TEST")</f>
        <v/>
      </c>
      <c r="N1538" s="8">
        <f>HYPERLINK("https://ictv.global/id/TN19982056","TN19982056@prod")</f>
        <v/>
      </c>
      <c r="O1538" s="8">
        <f>HYPERLINK("https://ictv.global/id/ICTV19710070","ICTV19710070@prod")</f>
        <v/>
      </c>
    </row>
    <row r="1539">
      <c r="A1539" t="n">
        <v>17</v>
      </c>
      <c r="B1539" t="n">
        <v>19982057</v>
      </c>
      <c r="C1539" t="n">
        <v>19760357</v>
      </c>
      <c r="D1539" t="inlineStr">
        <is>
          <t>species</t>
        </is>
      </c>
      <c r="E1539" t="inlineStr">
        <is>
          <t>Human rhinovirus 1B</t>
        </is>
      </c>
      <c r="G1539" t="inlineStr">
        <is>
          <t>Merged,Assigned as Type Species,</t>
        </is>
      </c>
      <c r="H1539" t="inlineStr">
        <is>
          <t>Human rhinovirus A</t>
        </is>
      </c>
      <c r="I1539" t="inlineStr">
        <is>
          <t>species</t>
        </is>
      </c>
      <c r="J1539" t="n">
        <v>19991256</v>
      </c>
      <c r="K1539" t="n">
        <v>19991256</v>
      </c>
      <c r="L1539" s="8">
        <f>HYPERLINK("https://test.ictv.global/id/TN19982057","TN19982057@TEST")</f>
        <v/>
      </c>
      <c r="M1539" s="8">
        <f>HYPERLINK("https://test.ictv.global/id/ICTV19760357","ICTV19760357@TEST")</f>
        <v/>
      </c>
      <c r="N1539" s="8">
        <f>HYPERLINK("https://ictv.global/id/TN19982057","TN19982057@prod")</f>
        <v/>
      </c>
      <c r="O1539" s="8">
        <f>HYPERLINK("https://ictv.global/id/ICTV19760357","ICTV19760357@prod")</f>
        <v/>
      </c>
    </row>
    <row r="1540">
      <c r="A1540" t="n">
        <v>17</v>
      </c>
      <c r="B1540" t="n">
        <v>19982058</v>
      </c>
      <c r="C1540" t="n">
        <v>19760358</v>
      </c>
      <c r="D1540" t="inlineStr">
        <is>
          <t>species</t>
        </is>
      </c>
      <c r="E1540" t="inlineStr">
        <is>
          <t>Human rhinovirus 2</t>
        </is>
      </c>
      <c r="G1540" t="inlineStr">
        <is>
          <t>Merged,Assigned as Type Species,</t>
        </is>
      </c>
      <c r="H1540" t="inlineStr">
        <is>
          <t>Human rhinovirus A</t>
        </is>
      </c>
      <c r="I1540" t="inlineStr">
        <is>
          <t>species</t>
        </is>
      </c>
      <c r="J1540" t="n">
        <v>19991256</v>
      </c>
      <c r="K1540" t="n">
        <v>19991256</v>
      </c>
      <c r="L1540" s="8">
        <f>HYPERLINK("https://test.ictv.global/id/TN19982058","TN19982058@TEST")</f>
        <v/>
      </c>
      <c r="M1540" s="8">
        <f>HYPERLINK("https://test.ictv.global/id/ICTV19760358","ICTV19760358@TEST")</f>
        <v/>
      </c>
      <c r="N1540" s="8">
        <f>HYPERLINK("https://ictv.global/id/TN19982058","TN19982058@prod")</f>
        <v/>
      </c>
      <c r="O1540" s="8">
        <f>HYPERLINK("https://ictv.global/id/ICTV19760358","ICTV19760358@prod")</f>
        <v/>
      </c>
    </row>
    <row r="1541">
      <c r="A1541" t="n">
        <v>17</v>
      </c>
      <c r="B1541" t="n">
        <v>19982059</v>
      </c>
      <c r="C1541" t="n">
        <v>19760359</v>
      </c>
      <c r="D1541" t="inlineStr">
        <is>
          <t>species</t>
        </is>
      </c>
      <c r="E1541" t="inlineStr">
        <is>
          <t>Human rhinovirus 20</t>
        </is>
      </c>
      <c r="G1541" t="inlineStr">
        <is>
          <t>Abolished,</t>
        </is>
      </c>
      <c r="L1541" s="8">
        <f>HYPERLINK("https://test.ictv.global/id/TN19982059","TN19982059@TEST")</f>
        <v/>
      </c>
      <c r="M1541" s="8">
        <f>HYPERLINK("https://test.ictv.global/id/ICTV19760359","ICTV19760359@TEST")</f>
        <v/>
      </c>
      <c r="N1541" s="8">
        <f>HYPERLINK("https://ictv.global/id/TN19982059","TN19982059@prod")</f>
        <v/>
      </c>
      <c r="O1541" s="8">
        <f>HYPERLINK("https://ictv.global/id/ICTV19760359","ICTV19760359@prod")</f>
        <v/>
      </c>
    </row>
    <row r="1542">
      <c r="A1542" t="n">
        <v>17</v>
      </c>
      <c r="B1542" t="n">
        <v>19982060</v>
      </c>
      <c r="C1542" t="n">
        <v>19760360</v>
      </c>
      <c r="D1542" t="inlineStr">
        <is>
          <t>species</t>
        </is>
      </c>
      <c r="E1542" t="inlineStr">
        <is>
          <t>Human rhinovirus 21</t>
        </is>
      </c>
      <c r="G1542" t="inlineStr">
        <is>
          <t>Merged,Assigned as Type Species,</t>
        </is>
      </c>
      <c r="H1542" t="inlineStr">
        <is>
          <t>Human rhinovirus A</t>
        </is>
      </c>
      <c r="I1542" t="inlineStr">
        <is>
          <t>species</t>
        </is>
      </c>
      <c r="J1542" t="n">
        <v>19991256</v>
      </c>
      <c r="K1542" t="n">
        <v>19991256</v>
      </c>
      <c r="L1542" s="8">
        <f>HYPERLINK("https://test.ictv.global/id/TN19982060","TN19982060@TEST")</f>
        <v/>
      </c>
      <c r="M1542" s="8">
        <f>HYPERLINK("https://test.ictv.global/id/ICTV19760360","ICTV19760360@TEST")</f>
        <v/>
      </c>
      <c r="N1542" s="8">
        <f>HYPERLINK("https://ictv.global/id/TN19982060","TN19982060@prod")</f>
        <v/>
      </c>
      <c r="O1542" s="8">
        <f>HYPERLINK("https://ictv.global/id/ICTV19760360","ICTV19760360@prod")</f>
        <v/>
      </c>
    </row>
    <row r="1543">
      <c r="A1543" t="n">
        <v>17</v>
      </c>
      <c r="B1543" t="n">
        <v>19982061</v>
      </c>
      <c r="C1543" t="n">
        <v>19760361</v>
      </c>
      <c r="D1543" t="inlineStr">
        <is>
          <t>species</t>
        </is>
      </c>
      <c r="E1543" t="inlineStr">
        <is>
          <t>Human rhinovirus 22</t>
        </is>
      </c>
      <c r="G1543" t="inlineStr">
        <is>
          <t>Abolished,</t>
        </is>
      </c>
      <c r="L1543" s="8">
        <f>HYPERLINK("https://test.ictv.global/id/TN19982061","TN19982061@TEST")</f>
        <v/>
      </c>
      <c r="M1543" s="8">
        <f>HYPERLINK("https://test.ictv.global/id/ICTV19760361","ICTV19760361@TEST")</f>
        <v/>
      </c>
      <c r="N1543" s="8">
        <f>HYPERLINK("https://ictv.global/id/TN19982061","TN19982061@prod")</f>
        <v/>
      </c>
      <c r="O1543" s="8">
        <f>HYPERLINK("https://ictv.global/id/ICTV19760361","ICTV19760361@prod")</f>
        <v/>
      </c>
    </row>
    <row r="1544">
      <c r="A1544" t="n">
        <v>17</v>
      </c>
      <c r="B1544" t="n">
        <v>19982062</v>
      </c>
      <c r="C1544" t="n">
        <v>19760362</v>
      </c>
      <c r="D1544" t="inlineStr">
        <is>
          <t>species</t>
        </is>
      </c>
      <c r="E1544" t="inlineStr">
        <is>
          <t>Human rhinovirus 23</t>
        </is>
      </c>
      <c r="G1544" t="inlineStr">
        <is>
          <t>Abolished,</t>
        </is>
      </c>
      <c r="L1544" s="8">
        <f>HYPERLINK("https://test.ictv.global/id/TN19982062","TN19982062@TEST")</f>
        <v/>
      </c>
      <c r="M1544" s="8">
        <f>HYPERLINK("https://test.ictv.global/id/ICTV19760362","ICTV19760362@TEST")</f>
        <v/>
      </c>
      <c r="N1544" s="8">
        <f>HYPERLINK("https://ictv.global/id/TN19982062","TN19982062@prod")</f>
        <v/>
      </c>
      <c r="O1544" s="8">
        <f>HYPERLINK("https://ictv.global/id/ICTV19760362","ICTV19760362@prod")</f>
        <v/>
      </c>
    </row>
    <row r="1545">
      <c r="A1545" t="n">
        <v>17</v>
      </c>
      <c r="B1545" t="n">
        <v>19982063</v>
      </c>
      <c r="C1545" t="n">
        <v>19760363</v>
      </c>
      <c r="D1545" t="inlineStr">
        <is>
          <t>species</t>
        </is>
      </c>
      <c r="E1545" t="inlineStr">
        <is>
          <t>Human rhinovirus 24</t>
        </is>
      </c>
      <c r="G1545" t="inlineStr">
        <is>
          <t>Abolished,</t>
        </is>
      </c>
      <c r="L1545" s="8">
        <f>HYPERLINK("https://test.ictv.global/id/TN19982063","TN19982063@TEST")</f>
        <v/>
      </c>
      <c r="M1545" s="8">
        <f>HYPERLINK("https://test.ictv.global/id/ICTV19760363","ICTV19760363@TEST")</f>
        <v/>
      </c>
      <c r="N1545" s="8">
        <f>HYPERLINK("https://ictv.global/id/TN19982063","TN19982063@prod")</f>
        <v/>
      </c>
      <c r="O1545" s="8">
        <f>HYPERLINK("https://ictv.global/id/ICTV19760363","ICTV19760363@prod")</f>
        <v/>
      </c>
    </row>
    <row r="1546">
      <c r="A1546" t="n">
        <v>17</v>
      </c>
      <c r="B1546" t="n">
        <v>19982064</v>
      </c>
      <c r="C1546" t="n">
        <v>19760364</v>
      </c>
      <c r="D1546" t="inlineStr">
        <is>
          <t>species</t>
        </is>
      </c>
      <c r="E1546" t="inlineStr">
        <is>
          <t>Human rhinovirus 25</t>
        </is>
      </c>
      <c r="G1546" t="inlineStr">
        <is>
          <t>Abolished,</t>
        </is>
      </c>
      <c r="L1546" s="8">
        <f>HYPERLINK("https://test.ictv.global/id/TN19982064","TN19982064@TEST")</f>
        <v/>
      </c>
      <c r="M1546" s="8">
        <f>HYPERLINK("https://test.ictv.global/id/ICTV19760364","ICTV19760364@TEST")</f>
        <v/>
      </c>
      <c r="N1546" s="8">
        <f>HYPERLINK("https://ictv.global/id/TN19982064","TN19982064@prod")</f>
        <v/>
      </c>
      <c r="O1546" s="8">
        <f>HYPERLINK("https://ictv.global/id/ICTV19760364","ICTV19760364@prod")</f>
        <v/>
      </c>
    </row>
    <row r="1547">
      <c r="A1547" t="n">
        <v>17</v>
      </c>
      <c r="B1547" t="n">
        <v>19982065</v>
      </c>
      <c r="C1547" t="n">
        <v>19760365</v>
      </c>
      <c r="D1547" t="inlineStr">
        <is>
          <t>species</t>
        </is>
      </c>
      <c r="E1547" t="inlineStr">
        <is>
          <t>Human rhinovirus 26</t>
        </is>
      </c>
      <c r="G1547" t="inlineStr">
        <is>
          <t>Abolished,</t>
        </is>
      </c>
      <c r="L1547" s="8">
        <f>HYPERLINK("https://test.ictv.global/id/TN19982065","TN19982065@TEST")</f>
        <v/>
      </c>
      <c r="M1547" s="8">
        <f>HYPERLINK("https://test.ictv.global/id/ICTV19760365","ICTV19760365@TEST")</f>
        <v/>
      </c>
      <c r="N1547" s="8">
        <f>HYPERLINK("https://ictv.global/id/TN19982065","TN19982065@prod")</f>
        <v/>
      </c>
      <c r="O1547" s="8">
        <f>HYPERLINK("https://ictv.global/id/ICTV19760365","ICTV19760365@prod")</f>
        <v/>
      </c>
    </row>
    <row r="1548">
      <c r="A1548" t="n">
        <v>17</v>
      </c>
      <c r="B1548" t="n">
        <v>19982066</v>
      </c>
      <c r="C1548" t="n">
        <v>19760366</v>
      </c>
      <c r="D1548" t="inlineStr">
        <is>
          <t>species</t>
        </is>
      </c>
      <c r="E1548" t="inlineStr">
        <is>
          <t>Human rhinovirus 27</t>
        </is>
      </c>
      <c r="G1548" t="inlineStr">
        <is>
          <t>Abolished,</t>
        </is>
      </c>
      <c r="L1548" s="8">
        <f>HYPERLINK("https://test.ictv.global/id/TN19982066","TN19982066@TEST")</f>
        <v/>
      </c>
      <c r="M1548" s="8">
        <f>HYPERLINK("https://test.ictv.global/id/ICTV19760366","ICTV19760366@TEST")</f>
        <v/>
      </c>
      <c r="N1548" s="8">
        <f>HYPERLINK("https://ictv.global/id/TN19982066","TN19982066@prod")</f>
        <v/>
      </c>
      <c r="O1548" s="8">
        <f>HYPERLINK("https://ictv.global/id/ICTV19760366","ICTV19760366@prod")</f>
        <v/>
      </c>
    </row>
    <row r="1549">
      <c r="A1549" t="n">
        <v>17</v>
      </c>
      <c r="B1549" t="n">
        <v>19982067</v>
      </c>
      <c r="C1549" t="n">
        <v>19760367</v>
      </c>
      <c r="D1549" t="inlineStr">
        <is>
          <t>species</t>
        </is>
      </c>
      <c r="E1549" t="inlineStr">
        <is>
          <t>Human rhinovirus 28</t>
        </is>
      </c>
      <c r="G1549" t="inlineStr">
        <is>
          <t>Abolished,</t>
        </is>
      </c>
      <c r="L1549" s="8">
        <f>HYPERLINK("https://test.ictv.global/id/TN19982067","TN19982067@TEST")</f>
        <v/>
      </c>
      <c r="M1549" s="8">
        <f>HYPERLINK("https://test.ictv.global/id/ICTV19760367","ICTV19760367@TEST")</f>
        <v/>
      </c>
      <c r="N1549" s="8">
        <f>HYPERLINK("https://ictv.global/id/TN19982067","TN19982067@prod")</f>
        <v/>
      </c>
      <c r="O1549" s="8">
        <f>HYPERLINK("https://ictv.global/id/ICTV19760367","ICTV19760367@prod")</f>
        <v/>
      </c>
    </row>
    <row r="1550">
      <c r="A1550" t="n">
        <v>17</v>
      </c>
      <c r="B1550" t="n">
        <v>19982068</v>
      </c>
      <c r="C1550" t="n">
        <v>19760368</v>
      </c>
      <c r="D1550" t="inlineStr">
        <is>
          <t>species</t>
        </is>
      </c>
      <c r="E1550" t="inlineStr">
        <is>
          <t>Human rhinovirus 29</t>
        </is>
      </c>
      <c r="G1550" t="inlineStr">
        <is>
          <t>Merged,Assigned as Type Species,</t>
        </is>
      </c>
      <c r="H1550" t="inlineStr">
        <is>
          <t>Human rhinovirus A</t>
        </is>
      </c>
      <c r="I1550" t="inlineStr">
        <is>
          <t>species</t>
        </is>
      </c>
      <c r="J1550" t="n">
        <v>19991256</v>
      </c>
      <c r="K1550" t="n">
        <v>19991256</v>
      </c>
      <c r="L1550" s="8">
        <f>HYPERLINK("https://test.ictv.global/id/TN19982068","TN19982068@TEST")</f>
        <v/>
      </c>
      <c r="M1550" s="8">
        <f>HYPERLINK("https://test.ictv.global/id/ICTV19760368","ICTV19760368@TEST")</f>
        <v/>
      </c>
      <c r="N1550" s="8">
        <f>HYPERLINK("https://ictv.global/id/TN19982068","TN19982068@prod")</f>
        <v/>
      </c>
      <c r="O1550" s="8">
        <f>HYPERLINK("https://ictv.global/id/ICTV19760368","ICTV19760368@prod")</f>
        <v/>
      </c>
    </row>
    <row r="1551">
      <c r="A1551" t="n">
        <v>17</v>
      </c>
      <c r="B1551" t="n">
        <v>19982069</v>
      </c>
      <c r="C1551" t="n">
        <v>19760369</v>
      </c>
      <c r="D1551" t="inlineStr">
        <is>
          <t>species</t>
        </is>
      </c>
      <c r="E1551" t="inlineStr">
        <is>
          <t>Human rhinovirus 3</t>
        </is>
      </c>
      <c r="G1551" t="inlineStr">
        <is>
          <t>Merged,</t>
        </is>
      </c>
      <c r="H1551" t="inlineStr">
        <is>
          <t>Human rhinovirus B</t>
        </is>
      </c>
      <c r="I1551" t="inlineStr">
        <is>
          <t>species</t>
        </is>
      </c>
      <c r="J1551" t="n">
        <v>19991257</v>
      </c>
      <c r="K1551" t="n">
        <v>19991257</v>
      </c>
      <c r="L1551" s="8">
        <f>HYPERLINK("https://test.ictv.global/id/TN19982069","TN19982069@TEST")</f>
        <v/>
      </c>
      <c r="M1551" s="8">
        <f>HYPERLINK("https://test.ictv.global/id/ICTV19760369","ICTV19760369@TEST")</f>
        <v/>
      </c>
      <c r="N1551" s="8">
        <f>HYPERLINK("https://ictv.global/id/TN19982069","TN19982069@prod")</f>
        <v/>
      </c>
      <c r="O1551" s="8">
        <f>HYPERLINK("https://ictv.global/id/ICTV19760369","ICTV19760369@prod")</f>
        <v/>
      </c>
    </row>
    <row r="1552">
      <c r="A1552" t="n">
        <v>17</v>
      </c>
      <c r="B1552" t="n">
        <v>19982070</v>
      </c>
      <c r="C1552" t="n">
        <v>19760370</v>
      </c>
      <c r="D1552" t="inlineStr">
        <is>
          <t>species</t>
        </is>
      </c>
      <c r="E1552" t="inlineStr">
        <is>
          <t>Human rhinovirus 30</t>
        </is>
      </c>
      <c r="G1552" t="inlineStr">
        <is>
          <t>Abolished,</t>
        </is>
      </c>
      <c r="L1552" s="8">
        <f>HYPERLINK("https://test.ictv.global/id/TN19982070","TN19982070@TEST")</f>
        <v/>
      </c>
      <c r="M1552" s="8">
        <f>HYPERLINK("https://test.ictv.global/id/ICTV19760370","ICTV19760370@TEST")</f>
        <v/>
      </c>
      <c r="N1552" s="8">
        <f>HYPERLINK("https://ictv.global/id/TN19982070","TN19982070@prod")</f>
        <v/>
      </c>
      <c r="O1552" s="8">
        <f>HYPERLINK("https://ictv.global/id/ICTV19760370","ICTV19760370@prod")</f>
        <v/>
      </c>
    </row>
    <row r="1553">
      <c r="A1553" t="n">
        <v>17</v>
      </c>
      <c r="B1553" t="n">
        <v>19982071</v>
      </c>
      <c r="C1553" t="n">
        <v>19760371</v>
      </c>
      <c r="D1553" t="inlineStr">
        <is>
          <t>species</t>
        </is>
      </c>
      <c r="E1553" t="inlineStr">
        <is>
          <t>Human rhinovirus 31</t>
        </is>
      </c>
      <c r="G1553" t="inlineStr">
        <is>
          <t>Abolished,</t>
        </is>
      </c>
      <c r="L1553" s="8">
        <f>HYPERLINK("https://test.ictv.global/id/TN19982071","TN19982071@TEST")</f>
        <v/>
      </c>
      <c r="M1553" s="8">
        <f>HYPERLINK("https://test.ictv.global/id/ICTV19760371","ICTV19760371@TEST")</f>
        <v/>
      </c>
      <c r="N1553" s="8">
        <f>HYPERLINK("https://ictv.global/id/TN19982071","TN19982071@prod")</f>
        <v/>
      </c>
      <c r="O1553" s="8">
        <f>HYPERLINK("https://ictv.global/id/ICTV19760371","ICTV19760371@prod")</f>
        <v/>
      </c>
    </row>
    <row r="1554">
      <c r="A1554" t="n">
        <v>17</v>
      </c>
      <c r="B1554" t="n">
        <v>19982072</v>
      </c>
      <c r="C1554" t="n">
        <v>19760372</v>
      </c>
      <c r="D1554" t="inlineStr">
        <is>
          <t>species</t>
        </is>
      </c>
      <c r="E1554" t="inlineStr">
        <is>
          <t>Human rhinovirus 32</t>
        </is>
      </c>
      <c r="G1554" t="inlineStr">
        <is>
          <t>Abolished,</t>
        </is>
      </c>
      <c r="L1554" s="8">
        <f>HYPERLINK("https://test.ictv.global/id/TN19982072","TN19982072@TEST")</f>
        <v/>
      </c>
      <c r="M1554" s="8">
        <f>HYPERLINK("https://test.ictv.global/id/ICTV19760372","ICTV19760372@TEST")</f>
        <v/>
      </c>
      <c r="N1554" s="8">
        <f>HYPERLINK("https://ictv.global/id/TN19982072","TN19982072@prod")</f>
        <v/>
      </c>
      <c r="O1554" s="8">
        <f>HYPERLINK("https://ictv.global/id/ICTV19760372","ICTV19760372@prod")</f>
        <v/>
      </c>
    </row>
    <row r="1555">
      <c r="A1555" t="n">
        <v>17</v>
      </c>
      <c r="B1555" t="n">
        <v>19982073</v>
      </c>
      <c r="C1555" t="n">
        <v>19760373</v>
      </c>
      <c r="D1555" t="inlineStr">
        <is>
          <t>species</t>
        </is>
      </c>
      <c r="E1555" t="inlineStr">
        <is>
          <t>Human rhinovirus 33</t>
        </is>
      </c>
      <c r="G1555" t="inlineStr">
        <is>
          <t>Abolished,</t>
        </is>
      </c>
      <c r="L1555" s="8">
        <f>HYPERLINK("https://test.ictv.global/id/TN19982073","TN19982073@TEST")</f>
        <v/>
      </c>
      <c r="M1555" s="8">
        <f>HYPERLINK("https://test.ictv.global/id/ICTV19760373","ICTV19760373@TEST")</f>
        <v/>
      </c>
      <c r="N1555" s="8">
        <f>HYPERLINK("https://ictv.global/id/TN19982073","TN19982073@prod")</f>
        <v/>
      </c>
      <c r="O1555" s="8">
        <f>HYPERLINK("https://ictv.global/id/ICTV19760373","ICTV19760373@prod")</f>
        <v/>
      </c>
    </row>
    <row r="1556">
      <c r="A1556" t="n">
        <v>17</v>
      </c>
      <c r="B1556" t="n">
        <v>19982074</v>
      </c>
      <c r="C1556" t="n">
        <v>19760374</v>
      </c>
      <c r="D1556" t="inlineStr">
        <is>
          <t>species</t>
        </is>
      </c>
      <c r="E1556" t="inlineStr">
        <is>
          <t>Human rhinovirus 34</t>
        </is>
      </c>
      <c r="G1556" t="inlineStr">
        <is>
          <t>Abolished,</t>
        </is>
      </c>
      <c r="L1556" s="8">
        <f>HYPERLINK("https://test.ictv.global/id/TN19982074","TN19982074@TEST")</f>
        <v/>
      </c>
      <c r="M1556" s="8">
        <f>HYPERLINK("https://test.ictv.global/id/ICTV19760374","ICTV19760374@TEST")</f>
        <v/>
      </c>
      <c r="N1556" s="8">
        <f>HYPERLINK("https://ictv.global/id/TN19982074","TN19982074@prod")</f>
        <v/>
      </c>
      <c r="O1556" s="8">
        <f>HYPERLINK("https://ictv.global/id/ICTV19760374","ICTV19760374@prod")</f>
        <v/>
      </c>
    </row>
    <row r="1557">
      <c r="A1557" t="n">
        <v>17</v>
      </c>
      <c r="B1557" t="n">
        <v>19982075</v>
      </c>
      <c r="C1557" t="n">
        <v>19760375</v>
      </c>
      <c r="D1557" t="inlineStr">
        <is>
          <t>species</t>
        </is>
      </c>
      <c r="E1557" t="inlineStr">
        <is>
          <t>Human rhinovirus 35</t>
        </is>
      </c>
      <c r="G1557" t="inlineStr">
        <is>
          <t>Abolished,</t>
        </is>
      </c>
      <c r="L1557" s="8">
        <f>HYPERLINK("https://test.ictv.global/id/TN19982075","TN19982075@TEST")</f>
        <v/>
      </c>
      <c r="M1557" s="8">
        <f>HYPERLINK("https://test.ictv.global/id/ICTV19760375","ICTV19760375@TEST")</f>
        <v/>
      </c>
      <c r="N1557" s="8">
        <f>HYPERLINK("https://ictv.global/id/TN19982075","TN19982075@prod")</f>
        <v/>
      </c>
      <c r="O1557" s="8">
        <f>HYPERLINK("https://ictv.global/id/ICTV19760375","ICTV19760375@prod")</f>
        <v/>
      </c>
    </row>
    <row r="1558">
      <c r="A1558" t="n">
        <v>17</v>
      </c>
      <c r="B1558" t="n">
        <v>19982076</v>
      </c>
      <c r="C1558" t="n">
        <v>19760376</v>
      </c>
      <c r="D1558" t="inlineStr">
        <is>
          <t>species</t>
        </is>
      </c>
      <c r="E1558" t="inlineStr">
        <is>
          <t>Human rhinovirus 36</t>
        </is>
      </c>
      <c r="G1558" t="inlineStr">
        <is>
          <t>Merged,Assigned as Type Species,</t>
        </is>
      </c>
      <c r="H1558" t="inlineStr">
        <is>
          <t>Human rhinovirus A</t>
        </is>
      </c>
      <c r="I1558" t="inlineStr">
        <is>
          <t>species</t>
        </is>
      </c>
      <c r="J1558" t="n">
        <v>19991256</v>
      </c>
      <c r="K1558" t="n">
        <v>19991256</v>
      </c>
      <c r="L1558" s="8">
        <f>HYPERLINK("https://test.ictv.global/id/TN19982076","TN19982076@TEST")</f>
        <v/>
      </c>
      <c r="M1558" s="8">
        <f>HYPERLINK("https://test.ictv.global/id/ICTV19760376","ICTV19760376@TEST")</f>
        <v/>
      </c>
      <c r="N1558" s="8">
        <f>HYPERLINK("https://ictv.global/id/TN19982076","TN19982076@prod")</f>
        <v/>
      </c>
      <c r="O1558" s="8">
        <f>HYPERLINK("https://ictv.global/id/ICTV19760376","ICTV19760376@prod")</f>
        <v/>
      </c>
    </row>
    <row r="1559">
      <c r="A1559" t="n">
        <v>17</v>
      </c>
      <c r="B1559" t="n">
        <v>19982077</v>
      </c>
      <c r="C1559" t="n">
        <v>19760377</v>
      </c>
      <c r="D1559" t="inlineStr">
        <is>
          <t>species</t>
        </is>
      </c>
      <c r="E1559" t="inlineStr">
        <is>
          <t>Human rhinovirus 37</t>
        </is>
      </c>
      <c r="G1559" t="inlineStr">
        <is>
          <t>Abolished,</t>
        </is>
      </c>
      <c r="L1559" s="8">
        <f>HYPERLINK("https://test.ictv.global/id/TN19982077","TN19982077@TEST")</f>
        <v/>
      </c>
      <c r="M1559" s="8">
        <f>HYPERLINK("https://test.ictv.global/id/ICTV19760377","ICTV19760377@TEST")</f>
        <v/>
      </c>
      <c r="N1559" s="8">
        <f>HYPERLINK("https://ictv.global/id/TN19982077","TN19982077@prod")</f>
        <v/>
      </c>
      <c r="O1559" s="8">
        <f>HYPERLINK("https://ictv.global/id/ICTV19760377","ICTV19760377@prod")</f>
        <v/>
      </c>
    </row>
    <row r="1560">
      <c r="A1560" t="n">
        <v>17</v>
      </c>
      <c r="B1560" t="n">
        <v>19982078</v>
      </c>
      <c r="C1560" t="n">
        <v>19760378</v>
      </c>
      <c r="D1560" t="inlineStr">
        <is>
          <t>species</t>
        </is>
      </c>
      <c r="E1560" t="inlineStr">
        <is>
          <t>Human rhinovirus 38</t>
        </is>
      </c>
      <c r="G1560" t="inlineStr">
        <is>
          <t>Abolished,</t>
        </is>
      </c>
      <c r="L1560" s="8">
        <f>HYPERLINK("https://test.ictv.global/id/TN19982078","TN19982078@TEST")</f>
        <v/>
      </c>
      <c r="M1560" s="8">
        <f>HYPERLINK("https://test.ictv.global/id/ICTV19760378","ICTV19760378@TEST")</f>
        <v/>
      </c>
      <c r="N1560" s="8">
        <f>HYPERLINK("https://ictv.global/id/TN19982078","TN19982078@prod")</f>
        <v/>
      </c>
      <c r="O1560" s="8">
        <f>HYPERLINK("https://ictv.global/id/ICTV19760378","ICTV19760378@prod")</f>
        <v/>
      </c>
    </row>
    <row r="1561">
      <c r="A1561" t="n">
        <v>17</v>
      </c>
      <c r="B1561" t="n">
        <v>19982079</v>
      </c>
      <c r="C1561" t="n">
        <v>19760379</v>
      </c>
      <c r="D1561" t="inlineStr">
        <is>
          <t>species</t>
        </is>
      </c>
      <c r="E1561" t="inlineStr">
        <is>
          <t>Human rhinovirus 39</t>
        </is>
      </c>
      <c r="G1561" t="inlineStr">
        <is>
          <t>Merged,Assigned as Type Species,</t>
        </is>
      </c>
      <c r="H1561" t="inlineStr">
        <is>
          <t>Human rhinovirus A</t>
        </is>
      </c>
      <c r="I1561" t="inlineStr">
        <is>
          <t>species</t>
        </is>
      </c>
      <c r="J1561" t="n">
        <v>19991256</v>
      </c>
      <c r="K1561" t="n">
        <v>19991256</v>
      </c>
      <c r="L1561" s="8">
        <f>HYPERLINK("https://test.ictv.global/id/TN19982079","TN19982079@TEST")</f>
        <v/>
      </c>
      <c r="M1561" s="8">
        <f>HYPERLINK("https://test.ictv.global/id/ICTV19760379","ICTV19760379@TEST")</f>
        <v/>
      </c>
      <c r="N1561" s="8">
        <f>HYPERLINK("https://ictv.global/id/TN19982079","TN19982079@prod")</f>
        <v/>
      </c>
      <c r="O1561" s="8">
        <f>HYPERLINK("https://ictv.global/id/ICTV19760379","ICTV19760379@prod")</f>
        <v/>
      </c>
    </row>
    <row r="1562">
      <c r="A1562" t="n">
        <v>17</v>
      </c>
      <c r="B1562" t="n">
        <v>19982080</v>
      </c>
      <c r="C1562" t="n">
        <v>19760380</v>
      </c>
      <c r="D1562" t="inlineStr">
        <is>
          <t>species</t>
        </is>
      </c>
      <c r="E1562" t="inlineStr">
        <is>
          <t>Human rhinovirus 4</t>
        </is>
      </c>
      <c r="G1562" t="inlineStr">
        <is>
          <t>Abolished,</t>
        </is>
      </c>
      <c r="L1562" s="8">
        <f>HYPERLINK("https://test.ictv.global/id/TN19982080","TN19982080@TEST")</f>
        <v/>
      </c>
      <c r="M1562" s="8">
        <f>HYPERLINK("https://test.ictv.global/id/ICTV19760380","ICTV19760380@TEST")</f>
        <v/>
      </c>
      <c r="N1562" s="8">
        <f>HYPERLINK("https://ictv.global/id/TN19982080","TN19982080@prod")</f>
        <v/>
      </c>
      <c r="O1562" s="8">
        <f>HYPERLINK("https://ictv.global/id/ICTV19760380","ICTV19760380@prod")</f>
        <v/>
      </c>
    </row>
    <row r="1563">
      <c r="A1563" t="n">
        <v>17</v>
      </c>
      <c r="B1563" t="n">
        <v>19982081</v>
      </c>
      <c r="C1563" t="n">
        <v>19760381</v>
      </c>
      <c r="D1563" t="inlineStr">
        <is>
          <t>species</t>
        </is>
      </c>
      <c r="E1563" t="inlineStr">
        <is>
          <t>Human rhinovirus 40</t>
        </is>
      </c>
      <c r="G1563" t="inlineStr">
        <is>
          <t>Abolished,</t>
        </is>
      </c>
      <c r="L1563" s="8">
        <f>HYPERLINK("https://test.ictv.global/id/TN19982081","TN19982081@TEST")</f>
        <v/>
      </c>
      <c r="M1563" s="8">
        <f>HYPERLINK("https://test.ictv.global/id/ICTV19760381","ICTV19760381@TEST")</f>
        <v/>
      </c>
      <c r="N1563" s="8">
        <f>HYPERLINK("https://ictv.global/id/TN19982081","TN19982081@prod")</f>
        <v/>
      </c>
      <c r="O1563" s="8">
        <f>HYPERLINK("https://ictv.global/id/ICTV19760381","ICTV19760381@prod")</f>
        <v/>
      </c>
    </row>
    <row r="1564">
      <c r="A1564" t="n">
        <v>17</v>
      </c>
      <c r="B1564" t="n">
        <v>19982082</v>
      </c>
      <c r="C1564" t="n">
        <v>19760382</v>
      </c>
      <c r="D1564" t="inlineStr">
        <is>
          <t>species</t>
        </is>
      </c>
      <c r="E1564" t="inlineStr">
        <is>
          <t>Human rhinovirus 41</t>
        </is>
      </c>
      <c r="G1564" t="inlineStr">
        <is>
          <t>Abolished,</t>
        </is>
      </c>
      <c r="L1564" s="8">
        <f>HYPERLINK("https://test.ictv.global/id/TN19982082","TN19982082@TEST")</f>
        <v/>
      </c>
      <c r="M1564" s="8">
        <f>HYPERLINK("https://test.ictv.global/id/ICTV19760382","ICTV19760382@TEST")</f>
        <v/>
      </c>
      <c r="N1564" s="8">
        <f>HYPERLINK("https://ictv.global/id/TN19982082","TN19982082@prod")</f>
        <v/>
      </c>
      <c r="O1564" s="8">
        <f>HYPERLINK("https://ictv.global/id/ICTV19760382","ICTV19760382@prod")</f>
        <v/>
      </c>
    </row>
    <row r="1565">
      <c r="A1565" t="n">
        <v>17</v>
      </c>
      <c r="B1565" t="n">
        <v>19982083</v>
      </c>
      <c r="C1565" t="n">
        <v>19760383</v>
      </c>
      <c r="D1565" t="inlineStr">
        <is>
          <t>species</t>
        </is>
      </c>
      <c r="E1565" t="inlineStr">
        <is>
          <t>Human rhinovirus 42</t>
        </is>
      </c>
      <c r="G1565" t="inlineStr">
        <is>
          <t>Abolished,</t>
        </is>
      </c>
      <c r="L1565" s="8">
        <f>HYPERLINK("https://test.ictv.global/id/TN19982083","TN19982083@TEST")</f>
        <v/>
      </c>
      <c r="M1565" s="8">
        <f>HYPERLINK("https://test.ictv.global/id/ICTV19760383","ICTV19760383@TEST")</f>
        <v/>
      </c>
      <c r="N1565" s="8">
        <f>HYPERLINK("https://ictv.global/id/TN19982083","TN19982083@prod")</f>
        <v/>
      </c>
      <c r="O1565" s="8">
        <f>HYPERLINK("https://ictv.global/id/ICTV19760383","ICTV19760383@prod")</f>
        <v/>
      </c>
    </row>
    <row r="1566">
      <c r="A1566" t="n">
        <v>17</v>
      </c>
      <c r="B1566" t="n">
        <v>19982084</v>
      </c>
      <c r="C1566" t="n">
        <v>19760384</v>
      </c>
      <c r="D1566" t="inlineStr">
        <is>
          <t>species</t>
        </is>
      </c>
      <c r="E1566" t="inlineStr">
        <is>
          <t>Human rhinovirus 43</t>
        </is>
      </c>
      <c r="G1566" t="inlineStr">
        <is>
          <t>Abolished,</t>
        </is>
      </c>
      <c r="L1566" s="8">
        <f>HYPERLINK("https://test.ictv.global/id/TN19982084","TN19982084@TEST")</f>
        <v/>
      </c>
      <c r="M1566" s="8">
        <f>HYPERLINK("https://test.ictv.global/id/ICTV19760384","ICTV19760384@TEST")</f>
        <v/>
      </c>
      <c r="N1566" s="8">
        <f>HYPERLINK("https://ictv.global/id/TN19982084","TN19982084@prod")</f>
        <v/>
      </c>
      <c r="O1566" s="8">
        <f>HYPERLINK("https://ictv.global/id/ICTV19760384","ICTV19760384@prod")</f>
        <v/>
      </c>
    </row>
    <row r="1567">
      <c r="A1567" t="n">
        <v>17</v>
      </c>
      <c r="B1567" t="n">
        <v>19982085</v>
      </c>
      <c r="C1567" t="n">
        <v>19760385</v>
      </c>
      <c r="D1567" t="inlineStr">
        <is>
          <t>species</t>
        </is>
      </c>
      <c r="E1567" t="inlineStr">
        <is>
          <t>Human rhinovirus 44</t>
        </is>
      </c>
      <c r="G1567" t="inlineStr">
        <is>
          <t>Abolished,</t>
        </is>
      </c>
      <c r="L1567" s="8">
        <f>HYPERLINK("https://test.ictv.global/id/TN19982085","TN19982085@TEST")</f>
        <v/>
      </c>
      <c r="M1567" s="8">
        <f>HYPERLINK("https://test.ictv.global/id/ICTV19760385","ICTV19760385@TEST")</f>
        <v/>
      </c>
      <c r="N1567" s="8">
        <f>HYPERLINK("https://ictv.global/id/TN19982085","TN19982085@prod")</f>
        <v/>
      </c>
      <c r="O1567" s="8">
        <f>HYPERLINK("https://ictv.global/id/ICTV19760385","ICTV19760385@prod")</f>
        <v/>
      </c>
    </row>
    <row r="1568">
      <c r="A1568" t="n">
        <v>17</v>
      </c>
      <c r="B1568" t="n">
        <v>19982086</v>
      </c>
      <c r="C1568" t="n">
        <v>19760386</v>
      </c>
      <c r="D1568" t="inlineStr">
        <is>
          <t>species</t>
        </is>
      </c>
      <c r="E1568" t="inlineStr">
        <is>
          <t>Human rhinovirus 45</t>
        </is>
      </c>
      <c r="G1568" t="inlineStr">
        <is>
          <t>Abolished,</t>
        </is>
      </c>
      <c r="L1568" s="8">
        <f>HYPERLINK("https://test.ictv.global/id/TN19982086","TN19982086@TEST")</f>
        <v/>
      </c>
      <c r="M1568" s="8">
        <f>HYPERLINK("https://test.ictv.global/id/ICTV19760386","ICTV19760386@TEST")</f>
        <v/>
      </c>
      <c r="N1568" s="8">
        <f>HYPERLINK("https://ictv.global/id/TN19982086","TN19982086@prod")</f>
        <v/>
      </c>
      <c r="O1568" s="8">
        <f>HYPERLINK("https://ictv.global/id/ICTV19760386","ICTV19760386@prod")</f>
        <v/>
      </c>
    </row>
    <row r="1569">
      <c r="A1569" t="n">
        <v>17</v>
      </c>
      <c r="B1569" t="n">
        <v>19982087</v>
      </c>
      <c r="C1569" t="n">
        <v>19760387</v>
      </c>
      <c r="D1569" t="inlineStr">
        <is>
          <t>species</t>
        </is>
      </c>
      <c r="E1569" t="inlineStr">
        <is>
          <t>Human rhinovirus 46</t>
        </is>
      </c>
      <c r="G1569" t="inlineStr">
        <is>
          <t>Abolished,</t>
        </is>
      </c>
      <c r="L1569" s="8">
        <f>HYPERLINK("https://test.ictv.global/id/TN19982087","TN19982087@TEST")</f>
        <v/>
      </c>
      <c r="M1569" s="8">
        <f>HYPERLINK("https://test.ictv.global/id/ICTV19760387","ICTV19760387@TEST")</f>
        <v/>
      </c>
      <c r="N1569" s="8">
        <f>HYPERLINK("https://ictv.global/id/TN19982087","TN19982087@prod")</f>
        <v/>
      </c>
      <c r="O1569" s="8">
        <f>HYPERLINK("https://ictv.global/id/ICTV19760387","ICTV19760387@prod")</f>
        <v/>
      </c>
    </row>
    <row r="1570">
      <c r="A1570" t="n">
        <v>17</v>
      </c>
      <c r="B1570" t="n">
        <v>19982088</v>
      </c>
      <c r="C1570" t="n">
        <v>19760388</v>
      </c>
      <c r="D1570" t="inlineStr">
        <is>
          <t>species</t>
        </is>
      </c>
      <c r="E1570" t="inlineStr">
        <is>
          <t>Human rhinovirus 47</t>
        </is>
      </c>
      <c r="G1570" t="inlineStr">
        <is>
          <t>Abolished,</t>
        </is>
      </c>
      <c r="L1570" s="8">
        <f>HYPERLINK("https://test.ictv.global/id/TN19982088","TN19982088@TEST")</f>
        <v/>
      </c>
      <c r="M1570" s="8">
        <f>HYPERLINK("https://test.ictv.global/id/ICTV19760388","ICTV19760388@TEST")</f>
        <v/>
      </c>
      <c r="N1570" s="8">
        <f>HYPERLINK("https://ictv.global/id/TN19982088","TN19982088@prod")</f>
        <v/>
      </c>
      <c r="O1570" s="8">
        <f>HYPERLINK("https://ictv.global/id/ICTV19760388","ICTV19760388@prod")</f>
        <v/>
      </c>
    </row>
    <row r="1571">
      <c r="A1571" t="n">
        <v>17</v>
      </c>
      <c r="B1571" t="n">
        <v>19982089</v>
      </c>
      <c r="C1571" t="n">
        <v>19760389</v>
      </c>
      <c r="D1571" t="inlineStr">
        <is>
          <t>species</t>
        </is>
      </c>
      <c r="E1571" t="inlineStr">
        <is>
          <t>Human rhinovirus 48</t>
        </is>
      </c>
      <c r="G1571" t="inlineStr">
        <is>
          <t>Abolished,</t>
        </is>
      </c>
      <c r="L1571" s="8">
        <f>HYPERLINK("https://test.ictv.global/id/TN19982089","TN19982089@TEST")</f>
        <v/>
      </c>
      <c r="M1571" s="8">
        <f>HYPERLINK("https://test.ictv.global/id/ICTV19760389","ICTV19760389@TEST")</f>
        <v/>
      </c>
      <c r="N1571" s="8">
        <f>HYPERLINK("https://ictv.global/id/TN19982089","TN19982089@prod")</f>
        <v/>
      </c>
      <c r="O1571" s="8">
        <f>HYPERLINK("https://ictv.global/id/ICTV19760389","ICTV19760389@prod")</f>
        <v/>
      </c>
    </row>
    <row r="1572">
      <c r="A1572" t="n">
        <v>17</v>
      </c>
      <c r="B1572" t="n">
        <v>19982090</v>
      </c>
      <c r="C1572" t="n">
        <v>19760390</v>
      </c>
      <c r="D1572" t="inlineStr">
        <is>
          <t>species</t>
        </is>
      </c>
      <c r="E1572" t="inlineStr">
        <is>
          <t>Human rhinovirus 49</t>
        </is>
      </c>
      <c r="G1572" t="inlineStr">
        <is>
          <t>Merged,Assigned as Type Species,</t>
        </is>
      </c>
      <c r="H1572" t="inlineStr">
        <is>
          <t>Human rhinovirus A</t>
        </is>
      </c>
      <c r="I1572" t="inlineStr">
        <is>
          <t>species</t>
        </is>
      </c>
      <c r="J1572" t="n">
        <v>19991256</v>
      </c>
      <c r="K1572" t="n">
        <v>19991256</v>
      </c>
      <c r="L1572" s="8">
        <f>HYPERLINK("https://test.ictv.global/id/TN19982090","TN19982090@TEST")</f>
        <v/>
      </c>
      <c r="M1572" s="8">
        <f>HYPERLINK("https://test.ictv.global/id/ICTV19760390","ICTV19760390@TEST")</f>
        <v/>
      </c>
      <c r="N1572" s="8">
        <f>HYPERLINK("https://ictv.global/id/TN19982090","TN19982090@prod")</f>
        <v/>
      </c>
      <c r="O1572" s="8">
        <f>HYPERLINK("https://ictv.global/id/ICTV19760390","ICTV19760390@prod")</f>
        <v/>
      </c>
    </row>
    <row r="1573">
      <c r="A1573" t="n">
        <v>17</v>
      </c>
      <c r="B1573" t="n">
        <v>19982091</v>
      </c>
      <c r="C1573" t="n">
        <v>19760391</v>
      </c>
      <c r="D1573" t="inlineStr">
        <is>
          <t>species</t>
        </is>
      </c>
      <c r="E1573" t="inlineStr">
        <is>
          <t>Human rhinovirus 5</t>
        </is>
      </c>
      <c r="G1573" t="inlineStr">
        <is>
          <t>Abolished,</t>
        </is>
      </c>
      <c r="L1573" s="8">
        <f>HYPERLINK("https://test.ictv.global/id/TN19982091","TN19982091@TEST")</f>
        <v/>
      </c>
      <c r="M1573" s="8">
        <f>HYPERLINK("https://test.ictv.global/id/ICTV19760391","ICTV19760391@TEST")</f>
        <v/>
      </c>
      <c r="N1573" s="8">
        <f>HYPERLINK("https://ictv.global/id/TN19982091","TN19982091@prod")</f>
        <v/>
      </c>
      <c r="O1573" s="8">
        <f>HYPERLINK("https://ictv.global/id/ICTV19760391","ICTV19760391@prod")</f>
        <v/>
      </c>
    </row>
    <row r="1574">
      <c r="A1574" t="n">
        <v>17</v>
      </c>
      <c r="B1574" t="n">
        <v>19982092</v>
      </c>
      <c r="C1574" t="n">
        <v>19760392</v>
      </c>
      <c r="D1574" t="inlineStr">
        <is>
          <t>species</t>
        </is>
      </c>
      <c r="E1574" t="inlineStr">
        <is>
          <t>Human rhinovirus 50</t>
        </is>
      </c>
      <c r="G1574" t="inlineStr">
        <is>
          <t>Merged,Assigned as Type Species,</t>
        </is>
      </c>
      <c r="H1574" t="inlineStr">
        <is>
          <t>Human rhinovirus A</t>
        </is>
      </c>
      <c r="I1574" t="inlineStr">
        <is>
          <t>species</t>
        </is>
      </c>
      <c r="J1574" t="n">
        <v>19991256</v>
      </c>
      <c r="K1574" t="n">
        <v>19991256</v>
      </c>
      <c r="L1574" s="8">
        <f>HYPERLINK("https://test.ictv.global/id/TN19982092","TN19982092@TEST")</f>
        <v/>
      </c>
      <c r="M1574" s="8">
        <f>HYPERLINK("https://test.ictv.global/id/ICTV19760392","ICTV19760392@TEST")</f>
        <v/>
      </c>
      <c r="N1574" s="8">
        <f>HYPERLINK("https://ictv.global/id/TN19982092","TN19982092@prod")</f>
        <v/>
      </c>
      <c r="O1574" s="8">
        <f>HYPERLINK("https://ictv.global/id/ICTV19760392","ICTV19760392@prod")</f>
        <v/>
      </c>
    </row>
    <row r="1575">
      <c r="A1575" t="n">
        <v>17</v>
      </c>
      <c r="B1575" t="n">
        <v>19982093</v>
      </c>
      <c r="C1575" t="n">
        <v>19760393</v>
      </c>
      <c r="D1575" t="inlineStr">
        <is>
          <t>species</t>
        </is>
      </c>
      <c r="E1575" t="inlineStr">
        <is>
          <t>Human rhinovirus 51</t>
        </is>
      </c>
      <c r="G1575" t="inlineStr">
        <is>
          <t>Abolished,</t>
        </is>
      </c>
      <c r="L1575" s="8">
        <f>HYPERLINK("https://test.ictv.global/id/TN19982093","TN19982093@TEST")</f>
        <v/>
      </c>
      <c r="M1575" s="8">
        <f>HYPERLINK("https://test.ictv.global/id/ICTV19760393","ICTV19760393@TEST")</f>
        <v/>
      </c>
      <c r="N1575" s="8">
        <f>HYPERLINK("https://ictv.global/id/TN19982093","TN19982093@prod")</f>
        <v/>
      </c>
      <c r="O1575" s="8">
        <f>HYPERLINK("https://ictv.global/id/ICTV19760393","ICTV19760393@prod")</f>
        <v/>
      </c>
    </row>
    <row r="1576">
      <c r="A1576" t="n">
        <v>17</v>
      </c>
      <c r="B1576" t="n">
        <v>19982094</v>
      </c>
      <c r="C1576" t="n">
        <v>19760394</v>
      </c>
      <c r="D1576" t="inlineStr">
        <is>
          <t>species</t>
        </is>
      </c>
      <c r="E1576" t="inlineStr">
        <is>
          <t>Human rhinovirus 52</t>
        </is>
      </c>
      <c r="G1576" t="inlineStr">
        <is>
          <t>Abolished,</t>
        </is>
      </c>
      <c r="L1576" s="8">
        <f>HYPERLINK("https://test.ictv.global/id/TN19982094","TN19982094@TEST")</f>
        <v/>
      </c>
      <c r="M1576" s="8">
        <f>HYPERLINK("https://test.ictv.global/id/ICTV19760394","ICTV19760394@TEST")</f>
        <v/>
      </c>
      <c r="N1576" s="8">
        <f>HYPERLINK("https://ictv.global/id/TN19982094","TN19982094@prod")</f>
        <v/>
      </c>
      <c r="O1576" s="8">
        <f>HYPERLINK("https://ictv.global/id/ICTV19760394","ICTV19760394@prod")</f>
        <v/>
      </c>
    </row>
    <row r="1577">
      <c r="A1577" t="n">
        <v>17</v>
      </c>
      <c r="B1577" t="n">
        <v>19982095</v>
      </c>
      <c r="C1577" t="n">
        <v>19760395</v>
      </c>
      <c r="D1577" t="inlineStr">
        <is>
          <t>species</t>
        </is>
      </c>
      <c r="E1577" t="inlineStr">
        <is>
          <t>Human rhinovirus 53</t>
        </is>
      </c>
      <c r="G1577" t="inlineStr">
        <is>
          <t>Abolished,</t>
        </is>
      </c>
      <c r="L1577" s="8">
        <f>HYPERLINK("https://test.ictv.global/id/TN19982095","TN19982095@TEST")</f>
        <v/>
      </c>
      <c r="M1577" s="8">
        <f>HYPERLINK("https://test.ictv.global/id/ICTV19760395","ICTV19760395@TEST")</f>
        <v/>
      </c>
      <c r="N1577" s="8">
        <f>HYPERLINK("https://ictv.global/id/TN19982095","TN19982095@prod")</f>
        <v/>
      </c>
      <c r="O1577" s="8">
        <f>HYPERLINK("https://ictv.global/id/ICTV19760395","ICTV19760395@prod")</f>
        <v/>
      </c>
    </row>
    <row r="1578">
      <c r="A1578" t="n">
        <v>17</v>
      </c>
      <c r="B1578" t="n">
        <v>19982096</v>
      </c>
      <c r="C1578" t="n">
        <v>19760396</v>
      </c>
      <c r="D1578" t="inlineStr">
        <is>
          <t>species</t>
        </is>
      </c>
      <c r="E1578" t="inlineStr">
        <is>
          <t>Human rhinovirus 54</t>
        </is>
      </c>
      <c r="G1578" t="inlineStr">
        <is>
          <t>Abolished,</t>
        </is>
      </c>
      <c r="L1578" s="8">
        <f>HYPERLINK("https://test.ictv.global/id/TN19982096","TN19982096@TEST")</f>
        <v/>
      </c>
      <c r="M1578" s="8">
        <f>HYPERLINK("https://test.ictv.global/id/ICTV19760396","ICTV19760396@TEST")</f>
        <v/>
      </c>
      <c r="N1578" s="8">
        <f>HYPERLINK("https://ictv.global/id/TN19982096","TN19982096@prod")</f>
        <v/>
      </c>
      <c r="O1578" s="8">
        <f>HYPERLINK("https://ictv.global/id/ICTV19760396","ICTV19760396@prod")</f>
        <v/>
      </c>
    </row>
    <row r="1579">
      <c r="A1579" t="n">
        <v>17</v>
      </c>
      <c r="B1579" t="n">
        <v>19982097</v>
      </c>
      <c r="C1579" t="n">
        <v>19760397</v>
      </c>
      <c r="D1579" t="inlineStr">
        <is>
          <t>species</t>
        </is>
      </c>
      <c r="E1579" t="inlineStr">
        <is>
          <t>Human rhinovirus 55</t>
        </is>
      </c>
      <c r="G1579" t="inlineStr">
        <is>
          <t>Abolished,</t>
        </is>
      </c>
      <c r="L1579" s="8">
        <f>HYPERLINK("https://test.ictv.global/id/TN19982097","TN19982097@TEST")</f>
        <v/>
      </c>
      <c r="M1579" s="8">
        <f>HYPERLINK("https://test.ictv.global/id/ICTV19760397","ICTV19760397@TEST")</f>
        <v/>
      </c>
      <c r="N1579" s="8">
        <f>HYPERLINK("https://ictv.global/id/TN19982097","TN19982097@prod")</f>
        <v/>
      </c>
      <c r="O1579" s="8">
        <f>HYPERLINK("https://ictv.global/id/ICTV19760397","ICTV19760397@prod")</f>
        <v/>
      </c>
    </row>
    <row r="1580">
      <c r="A1580" t="n">
        <v>17</v>
      </c>
      <c r="B1580" t="n">
        <v>19982098</v>
      </c>
      <c r="C1580" t="n">
        <v>19760398</v>
      </c>
      <c r="D1580" t="inlineStr">
        <is>
          <t>species</t>
        </is>
      </c>
      <c r="E1580" t="inlineStr">
        <is>
          <t>Human rhinovirus 56</t>
        </is>
      </c>
      <c r="G1580" t="inlineStr">
        <is>
          <t>Abolished,</t>
        </is>
      </c>
      <c r="L1580" s="8">
        <f>HYPERLINK("https://test.ictv.global/id/TN19982098","TN19982098@TEST")</f>
        <v/>
      </c>
      <c r="M1580" s="8">
        <f>HYPERLINK("https://test.ictv.global/id/ICTV19760398","ICTV19760398@TEST")</f>
        <v/>
      </c>
      <c r="N1580" s="8">
        <f>HYPERLINK("https://ictv.global/id/TN19982098","TN19982098@prod")</f>
        <v/>
      </c>
      <c r="O1580" s="8">
        <f>HYPERLINK("https://ictv.global/id/ICTV19760398","ICTV19760398@prod")</f>
        <v/>
      </c>
    </row>
    <row r="1581">
      <c r="A1581" t="n">
        <v>17</v>
      </c>
      <c r="B1581" t="n">
        <v>19982099</v>
      </c>
      <c r="C1581" t="n">
        <v>19760399</v>
      </c>
      <c r="D1581" t="inlineStr">
        <is>
          <t>species</t>
        </is>
      </c>
      <c r="E1581" t="inlineStr">
        <is>
          <t>Human rhinovirus 57</t>
        </is>
      </c>
      <c r="G1581" t="inlineStr">
        <is>
          <t>Abolished,</t>
        </is>
      </c>
      <c r="L1581" s="8">
        <f>HYPERLINK("https://test.ictv.global/id/TN19982099","TN19982099@TEST")</f>
        <v/>
      </c>
      <c r="M1581" s="8">
        <f>HYPERLINK("https://test.ictv.global/id/ICTV19760399","ICTV19760399@TEST")</f>
        <v/>
      </c>
      <c r="N1581" s="8">
        <f>HYPERLINK("https://ictv.global/id/TN19982099","TN19982099@prod")</f>
        <v/>
      </c>
      <c r="O1581" s="8">
        <f>HYPERLINK("https://ictv.global/id/ICTV19760399","ICTV19760399@prod")</f>
        <v/>
      </c>
    </row>
    <row r="1582">
      <c r="A1582" t="n">
        <v>17</v>
      </c>
      <c r="B1582" t="n">
        <v>19982100</v>
      </c>
      <c r="C1582" t="n">
        <v>19760400</v>
      </c>
      <c r="D1582" t="inlineStr">
        <is>
          <t>species</t>
        </is>
      </c>
      <c r="E1582" t="inlineStr">
        <is>
          <t>Human rhinovirus 58</t>
        </is>
      </c>
      <c r="G1582" t="inlineStr">
        <is>
          <t>Merged,Assigned as Type Species,</t>
        </is>
      </c>
      <c r="H1582" t="inlineStr">
        <is>
          <t>Human rhinovirus A</t>
        </is>
      </c>
      <c r="I1582" t="inlineStr">
        <is>
          <t>species</t>
        </is>
      </c>
      <c r="J1582" t="n">
        <v>19991256</v>
      </c>
      <c r="K1582" t="n">
        <v>19991256</v>
      </c>
      <c r="L1582" s="8">
        <f>HYPERLINK("https://test.ictv.global/id/TN19982100","TN19982100@TEST")</f>
        <v/>
      </c>
      <c r="M1582" s="8">
        <f>HYPERLINK("https://test.ictv.global/id/ICTV19760400","ICTV19760400@TEST")</f>
        <v/>
      </c>
      <c r="N1582" s="8">
        <f>HYPERLINK("https://ictv.global/id/TN19982100","TN19982100@prod")</f>
        <v/>
      </c>
      <c r="O1582" s="8">
        <f>HYPERLINK("https://ictv.global/id/ICTV19760400","ICTV19760400@prod")</f>
        <v/>
      </c>
    </row>
    <row r="1583">
      <c r="A1583" t="n">
        <v>17</v>
      </c>
      <c r="B1583" t="n">
        <v>19982101</v>
      </c>
      <c r="C1583" t="n">
        <v>19760401</v>
      </c>
      <c r="D1583" t="inlineStr">
        <is>
          <t>species</t>
        </is>
      </c>
      <c r="E1583" t="inlineStr">
        <is>
          <t>Human rhinovirus 59</t>
        </is>
      </c>
      <c r="G1583" t="inlineStr">
        <is>
          <t>Abolished,</t>
        </is>
      </c>
      <c r="L1583" s="8">
        <f>HYPERLINK("https://test.ictv.global/id/TN19982101","TN19982101@TEST")</f>
        <v/>
      </c>
      <c r="M1583" s="8">
        <f>HYPERLINK("https://test.ictv.global/id/ICTV19760401","ICTV19760401@TEST")</f>
        <v/>
      </c>
      <c r="N1583" s="8">
        <f>HYPERLINK("https://ictv.global/id/TN19982101","TN19982101@prod")</f>
        <v/>
      </c>
      <c r="O1583" s="8">
        <f>HYPERLINK("https://ictv.global/id/ICTV19760401","ICTV19760401@prod")</f>
        <v/>
      </c>
    </row>
    <row r="1584">
      <c r="A1584" t="n">
        <v>17</v>
      </c>
      <c r="B1584" t="n">
        <v>19982102</v>
      </c>
      <c r="C1584" t="n">
        <v>19760402</v>
      </c>
      <c r="D1584" t="inlineStr">
        <is>
          <t>species</t>
        </is>
      </c>
      <c r="E1584" t="inlineStr">
        <is>
          <t>Human rhinovirus 6</t>
        </is>
      </c>
      <c r="G1584" t="inlineStr">
        <is>
          <t>Abolished,</t>
        </is>
      </c>
      <c r="L1584" s="8">
        <f>HYPERLINK("https://test.ictv.global/id/TN19982102","TN19982102@TEST")</f>
        <v/>
      </c>
      <c r="M1584" s="8">
        <f>HYPERLINK("https://test.ictv.global/id/ICTV19760402","ICTV19760402@TEST")</f>
        <v/>
      </c>
      <c r="N1584" s="8">
        <f>HYPERLINK("https://ictv.global/id/TN19982102","TN19982102@prod")</f>
        <v/>
      </c>
      <c r="O1584" s="8">
        <f>HYPERLINK("https://ictv.global/id/ICTV19760402","ICTV19760402@prod")</f>
        <v/>
      </c>
    </row>
    <row r="1585">
      <c r="A1585" t="n">
        <v>17</v>
      </c>
      <c r="B1585" t="n">
        <v>19982103</v>
      </c>
      <c r="C1585" t="n">
        <v>19760403</v>
      </c>
      <c r="D1585" t="inlineStr">
        <is>
          <t>species</t>
        </is>
      </c>
      <c r="E1585" t="inlineStr">
        <is>
          <t>Human rhinovirus 60</t>
        </is>
      </c>
      <c r="G1585" t="inlineStr">
        <is>
          <t>Abolished,</t>
        </is>
      </c>
      <c r="L1585" s="8">
        <f>HYPERLINK("https://test.ictv.global/id/TN19982103","TN19982103@TEST")</f>
        <v/>
      </c>
      <c r="M1585" s="8">
        <f>HYPERLINK("https://test.ictv.global/id/ICTV19760403","ICTV19760403@TEST")</f>
        <v/>
      </c>
      <c r="N1585" s="8">
        <f>HYPERLINK("https://ictv.global/id/TN19982103","TN19982103@prod")</f>
        <v/>
      </c>
      <c r="O1585" s="8">
        <f>HYPERLINK("https://ictv.global/id/ICTV19760403","ICTV19760403@prod")</f>
        <v/>
      </c>
    </row>
    <row r="1586">
      <c r="A1586" t="n">
        <v>17</v>
      </c>
      <c r="B1586" t="n">
        <v>19982104</v>
      </c>
      <c r="C1586" t="n">
        <v>19760404</v>
      </c>
      <c r="D1586" t="inlineStr">
        <is>
          <t>species</t>
        </is>
      </c>
      <c r="E1586" t="inlineStr">
        <is>
          <t>Human rhinovirus 61</t>
        </is>
      </c>
      <c r="G1586" t="inlineStr">
        <is>
          <t>Abolished,</t>
        </is>
      </c>
      <c r="L1586" s="8">
        <f>HYPERLINK("https://test.ictv.global/id/TN19982104","TN19982104@TEST")</f>
        <v/>
      </c>
      <c r="M1586" s="8">
        <f>HYPERLINK("https://test.ictv.global/id/ICTV19760404","ICTV19760404@TEST")</f>
        <v/>
      </c>
      <c r="N1586" s="8">
        <f>HYPERLINK("https://ictv.global/id/TN19982104","TN19982104@prod")</f>
        <v/>
      </c>
      <c r="O1586" s="8">
        <f>HYPERLINK("https://ictv.global/id/ICTV19760404","ICTV19760404@prod")</f>
        <v/>
      </c>
    </row>
    <row r="1587">
      <c r="A1587" t="n">
        <v>17</v>
      </c>
      <c r="B1587" t="n">
        <v>19982105</v>
      </c>
      <c r="C1587" t="n">
        <v>19760405</v>
      </c>
      <c r="D1587" t="inlineStr">
        <is>
          <t>species</t>
        </is>
      </c>
      <c r="E1587" t="inlineStr">
        <is>
          <t>Human rhinovirus 62</t>
        </is>
      </c>
      <c r="G1587" t="inlineStr">
        <is>
          <t>Merged,Assigned as Type Species,</t>
        </is>
      </c>
      <c r="H1587" t="inlineStr">
        <is>
          <t>Human rhinovirus A</t>
        </is>
      </c>
      <c r="I1587" t="inlineStr">
        <is>
          <t>species</t>
        </is>
      </c>
      <c r="J1587" t="n">
        <v>19991256</v>
      </c>
      <c r="K1587" t="n">
        <v>19991256</v>
      </c>
      <c r="L1587" s="8">
        <f>HYPERLINK("https://test.ictv.global/id/TN19982105","TN19982105@TEST")</f>
        <v/>
      </c>
      <c r="M1587" s="8">
        <f>HYPERLINK("https://test.ictv.global/id/ICTV19760405","ICTV19760405@TEST")</f>
        <v/>
      </c>
      <c r="N1587" s="8">
        <f>HYPERLINK("https://ictv.global/id/TN19982105","TN19982105@prod")</f>
        <v/>
      </c>
      <c r="O1587" s="8">
        <f>HYPERLINK("https://ictv.global/id/ICTV19760405","ICTV19760405@prod")</f>
        <v/>
      </c>
    </row>
    <row r="1588">
      <c r="A1588" t="n">
        <v>17</v>
      </c>
      <c r="B1588" t="n">
        <v>19982106</v>
      </c>
      <c r="C1588" t="n">
        <v>19760406</v>
      </c>
      <c r="D1588" t="inlineStr">
        <is>
          <t>species</t>
        </is>
      </c>
      <c r="E1588" t="inlineStr">
        <is>
          <t>Human rhinovirus 63</t>
        </is>
      </c>
      <c r="G1588" t="inlineStr">
        <is>
          <t>Abolished,</t>
        </is>
      </c>
      <c r="L1588" s="8">
        <f>HYPERLINK("https://test.ictv.global/id/TN19982106","TN19982106@TEST")</f>
        <v/>
      </c>
      <c r="M1588" s="8">
        <f>HYPERLINK("https://test.ictv.global/id/ICTV19760406","ICTV19760406@TEST")</f>
        <v/>
      </c>
      <c r="N1588" s="8">
        <f>HYPERLINK("https://ictv.global/id/TN19982106","TN19982106@prod")</f>
        <v/>
      </c>
      <c r="O1588" s="8">
        <f>HYPERLINK("https://ictv.global/id/ICTV19760406","ICTV19760406@prod")</f>
        <v/>
      </c>
    </row>
    <row r="1589">
      <c r="A1589" t="n">
        <v>17</v>
      </c>
      <c r="B1589" t="n">
        <v>19982107</v>
      </c>
      <c r="C1589" t="n">
        <v>19760407</v>
      </c>
      <c r="D1589" t="inlineStr">
        <is>
          <t>species</t>
        </is>
      </c>
      <c r="E1589" t="inlineStr">
        <is>
          <t>Human rhinovirus 64</t>
        </is>
      </c>
      <c r="G1589" t="inlineStr">
        <is>
          <t>Abolished,</t>
        </is>
      </c>
      <c r="L1589" s="8">
        <f>HYPERLINK("https://test.ictv.global/id/TN19982107","TN19982107@TEST")</f>
        <v/>
      </c>
      <c r="M1589" s="8">
        <f>HYPERLINK("https://test.ictv.global/id/ICTV19760407","ICTV19760407@TEST")</f>
        <v/>
      </c>
      <c r="N1589" s="8">
        <f>HYPERLINK("https://ictv.global/id/TN19982107","TN19982107@prod")</f>
        <v/>
      </c>
      <c r="O1589" s="8">
        <f>HYPERLINK("https://ictv.global/id/ICTV19760407","ICTV19760407@prod")</f>
        <v/>
      </c>
    </row>
    <row r="1590">
      <c r="A1590" t="n">
        <v>17</v>
      </c>
      <c r="B1590" t="n">
        <v>19982108</v>
      </c>
      <c r="C1590" t="n">
        <v>19760408</v>
      </c>
      <c r="D1590" t="inlineStr">
        <is>
          <t>species</t>
        </is>
      </c>
      <c r="E1590" t="inlineStr">
        <is>
          <t>Human rhinovirus 65</t>
        </is>
      </c>
      <c r="G1590" t="inlineStr">
        <is>
          <t>Merged,Assigned as Type Species,</t>
        </is>
      </c>
      <c r="H1590" t="inlineStr">
        <is>
          <t>Human rhinovirus A</t>
        </is>
      </c>
      <c r="I1590" t="inlineStr">
        <is>
          <t>species</t>
        </is>
      </c>
      <c r="J1590" t="n">
        <v>19991256</v>
      </c>
      <c r="K1590" t="n">
        <v>19991256</v>
      </c>
      <c r="L1590" s="8">
        <f>HYPERLINK("https://test.ictv.global/id/TN19982108","TN19982108@TEST")</f>
        <v/>
      </c>
      <c r="M1590" s="8">
        <f>HYPERLINK("https://test.ictv.global/id/ICTV19760408","ICTV19760408@TEST")</f>
        <v/>
      </c>
      <c r="N1590" s="8">
        <f>HYPERLINK("https://ictv.global/id/TN19982108","TN19982108@prod")</f>
        <v/>
      </c>
      <c r="O1590" s="8">
        <f>HYPERLINK("https://ictv.global/id/ICTV19760408","ICTV19760408@prod")</f>
        <v/>
      </c>
    </row>
    <row r="1591">
      <c r="A1591" t="n">
        <v>17</v>
      </c>
      <c r="B1591" t="n">
        <v>19982109</v>
      </c>
      <c r="C1591" t="n">
        <v>19760409</v>
      </c>
      <c r="D1591" t="inlineStr">
        <is>
          <t>species</t>
        </is>
      </c>
      <c r="E1591" t="inlineStr">
        <is>
          <t>Human rhinovirus 66</t>
        </is>
      </c>
      <c r="G1591" t="inlineStr">
        <is>
          <t>Abolished,</t>
        </is>
      </c>
      <c r="L1591" s="8">
        <f>HYPERLINK("https://test.ictv.global/id/TN19982109","TN19982109@TEST")</f>
        <v/>
      </c>
      <c r="M1591" s="8">
        <f>HYPERLINK("https://test.ictv.global/id/ICTV19760409","ICTV19760409@TEST")</f>
        <v/>
      </c>
      <c r="N1591" s="8">
        <f>HYPERLINK("https://ictv.global/id/TN19982109","TN19982109@prod")</f>
        <v/>
      </c>
      <c r="O1591" s="8">
        <f>HYPERLINK("https://ictv.global/id/ICTV19760409","ICTV19760409@prod")</f>
        <v/>
      </c>
    </row>
    <row r="1592">
      <c r="A1592" t="n">
        <v>17</v>
      </c>
      <c r="B1592" t="n">
        <v>19982110</v>
      </c>
      <c r="C1592" t="n">
        <v>19760410</v>
      </c>
      <c r="D1592" t="inlineStr">
        <is>
          <t>species</t>
        </is>
      </c>
      <c r="E1592" t="inlineStr">
        <is>
          <t>Human rhinovirus 67</t>
        </is>
      </c>
      <c r="G1592" t="inlineStr">
        <is>
          <t>Abolished,</t>
        </is>
      </c>
      <c r="L1592" s="8">
        <f>HYPERLINK("https://test.ictv.global/id/TN19982110","TN19982110@TEST")</f>
        <v/>
      </c>
      <c r="M1592" s="8">
        <f>HYPERLINK("https://test.ictv.global/id/ICTV19760410","ICTV19760410@TEST")</f>
        <v/>
      </c>
      <c r="N1592" s="8">
        <f>HYPERLINK("https://ictv.global/id/TN19982110","TN19982110@prod")</f>
        <v/>
      </c>
      <c r="O1592" s="8">
        <f>HYPERLINK("https://ictv.global/id/ICTV19760410","ICTV19760410@prod")</f>
        <v/>
      </c>
    </row>
    <row r="1593">
      <c r="A1593" t="n">
        <v>17</v>
      </c>
      <c r="B1593" t="n">
        <v>19982111</v>
      </c>
      <c r="C1593" t="n">
        <v>19760411</v>
      </c>
      <c r="D1593" t="inlineStr">
        <is>
          <t>species</t>
        </is>
      </c>
      <c r="E1593" t="inlineStr">
        <is>
          <t>Human rhinovirus 68</t>
        </is>
      </c>
      <c r="G1593" t="inlineStr">
        <is>
          <t>Abolished,</t>
        </is>
      </c>
      <c r="L1593" s="8">
        <f>HYPERLINK("https://test.ictv.global/id/TN19982111","TN19982111@TEST")</f>
        <v/>
      </c>
      <c r="M1593" s="8">
        <f>HYPERLINK("https://test.ictv.global/id/ICTV19760411","ICTV19760411@TEST")</f>
        <v/>
      </c>
      <c r="N1593" s="8">
        <f>HYPERLINK("https://ictv.global/id/TN19982111","TN19982111@prod")</f>
        <v/>
      </c>
      <c r="O1593" s="8">
        <f>HYPERLINK("https://ictv.global/id/ICTV19760411","ICTV19760411@prod")</f>
        <v/>
      </c>
    </row>
    <row r="1594">
      <c r="A1594" t="n">
        <v>17</v>
      </c>
      <c r="B1594" t="n">
        <v>19982112</v>
      </c>
      <c r="C1594" t="n">
        <v>19760412</v>
      </c>
      <c r="D1594" t="inlineStr">
        <is>
          <t>species</t>
        </is>
      </c>
      <c r="E1594" t="inlineStr">
        <is>
          <t>Human rhinovirus 69</t>
        </is>
      </c>
      <c r="G1594" t="inlineStr">
        <is>
          <t>Abolished,</t>
        </is>
      </c>
      <c r="L1594" s="8">
        <f>HYPERLINK("https://test.ictv.global/id/TN19982112","TN19982112@TEST")</f>
        <v/>
      </c>
      <c r="M1594" s="8">
        <f>HYPERLINK("https://test.ictv.global/id/ICTV19760412","ICTV19760412@TEST")</f>
        <v/>
      </c>
      <c r="N1594" s="8">
        <f>HYPERLINK("https://ictv.global/id/TN19982112","TN19982112@prod")</f>
        <v/>
      </c>
      <c r="O1594" s="8">
        <f>HYPERLINK("https://ictv.global/id/ICTV19760412","ICTV19760412@prod")</f>
        <v/>
      </c>
    </row>
    <row r="1595">
      <c r="A1595" t="n">
        <v>17</v>
      </c>
      <c r="B1595" t="n">
        <v>19982113</v>
      </c>
      <c r="C1595" t="n">
        <v>19760413</v>
      </c>
      <c r="D1595" t="inlineStr">
        <is>
          <t>species</t>
        </is>
      </c>
      <c r="E1595" t="inlineStr">
        <is>
          <t>Human rhinovirus 7</t>
        </is>
      </c>
      <c r="G1595" t="inlineStr">
        <is>
          <t>Merged,Assigned as Type Species,</t>
        </is>
      </c>
      <c r="H1595" t="inlineStr">
        <is>
          <t>Human rhinovirus A</t>
        </is>
      </c>
      <c r="I1595" t="inlineStr">
        <is>
          <t>species</t>
        </is>
      </c>
      <c r="J1595" t="n">
        <v>19991256</v>
      </c>
      <c r="K1595" t="n">
        <v>19991256</v>
      </c>
      <c r="L1595" s="8">
        <f>HYPERLINK("https://test.ictv.global/id/TN19982113","TN19982113@TEST")</f>
        <v/>
      </c>
      <c r="M1595" s="8">
        <f>HYPERLINK("https://test.ictv.global/id/ICTV19760413","ICTV19760413@TEST")</f>
        <v/>
      </c>
      <c r="N1595" s="8">
        <f>HYPERLINK("https://ictv.global/id/TN19982113","TN19982113@prod")</f>
        <v/>
      </c>
      <c r="O1595" s="8">
        <f>HYPERLINK("https://ictv.global/id/ICTV19760413","ICTV19760413@prod")</f>
        <v/>
      </c>
    </row>
    <row r="1596">
      <c r="A1596" t="n">
        <v>17</v>
      </c>
      <c r="B1596" t="n">
        <v>19982114</v>
      </c>
      <c r="C1596" t="n">
        <v>19760414</v>
      </c>
      <c r="D1596" t="inlineStr">
        <is>
          <t>species</t>
        </is>
      </c>
      <c r="E1596" t="inlineStr">
        <is>
          <t>Human rhinovirus 70</t>
        </is>
      </c>
      <c r="G1596" t="inlineStr">
        <is>
          <t>Abolished,</t>
        </is>
      </c>
      <c r="L1596" s="8">
        <f>HYPERLINK("https://test.ictv.global/id/TN19982114","TN19982114@TEST")</f>
        <v/>
      </c>
      <c r="M1596" s="8">
        <f>HYPERLINK("https://test.ictv.global/id/ICTV19760414","ICTV19760414@TEST")</f>
        <v/>
      </c>
      <c r="N1596" s="8">
        <f>HYPERLINK("https://ictv.global/id/TN19982114","TN19982114@prod")</f>
        <v/>
      </c>
      <c r="O1596" s="8">
        <f>HYPERLINK("https://ictv.global/id/ICTV19760414","ICTV19760414@prod")</f>
        <v/>
      </c>
    </row>
    <row r="1597">
      <c r="A1597" t="n">
        <v>17</v>
      </c>
      <c r="B1597" t="n">
        <v>19982115</v>
      </c>
      <c r="C1597" t="n">
        <v>19760415</v>
      </c>
      <c r="D1597" t="inlineStr">
        <is>
          <t>species</t>
        </is>
      </c>
      <c r="E1597" t="inlineStr">
        <is>
          <t>Human rhinovirus 71</t>
        </is>
      </c>
      <c r="G1597" t="inlineStr">
        <is>
          <t>Abolished,</t>
        </is>
      </c>
      <c r="L1597" s="8">
        <f>HYPERLINK("https://test.ictv.global/id/TN19982115","TN19982115@TEST")</f>
        <v/>
      </c>
      <c r="M1597" s="8">
        <f>HYPERLINK("https://test.ictv.global/id/ICTV19760415","ICTV19760415@TEST")</f>
        <v/>
      </c>
      <c r="N1597" s="8">
        <f>HYPERLINK("https://ictv.global/id/TN19982115","TN19982115@prod")</f>
        <v/>
      </c>
      <c r="O1597" s="8">
        <f>HYPERLINK("https://ictv.global/id/ICTV19760415","ICTV19760415@prod")</f>
        <v/>
      </c>
    </row>
    <row r="1598">
      <c r="A1598" t="n">
        <v>17</v>
      </c>
      <c r="B1598" t="n">
        <v>19982116</v>
      </c>
      <c r="C1598" t="n">
        <v>19760416</v>
      </c>
      <c r="D1598" t="inlineStr">
        <is>
          <t>species</t>
        </is>
      </c>
      <c r="E1598" t="inlineStr">
        <is>
          <t>Human rhinovirus 72</t>
        </is>
      </c>
      <c r="G1598" t="inlineStr">
        <is>
          <t>Merged,</t>
        </is>
      </c>
      <c r="H1598" t="inlineStr">
        <is>
          <t>Human rhinovirus B</t>
        </is>
      </c>
      <c r="I1598" t="inlineStr">
        <is>
          <t>species</t>
        </is>
      </c>
      <c r="J1598" t="n">
        <v>19991257</v>
      </c>
      <c r="K1598" t="n">
        <v>19991257</v>
      </c>
      <c r="L1598" s="8">
        <f>HYPERLINK("https://test.ictv.global/id/TN19982116","TN19982116@TEST")</f>
        <v/>
      </c>
      <c r="M1598" s="8">
        <f>HYPERLINK("https://test.ictv.global/id/ICTV19760416","ICTV19760416@TEST")</f>
        <v/>
      </c>
      <c r="N1598" s="8">
        <f>HYPERLINK("https://ictv.global/id/TN19982116","TN19982116@prod")</f>
        <v/>
      </c>
      <c r="O1598" s="8">
        <f>HYPERLINK("https://ictv.global/id/ICTV19760416","ICTV19760416@prod")</f>
        <v/>
      </c>
    </row>
    <row r="1599">
      <c r="A1599" t="n">
        <v>17</v>
      </c>
      <c r="B1599" t="n">
        <v>19982117</v>
      </c>
      <c r="C1599" t="n">
        <v>19760417</v>
      </c>
      <c r="D1599" t="inlineStr">
        <is>
          <t>species</t>
        </is>
      </c>
      <c r="E1599" t="inlineStr">
        <is>
          <t>Human rhinovirus 73</t>
        </is>
      </c>
      <c r="G1599" t="inlineStr">
        <is>
          <t>Abolished,</t>
        </is>
      </c>
      <c r="L1599" s="8">
        <f>HYPERLINK("https://test.ictv.global/id/TN19982117","TN19982117@TEST")</f>
        <v/>
      </c>
      <c r="M1599" s="8">
        <f>HYPERLINK("https://test.ictv.global/id/ICTV19760417","ICTV19760417@TEST")</f>
        <v/>
      </c>
      <c r="N1599" s="8">
        <f>HYPERLINK("https://ictv.global/id/TN19982117","TN19982117@prod")</f>
        <v/>
      </c>
      <c r="O1599" s="8">
        <f>HYPERLINK("https://ictv.global/id/ICTV19760417","ICTV19760417@prod")</f>
        <v/>
      </c>
    </row>
    <row r="1600">
      <c r="A1600" t="n">
        <v>17</v>
      </c>
      <c r="B1600" t="n">
        <v>19982118</v>
      </c>
      <c r="C1600" t="n">
        <v>19760418</v>
      </c>
      <c r="D1600" t="inlineStr">
        <is>
          <t>species</t>
        </is>
      </c>
      <c r="E1600" t="inlineStr">
        <is>
          <t>Human rhinovirus 74</t>
        </is>
      </c>
      <c r="G1600" t="inlineStr">
        <is>
          <t>Abolished,</t>
        </is>
      </c>
      <c r="L1600" s="8">
        <f>HYPERLINK("https://test.ictv.global/id/TN19982118","TN19982118@TEST")</f>
        <v/>
      </c>
      <c r="M1600" s="8">
        <f>HYPERLINK("https://test.ictv.global/id/ICTV19760418","ICTV19760418@TEST")</f>
        <v/>
      </c>
      <c r="N1600" s="8">
        <f>HYPERLINK("https://ictv.global/id/TN19982118","TN19982118@prod")</f>
        <v/>
      </c>
      <c r="O1600" s="8">
        <f>HYPERLINK("https://ictv.global/id/ICTV19760418","ICTV19760418@prod")</f>
        <v/>
      </c>
    </row>
    <row r="1601">
      <c r="A1601" t="n">
        <v>17</v>
      </c>
      <c r="B1601" t="n">
        <v>19982119</v>
      </c>
      <c r="C1601" t="n">
        <v>19760419</v>
      </c>
      <c r="D1601" t="inlineStr">
        <is>
          <t>species</t>
        </is>
      </c>
      <c r="E1601" t="inlineStr">
        <is>
          <t>Human rhinovirus 75</t>
        </is>
      </c>
      <c r="G1601" t="inlineStr">
        <is>
          <t>Abolished,</t>
        </is>
      </c>
      <c r="L1601" s="8">
        <f>HYPERLINK("https://test.ictv.global/id/TN19982119","TN19982119@TEST")</f>
        <v/>
      </c>
      <c r="M1601" s="8">
        <f>HYPERLINK("https://test.ictv.global/id/ICTV19760419","ICTV19760419@TEST")</f>
        <v/>
      </c>
      <c r="N1601" s="8">
        <f>HYPERLINK("https://ictv.global/id/TN19982119","TN19982119@prod")</f>
        <v/>
      </c>
      <c r="O1601" s="8">
        <f>HYPERLINK("https://ictv.global/id/ICTV19760419","ICTV19760419@prod")</f>
        <v/>
      </c>
    </row>
    <row r="1602">
      <c r="A1602" t="n">
        <v>17</v>
      </c>
      <c r="B1602" t="n">
        <v>19982120</v>
      </c>
      <c r="C1602" t="n">
        <v>19760420</v>
      </c>
      <c r="D1602" t="inlineStr">
        <is>
          <t>species</t>
        </is>
      </c>
      <c r="E1602" t="inlineStr">
        <is>
          <t>Human rhinovirus 76</t>
        </is>
      </c>
      <c r="G1602" t="inlineStr">
        <is>
          <t>Abolished,</t>
        </is>
      </c>
      <c r="L1602" s="8">
        <f>HYPERLINK("https://test.ictv.global/id/TN19982120","TN19982120@TEST")</f>
        <v/>
      </c>
      <c r="M1602" s="8">
        <f>HYPERLINK("https://test.ictv.global/id/ICTV19760420","ICTV19760420@TEST")</f>
        <v/>
      </c>
      <c r="N1602" s="8">
        <f>HYPERLINK("https://ictv.global/id/TN19982120","TN19982120@prod")</f>
        <v/>
      </c>
      <c r="O1602" s="8">
        <f>HYPERLINK("https://ictv.global/id/ICTV19760420","ICTV19760420@prod")</f>
        <v/>
      </c>
    </row>
    <row r="1603">
      <c r="A1603" t="n">
        <v>17</v>
      </c>
      <c r="B1603" t="n">
        <v>19982121</v>
      </c>
      <c r="C1603" t="n">
        <v>19760421</v>
      </c>
      <c r="D1603" t="inlineStr">
        <is>
          <t>species</t>
        </is>
      </c>
      <c r="E1603" t="inlineStr">
        <is>
          <t>Human rhinovirus 77</t>
        </is>
      </c>
      <c r="G1603" t="inlineStr">
        <is>
          <t>Abolished,</t>
        </is>
      </c>
      <c r="L1603" s="8">
        <f>HYPERLINK("https://test.ictv.global/id/TN19982121","TN19982121@TEST")</f>
        <v/>
      </c>
      <c r="M1603" s="8">
        <f>HYPERLINK("https://test.ictv.global/id/ICTV19760421","ICTV19760421@TEST")</f>
        <v/>
      </c>
      <c r="N1603" s="8">
        <f>HYPERLINK("https://ictv.global/id/TN19982121","TN19982121@prod")</f>
        <v/>
      </c>
      <c r="O1603" s="8">
        <f>HYPERLINK("https://ictv.global/id/ICTV19760421","ICTV19760421@prod")</f>
        <v/>
      </c>
    </row>
    <row r="1604">
      <c r="A1604" t="n">
        <v>17</v>
      </c>
      <c r="B1604" t="n">
        <v>19982122</v>
      </c>
      <c r="C1604" t="n">
        <v>19760422</v>
      </c>
      <c r="D1604" t="inlineStr">
        <is>
          <t>species</t>
        </is>
      </c>
      <c r="E1604" t="inlineStr">
        <is>
          <t>Human rhinovirus 78</t>
        </is>
      </c>
      <c r="G1604" t="inlineStr">
        <is>
          <t>Abolished,</t>
        </is>
      </c>
      <c r="L1604" s="8">
        <f>HYPERLINK("https://test.ictv.global/id/TN19982122","TN19982122@TEST")</f>
        <v/>
      </c>
      <c r="M1604" s="8">
        <f>HYPERLINK("https://test.ictv.global/id/ICTV19760422","ICTV19760422@TEST")</f>
        <v/>
      </c>
      <c r="N1604" s="8">
        <f>HYPERLINK("https://ictv.global/id/TN19982122","TN19982122@prod")</f>
        <v/>
      </c>
      <c r="O1604" s="8">
        <f>HYPERLINK("https://ictv.global/id/ICTV19760422","ICTV19760422@prod")</f>
        <v/>
      </c>
    </row>
    <row r="1605">
      <c r="A1605" t="n">
        <v>17</v>
      </c>
      <c r="B1605" t="n">
        <v>19982123</v>
      </c>
      <c r="C1605" t="n">
        <v>19760423</v>
      </c>
      <c r="D1605" t="inlineStr">
        <is>
          <t>species</t>
        </is>
      </c>
      <c r="E1605" t="inlineStr">
        <is>
          <t>Human rhinovirus 79</t>
        </is>
      </c>
      <c r="G1605" t="inlineStr">
        <is>
          <t>Abolished,</t>
        </is>
      </c>
      <c r="L1605" s="8">
        <f>HYPERLINK("https://test.ictv.global/id/TN19982123","TN19982123@TEST")</f>
        <v/>
      </c>
      <c r="M1605" s="8">
        <f>HYPERLINK("https://test.ictv.global/id/ICTV19760423","ICTV19760423@TEST")</f>
        <v/>
      </c>
      <c r="N1605" s="8">
        <f>HYPERLINK("https://ictv.global/id/TN19982123","TN19982123@prod")</f>
        <v/>
      </c>
      <c r="O1605" s="8">
        <f>HYPERLINK("https://ictv.global/id/ICTV19760423","ICTV19760423@prod")</f>
        <v/>
      </c>
    </row>
    <row r="1606">
      <c r="A1606" t="n">
        <v>17</v>
      </c>
      <c r="B1606" t="n">
        <v>19982124</v>
      </c>
      <c r="C1606" t="n">
        <v>19760424</v>
      </c>
      <c r="D1606" t="inlineStr">
        <is>
          <t>species</t>
        </is>
      </c>
      <c r="E1606" t="inlineStr">
        <is>
          <t>Human rhinovirus 8</t>
        </is>
      </c>
      <c r="G1606" t="inlineStr">
        <is>
          <t>Abolished,</t>
        </is>
      </c>
      <c r="L1606" s="8">
        <f>HYPERLINK("https://test.ictv.global/id/TN19982124","TN19982124@TEST")</f>
        <v/>
      </c>
      <c r="M1606" s="8">
        <f>HYPERLINK("https://test.ictv.global/id/ICTV19760424","ICTV19760424@TEST")</f>
        <v/>
      </c>
      <c r="N1606" s="8">
        <f>HYPERLINK("https://ictv.global/id/TN19982124","TN19982124@prod")</f>
        <v/>
      </c>
      <c r="O1606" s="8">
        <f>HYPERLINK("https://ictv.global/id/ICTV19760424","ICTV19760424@prod")</f>
        <v/>
      </c>
    </row>
    <row r="1607">
      <c r="A1607" t="n">
        <v>17</v>
      </c>
      <c r="B1607" t="n">
        <v>19982125</v>
      </c>
      <c r="C1607" t="n">
        <v>19760425</v>
      </c>
      <c r="D1607" t="inlineStr">
        <is>
          <t>species</t>
        </is>
      </c>
      <c r="E1607" t="inlineStr">
        <is>
          <t>Human rhinovirus 80</t>
        </is>
      </c>
      <c r="G1607" t="inlineStr">
        <is>
          <t>Abolished,</t>
        </is>
      </c>
      <c r="L1607" s="8">
        <f>HYPERLINK("https://test.ictv.global/id/TN19982125","TN19982125@TEST")</f>
        <v/>
      </c>
      <c r="M1607" s="8">
        <f>HYPERLINK("https://test.ictv.global/id/ICTV19760425","ICTV19760425@TEST")</f>
        <v/>
      </c>
      <c r="N1607" s="8">
        <f>HYPERLINK("https://ictv.global/id/TN19982125","TN19982125@prod")</f>
        <v/>
      </c>
      <c r="O1607" s="8">
        <f>HYPERLINK("https://ictv.global/id/ICTV19760425","ICTV19760425@prod")</f>
        <v/>
      </c>
    </row>
    <row r="1608">
      <c r="A1608" t="n">
        <v>17</v>
      </c>
      <c r="B1608" t="n">
        <v>19982126</v>
      </c>
      <c r="C1608" t="n">
        <v>19760426</v>
      </c>
      <c r="D1608" t="inlineStr">
        <is>
          <t>species</t>
        </is>
      </c>
      <c r="E1608" t="inlineStr">
        <is>
          <t>Human rhinovirus 81</t>
        </is>
      </c>
      <c r="G1608" t="inlineStr">
        <is>
          <t>Abolished,</t>
        </is>
      </c>
      <c r="L1608" s="8">
        <f>HYPERLINK("https://test.ictv.global/id/TN19982126","TN19982126@TEST")</f>
        <v/>
      </c>
      <c r="M1608" s="8">
        <f>HYPERLINK("https://test.ictv.global/id/ICTV19760426","ICTV19760426@TEST")</f>
        <v/>
      </c>
      <c r="N1608" s="8">
        <f>HYPERLINK("https://ictv.global/id/TN19982126","TN19982126@prod")</f>
        <v/>
      </c>
      <c r="O1608" s="8">
        <f>HYPERLINK("https://ictv.global/id/ICTV19760426","ICTV19760426@prod")</f>
        <v/>
      </c>
    </row>
    <row r="1609">
      <c r="A1609" t="n">
        <v>17</v>
      </c>
      <c r="B1609" t="n">
        <v>19982127</v>
      </c>
      <c r="C1609" t="n">
        <v>19760427</v>
      </c>
      <c r="D1609" t="inlineStr">
        <is>
          <t>species</t>
        </is>
      </c>
      <c r="E1609" t="inlineStr">
        <is>
          <t>Human rhinovirus 82</t>
        </is>
      </c>
      <c r="G1609" t="inlineStr">
        <is>
          <t>Abolished,</t>
        </is>
      </c>
      <c r="L1609" s="8">
        <f>HYPERLINK("https://test.ictv.global/id/TN19982127","TN19982127@TEST")</f>
        <v/>
      </c>
      <c r="M1609" s="8">
        <f>HYPERLINK("https://test.ictv.global/id/ICTV19760427","ICTV19760427@TEST")</f>
        <v/>
      </c>
      <c r="N1609" s="8">
        <f>HYPERLINK("https://ictv.global/id/TN19982127","TN19982127@prod")</f>
        <v/>
      </c>
      <c r="O1609" s="8">
        <f>HYPERLINK("https://ictv.global/id/ICTV19760427","ICTV19760427@prod")</f>
        <v/>
      </c>
    </row>
    <row r="1610">
      <c r="A1610" t="n">
        <v>17</v>
      </c>
      <c r="B1610" t="n">
        <v>19982128</v>
      </c>
      <c r="C1610" t="n">
        <v>19760428</v>
      </c>
      <c r="D1610" t="inlineStr">
        <is>
          <t>species</t>
        </is>
      </c>
      <c r="E1610" t="inlineStr">
        <is>
          <t>Human rhinovirus 83</t>
        </is>
      </c>
      <c r="G1610" t="inlineStr">
        <is>
          <t>Abolished,</t>
        </is>
      </c>
      <c r="L1610" s="8">
        <f>HYPERLINK("https://test.ictv.global/id/TN19982128","TN19982128@TEST")</f>
        <v/>
      </c>
      <c r="M1610" s="8">
        <f>HYPERLINK("https://test.ictv.global/id/ICTV19760428","ICTV19760428@TEST")</f>
        <v/>
      </c>
      <c r="N1610" s="8">
        <f>HYPERLINK("https://ictv.global/id/TN19982128","TN19982128@prod")</f>
        <v/>
      </c>
      <c r="O1610" s="8">
        <f>HYPERLINK("https://ictv.global/id/ICTV19760428","ICTV19760428@prod")</f>
        <v/>
      </c>
    </row>
    <row r="1611">
      <c r="A1611" t="n">
        <v>17</v>
      </c>
      <c r="B1611" t="n">
        <v>19982129</v>
      </c>
      <c r="C1611" t="n">
        <v>19760429</v>
      </c>
      <c r="D1611" t="inlineStr">
        <is>
          <t>species</t>
        </is>
      </c>
      <c r="E1611" t="inlineStr">
        <is>
          <t>Human rhinovirus 84</t>
        </is>
      </c>
      <c r="G1611" t="inlineStr">
        <is>
          <t>Abolished,</t>
        </is>
      </c>
      <c r="L1611" s="8">
        <f>HYPERLINK("https://test.ictv.global/id/TN19982129","TN19982129@TEST")</f>
        <v/>
      </c>
      <c r="M1611" s="8">
        <f>HYPERLINK("https://test.ictv.global/id/ICTV19760429","ICTV19760429@TEST")</f>
        <v/>
      </c>
      <c r="N1611" s="8">
        <f>HYPERLINK("https://ictv.global/id/TN19982129","TN19982129@prod")</f>
        <v/>
      </c>
      <c r="O1611" s="8">
        <f>HYPERLINK("https://ictv.global/id/ICTV19760429","ICTV19760429@prod")</f>
        <v/>
      </c>
    </row>
    <row r="1612">
      <c r="A1612" t="n">
        <v>17</v>
      </c>
      <c r="B1612" t="n">
        <v>19982130</v>
      </c>
      <c r="C1612" t="n">
        <v>19760430</v>
      </c>
      <c r="D1612" t="inlineStr">
        <is>
          <t>species</t>
        </is>
      </c>
      <c r="E1612" t="inlineStr">
        <is>
          <t>Human rhinovirus 85</t>
        </is>
      </c>
      <c r="G1612" t="inlineStr">
        <is>
          <t>Merged,Assigned as Type Species,</t>
        </is>
      </c>
      <c r="H1612" t="inlineStr">
        <is>
          <t>Human rhinovirus A</t>
        </is>
      </c>
      <c r="I1612" t="inlineStr">
        <is>
          <t>species</t>
        </is>
      </c>
      <c r="J1612" t="n">
        <v>19991256</v>
      </c>
      <c r="K1612" t="n">
        <v>19991256</v>
      </c>
      <c r="L1612" s="8">
        <f>HYPERLINK("https://test.ictv.global/id/TN19982130","TN19982130@TEST")</f>
        <v/>
      </c>
      <c r="M1612" s="8">
        <f>HYPERLINK("https://test.ictv.global/id/ICTV19760430","ICTV19760430@TEST")</f>
        <v/>
      </c>
      <c r="N1612" s="8">
        <f>HYPERLINK("https://ictv.global/id/TN19982130","TN19982130@prod")</f>
        <v/>
      </c>
      <c r="O1612" s="8">
        <f>HYPERLINK("https://ictv.global/id/ICTV19760430","ICTV19760430@prod")</f>
        <v/>
      </c>
    </row>
    <row r="1613">
      <c r="A1613" t="n">
        <v>17</v>
      </c>
      <c r="B1613" t="n">
        <v>19982131</v>
      </c>
      <c r="C1613" t="n">
        <v>19760431</v>
      </c>
      <c r="D1613" t="inlineStr">
        <is>
          <t>species</t>
        </is>
      </c>
      <c r="E1613" t="inlineStr">
        <is>
          <t>Human rhinovirus 86</t>
        </is>
      </c>
      <c r="G1613" t="inlineStr">
        <is>
          <t>Abolished,</t>
        </is>
      </c>
      <c r="L1613" s="8">
        <f>HYPERLINK("https://test.ictv.global/id/TN19982131","TN19982131@TEST")</f>
        <v/>
      </c>
      <c r="M1613" s="8">
        <f>HYPERLINK("https://test.ictv.global/id/ICTV19760431","ICTV19760431@TEST")</f>
        <v/>
      </c>
      <c r="N1613" s="8">
        <f>HYPERLINK("https://ictv.global/id/TN19982131","TN19982131@prod")</f>
        <v/>
      </c>
      <c r="O1613" s="8">
        <f>HYPERLINK("https://ictv.global/id/ICTV19760431","ICTV19760431@prod")</f>
        <v/>
      </c>
    </row>
    <row r="1614">
      <c r="A1614" t="n">
        <v>17</v>
      </c>
      <c r="B1614" t="n">
        <v>19982132</v>
      </c>
      <c r="C1614" t="n">
        <v>19760432</v>
      </c>
      <c r="D1614" t="inlineStr">
        <is>
          <t>species</t>
        </is>
      </c>
      <c r="E1614" t="inlineStr">
        <is>
          <t>Human rhinovirus 87</t>
        </is>
      </c>
      <c r="G1614" t="inlineStr">
        <is>
          <t>Abolished,</t>
        </is>
      </c>
      <c r="L1614" s="8">
        <f>HYPERLINK("https://test.ictv.global/id/TN19982132","TN19982132@TEST")</f>
        <v/>
      </c>
      <c r="M1614" s="8">
        <f>HYPERLINK("https://test.ictv.global/id/ICTV19760432","ICTV19760432@TEST")</f>
        <v/>
      </c>
      <c r="N1614" s="8">
        <f>HYPERLINK("https://ictv.global/id/TN19982132","TN19982132@prod")</f>
        <v/>
      </c>
      <c r="O1614" s="8">
        <f>HYPERLINK("https://ictv.global/id/ICTV19760432","ICTV19760432@prod")</f>
        <v/>
      </c>
    </row>
    <row r="1615">
      <c r="A1615" t="n">
        <v>17</v>
      </c>
      <c r="B1615" t="n">
        <v>19982133</v>
      </c>
      <c r="C1615" t="n">
        <v>19760433</v>
      </c>
      <c r="D1615" t="inlineStr">
        <is>
          <t>species</t>
        </is>
      </c>
      <c r="E1615" t="inlineStr">
        <is>
          <t>Human rhinovirus 88</t>
        </is>
      </c>
      <c r="G1615" t="inlineStr">
        <is>
          <t>Abolished,</t>
        </is>
      </c>
      <c r="L1615" s="8">
        <f>HYPERLINK("https://test.ictv.global/id/TN19982133","TN19982133@TEST")</f>
        <v/>
      </c>
      <c r="M1615" s="8">
        <f>HYPERLINK("https://test.ictv.global/id/ICTV19760433","ICTV19760433@TEST")</f>
        <v/>
      </c>
      <c r="N1615" s="8">
        <f>HYPERLINK("https://ictv.global/id/TN19982133","TN19982133@prod")</f>
        <v/>
      </c>
      <c r="O1615" s="8">
        <f>HYPERLINK("https://ictv.global/id/ICTV19760433","ICTV19760433@prod")</f>
        <v/>
      </c>
    </row>
    <row r="1616">
      <c r="A1616" t="n">
        <v>17</v>
      </c>
      <c r="B1616" t="n">
        <v>19982134</v>
      </c>
      <c r="C1616" t="n">
        <v>19760434</v>
      </c>
      <c r="D1616" t="inlineStr">
        <is>
          <t>species</t>
        </is>
      </c>
      <c r="E1616" t="inlineStr">
        <is>
          <t>Human rhinovirus 89</t>
        </is>
      </c>
      <c r="G1616" t="inlineStr">
        <is>
          <t>Merged,Assigned as Type Species,</t>
        </is>
      </c>
      <c r="H1616" t="inlineStr">
        <is>
          <t>Human rhinovirus A</t>
        </is>
      </c>
      <c r="I1616" t="inlineStr">
        <is>
          <t>species</t>
        </is>
      </c>
      <c r="J1616" t="n">
        <v>19991256</v>
      </c>
      <c r="K1616" t="n">
        <v>19991256</v>
      </c>
      <c r="L1616" s="8">
        <f>HYPERLINK("https://test.ictv.global/id/TN19982134","TN19982134@TEST")</f>
        <v/>
      </c>
      <c r="M1616" s="8">
        <f>HYPERLINK("https://test.ictv.global/id/ICTV19760434","ICTV19760434@TEST")</f>
        <v/>
      </c>
      <c r="N1616" s="8">
        <f>HYPERLINK("https://ictv.global/id/TN19982134","TN19982134@prod")</f>
        <v/>
      </c>
      <c r="O1616" s="8">
        <f>HYPERLINK("https://ictv.global/id/ICTV19760434","ICTV19760434@prod")</f>
        <v/>
      </c>
    </row>
    <row r="1617">
      <c r="A1617" t="n">
        <v>17</v>
      </c>
      <c r="B1617" t="n">
        <v>19982135</v>
      </c>
      <c r="C1617" t="n">
        <v>19760435</v>
      </c>
      <c r="D1617" t="inlineStr">
        <is>
          <t>species</t>
        </is>
      </c>
      <c r="E1617" t="inlineStr">
        <is>
          <t>Human rhinovirus 9</t>
        </is>
      </c>
      <c r="G1617" t="inlineStr">
        <is>
          <t>Merged,Assigned as Type Species,</t>
        </is>
      </c>
      <c r="H1617" t="inlineStr">
        <is>
          <t>Human rhinovirus A</t>
        </is>
      </c>
      <c r="I1617" t="inlineStr">
        <is>
          <t>species</t>
        </is>
      </c>
      <c r="J1617" t="n">
        <v>19991256</v>
      </c>
      <c r="K1617" t="n">
        <v>19991256</v>
      </c>
      <c r="L1617" s="8">
        <f>HYPERLINK("https://test.ictv.global/id/TN19982135","TN19982135@TEST")</f>
        <v/>
      </c>
      <c r="M1617" s="8">
        <f>HYPERLINK("https://test.ictv.global/id/ICTV19760435","ICTV19760435@TEST")</f>
        <v/>
      </c>
      <c r="N1617" s="8">
        <f>HYPERLINK("https://ictv.global/id/TN19982135","TN19982135@prod")</f>
        <v/>
      </c>
      <c r="O1617" s="8">
        <f>HYPERLINK("https://ictv.global/id/ICTV19760435","ICTV19760435@prod")</f>
        <v/>
      </c>
    </row>
    <row r="1618">
      <c r="A1618" t="n">
        <v>17</v>
      </c>
      <c r="B1618" t="n">
        <v>19982136</v>
      </c>
      <c r="C1618" t="n">
        <v>19760436</v>
      </c>
      <c r="D1618" t="inlineStr">
        <is>
          <t>species</t>
        </is>
      </c>
      <c r="E1618" t="inlineStr">
        <is>
          <t>Human rhinovirus 90</t>
        </is>
      </c>
      <c r="G1618" t="inlineStr">
        <is>
          <t>Abolished,</t>
        </is>
      </c>
      <c r="L1618" s="8">
        <f>HYPERLINK("https://test.ictv.global/id/TN19982136","TN19982136@TEST")</f>
        <v/>
      </c>
      <c r="M1618" s="8">
        <f>HYPERLINK("https://test.ictv.global/id/ICTV19760436","ICTV19760436@TEST")</f>
        <v/>
      </c>
      <c r="N1618" s="8">
        <f>HYPERLINK("https://ictv.global/id/TN19982136","TN19982136@prod")</f>
        <v/>
      </c>
      <c r="O1618" s="8">
        <f>HYPERLINK("https://ictv.global/id/ICTV19760436","ICTV19760436@prod")</f>
        <v/>
      </c>
    </row>
    <row r="1619">
      <c r="A1619" t="n">
        <v>17</v>
      </c>
      <c r="B1619" t="n">
        <v>19982137</v>
      </c>
      <c r="C1619" t="n">
        <v>19760437</v>
      </c>
      <c r="D1619" t="inlineStr">
        <is>
          <t>species</t>
        </is>
      </c>
      <c r="E1619" t="inlineStr">
        <is>
          <t>Human rhinovirus 91</t>
        </is>
      </c>
      <c r="G1619" t="inlineStr">
        <is>
          <t>Abolished,</t>
        </is>
      </c>
      <c r="L1619" s="8">
        <f>HYPERLINK("https://test.ictv.global/id/TN19982137","TN19982137@TEST")</f>
        <v/>
      </c>
      <c r="M1619" s="8">
        <f>HYPERLINK("https://test.ictv.global/id/ICTV19760437","ICTV19760437@TEST")</f>
        <v/>
      </c>
      <c r="N1619" s="8">
        <f>HYPERLINK("https://ictv.global/id/TN19982137","TN19982137@prod")</f>
        <v/>
      </c>
      <c r="O1619" s="8">
        <f>HYPERLINK("https://ictv.global/id/ICTV19760437","ICTV19760437@prod")</f>
        <v/>
      </c>
    </row>
    <row r="1620">
      <c r="A1620" t="n">
        <v>17</v>
      </c>
      <c r="B1620" t="n">
        <v>19982138</v>
      </c>
      <c r="C1620" t="n">
        <v>19760438</v>
      </c>
      <c r="D1620" t="inlineStr">
        <is>
          <t>species</t>
        </is>
      </c>
      <c r="E1620" t="inlineStr">
        <is>
          <t>Human rhinovirus 92</t>
        </is>
      </c>
      <c r="G1620" t="inlineStr">
        <is>
          <t>Abolished,</t>
        </is>
      </c>
      <c r="L1620" s="8">
        <f>HYPERLINK("https://test.ictv.global/id/TN19982138","TN19982138@TEST")</f>
        <v/>
      </c>
      <c r="M1620" s="8">
        <f>HYPERLINK("https://test.ictv.global/id/ICTV19760438","ICTV19760438@TEST")</f>
        <v/>
      </c>
      <c r="N1620" s="8">
        <f>HYPERLINK("https://ictv.global/id/TN19982138","TN19982138@prod")</f>
        <v/>
      </c>
      <c r="O1620" s="8">
        <f>HYPERLINK("https://ictv.global/id/ICTV19760438","ICTV19760438@prod")</f>
        <v/>
      </c>
    </row>
    <row r="1621">
      <c r="A1621" t="n">
        <v>17</v>
      </c>
      <c r="B1621" t="n">
        <v>19982139</v>
      </c>
      <c r="C1621" t="n">
        <v>19760439</v>
      </c>
      <c r="D1621" t="inlineStr">
        <is>
          <t>species</t>
        </is>
      </c>
      <c r="E1621" t="inlineStr">
        <is>
          <t>Human rhinovirus 93</t>
        </is>
      </c>
      <c r="G1621" t="inlineStr">
        <is>
          <t>Abolished,</t>
        </is>
      </c>
      <c r="L1621" s="8">
        <f>HYPERLINK("https://test.ictv.global/id/TN19982139","TN19982139@TEST")</f>
        <v/>
      </c>
      <c r="M1621" s="8">
        <f>HYPERLINK("https://test.ictv.global/id/ICTV19760439","ICTV19760439@TEST")</f>
        <v/>
      </c>
      <c r="N1621" s="8">
        <f>HYPERLINK("https://ictv.global/id/TN19982139","TN19982139@prod")</f>
        <v/>
      </c>
      <c r="O1621" s="8">
        <f>HYPERLINK("https://ictv.global/id/ICTV19760439","ICTV19760439@prod")</f>
        <v/>
      </c>
    </row>
    <row r="1622">
      <c r="A1622" t="n">
        <v>17</v>
      </c>
      <c r="B1622" t="n">
        <v>19982140</v>
      </c>
      <c r="C1622" t="n">
        <v>19760440</v>
      </c>
      <c r="D1622" t="inlineStr">
        <is>
          <t>species</t>
        </is>
      </c>
      <c r="E1622" t="inlineStr">
        <is>
          <t>Human rhinovirus 94</t>
        </is>
      </c>
      <c r="G1622" t="inlineStr">
        <is>
          <t>Abolished,</t>
        </is>
      </c>
      <c r="L1622" s="8">
        <f>HYPERLINK("https://test.ictv.global/id/TN19982140","TN19982140@TEST")</f>
        <v/>
      </c>
      <c r="M1622" s="8">
        <f>HYPERLINK("https://test.ictv.global/id/ICTV19760440","ICTV19760440@TEST")</f>
        <v/>
      </c>
      <c r="N1622" s="8">
        <f>HYPERLINK("https://ictv.global/id/TN19982140","TN19982140@prod")</f>
        <v/>
      </c>
      <c r="O1622" s="8">
        <f>HYPERLINK("https://ictv.global/id/ICTV19760440","ICTV19760440@prod")</f>
        <v/>
      </c>
    </row>
    <row r="1623">
      <c r="A1623" t="n">
        <v>17</v>
      </c>
      <c r="B1623" t="n">
        <v>19982141</v>
      </c>
      <c r="C1623" t="n">
        <v>19760441</v>
      </c>
      <c r="D1623" t="inlineStr">
        <is>
          <t>species</t>
        </is>
      </c>
      <c r="E1623" t="inlineStr">
        <is>
          <t>Human rhinovirus 95</t>
        </is>
      </c>
      <c r="G1623" t="inlineStr">
        <is>
          <t>Abolished,</t>
        </is>
      </c>
      <c r="L1623" s="8">
        <f>HYPERLINK("https://test.ictv.global/id/TN19982141","TN19982141@TEST")</f>
        <v/>
      </c>
      <c r="M1623" s="8">
        <f>HYPERLINK("https://test.ictv.global/id/ICTV19760441","ICTV19760441@TEST")</f>
        <v/>
      </c>
      <c r="N1623" s="8">
        <f>HYPERLINK("https://ictv.global/id/TN19982141","TN19982141@prod")</f>
        <v/>
      </c>
      <c r="O1623" s="8">
        <f>HYPERLINK("https://ictv.global/id/ICTV19760441","ICTV19760441@prod")</f>
        <v/>
      </c>
    </row>
    <row r="1624">
      <c r="A1624" t="n">
        <v>17</v>
      </c>
      <c r="B1624" t="n">
        <v>19982142</v>
      </c>
      <c r="C1624" t="n">
        <v>19760442</v>
      </c>
      <c r="D1624" t="inlineStr">
        <is>
          <t>species</t>
        </is>
      </c>
      <c r="E1624" t="inlineStr">
        <is>
          <t>Human rhinovirus 96</t>
        </is>
      </c>
      <c r="G1624" t="inlineStr">
        <is>
          <t>Abolished,</t>
        </is>
      </c>
      <c r="L1624" s="8">
        <f>HYPERLINK("https://test.ictv.global/id/TN19982142","TN19982142@TEST")</f>
        <v/>
      </c>
      <c r="M1624" s="8">
        <f>HYPERLINK("https://test.ictv.global/id/ICTV19760442","ICTV19760442@TEST")</f>
        <v/>
      </c>
      <c r="N1624" s="8">
        <f>HYPERLINK("https://ictv.global/id/TN19982142","TN19982142@prod")</f>
        <v/>
      </c>
      <c r="O1624" s="8">
        <f>HYPERLINK("https://ictv.global/id/ICTV19760442","ICTV19760442@prod")</f>
        <v/>
      </c>
    </row>
    <row r="1625">
      <c r="A1625" t="n">
        <v>17</v>
      </c>
      <c r="B1625" t="n">
        <v>19982143</v>
      </c>
      <c r="C1625" t="n">
        <v>19760443</v>
      </c>
      <c r="D1625" t="inlineStr">
        <is>
          <t>species</t>
        </is>
      </c>
      <c r="E1625" t="inlineStr">
        <is>
          <t>Human rhinovirus 97</t>
        </is>
      </c>
      <c r="G1625" t="inlineStr">
        <is>
          <t>Abolished,</t>
        </is>
      </c>
      <c r="L1625" s="8">
        <f>HYPERLINK("https://test.ictv.global/id/TN19982143","TN19982143@TEST")</f>
        <v/>
      </c>
      <c r="M1625" s="8">
        <f>HYPERLINK("https://test.ictv.global/id/ICTV19760443","ICTV19760443@TEST")</f>
        <v/>
      </c>
      <c r="N1625" s="8">
        <f>HYPERLINK("https://ictv.global/id/TN19982143","TN19982143@prod")</f>
        <v/>
      </c>
      <c r="O1625" s="8">
        <f>HYPERLINK("https://ictv.global/id/ICTV19760443","ICTV19760443@prod")</f>
        <v/>
      </c>
    </row>
    <row r="1626">
      <c r="A1626" t="n">
        <v>17</v>
      </c>
      <c r="B1626" t="n">
        <v>19982144</v>
      </c>
      <c r="C1626" t="n">
        <v>19760444</v>
      </c>
      <c r="D1626" t="inlineStr">
        <is>
          <t>species</t>
        </is>
      </c>
      <c r="E1626" t="inlineStr">
        <is>
          <t>Human rhinovirus 98</t>
        </is>
      </c>
      <c r="G1626" t="inlineStr">
        <is>
          <t>Abolished,</t>
        </is>
      </c>
      <c r="L1626" s="8">
        <f>HYPERLINK("https://test.ictv.global/id/TN19982144","TN19982144@TEST")</f>
        <v/>
      </c>
      <c r="M1626" s="8">
        <f>HYPERLINK("https://test.ictv.global/id/ICTV19760444","ICTV19760444@TEST")</f>
        <v/>
      </c>
      <c r="N1626" s="8">
        <f>HYPERLINK("https://ictv.global/id/TN19982144","TN19982144@prod")</f>
        <v/>
      </c>
      <c r="O1626" s="8">
        <f>HYPERLINK("https://ictv.global/id/ICTV19760444","ICTV19760444@prod")</f>
        <v/>
      </c>
    </row>
    <row r="1627">
      <c r="A1627" t="n">
        <v>17</v>
      </c>
      <c r="B1627" t="n">
        <v>19982145</v>
      </c>
      <c r="C1627" t="n">
        <v>19760445</v>
      </c>
      <c r="D1627" t="inlineStr">
        <is>
          <t>species</t>
        </is>
      </c>
      <c r="E1627" t="inlineStr">
        <is>
          <t>Human rhinovirus 99</t>
        </is>
      </c>
      <c r="G1627" t="inlineStr">
        <is>
          <t>Abolished,</t>
        </is>
      </c>
      <c r="L1627" s="8">
        <f>HYPERLINK("https://test.ictv.global/id/TN19982145","TN19982145@TEST")</f>
        <v/>
      </c>
      <c r="M1627" s="8">
        <f>HYPERLINK("https://test.ictv.global/id/ICTV19760445","ICTV19760445@TEST")</f>
        <v/>
      </c>
      <c r="N1627" s="8">
        <f>HYPERLINK("https://ictv.global/id/TN19982145","TN19982145@prod")</f>
        <v/>
      </c>
      <c r="O1627" s="8">
        <f>HYPERLINK("https://ictv.global/id/ICTV19760445","ICTV19760445@prod")</f>
        <v/>
      </c>
    </row>
    <row r="1628">
      <c r="A1628" t="n">
        <v>17</v>
      </c>
      <c r="B1628" t="n">
        <v>19982148</v>
      </c>
      <c r="C1628" t="n">
        <v>19951742</v>
      </c>
      <c r="D1628" t="inlineStr">
        <is>
          <t>species</t>
        </is>
      </c>
      <c r="E1628" t="inlineStr">
        <is>
          <t>Acholeplasma phage M1</t>
        </is>
      </c>
      <c r="G1628" t="inlineStr">
        <is>
          <t>Abolished,</t>
        </is>
      </c>
      <c r="L1628" s="8">
        <f>HYPERLINK("https://test.ictv.global/id/TN19982148","TN19982148@TEST")</f>
        <v/>
      </c>
      <c r="M1628" s="8">
        <f>HYPERLINK("https://test.ictv.global/id/ICTV19951742","ICTV19951742@TEST")</f>
        <v/>
      </c>
      <c r="N1628" s="8">
        <f>HYPERLINK("https://ictv.global/id/TN19982148","TN19982148@prod")</f>
        <v/>
      </c>
      <c r="O1628" s="8">
        <f>HYPERLINK("https://ictv.global/id/ICTV19951742","ICTV19951742@prod")</f>
        <v/>
      </c>
    </row>
    <row r="1629">
      <c r="A1629" t="n">
        <v>17</v>
      </c>
      <c r="B1629" t="n">
        <v>19982149</v>
      </c>
      <c r="C1629" t="n">
        <v>19951743</v>
      </c>
      <c r="D1629" t="inlineStr">
        <is>
          <t>species</t>
        </is>
      </c>
      <c r="E1629" t="inlineStr">
        <is>
          <t>Acholeplasma phage O1</t>
        </is>
      </c>
      <c r="G1629" t="inlineStr">
        <is>
          <t>Abolished,</t>
        </is>
      </c>
      <c r="L1629" s="8">
        <f>HYPERLINK("https://test.ictv.global/id/TN19982149","TN19982149@TEST")</f>
        <v/>
      </c>
      <c r="M1629" s="8">
        <f>HYPERLINK("https://test.ictv.global/id/ICTV19951743","ICTV19951743@TEST")</f>
        <v/>
      </c>
      <c r="N1629" s="8">
        <f>HYPERLINK("https://ictv.global/id/TN19982149","TN19982149@prod")</f>
        <v/>
      </c>
      <c r="O1629" s="8">
        <f>HYPERLINK("https://ictv.global/id/ICTV19951743","ICTV19951743@prod")</f>
        <v/>
      </c>
    </row>
    <row r="1630">
      <c r="A1630" t="n">
        <v>17</v>
      </c>
      <c r="B1630" t="n">
        <v>19982150</v>
      </c>
      <c r="C1630" t="n">
        <v>19951744</v>
      </c>
      <c r="D1630" t="inlineStr">
        <is>
          <t>species</t>
        </is>
      </c>
      <c r="E1630" t="inlineStr">
        <is>
          <t>Acholeplasma phage v1</t>
        </is>
      </c>
      <c r="G1630" t="inlineStr">
        <is>
          <t>Abolished,</t>
        </is>
      </c>
      <c r="L1630" s="8">
        <f>HYPERLINK("https://test.ictv.global/id/TN19982150","TN19982150@TEST")</f>
        <v/>
      </c>
      <c r="M1630" s="8">
        <f>HYPERLINK("https://test.ictv.global/id/ICTV19951744","ICTV19951744@TEST")</f>
        <v/>
      </c>
      <c r="N1630" s="8">
        <f>HYPERLINK("https://ictv.global/id/TN19982150","TN19982150@prod")</f>
        <v/>
      </c>
      <c r="O1630" s="8">
        <f>HYPERLINK("https://ictv.global/id/ICTV19951744","ICTV19951744@prod")</f>
        <v/>
      </c>
    </row>
    <row r="1631">
      <c r="A1631" t="n">
        <v>17</v>
      </c>
      <c r="B1631" t="n">
        <v>19982151</v>
      </c>
      <c r="C1631" t="n">
        <v>19951745</v>
      </c>
      <c r="D1631" t="inlineStr">
        <is>
          <t>species</t>
        </is>
      </c>
      <c r="E1631" t="inlineStr">
        <is>
          <t>Acholeplasma phage v2</t>
        </is>
      </c>
      <c r="G1631" t="inlineStr">
        <is>
          <t>Abolished,</t>
        </is>
      </c>
      <c r="L1631" s="8">
        <f>HYPERLINK("https://test.ictv.global/id/TN19982151","TN19982151@TEST")</f>
        <v/>
      </c>
      <c r="M1631" s="8">
        <f>HYPERLINK("https://test.ictv.global/id/ICTV19951745","ICTV19951745@TEST")</f>
        <v/>
      </c>
      <c r="N1631" s="8">
        <f>HYPERLINK("https://ictv.global/id/TN19982151","TN19982151@prod")</f>
        <v/>
      </c>
      <c r="O1631" s="8">
        <f>HYPERLINK("https://ictv.global/id/ICTV19951745","ICTV19951745@prod")</f>
        <v/>
      </c>
    </row>
    <row r="1632">
      <c r="A1632" t="n">
        <v>17</v>
      </c>
      <c r="B1632" t="n">
        <v>19982152</v>
      </c>
      <c r="C1632" t="n">
        <v>19951746</v>
      </c>
      <c r="D1632" t="inlineStr">
        <is>
          <t>species</t>
        </is>
      </c>
      <c r="E1632" t="inlineStr">
        <is>
          <t>Acholeplasma phage v4</t>
        </is>
      </c>
      <c r="G1632" t="inlineStr">
        <is>
          <t>Abolished,</t>
        </is>
      </c>
      <c r="L1632" s="8">
        <f>HYPERLINK("https://test.ictv.global/id/TN19982152","TN19982152@TEST")</f>
        <v/>
      </c>
      <c r="M1632" s="8">
        <f>HYPERLINK("https://test.ictv.global/id/ICTV19951746","ICTV19951746@TEST")</f>
        <v/>
      </c>
      <c r="N1632" s="8">
        <f>HYPERLINK("https://ictv.global/id/TN19982152","TN19982152@prod")</f>
        <v/>
      </c>
      <c r="O1632" s="8">
        <f>HYPERLINK("https://ictv.global/id/ICTV19951746","ICTV19951746@prod")</f>
        <v/>
      </c>
    </row>
    <row r="1633">
      <c r="A1633" t="n">
        <v>17</v>
      </c>
      <c r="B1633" t="n">
        <v>19982153</v>
      </c>
      <c r="C1633" t="n">
        <v>19951747</v>
      </c>
      <c r="D1633" t="inlineStr">
        <is>
          <t>species</t>
        </is>
      </c>
      <c r="E1633" t="inlineStr">
        <is>
          <t>Acholeplasma phage v5</t>
        </is>
      </c>
      <c r="G1633" t="inlineStr">
        <is>
          <t>Abolished,</t>
        </is>
      </c>
      <c r="L1633" s="8">
        <f>HYPERLINK("https://test.ictv.global/id/TN19982153","TN19982153@TEST")</f>
        <v/>
      </c>
      <c r="M1633" s="8">
        <f>HYPERLINK("https://test.ictv.global/id/ICTV19951747","ICTV19951747@TEST")</f>
        <v/>
      </c>
      <c r="N1633" s="8">
        <f>HYPERLINK("https://ictv.global/id/TN19982153","TN19982153@prod")</f>
        <v/>
      </c>
      <c r="O1633" s="8">
        <f>HYPERLINK("https://ictv.global/id/ICTV19951747","ICTV19951747@prod")</f>
        <v/>
      </c>
    </row>
    <row r="1634">
      <c r="A1634" t="n">
        <v>17</v>
      </c>
      <c r="B1634" t="n">
        <v>19982154</v>
      </c>
      <c r="C1634" t="n">
        <v>19951748</v>
      </c>
      <c r="D1634" t="inlineStr">
        <is>
          <t>species</t>
        </is>
      </c>
      <c r="E1634" t="inlineStr">
        <is>
          <t>Acholeplasma phage v7</t>
        </is>
      </c>
      <c r="G1634" t="inlineStr">
        <is>
          <t>Abolished,</t>
        </is>
      </c>
      <c r="L1634" s="8">
        <f>HYPERLINK("https://test.ictv.global/id/TN19982154","TN19982154@TEST")</f>
        <v/>
      </c>
      <c r="M1634" s="8">
        <f>HYPERLINK("https://test.ictv.global/id/ICTV19951748","ICTV19951748@TEST")</f>
        <v/>
      </c>
      <c r="N1634" s="8">
        <f>HYPERLINK("https://ictv.global/id/TN19982154","TN19982154@prod")</f>
        <v/>
      </c>
      <c r="O1634" s="8">
        <f>HYPERLINK("https://ictv.global/id/ICTV19951748","ICTV19951748@prod")</f>
        <v/>
      </c>
    </row>
    <row r="1635">
      <c r="A1635" t="n">
        <v>17</v>
      </c>
      <c r="B1635" t="n">
        <v>19982188</v>
      </c>
      <c r="C1635" t="n">
        <v>19951829</v>
      </c>
      <c r="D1635" t="inlineStr">
        <is>
          <t>species</t>
        </is>
      </c>
      <c r="E1635" t="inlineStr">
        <is>
          <t>Campoletis sp. virus</t>
        </is>
      </c>
      <c r="G1635" t="inlineStr">
        <is>
          <t>Abolished,</t>
        </is>
      </c>
      <c r="L1635" s="8">
        <f>HYPERLINK("https://test.ictv.global/id/TN19982188","TN19982188@TEST")</f>
        <v/>
      </c>
      <c r="M1635" s="8">
        <f>HYPERLINK("https://test.ictv.global/id/ICTV19951829","ICTV19951829@TEST")</f>
        <v/>
      </c>
      <c r="N1635" s="8">
        <f>HYPERLINK("https://ictv.global/id/TN19982188","TN19982188@prod")</f>
        <v/>
      </c>
      <c r="O1635" s="8">
        <f>HYPERLINK("https://ictv.global/id/ICTV19951829","ICTV19951829@prod")</f>
        <v/>
      </c>
    </row>
    <row r="1636">
      <c r="A1636" t="n">
        <v>17</v>
      </c>
      <c r="B1636" t="n">
        <v>19982192</v>
      </c>
      <c r="C1636" t="n">
        <v>19951833</v>
      </c>
      <c r="D1636" t="inlineStr">
        <is>
          <t>species</t>
        </is>
      </c>
      <c r="E1636" t="inlineStr">
        <is>
          <t>Casinaria sp. virus</t>
        </is>
      </c>
      <c r="G1636" t="inlineStr">
        <is>
          <t>Abolished,</t>
        </is>
      </c>
      <c r="L1636" s="8">
        <f>HYPERLINK("https://test.ictv.global/id/TN19982192","TN19982192@TEST")</f>
        <v/>
      </c>
      <c r="M1636" s="8">
        <f>HYPERLINK("https://test.ictv.global/id/ICTV19951833","ICTV19951833@TEST")</f>
        <v/>
      </c>
      <c r="N1636" s="8">
        <f>HYPERLINK("https://ictv.global/id/TN19982192","TN19982192@prod")</f>
        <v/>
      </c>
      <c r="O1636" s="8">
        <f>HYPERLINK("https://ictv.global/id/ICTV19951833","ICTV19951833@prod")</f>
        <v/>
      </c>
    </row>
    <row r="1637">
      <c r="A1637" t="n">
        <v>17</v>
      </c>
      <c r="B1637" t="n">
        <v>19982196</v>
      </c>
      <c r="C1637" t="n">
        <v>19951837</v>
      </c>
      <c r="D1637" t="inlineStr">
        <is>
          <t>species</t>
        </is>
      </c>
      <c r="E1637" t="inlineStr">
        <is>
          <t>Drusona sp. virus</t>
        </is>
      </c>
      <c r="G1637" t="inlineStr">
        <is>
          <t>Abolished,</t>
        </is>
      </c>
      <c r="L1637" s="8">
        <f>HYPERLINK("https://test.ictv.global/id/TN19982196","TN19982196@TEST")</f>
        <v/>
      </c>
      <c r="M1637" s="8">
        <f>HYPERLINK("https://test.ictv.global/id/ICTV19951837","ICTV19951837@TEST")</f>
        <v/>
      </c>
      <c r="N1637" s="8">
        <f>HYPERLINK("https://ictv.global/id/TN19982196","TN19982196@prod")</f>
        <v/>
      </c>
      <c r="O1637" s="8">
        <f>HYPERLINK("https://ictv.global/id/ICTV19951837","ICTV19951837@prod")</f>
        <v/>
      </c>
    </row>
    <row r="1638">
      <c r="A1638" t="n">
        <v>17</v>
      </c>
      <c r="B1638" t="n">
        <v>19982200</v>
      </c>
      <c r="C1638" t="n">
        <v>19951841</v>
      </c>
      <c r="D1638" t="inlineStr">
        <is>
          <t>species</t>
        </is>
      </c>
      <c r="E1638" t="inlineStr">
        <is>
          <t>Glypta sp. virus</t>
        </is>
      </c>
      <c r="G1638" t="inlineStr">
        <is>
          <t>Abolished,</t>
        </is>
      </c>
      <c r="L1638" s="8">
        <f>HYPERLINK("https://test.ictv.global/id/TN19982200","TN19982200@TEST")</f>
        <v/>
      </c>
      <c r="M1638" s="8">
        <f>HYPERLINK("https://test.ictv.global/id/ICTV19951841","ICTV19951841@TEST")</f>
        <v/>
      </c>
      <c r="N1638" s="8">
        <f>HYPERLINK("https://ictv.global/id/TN19982200","TN19982200@prod")</f>
        <v/>
      </c>
      <c r="O1638" s="8">
        <f>HYPERLINK("https://ictv.global/id/ICTV19951841","ICTV19951841@prod")</f>
        <v/>
      </c>
    </row>
    <row r="1639">
      <c r="A1639" t="n">
        <v>17</v>
      </c>
      <c r="B1639" t="n">
        <v>19982207</v>
      </c>
      <c r="C1639" t="n">
        <v>19951848</v>
      </c>
      <c r="D1639" t="inlineStr">
        <is>
          <t>species</t>
        </is>
      </c>
      <c r="E1639" t="inlineStr">
        <is>
          <t>Lissonota sp. virus</t>
        </is>
      </c>
      <c r="G1639" t="inlineStr">
        <is>
          <t>Abolished,</t>
        </is>
      </c>
      <c r="L1639" s="8">
        <f>HYPERLINK("https://test.ictv.global/id/TN19982207","TN19982207@TEST")</f>
        <v/>
      </c>
      <c r="M1639" s="8">
        <f>HYPERLINK("https://test.ictv.global/id/ICTV19951848","ICTV19951848@TEST")</f>
        <v/>
      </c>
      <c r="N1639" s="8">
        <f>HYPERLINK("https://ictv.global/id/TN19982207","TN19982207@prod")</f>
        <v/>
      </c>
      <c r="O1639" s="8">
        <f>HYPERLINK("https://ictv.global/id/ICTV19951848","ICTV19951848@prod")</f>
        <v/>
      </c>
    </row>
    <row r="1640">
      <c r="A1640" t="n">
        <v>17</v>
      </c>
      <c r="B1640" t="n">
        <v>19982211</v>
      </c>
      <c r="C1640" t="n">
        <v>19951852</v>
      </c>
      <c r="D1640" t="inlineStr">
        <is>
          <t>species</t>
        </is>
      </c>
      <c r="E1640" t="inlineStr">
        <is>
          <t>Tranosema sp. virus</t>
        </is>
      </c>
      <c r="G1640" t="inlineStr">
        <is>
          <t>Abolished,</t>
        </is>
      </c>
      <c r="L1640" s="8">
        <f>HYPERLINK("https://test.ictv.global/id/TN19982211","TN19982211@TEST")</f>
        <v/>
      </c>
      <c r="M1640" s="8">
        <f>HYPERLINK("https://test.ictv.global/id/ICTV19951852","ICTV19951852@TEST")</f>
        <v/>
      </c>
      <c r="N1640" s="8">
        <f>HYPERLINK("https://ictv.global/id/TN19982211","TN19982211@prod")</f>
        <v/>
      </c>
      <c r="O1640" s="8">
        <f>HYPERLINK("https://ictv.global/id/ICTV19951852","ICTV19951852@prod")</f>
        <v/>
      </c>
    </row>
    <row r="1641">
      <c r="A1641" t="n">
        <v>17</v>
      </c>
      <c r="B1641" t="n">
        <v>19982245</v>
      </c>
      <c r="C1641" t="n">
        <v>19991368</v>
      </c>
      <c r="D1641" t="inlineStr">
        <is>
          <t>species</t>
        </is>
      </c>
      <c r="E1641" t="inlineStr">
        <is>
          <t>Bean common mosaic virus</t>
        </is>
      </c>
      <c r="F1641" t="inlineStr">
        <is>
          <t>U34972</t>
        </is>
      </c>
      <c r="G1641" t="inlineStr">
        <is>
          <t>Merged,</t>
        </is>
      </c>
      <c r="H1641" t="inlineStr">
        <is>
          <t>Bean common mosaic virus</t>
        </is>
      </c>
      <c r="I1641" t="inlineStr">
        <is>
          <t>species</t>
        </is>
      </c>
      <c r="J1641" t="n">
        <v>19991368</v>
      </c>
      <c r="K1641" t="n">
        <v>19991368</v>
      </c>
      <c r="L1641" s="8">
        <f>HYPERLINK("https://test.ictv.global/id/TN19982245","TN19982245@TEST")</f>
        <v/>
      </c>
      <c r="M1641" s="8">
        <f>HYPERLINK("https://test.ictv.global/id/ICTV19991368","ICTV19991368@TEST")</f>
        <v/>
      </c>
      <c r="N1641" s="8">
        <f>HYPERLINK("https://ictv.global/id/TN19982245","TN19982245@prod")</f>
        <v/>
      </c>
      <c r="O1641" s="8">
        <f>HYPERLINK("https://ictv.global/id/ICTV19991368","ICTV19991368@prod")</f>
        <v/>
      </c>
    </row>
    <row r="1642">
      <c r="A1642" t="n">
        <v>17</v>
      </c>
      <c r="B1642" t="n">
        <v>19982262</v>
      </c>
      <c r="C1642" t="n">
        <v>19911775</v>
      </c>
      <c r="D1642" t="inlineStr">
        <is>
          <t>species</t>
        </is>
      </c>
      <c r="E1642" t="inlineStr">
        <is>
          <t>Dendrobium mosaic virus</t>
        </is>
      </c>
      <c r="G1642" t="inlineStr">
        <is>
          <t>Merged,</t>
        </is>
      </c>
      <c r="H1642" t="inlineStr">
        <is>
          <t>Bean common mosaic virus</t>
        </is>
      </c>
      <c r="I1642" t="inlineStr">
        <is>
          <t>species</t>
        </is>
      </c>
      <c r="J1642" t="n">
        <v>19991368</v>
      </c>
      <c r="K1642" t="n">
        <v>19991368</v>
      </c>
      <c r="L1642" s="8">
        <f>HYPERLINK("https://test.ictv.global/id/TN19982262","TN19982262@TEST")</f>
        <v/>
      </c>
      <c r="M1642" s="8">
        <f>HYPERLINK("https://test.ictv.global/id/ICTV19911775","ICTV19911775@TEST")</f>
        <v/>
      </c>
      <c r="N1642" s="8">
        <f>HYPERLINK("https://ictv.global/id/TN19982262","TN19982262@prod")</f>
        <v/>
      </c>
      <c r="O1642" s="8">
        <f>HYPERLINK("https://ictv.global/id/ICTV19911775","ICTV19911775@prod")</f>
        <v/>
      </c>
    </row>
    <row r="1643">
      <c r="A1643" t="n">
        <v>17</v>
      </c>
      <c r="B1643" t="n">
        <v>19982311</v>
      </c>
      <c r="C1643" t="n">
        <v>19951924</v>
      </c>
      <c r="D1643" t="inlineStr">
        <is>
          <t>species</t>
        </is>
      </c>
      <c r="E1643" t="inlineStr">
        <is>
          <t>Tulip band breaking virus</t>
        </is>
      </c>
      <c r="G1643" t="inlineStr">
        <is>
          <t>Abolished,</t>
        </is>
      </c>
      <c r="L1643" s="8">
        <f>HYPERLINK("https://test.ictv.global/id/TN19982311","TN19982311@TEST")</f>
        <v/>
      </c>
      <c r="M1643" s="8">
        <f>HYPERLINK("https://test.ictv.global/id/ICTV19951924","ICTV19951924@TEST")</f>
        <v/>
      </c>
      <c r="N1643" s="8">
        <f>HYPERLINK("https://ictv.global/id/TN19982311","TN19982311@prod")</f>
        <v/>
      </c>
      <c r="O1643" s="8">
        <f>HYPERLINK("https://ictv.global/id/ICTV19951924","ICTV19951924@prod")</f>
        <v/>
      </c>
    </row>
    <row r="1644">
      <c r="A1644" t="n">
        <v>17</v>
      </c>
      <c r="B1644" t="n">
        <v>19982313</v>
      </c>
      <c r="C1644" t="n">
        <v>19911820</v>
      </c>
      <c r="D1644" t="inlineStr">
        <is>
          <t>species</t>
        </is>
      </c>
      <c r="E1644" t="inlineStr">
        <is>
          <t>Tulip chlorotic blotch virus</t>
        </is>
      </c>
      <c r="G1644" t="inlineStr">
        <is>
          <t>Merged,</t>
        </is>
      </c>
      <c r="H1644" t="inlineStr">
        <is>
          <t>Turnip mosaic virus</t>
        </is>
      </c>
      <c r="I1644" t="inlineStr">
        <is>
          <t>species</t>
        </is>
      </c>
      <c r="J1644" t="n">
        <v>19991444</v>
      </c>
      <c r="K1644" t="n">
        <v>19991444</v>
      </c>
      <c r="L1644" s="8">
        <f>HYPERLINK("https://test.ictv.global/id/TN19982313","TN19982313@TEST")</f>
        <v/>
      </c>
      <c r="M1644" s="8">
        <f>HYPERLINK("https://test.ictv.global/id/ICTV19911820","ICTV19911820@TEST")</f>
        <v/>
      </c>
      <c r="N1644" s="8">
        <f>HYPERLINK("https://ictv.global/id/TN19982313","TN19982313@prod")</f>
        <v/>
      </c>
      <c r="O1644" s="8">
        <f>HYPERLINK("https://ictv.global/id/ICTV19911820","ICTV19911820@prod")</f>
        <v/>
      </c>
    </row>
    <row r="1645">
      <c r="A1645" t="n">
        <v>17</v>
      </c>
      <c r="B1645" t="n">
        <v>19982314</v>
      </c>
      <c r="C1645" t="n">
        <v>19991444</v>
      </c>
      <c r="D1645" t="inlineStr">
        <is>
          <t>species</t>
        </is>
      </c>
      <c r="E1645" t="inlineStr">
        <is>
          <t>Turnip mosaic virus</t>
        </is>
      </c>
      <c r="F1645" t="inlineStr">
        <is>
          <t>AF169561</t>
        </is>
      </c>
      <c r="G1645" t="inlineStr">
        <is>
          <t>Merged,</t>
        </is>
      </c>
      <c r="H1645" t="inlineStr">
        <is>
          <t>Turnip mosaic virus</t>
        </is>
      </c>
      <c r="I1645" t="inlineStr">
        <is>
          <t>species</t>
        </is>
      </c>
      <c r="J1645" t="n">
        <v>19991444</v>
      </c>
      <c r="K1645" t="n">
        <v>19991444</v>
      </c>
      <c r="L1645" s="8">
        <f>HYPERLINK("https://test.ictv.global/id/TN19982314","TN19982314@TEST")</f>
        <v/>
      </c>
      <c r="M1645" s="8">
        <f>HYPERLINK("https://test.ictv.global/id/ICTV19991444","ICTV19991444@TEST")</f>
        <v/>
      </c>
      <c r="N1645" s="8">
        <f>HYPERLINK("https://ictv.global/id/TN19982314","TN19982314@prod")</f>
        <v/>
      </c>
      <c r="O1645" s="8">
        <f>HYPERLINK("https://ictv.global/id/ICTV19991444","ICTV19991444@prod")</f>
        <v/>
      </c>
    </row>
    <row r="1646">
      <c r="A1646" t="n">
        <v>17</v>
      </c>
      <c r="B1646" t="n">
        <v>19982392</v>
      </c>
      <c r="C1646" t="n">
        <v>19991541</v>
      </c>
      <c r="D1646" t="inlineStr">
        <is>
          <t>species</t>
        </is>
      </c>
      <c r="E1646" t="inlineStr">
        <is>
          <t>Colorado tick fever virus</t>
        </is>
      </c>
      <c r="F1646" t="inlineStr"/>
      <c r="G1646" t="inlineStr">
        <is>
          <t>Merged,</t>
        </is>
      </c>
      <c r="H1646" t="inlineStr">
        <is>
          <t>Colorado tick fever virus</t>
        </is>
      </c>
      <c r="I1646" t="inlineStr">
        <is>
          <t>species</t>
        </is>
      </c>
      <c r="J1646" t="n">
        <v>19991541</v>
      </c>
      <c r="K1646" t="n">
        <v>19991541</v>
      </c>
      <c r="L1646" s="8">
        <f>HYPERLINK("https://test.ictv.global/id/TN19982392","TN19982392@TEST")</f>
        <v/>
      </c>
      <c r="M1646" s="8">
        <f>HYPERLINK("https://test.ictv.global/id/ICTV19991541","ICTV19991541@TEST")</f>
        <v/>
      </c>
      <c r="N1646" s="8">
        <f>HYPERLINK("https://ictv.global/id/TN19982392","TN19982392@prod")</f>
        <v/>
      </c>
      <c r="O1646" s="8">
        <f>HYPERLINK("https://ictv.global/id/ICTV19991541","ICTV19991541@prod")</f>
        <v/>
      </c>
    </row>
    <row r="1647">
      <c r="A1647" t="n">
        <v>17</v>
      </c>
      <c r="B1647" t="n">
        <v>19982394</v>
      </c>
      <c r="C1647" t="n">
        <v>19952004</v>
      </c>
      <c r="D1647" t="inlineStr">
        <is>
          <t>species</t>
        </is>
      </c>
      <c r="E1647" t="inlineStr">
        <is>
          <t>S6-14-03 virus</t>
        </is>
      </c>
      <c r="G1647" t="inlineStr">
        <is>
          <t>Merged,Assigned as Type Species,</t>
        </is>
      </c>
      <c r="H1647" t="inlineStr">
        <is>
          <t>Colorado tick fever virus</t>
        </is>
      </c>
      <c r="I1647" t="inlineStr">
        <is>
          <t>species</t>
        </is>
      </c>
      <c r="J1647" t="n">
        <v>19991541</v>
      </c>
      <c r="K1647" t="n">
        <v>19991541</v>
      </c>
      <c r="L1647" s="8">
        <f>HYPERLINK("https://test.ictv.global/id/TN19982394","TN19982394@TEST")</f>
        <v/>
      </c>
      <c r="M1647" s="8">
        <f>HYPERLINK("https://test.ictv.global/id/ICTV19952004","ICTV19952004@TEST")</f>
        <v/>
      </c>
      <c r="N1647" s="8">
        <f>HYPERLINK("https://ictv.global/id/TN19982394","TN19982394@prod")</f>
        <v/>
      </c>
      <c r="O1647" s="8">
        <f>HYPERLINK("https://ictv.global/id/ICTV19952004","ICTV19952004@prod")</f>
        <v/>
      </c>
    </row>
    <row r="1648">
      <c r="A1648" t="n">
        <v>17</v>
      </c>
      <c r="B1648" t="n">
        <v>19982446</v>
      </c>
      <c r="C1648" t="n">
        <v>19911429</v>
      </c>
      <c r="D1648" t="inlineStr">
        <is>
          <t>species</t>
        </is>
      </c>
      <c r="E1648" t="inlineStr">
        <is>
          <t>Group F rotavirus</t>
        </is>
      </c>
      <c r="G1648" t="inlineStr">
        <is>
          <t>Abolished,</t>
        </is>
      </c>
      <c r="L1648" s="8">
        <f>HYPERLINK("https://test.ictv.global/id/TN19982446","TN19982446@TEST")</f>
        <v/>
      </c>
      <c r="M1648" s="8">
        <f>HYPERLINK("https://test.ictv.global/id/ICTV19911429","ICTV19911429@TEST")</f>
        <v/>
      </c>
      <c r="N1648" s="8">
        <f>HYPERLINK("https://ictv.global/id/TN19982446","TN19982446@prod")</f>
        <v/>
      </c>
      <c r="O1648" s="8">
        <f>HYPERLINK("https://ictv.global/id/ICTV19911429","ICTV19911429@prod")</f>
        <v/>
      </c>
    </row>
    <row r="1649">
      <c r="A1649" t="n">
        <v>17</v>
      </c>
      <c r="B1649" t="n">
        <v>19982457</v>
      </c>
      <c r="C1649" t="n">
        <v>19991609</v>
      </c>
      <c r="D1649" t="inlineStr">
        <is>
          <t>species</t>
        </is>
      </c>
      <c r="E1649" t="inlineStr">
        <is>
          <t>Mason-Pfizer monkey virus</t>
        </is>
      </c>
      <c r="F1649" t="inlineStr"/>
      <c r="G1649" t="inlineStr">
        <is>
          <t>Merged,</t>
        </is>
      </c>
      <c r="H1649" t="inlineStr">
        <is>
          <t>Mason-Pfizer monkey virus</t>
        </is>
      </c>
      <c r="I1649" t="inlineStr">
        <is>
          <t>species</t>
        </is>
      </c>
      <c r="J1649" t="n">
        <v>19991609</v>
      </c>
      <c r="K1649" t="n">
        <v>19991609</v>
      </c>
      <c r="L1649" s="8">
        <f>HYPERLINK("https://test.ictv.global/id/TN19982457","TN19982457@TEST")</f>
        <v/>
      </c>
      <c r="M1649" s="8">
        <f>HYPERLINK("https://test.ictv.global/id/ICTV19991609","ICTV19991609@TEST")</f>
        <v/>
      </c>
      <c r="N1649" s="8">
        <f>HYPERLINK("https://ictv.global/id/TN19982457","TN19982457@prod")</f>
        <v/>
      </c>
      <c r="O1649" s="8">
        <f>HYPERLINK("https://ictv.global/id/ICTV19991609","ICTV19991609@prod")</f>
        <v/>
      </c>
    </row>
    <row r="1650">
      <c r="A1650" t="n">
        <v>17</v>
      </c>
      <c r="B1650" t="n">
        <v>19982460</v>
      </c>
      <c r="C1650" t="n">
        <v>19952114</v>
      </c>
      <c r="D1650" t="inlineStr">
        <is>
          <t>species</t>
        </is>
      </c>
      <c r="E1650" t="inlineStr">
        <is>
          <t>Simian type D virus 1</t>
        </is>
      </c>
      <c r="G1650" t="inlineStr">
        <is>
          <t>Merged,</t>
        </is>
      </c>
      <c r="H1650" t="inlineStr">
        <is>
          <t>Mason-Pfizer monkey virus</t>
        </is>
      </c>
      <c r="I1650" t="inlineStr">
        <is>
          <t>species</t>
        </is>
      </c>
      <c r="J1650" t="n">
        <v>19991609</v>
      </c>
      <c r="K1650" t="n">
        <v>19991609</v>
      </c>
      <c r="L1650" s="8">
        <f>HYPERLINK("https://test.ictv.global/id/TN19982460","TN19982460@TEST")</f>
        <v/>
      </c>
      <c r="M1650" s="8">
        <f>HYPERLINK("https://test.ictv.global/id/ICTV19952114","ICTV19952114@TEST")</f>
        <v/>
      </c>
      <c r="N1650" s="8">
        <f>HYPERLINK("https://ictv.global/id/TN19982460","TN19982460@prod")</f>
        <v/>
      </c>
      <c r="O1650" s="8">
        <f>HYPERLINK("https://ictv.global/id/ICTV19952114","ICTV19952114@prod")</f>
        <v/>
      </c>
    </row>
    <row r="1651">
      <c r="A1651" t="n">
        <v>17</v>
      </c>
      <c r="B1651" t="n">
        <v>19982465</v>
      </c>
      <c r="C1651" t="n">
        <v>19911436</v>
      </c>
      <c r="D1651" t="inlineStr">
        <is>
          <t>species</t>
        </is>
      </c>
      <c r="E1651" t="inlineStr">
        <is>
          <t>Simian T-lymphotropic virus</t>
        </is>
      </c>
      <c r="G1651" t="inlineStr">
        <is>
          <t>Abolished,</t>
        </is>
      </c>
      <c r="L1651" s="8">
        <f>HYPERLINK("https://test.ictv.global/id/TN19982465","TN19982465@TEST")</f>
        <v/>
      </c>
      <c r="M1651" s="8">
        <f>HYPERLINK("https://test.ictv.global/id/ICTV19911436","ICTV19911436@TEST")</f>
        <v/>
      </c>
      <c r="N1651" s="8">
        <f>HYPERLINK("https://ictv.global/id/TN19982465","TN19982465@prod")</f>
        <v/>
      </c>
      <c r="O1651" s="8">
        <f>HYPERLINK("https://ictv.global/id/ICTV19911436","ICTV19911436@prod")</f>
        <v/>
      </c>
    </row>
    <row r="1652">
      <c r="A1652" t="n">
        <v>17</v>
      </c>
      <c r="B1652" t="n">
        <v>19982469</v>
      </c>
      <c r="C1652" t="n">
        <v>19952087</v>
      </c>
      <c r="D1652" t="inlineStr">
        <is>
          <t>species</t>
        </is>
      </c>
      <c r="E1652" t="inlineStr">
        <is>
          <t>Abelson murine leukemia virus</t>
        </is>
      </c>
      <c r="G1652" t="inlineStr">
        <is>
          <t>Merged,Assigned as Type Species,</t>
        </is>
      </c>
      <c r="H1652" t="inlineStr">
        <is>
          <t>Murine leukemia virus</t>
        </is>
      </c>
      <c r="I1652" t="inlineStr">
        <is>
          <t>species</t>
        </is>
      </c>
      <c r="J1652" t="n">
        <v>19991630</v>
      </c>
      <c r="K1652" t="n">
        <v>19991630</v>
      </c>
      <c r="L1652" s="8">
        <f>HYPERLINK("https://test.ictv.global/id/TN19982469","TN19982469@TEST")</f>
        <v/>
      </c>
      <c r="M1652" s="8">
        <f>HYPERLINK("https://test.ictv.global/id/ICTV19952087","ICTV19952087@TEST")</f>
        <v/>
      </c>
      <c r="N1652" s="8">
        <f>HYPERLINK("https://ictv.global/id/TN19982469","TN19982469@prod")</f>
        <v/>
      </c>
      <c r="O1652" s="8">
        <f>HYPERLINK("https://ictv.global/id/ICTV19952087","ICTV19952087@prod")</f>
        <v/>
      </c>
    </row>
    <row r="1653">
      <c r="A1653" t="n">
        <v>17</v>
      </c>
      <c r="B1653" t="n">
        <v>19982470</v>
      </c>
      <c r="C1653" t="n">
        <v>19952088</v>
      </c>
      <c r="D1653" t="inlineStr">
        <is>
          <t>species</t>
        </is>
      </c>
      <c r="E1653" t="inlineStr">
        <is>
          <t>AKR (endogenous) murine leukemia virus</t>
        </is>
      </c>
      <c r="G1653" t="inlineStr">
        <is>
          <t>Merged,Assigned as Type Species,</t>
        </is>
      </c>
      <c r="H1653" t="inlineStr">
        <is>
          <t>Murine leukemia virus</t>
        </is>
      </c>
      <c r="I1653" t="inlineStr">
        <is>
          <t>species</t>
        </is>
      </c>
      <c r="J1653" t="n">
        <v>19991630</v>
      </c>
      <c r="K1653" t="n">
        <v>19991630</v>
      </c>
      <c r="L1653" s="8">
        <f>HYPERLINK("https://test.ictv.global/id/TN19982470","TN19982470@TEST")</f>
        <v/>
      </c>
      <c r="M1653" s="8">
        <f>HYPERLINK("https://test.ictv.global/id/ICTV19952088","ICTV19952088@TEST")</f>
        <v/>
      </c>
      <c r="N1653" s="8">
        <f>HYPERLINK("https://ictv.global/id/TN19982470","TN19982470@prod")</f>
        <v/>
      </c>
      <c r="O1653" s="8">
        <f>HYPERLINK("https://ictv.global/id/ICTV19952088","ICTV19952088@prod")</f>
        <v/>
      </c>
    </row>
    <row r="1654">
      <c r="A1654" t="n">
        <v>17</v>
      </c>
      <c r="B1654" t="n">
        <v>19982474</v>
      </c>
      <c r="C1654" t="n">
        <v>19952092</v>
      </c>
      <c r="D1654" t="inlineStr">
        <is>
          <t>species</t>
        </is>
      </c>
      <c r="E1654" t="inlineStr">
        <is>
          <t>Friend murine leukemia virus</t>
        </is>
      </c>
      <c r="G1654" t="inlineStr">
        <is>
          <t>Merged,Assigned as Type Species,</t>
        </is>
      </c>
      <c r="H1654" t="inlineStr">
        <is>
          <t>Murine leukemia virus</t>
        </is>
      </c>
      <c r="I1654" t="inlineStr">
        <is>
          <t>species</t>
        </is>
      </c>
      <c r="J1654" t="n">
        <v>19991630</v>
      </c>
      <c r="K1654" t="n">
        <v>19991630</v>
      </c>
      <c r="L1654" s="8">
        <f>HYPERLINK("https://test.ictv.global/id/TN19982474","TN19982474@TEST")</f>
        <v/>
      </c>
      <c r="M1654" s="8">
        <f>HYPERLINK("https://test.ictv.global/id/ICTV19952092","ICTV19952092@TEST")</f>
        <v/>
      </c>
      <c r="N1654" s="8">
        <f>HYPERLINK("https://ictv.global/id/TN19982474","TN19982474@prod")</f>
        <v/>
      </c>
      <c r="O1654" s="8">
        <f>HYPERLINK("https://ictv.global/id/ICTV19952092","ICTV19952092@prod")</f>
        <v/>
      </c>
    </row>
    <row r="1655">
      <c r="A1655" t="n">
        <v>17</v>
      </c>
      <c r="B1655" t="n">
        <v>19982482</v>
      </c>
      <c r="C1655" t="n">
        <v>19991630</v>
      </c>
      <c r="D1655" t="inlineStr">
        <is>
          <t>species</t>
        </is>
      </c>
      <c r="E1655" t="inlineStr">
        <is>
          <t>Murine leukemia virus</t>
        </is>
      </c>
      <c r="F1655" t="inlineStr"/>
      <c r="G1655" t="inlineStr">
        <is>
          <t>Merged,</t>
        </is>
      </c>
      <c r="H1655" t="inlineStr">
        <is>
          <t>Murine leukemia virus</t>
        </is>
      </c>
      <c r="I1655" t="inlineStr">
        <is>
          <t>species</t>
        </is>
      </c>
      <c r="J1655" t="n">
        <v>19991630</v>
      </c>
      <c r="K1655" t="n">
        <v>19991630</v>
      </c>
      <c r="L1655" s="8">
        <f>HYPERLINK("https://test.ictv.global/id/TN19982482","TN19982482@TEST")</f>
        <v/>
      </c>
      <c r="M1655" s="8">
        <f>HYPERLINK("https://test.ictv.global/id/ICTV19991630","ICTV19991630@TEST")</f>
        <v/>
      </c>
      <c r="N1655" s="8">
        <f>HYPERLINK("https://ictv.global/id/TN19982482","TN19982482@prod")</f>
        <v/>
      </c>
      <c r="O1655" s="8">
        <f>HYPERLINK("https://ictv.global/id/ICTV19991630","ICTV19991630@prod")</f>
        <v/>
      </c>
    </row>
    <row r="1656">
      <c r="A1656" t="n">
        <v>17</v>
      </c>
      <c r="B1656" t="n">
        <v>19982500</v>
      </c>
      <c r="C1656" t="n">
        <v>19760545</v>
      </c>
      <c r="D1656" t="inlineStr">
        <is>
          <t>species</t>
        </is>
      </c>
      <c r="E1656" t="inlineStr">
        <is>
          <t>Simian foamy virus</t>
        </is>
      </c>
      <c r="F1656" t="inlineStr"/>
      <c r="G1656" t="inlineStr">
        <is>
          <t>Split,</t>
        </is>
      </c>
      <c r="H1656" t="inlineStr">
        <is>
          <t>Simian foamy virus 1</t>
        </is>
      </c>
      <c r="I1656" t="inlineStr">
        <is>
          <t>species</t>
        </is>
      </c>
      <c r="J1656" t="n">
        <v>19991650</v>
      </c>
      <c r="K1656" t="n">
        <v>19991650</v>
      </c>
      <c r="L1656" s="8">
        <f>HYPERLINK("https://test.ictv.global/id/TN19982500","TN19982500@TEST")</f>
        <v/>
      </c>
      <c r="M1656" s="8">
        <f>HYPERLINK("https://test.ictv.global/id/ICTV19760545","ICTV19760545@TEST")</f>
        <v/>
      </c>
      <c r="N1656" s="8">
        <f>HYPERLINK("https://ictv.global/id/TN19982500","TN19982500@prod")</f>
        <v/>
      </c>
      <c r="O1656" s="8">
        <f>HYPERLINK("https://ictv.global/id/ICTV19760545","ICTV19760545@prod")</f>
        <v/>
      </c>
    </row>
    <row r="1657">
      <c r="A1657" t="n">
        <v>17</v>
      </c>
      <c r="B1657" t="n">
        <v>19982500</v>
      </c>
      <c r="C1657" t="n">
        <v>19760545</v>
      </c>
      <c r="D1657" t="inlineStr">
        <is>
          <t>species</t>
        </is>
      </c>
      <c r="E1657" t="inlineStr">
        <is>
          <t>Simian foamy virus</t>
        </is>
      </c>
      <c r="F1657" t="inlineStr"/>
      <c r="G1657" t="inlineStr">
        <is>
          <t>Split,</t>
        </is>
      </c>
      <c r="H1657" t="inlineStr">
        <is>
          <t>Simian foamy virus 3</t>
        </is>
      </c>
      <c r="I1657" t="inlineStr">
        <is>
          <t>species</t>
        </is>
      </c>
      <c r="J1657" t="n">
        <v>19991651</v>
      </c>
      <c r="K1657" t="n">
        <v>19991651</v>
      </c>
      <c r="L1657" s="8">
        <f>HYPERLINK("https://test.ictv.global/id/TN19982500","TN19982500@TEST")</f>
        <v/>
      </c>
      <c r="M1657" s="8">
        <f>HYPERLINK("https://test.ictv.global/id/ICTV19760545","ICTV19760545@TEST")</f>
        <v/>
      </c>
      <c r="N1657" s="8">
        <f>HYPERLINK("https://ictv.global/id/TN19982500","TN19982500@prod")</f>
        <v/>
      </c>
      <c r="O1657" s="8">
        <f>HYPERLINK("https://ictv.global/id/ICTV19760545","ICTV19760545@prod")</f>
        <v/>
      </c>
    </row>
    <row r="1658">
      <c r="A1658" t="n">
        <v>17</v>
      </c>
      <c r="B1658" t="n">
        <v>19982502</v>
      </c>
      <c r="C1658" t="n">
        <v>19972220</v>
      </c>
      <c r="D1658" t="inlineStr">
        <is>
          <t>species</t>
        </is>
      </c>
      <c r="E1658" t="inlineStr">
        <is>
          <t>Thermoproteus virus TTV4</t>
        </is>
      </c>
      <c r="G1658" t="inlineStr">
        <is>
          <t>Abolished,</t>
        </is>
      </c>
      <c r="L1658" s="8">
        <f>HYPERLINK("https://test.ictv.global/id/TN19982502","TN19982502@TEST")</f>
        <v/>
      </c>
      <c r="M1658" s="8">
        <f>HYPERLINK("https://test.ictv.global/id/ICTV19972220","ICTV19972220@TEST")</f>
        <v/>
      </c>
      <c r="N1658" s="8">
        <f>HYPERLINK("https://ictv.global/id/TN19982502","TN19982502@prod")</f>
        <v/>
      </c>
      <c r="O1658" s="8">
        <f>HYPERLINK("https://ictv.global/id/ICTV19972220","ICTV19972220@prod")</f>
        <v/>
      </c>
    </row>
    <row r="1659">
      <c r="A1659" t="n">
        <v>17</v>
      </c>
      <c r="B1659" t="n">
        <v>19982514</v>
      </c>
      <c r="C1659" t="n">
        <v>19911479</v>
      </c>
      <c r="D1659" t="inlineStr">
        <is>
          <t>species</t>
        </is>
      </c>
      <c r="E1659" t="inlineStr">
        <is>
          <t>Babanki virus</t>
        </is>
      </c>
      <c r="G1659" t="inlineStr">
        <is>
          <t>Merged,Assigned as Type Species,</t>
        </is>
      </c>
      <c r="H1659" t="inlineStr">
        <is>
          <t>Sindbis virus</t>
        </is>
      </c>
      <c r="I1659" t="inlineStr">
        <is>
          <t>species</t>
        </is>
      </c>
      <c r="J1659" t="n">
        <v>19991691</v>
      </c>
      <c r="K1659" t="n">
        <v>19991691</v>
      </c>
      <c r="L1659" s="8">
        <f>HYPERLINK("https://test.ictv.global/id/TN19982514","TN19982514@TEST")</f>
        <v/>
      </c>
      <c r="M1659" s="8">
        <f>HYPERLINK("https://test.ictv.global/id/ICTV19911479","ICTV19911479@TEST")</f>
        <v/>
      </c>
      <c r="N1659" s="8">
        <f>HYPERLINK("https://ictv.global/id/TN19982514","TN19982514@prod")</f>
        <v/>
      </c>
      <c r="O1659" s="8">
        <f>HYPERLINK("https://ictv.global/id/ICTV19911479","ICTV19911479@prod")</f>
        <v/>
      </c>
    </row>
    <row r="1660">
      <c r="A1660" t="n">
        <v>17</v>
      </c>
      <c r="B1660" t="n">
        <v>19982517</v>
      </c>
      <c r="C1660" t="n">
        <v>19911482</v>
      </c>
      <c r="D1660" t="inlineStr">
        <is>
          <t>species</t>
        </is>
      </c>
      <c r="E1660" t="inlineStr">
        <is>
          <t>Buggy Creek virus</t>
        </is>
      </c>
      <c r="G1660" t="inlineStr">
        <is>
          <t>Merged,</t>
        </is>
      </c>
      <c r="H1660" t="inlineStr">
        <is>
          <t>Fort Morgan virus</t>
        </is>
      </c>
      <c r="I1660" t="inlineStr">
        <is>
          <t>species</t>
        </is>
      </c>
      <c r="J1660" t="n">
        <v>19991680</v>
      </c>
      <c r="K1660" t="n">
        <v>19991680</v>
      </c>
      <c r="L1660" s="8">
        <f>HYPERLINK("https://test.ictv.global/id/TN19982517","TN19982517@TEST")</f>
        <v/>
      </c>
      <c r="M1660" s="8">
        <f>HYPERLINK("https://test.ictv.global/id/ICTV19911482","ICTV19911482@TEST")</f>
        <v/>
      </c>
      <c r="N1660" s="8">
        <f>HYPERLINK("https://ictv.global/id/TN19982517","TN19982517@prod")</f>
        <v/>
      </c>
      <c r="O1660" s="8">
        <f>HYPERLINK("https://ictv.global/id/ICTV19911482","ICTV19911482@prod")</f>
        <v/>
      </c>
    </row>
    <row r="1661">
      <c r="A1661" t="n">
        <v>17</v>
      </c>
      <c r="B1661" t="n">
        <v>19982521</v>
      </c>
      <c r="C1661" t="n">
        <v>19991680</v>
      </c>
      <c r="D1661" t="inlineStr">
        <is>
          <t>species</t>
        </is>
      </c>
      <c r="E1661" t="inlineStr">
        <is>
          <t>Fort Morgan virus</t>
        </is>
      </c>
      <c r="F1661" t="inlineStr"/>
      <c r="G1661" t="inlineStr">
        <is>
          <t>Merged,</t>
        </is>
      </c>
      <c r="H1661" t="inlineStr">
        <is>
          <t>Fort Morgan virus</t>
        </is>
      </c>
      <c r="I1661" t="inlineStr">
        <is>
          <t>species</t>
        </is>
      </c>
      <c r="J1661" t="n">
        <v>19991680</v>
      </c>
      <c r="K1661" t="n">
        <v>19991680</v>
      </c>
      <c r="L1661" s="8">
        <f>HYPERLINK("https://test.ictv.global/id/TN19982521","TN19982521@TEST")</f>
        <v/>
      </c>
      <c r="M1661" s="8">
        <f>HYPERLINK("https://test.ictv.global/id/ICTV19991680","ICTV19991680@TEST")</f>
        <v/>
      </c>
      <c r="N1661" s="8">
        <f>HYPERLINK("https://ictv.global/id/TN19982521","TN19982521@prod")</f>
        <v/>
      </c>
      <c r="O1661" s="8">
        <f>HYPERLINK("https://ictv.global/id/ICTV19991680","ICTV19991680@prod")</f>
        <v/>
      </c>
    </row>
    <row r="1662">
      <c r="A1662" t="n">
        <v>17</v>
      </c>
      <c r="B1662" t="n">
        <v>19982524</v>
      </c>
      <c r="C1662" t="n">
        <v>19790870</v>
      </c>
      <c r="D1662" t="inlineStr">
        <is>
          <t>species</t>
        </is>
      </c>
      <c r="E1662" t="inlineStr">
        <is>
          <t>Kyzylagach virus</t>
        </is>
      </c>
      <c r="G1662" t="inlineStr">
        <is>
          <t>Merged,Assigned as Type Species,</t>
        </is>
      </c>
      <c r="H1662" t="inlineStr">
        <is>
          <t>Sindbis virus</t>
        </is>
      </c>
      <c r="I1662" t="inlineStr">
        <is>
          <t>species</t>
        </is>
      </c>
      <c r="J1662" t="n">
        <v>19991691</v>
      </c>
      <c r="K1662" t="n">
        <v>19991691</v>
      </c>
      <c r="L1662" s="8">
        <f>HYPERLINK("https://test.ictv.global/id/TN19982524","TN19982524@TEST")</f>
        <v/>
      </c>
      <c r="M1662" s="8">
        <f>HYPERLINK("https://test.ictv.global/id/ICTV19790870","ICTV19790870@TEST")</f>
        <v/>
      </c>
      <c r="N1662" s="8">
        <f>HYPERLINK("https://ictv.global/id/TN19982524","TN19982524@prod")</f>
        <v/>
      </c>
      <c r="O1662" s="8">
        <f>HYPERLINK("https://ictv.global/id/ICTV19790870","ICTV19790870@prod")</f>
        <v/>
      </c>
    </row>
    <row r="1663">
      <c r="A1663" t="n">
        <v>17</v>
      </c>
      <c r="B1663" t="n">
        <v>19982529</v>
      </c>
      <c r="C1663" t="n">
        <v>19911494</v>
      </c>
      <c r="D1663" t="inlineStr">
        <is>
          <t>species</t>
        </is>
      </c>
      <c r="E1663" t="inlineStr">
        <is>
          <t>Ockelbo virus</t>
        </is>
      </c>
      <c r="G1663" t="inlineStr">
        <is>
          <t>Merged,Assigned as Type Species,</t>
        </is>
      </c>
      <c r="H1663" t="inlineStr">
        <is>
          <t>Sindbis virus</t>
        </is>
      </c>
      <c r="I1663" t="inlineStr">
        <is>
          <t>species</t>
        </is>
      </c>
      <c r="J1663" t="n">
        <v>19991691</v>
      </c>
      <c r="K1663" t="n">
        <v>19991691</v>
      </c>
      <c r="L1663" s="8">
        <f>HYPERLINK("https://test.ictv.global/id/TN19982529","TN19982529@TEST")</f>
        <v/>
      </c>
      <c r="M1663" s="8">
        <f>HYPERLINK("https://test.ictv.global/id/ICTV19911494","ICTV19911494@TEST")</f>
        <v/>
      </c>
      <c r="N1663" s="8">
        <f>HYPERLINK("https://ictv.global/id/TN19982529","TN19982529@prod")</f>
        <v/>
      </c>
      <c r="O1663" s="8">
        <f>HYPERLINK("https://ictv.global/id/ICTV19911494","ICTV19911494@prod")</f>
        <v/>
      </c>
    </row>
    <row r="1664">
      <c r="A1664" t="n">
        <v>17</v>
      </c>
      <c r="B1664" t="n">
        <v>19982532</v>
      </c>
      <c r="C1664" t="n">
        <v>19991689</v>
      </c>
      <c r="D1664" t="inlineStr">
        <is>
          <t>species</t>
        </is>
      </c>
      <c r="E1664" t="inlineStr">
        <is>
          <t>Ross River virus</t>
        </is>
      </c>
      <c r="F1664" t="inlineStr"/>
      <c r="G1664" t="inlineStr">
        <is>
          <t>Merged,</t>
        </is>
      </c>
      <c r="H1664" t="inlineStr">
        <is>
          <t>Ross River virus</t>
        </is>
      </c>
      <c r="I1664" t="inlineStr">
        <is>
          <t>species</t>
        </is>
      </c>
      <c r="J1664" t="n">
        <v>19991689</v>
      </c>
      <c r="K1664" t="n">
        <v>19991689</v>
      </c>
      <c r="L1664" s="8">
        <f>HYPERLINK("https://test.ictv.global/id/TN19982532","TN19982532@TEST")</f>
        <v/>
      </c>
      <c r="M1664" s="8">
        <f>HYPERLINK("https://test.ictv.global/id/ICTV19991689","ICTV19991689@TEST")</f>
        <v/>
      </c>
      <c r="N1664" s="8">
        <f>HYPERLINK("https://ictv.global/id/TN19982532","TN19982532@prod")</f>
        <v/>
      </c>
      <c r="O1664" s="8">
        <f>HYPERLINK("https://ictv.global/id/ICTV19991689","ICTV19991689@prod")</f>
        <v/>
      </c>
    </row>
    <row r="1665">
      <c r="A1665" t="n">
        <v>17</v>
      </c>
      <c r="B1665" t="n">
        <v>19982533</v>
      </c>
      <c r="C1665" t="n">
        <v>19760577</v>
      </c>
      <c r="D1665" t="inlineStr">
        <is>
          <t>species</t>
        </is>
      </c>
      <c r="E1665" t="inlineStr">
        <is>
          <t>Sagiyama virus</t>
        </is>
      </c>
      <c r="G1665" t="inlineStr">
        <is>
          <t>Merged,</t>
        </is>
      </c>
      <c r="H1665" t="inlineStr">
        <is>
          <t>Ross River virus</t>
        </is>
      </c>
      <c r="I1665" t="inlineStr">
        <is>
          <t>species</t>
        </is>
      </c>
      <c r="J1665" t="n">
        <v>19991689</v>
      </c>
      <c r="K1665" t="n">
        <v>19991689</v>
      </c>
      <c r="L1665" s="8">
        <f>HYPERLINK("https://test.ictv.global/id/TN19982533","TN19982533@TEST")</f>
        <v/>
      </c>
      <c r="M1665" s="8">
        <f>HYPERLINK("https://test.ictv.global/id/ICTV19760577","ICTV19760577@TEST")</f>
        <v/>
      </c>
      <c r="N1665" s="8">
        <f>HYPERLINK("https://ictv.global/id/TN19982533","TN19982533@prod")</f>
        <v/>
      </c>
      <c r="O1665" s="8">
        <f>HYPERLINK("https://ictv.global/id/ICTV19760577","ICTV19760577@prod")</f>
        <v/>
      </c>
    </row>
    <row r="1666">
      <c r="A1666" t="n">
        <v>17</v>
      </c>
      <c r="B1666" t="n">
        <v>19982535</v>
      </c>
      <c r="C1666" t="n">
        <v>19991691</v>
      </c>
      <c r="D1666" t="inlineStr">
        <is>
          <t>species</t>
        </is>
      </c>
      <c r="E1666" t="inlineStr">
        <is>
          <t>Sindbis virus</t>
        </is>
      </c>
      <c r="F1666" t="inlineStr"/>
      <c r="G1666" t="inlineStr">
        <is>
          <t>Merged,</t>
        </is>
      </c>
      <c r="H1666" t="inlineStr">
        <is>
          <t>Sindbis virus</t>
        </is>
      </c>
      <c r="I1666" t="inlineStr">
        <is>
          <t>species</t>
        </is>
      </c>
      <c r="J1666" t="n">
        <v>19991691</v>
      </c>
      <c r="K1666" t="n">
        <v>19991691</v>
      </c>
      <c r="L1666" s="8">
        <f>HYPERLINK("https://test.ictv.global/id/TN19982535","TN19982535@TEST")</f>
        <v/>
      </c>
      <c r="M1666" s="8">
        <f>HYPERLINK("https://test.ictv.global/id/ICTV19991691","ICTV19991691@TEST")</f>
        <v/>
      </c>
      <c r="N1666" s="8">
        <f>HYPERLINK("https://ictv.global/id/TN19982535","TN19982535@prod")</f>
        <v/>
      </c>
      <c r="O1666" s="8">
        <f>HYPERLINK("https://ictv.global/id/ICTV19991691","ICTV19991691@prod")</f>
        <v/>
      </c>
    </row>
    <row r="1667">
      <c r="A1667" t="n">
        <v>17</v>
      </c>
      <c r="B1667" t="n">
        <v>19982541</v>
      </c>
      <c r="C1667" t="n">
        <v>19952266</v>
      </c>
      <c r="D1667" t="inlineStr">
        <is>
          <t>species</t>
        </is>
      </c>
      <c r="E1667" t="inlineStr">
        <is>
          <t>Cucumber leaf spot virus</t>
        </is>
      </c>
      <c r="F1667" t="inlineStr">
        <is>
          <t>DQ227315</t>
        </is>
      </c>
      <c r="G1667" t="inlineStr">
        <is>
          <t>Abolished,</t>
        </is>
      </c>
      <c r="L1667" s="8">
        <f>HYPERLINK("https://test.ictv.global/id/TN19982541","TN19982541@TEST")</f>
        <v/>
      </c>
      <c r="M1667" s="8">
        <f>HYPERLINK("https://test.ictv.global/id/ICTV19952266","ICTV19952266@TEST")</f>
        <v/>
      </c>
      <c r="N1667" s="8">
        <f>HYPERLINK("https://ictv.global/id/TN19982541","TN19982541@prod")</f>
        <v/>
      </c>
      <c r="O1667" s="8">
        <f>HYPERLINK("https://ictv.global/id/ICTV19952266","ICTV19952266@prod")</f>
        <v/>
      </c>
    </row>
    <row r="1668">
      <c r="A1668" t="n">
        <v>17</v>
      </c>
      <c r="B1668" t="n">
        <v>19982564</v>
      </c>
      <c r="C1668" t="n">
        <v>19982564</v>
      </c>
      <c r="D1668" t="inlineStr">
        <is>
          <t>species</t>
        </is>
      </c>
      <c r="E1668" t="inlineStr">
        <is>
          <t>Molinia streak virus</t>
        </is>
      </c>
      <c r="G1668" t="inlineStr">
        <is>
          <t>Abolished,</t>
        </is>
      </c>
      <c r="L1668" s="8">
        <f>HYPERLINK("https://test.ictv.global/id/TN19982564","TN19982564@TEST")</f>
        <v/>
      </c>
      <c r="M1668" s="8">
        <f>HYPERLINK("https://test.ictv.global/id/ICTV19982564","ICTV19982564@TEST")</f>
        <v/>
      </c>
      <c r="N1668" s="8">
        <f>HYPERLINK("https://ictv.global/id/TN19982564","TN19982564@prod")</f>
        <v/>
      </c>
      <c r="O1668" s="8">
        <f>HYPERLINK("https://ictv.global/id/ICTV19982564","ICTV19982564@prod")</f>
        <v/>
      </c>
    </row>
    <row r="1669">
      <c r="A1669" t="n">
        <v>17</v>
      </c>
      <c r="B1669" t="n">
        <v>19982596</v>
      </c>
      <c r="C1669" t="n">
        <v>19911510</v>
      </c>
      <c r="D1669" t="inlineStr">
        <is>
          <t>species</t>
        </is>
      </c>
      <c r="E1669" t="inlineStr">
        <is>
          <t>Ustilago maydis virus 4</t>
        </is>
      </c>
      <c r="G1669" t="inlineStr">
        <is>
          <t>Abolished,</t>
        </is>
      </c>
      <c r="L1669" s="8">
        <f>HYPERLINK("https://test.ictv.global/id/TN19982596","TN19982596@TEST")</f>
        <v/>
      </c>
      <c r="M1669" s="8">
        <f>HYPERLINK("https://test.ictv.global/id/ICTV19911510","ICTV19911510@TEST")</f>
        <v/>
      </c>
      <c r="N1669" s="8">
        <f>HYPERLINK("https://ictv.global/id/TN19982596","TN19982596@prod")</f>
        <v/>
      </c>
      <c r="O1669" s="8">
        <f>HYPERLINK("https://ictv.global/id/ICTV19911510","ICTV19911510@prod")</f>
        <v/>
      </c>
    </row>
    <row r="1670">
      <c r="A1670" t="n">
        <v>17</v>
      </c>
      <c r="B1670" t="n">
        <v>19982597</v>
      </c>
      <c r="C1670" t="n">
        <v>19911511</v>
      </c>
      <c r="D1670" t="inlineStr">
        <is>
          <t>species</t>
        </is>
      </c>
      <c r="E1670" t="inlineStr">
        <is>
          <t>Ustilago maydis virus 6</t>
        </is>
      </c>
      <c r="G1670" t="inlineStr">
        <is>
          <t>Abolished,</t>
        </is>
      </c>
      <c r="L1670" s="8">
        <f>HYPERLINK("https://test.ictv.global/id/TN19982597","TN19982597@TEST")</f>
        <v/>
      </c>
      <c r="M1670" s="8">
        <f>HYPERLINK("https://test.ictv.global/id/ICTV19911511","ICTV19911511@TEST")</f>
        <v/>
      </c>
      <c r="N1670" s="8">
        <f>HYPERLINK("https://ictv.global/id/TN19982597","TN19982597@prod")</f>
        <v/>
      </c>
      <c r="O1670" s="8">
        <f>HYPERLINK("https://ictv.global/id/ICTV19911511","ICTV19911511@prod")</f>
        <v/>
      </c>
    </row>
    <row r="1671">
      <c r="A1671" t="n">
        <v>17</v>
      </c>
      <c r="B1671" t="n">
        <v>19982606</v>
      </c>
      <c r="C1671" t="n">
        <v>19991762</v>
      </c>
      <c r="D1671" t="inlineStr">
        <is>
          <t>species</t>
        </is>
      </c>
      <c r="E1671" t="inlineStr">
        <is>
          <t>Apple stem grooving virus</t>
        </is>
      </c>
      <c r="F1671" t="inlineStr">
        <is>
          <t>AB004063</t>
        </is>
      </c>
      <c r="G1671" t="inlineStr">
        <is>
          <t>Merged,</t>
        </is>
      </c>
      <c r="H1671" t="inlineStr">
        <is>
          <t>Apple stem grooving virus</t>
        </is>
      </c>
      <c r="I1671" t="inlineStr">
        <is>
          <t>species</t>
        </is>
      </c>
      <c r="J1671" t="n">
        <v>19991762</v>
      </c>
      <c r="K1671" t="n">
        <v>19991762</v>
      </c>
      <c r="L1671" s="8">
        <f>HYPERLINK("https://test.ictv.global/id/TN19982606","TN19982606@TEST")</f>
        <v/>
      </c>
      <c r="M1671" s="8">
        <f>HYPERLINK("https://test.ictv.global/id/ICTV19991762","ICTV19991762@TEST")</f>
        <v/>
      </c>
      <c r="N1671" s="8">
        <f>HYPERLINK("https://ictv.global/id/TN19982606","TN19982606@prod")</f>
        <v/>
      </c>
      <c r="O1671" s="8">
        <f>HYPERLINK("https://ictv.global/id/ICTV19991762","ICTV19991762@prod")</f>
        <v/>
      </c>
    </row>
    <row r="1672">
      <c r="A1672" t="n">
        <v>17</v>
      </c>
      <c r="B1672" t="n">
        <v>19982608</v>
      </c>
      <c r="C1672" t="n">
        <v>19952323</v>
      </c>
      <c r="D1672" t="inlineStr">
        <is>
          <t>species</t>
        </is>
      </c>
      <c r="E1672" t="inlineStr">
        <is>
          <t>Citrus tatter leaf virus</t>
        </is>
      </c>
      <c r="G1672" t="inlineStr">
        <is>
          <t>Merged,Assigned as Type Species,</t>
        </is>
      </c>
      <c r="H1672" t="inlineStr">
        <is>
          <t>Apple stem grooving virus</t>
        </is>
      </c>
      <c r="I1672" t="inlineStr">
        <is>
          <t>species</t>
        </is>
      </c>
      <c r="J1672" t="n">
        <v>19991762</v>
      </c>
      <c r="K1672" t="n">
        <v>19991762</v>
      </c>
      <c r="L1672" s="8">
        <f>HYPERLINK("https://test.ictv.global/id/TN19982608","TN19982608@TEST")</f>
        <v/>
      </c>
      <c r="M1672" s="8">
        <f>HYPERLINK("https://test.ictv.global/id/ICTV19952323","ICTV19952323@TEST")</f>
        <v/>
      </c>
      <c r="N1672" s="8">
        <f>HYPERLINK("https://ictv.global/id/TN19982608","TN19982608@prod")</f>
        <v/>
      </c>
      <c r="O1672" s="8">
        <f>HYPERLINK("https://ictv.global/id/ICTV19952323","ICTV19952323@prod")</f>
        <v/>
      </c>
    </row>
    <row r="1673">
      <c r="A1673" t="n">
        <v>17</v>
      </c>
      <c r="B1673" t="n">
        <v>19982642</v>
      </c>
      <c r="C1673" t="n">
        <v>19911624</v>
      </c>
      <c r="D1673" t="inlineStr">
        <is>
          <t>species</t>
        </is>
      </c>
      <c r="E1673" t="inlineStr">
        <is>
          <t>Oat golden stripe virus</t>
        </is>
      </c>
      <c r="F1673" t="inlineStr">
        <is>
          <t>RNA1: AJ132578; RNA2: AJ132579</t>
        </is>
      </c>
      <c r="G1673" t="inlineStr">
        <is>
          <t>Merged,Assigned as Type Species,</t>
        </is>
      </c>
      <c r="H1673" t="inlineStr">
        <is>
          <t>Soil-borne wheat mosaic virus</t>
        </is>
      </c>
      <c r="I1673" t="inlineStr">
        <is>
          <t>species</t>
        </is>
      </c>
      <c r="J1673" t="n">
        <v>19991804</v>
      </c>
      <c r="K1673" t="n">
        <v>19991804</v>
      </c>
      <c r="L1673" s="8">
        <f>HYPERLINK("https://test.ictv.global/id/TN19982642","TN19982642@TEST")</f>
        <v/>
      </c>
      <c r="M1673" s="8">
        <f>HYPERLINK("https://test.ictv.global/id/ICTV19911624","ICTV19911624@TEST")</f>
        <v/>
      </c>
      <c r="N1673" s="8">
        <f>HYPERLINK("https://ictv.global/id/TN19982642","TN19982642@prod")</f>
        <v/>
      </c>
      <c r="O1673" s="8">
        <f>HYPERLINK("https://ictv.global/id/ICTV19911624","ICTV19911624@prod")</f>
        <v/>
      </c>
    </row>
    <row r="1674">
      <c r="A1674" t="n">
        <v>17</v>
      </c>
      <c r="B1674" t="n">
        <v>19982643</v>
      </c>
      <c r="C1674" t="n">
        <v>19991804</v>
      </c>
      <c r="D1674" t="inlineStr">
        <is>
          <t>species</t>
        </is>
      </c>
      <c r="E1674" t="inlineStr">
        <is>
          <t>Soil-borne wheat mosaic virus</t>
        </is>
      </c>
      <c r="F1674" t="inlineStr">
        <is>
          <t>RNA1: L07937; RNA2: L07938</t>
        </is>
      </c>
      <c r="G1674" t="inlineStr">
        <is>
          <t>Merged,</t>
        </is>
      </c>
      <c r="H1674" t="inlineStr">
        <is>
          <t>Soil-borne wheat mosaic virus</t>
        </is>
      </c>
      <c r="I1674" t="inlineStr">
        <is>
          <t>species</t>
        </is>
      </c>
      <c r="J1674" t="n">
        <v>19991804</v>
      </c>
      <c r="K1674" t="n">
        <v>19991804</v>
      </c>
      <c r="L1674" s="8">
        <f>HYPERLINK("https://test.ictv.global/id/TN19982643","TN19982643@TEST")</f>
        <v/>
      </c>
      <c r="M1674" s="8">
        <f>HYPERLINK("https://test.ictv.global/id/ICTV19991804","ICTV19991804@TEST")</f>
        <v/>
      </c>
      <c r="N1674" s="8">
        <f>HYPERLINK("https://ictv.global/id/TN19982643","TN19982643@prod")</f>
        <v/>
      </c>
      <c r="O1674" s="8">
        <f>HYPERLINK("https://ictv.global/id/ICTV19991804","ICTV19991804@prod")</f>
        <v/>
      </c>
    </row>
    <row r="1675">
      <c r="A1675" t="n">
        <v>17</v>
      </c>
      <c r="B1675" t="n">
        <v>19982644</v>
      </c>
      <c r="C1675" t="n">
        <v>19911628</v>
      </c>
      <c r="D1675" t="inlineStr">
        <is>
          <t>species</t>
        </is>
      </c>
      <c r="E1675" t="inlineStr">
        <is>
          <t>Sorghum chlorotic spot virus</t>
        </is>
      </c>
      <c r="F1675" t="inlineStr">
        <is>
          <t>RNA1: AB033691; RNA2: AB033692</t>
        </is>
      </c>
      <c r="G1675" t="inlineStr">
        <is>
          <t>Abolished,</t>
        </is>
      </c>
      <c r="L1675" s="8">
        <f>HYPERLINK("https://test.ictv.global/id/TN19982644","TN19982644@TEST")</f>
        <v/>
      </c>
      <c r="M1675" s="8">
        <f>HYPERLINK("https://test.ictv.global/id/ICTV19911628","ICTV19911628@TEST")</f>
        <v/>
      </c>
      <c r="N1675" s="8">
        <f>HYPERLINK("https://ictv.global/id/TN19982644","TN19982644@prod")</f>
        <v/>
      </c>
      <c r="O1675" s="8">
        <f>HYPERLINK("https://ictv.global/id/ICTV19911628","ICTV19911628@prod")</f>
        <v/>
      </c>
    </row>
    <row r="1676">
      <c r="A1676" t="n">
        <v>17</v>
      </c>
      <c r="B1676" t="n">
        <v>19982683</v>
      </c>
      <c r="C1676" t="n">
        <v>19791058</v>
      </c>
      <c r="D1676" t="inlineStr">
        <is>
          <t>species</t>
        </is>
      </c>
      <c r="E1676" t="inlineStr">
        <is>
          <t>Viola mottle virus</t>
        </is>
      </c>
      <c r="G1676" t="inlineStr">
        <is>
          <t>Abolished,</t>
        </is>
      </c>
      <c r="L1676" s="8">
        <f>HYPERLINK("https://test.ictv.global/id/TN19982683","TN19982683@TEST")</f>
        <v/>
      </c>
      <c r="M1676" s="8">
        <f>HYPERLINK("https://test.ictv.global/id/ICTV19791058","ICTV19791058@TEST")</f>
        <v/>
      </c>
      <c r="N1676" s="8">
        <f>HYPERLINK("https://ictv.global/id/TN19982683","TN19982683@prod")</f>
        <v/>
      </c>
      <c r="O1676" s="8">
        <f>HYPERLINK("https://ictv.global/id/ICTV19791058","ICTV19791058@prod")</f>
        <v/>
      </c>
    </row>
    <row r="1677">
      <c r="A1677" t="n">
        <v>17</v>
      </c>
      <c r="B1677" t="n">
        <v>19982725</v>
      </c>
      <c r="C1677" t="n">
        <v>19982725</v>
      </c>
      <c r="D1677" t="inlineStr">
        <is>
          <t>species</t>
        </is>
      </c>
      <c r="E1677" t="inlineStr">
        <is>
          <t>Chayote mosaic virus</t>
        </is>
      </c>
      <c r="F1677" t="inlineStr"/>
      <c r="G1677" t="inlineStr">
        <is>
          <t>Abolished,</t>
        </is>
      </c>
      <c r="L1677" s="8">
        <f>HYPERLINK("https://test.ictv.global/id/TN19982725","TN19982725@TEST")</f>
        <v/>
      </c>
      <c r="M1677" s="8">
        <f>HYPERLINK("https://test.ictv.global/id/ICTV19982725","ICTV19982725@TEST")</f>
        <v/>
      </c>
      <c r="N1677" s="8">
        <f>HYPERLINK("https://ictv.global/id/TN19982725","TN19982725@prod")</f>
        <v/>
      </c>
      <c r="O1677" s="8">
        <f>HYPERLINK("https://ictv.global/id/ICTV19982725","ICTV19982725@prod")</f>
        <v/>
      </c>
    </row>
    <row r="1678">
      <c r="A1678" t="n">
        <v>17</v>
      </c>
      <c r="B1678" t="n">
        <v>19982749</v>
      </c>
      <c r="C1678" t="n">
        <v>19951128</v>
      </c>
      <c r="D1678" t="inlineStr">
        <is>
          <t>species</t>
        </is>
      </c>
      <c r="E1678" t="inlineStr">
        <is>
          <t>Goldfish virus 1</t>
        </is>
      </c>
      <c r="G1678" t="inlineStr">
        <is>
          <t>Abolished,</t>
        </is>
      </c>
      <c r="L1678" s="8">
        <f>HYPERLINK("https://test.ictv.global/id/TN19982749","TN19982749@TEST")</f>
        <v/>
      </c>
      <c r="M1678" s="8">
        <f>HYPERLINK("https://test.ictv.global/id/ICTV19951128","ICTV19951128@TEST")</f>
        <v/>
      </c>
      <c r="N1678" s="8">
        <f>HYPERLINK("https://ictv.global/id/TN19982749","TN19982749@prod")</f>
        <v/>
      </c>
      <c r="O1678" s="8">
        <f>HYPERLINK("https://ictv.global/id/ICTV19951128","ICTV19951128@prod")</f>
        <v/>
      </c>
    </row>
    <row r="1679">
      <c r="A1679" t="n">
        <v>17</v>
      </c>
      <c r="B1679" t="n">
        <v>19982750</v>
      </c>
      <c r="C1679" t="n">
        <v>19982750</v>
      </c>
      <c r="D1679" t="inlineStr">
        <is>
          <t>species</t>
        </is>
      </c>
      <c r="E1679" t="inlineStr">
        <is>
          <t>Freesia leaf necrosis virus</t>
        </is>
      </c>
      <c r="G1679" t="inlineStr">
        <is>
          <t>Abolished,</t>
        </is>
      </c>
      <c r="L1679" s="8">
        <f>HYPERLINK("https://test.ictv.global/id/TN19982750","TN19982750@TEST")</f>
        <v/>
      </c>
      <c r="M1679" s="8">
        <f>HYPERLINK("https://test.ictv.global/id/ICTV19982750","ICTV19982750@TEST")</f>
        <v/>
      </c>
      <c r="N1679" s="8">
        <f>HYPERLINK("https://ictv.global/id/TN19982750","TN19982750@prod")</f>
        <v/>
      </c>
      <c r="O1679" s="8">
        <f>HYPERLINK("https://ictv.global/id/ICTV19982750","ICTV19982750@prod")</f>
        <v/>
      </c>
    </row>
    <row r="1680">
      <c r="A1680" t="n">
        <v>17</v>
      </c>
      <c r="B1680" t="n">
        <v>19982752</v>
      </c>
      <c r="C1680" t="n">
        <v>19982752</v>
      </c>
      <c r="D1680" t="inlineStr">
        <is>
          <t>species</t>
        </is>
      </c>
      <c r="E1680" t="inlineStr">
        <is>
          <t>Tobacco stunt virus</t>
        </is>
      </c>
      <c r="G1680" t="inlineStr">
        <is>
          <t>Abolished,</t>
        </is>
      </c>
      <c r="L1680" s="8">
        <f>HYPERLINK("https://test.ictv.global/id/TN19982752","TN19982752@TEST")</f>
        <v/>
      </c>
      <c r="M1680" s="8">
        <f>HYPERLINK("https://test.ictv.global/id/ICTV19982752","ICTV19982752@TEST")</f>
        <v/>
      </c>
      <c r="N1680" s="8">
        <f>HYPERLINK("https://ictv.global/id/TN19982752","TN19982752@prod")</f>
        <v/>
      </c>
      <c r="O1680" s="8">
        <f>HYPERLINK("https://ictv.global/id/ICTV19982752","ICTV19982752@prod")</f>
        <v/>
      </c>
    </row>
    <row r="1681">
      <c r="A1681" t="n">
        <v>18</v>
      </c>
      <c r="B1681" t="n">
        <v>19991423</v>
      </c>
      <c r="C1681" t="n">
        <v>19991423</v>
      </c>
      <c r="D1681" t="inlineStr">
        <is>
          <t>species</t>
        </is>
      </c>
      <c r="E1681" t="inlineStr">
        <is>
          <t>Petunia flower mottle virus</t>
        </is>
      </c>
      <c r="G1681" t="inlineStr">
        <is>
          <t>Abolished,</t>
        </is>
      </c>
      <c r="L1681" s="8">
        <f>HYPERLINK("https://test.ictv.global/id/TN19991423","TN19991423@TEST")</f>
        <v/>
      </c>
      <c r="M1681" s="8">
        <f>HYPERLINK("https://test.ictv.global/id/ICTV19991423","ICTV19991423@TEST")</f>
        <v/>
      </c>
      <c r="N1681" s="8">
        <f>HYPERLINK("https://ictv.global/id/TN19991423","TN19991423@prod")</f>
        <v/>
      </c>
      <c r="O1681" s="8">
        <f>HYPERLINK("https://ictv.global/id/ICTV19991423","ICTV19991423@prod")</f>
        <v/>
      </c>
    </row>
    <row r="1682">
      <c r="A1682" t="n">
        <v>19</v>
      </c>
      <c r="B1682" t="n">
        <v>19995744</v>
      </c>
      <c r="C1682" t="n">
        <v>19990740</v>
      </c>
      <c r="D1682" t="inlineStr">
        <is>
          <t>species</t>
        </is>
      </c>
      <c r="E1682" t="inlineStr">
        <is>
          <t>Beet pseudoyellows virus</t>
        </is>
      </c>
      <c r="F1682" t="inlineStr">
        <is>
          <t>RNA1: AY330918; RNA2: AY330919</t>
        </is>
      </c>
      <c r="G1682" t="inlineStr">
        <is>
          <t>Abolished,</t>
        </is>
      </c>
      <c r="L1682" s="8">
        <f>HYPERLINK("https://test.ictv.global/id/TN19995744","TN19995744@TEST")</f>
        <v/>
      </c>
      <c r="M1682" s="8">
        <f>HYPERLINK("https://test.ictv.global/id/ICTV19990740","ICTV19990740@TEST")</f>
        <v/>
      </c>
      <c r="N1682" s="8">
        <f>HYPERLINK("https://ictv.global/id/TN19995744","TN19995744@prod")</f>
        <v/>
      </c>
      <c r="O1682" s="8">
        <f>HYPERLINK("https://ictv.global/id/ICTV19990740","ICTV19990740@prod")</f>
        <v/>
      </c>
    </row>
    <row r="1683">
      <c r="A1683" t="n">
        <v>19</v>
      </c>
      <c r="B1683" t="n">
        <v>19995753</v>
      </c>
      <c r="C1683" t="n">
        <v>20020816</v>
      </c>
      <c r="D1683" t="inlineStr">
        <is>
          <t>species</t>
        </is>
      </c>
      <c r="E1683" t="inlineStr">
        <is>
          <t>Little cherry virus</t>
        </is>
      </c>
      <c r="G1683" t="inlineStr">
        <is>
          <t>Split,Moved,</t>
        </is>
      </c>
      <c r="H1683" t="inlineStr">
        <is>
          <t>Little cherry virus 2</t>
        </is>
      </c>
      <c r="I1683" t="inlineStr">
        <is>
          <t>species</t>
        </is>
      </c>
      <c r="J1683" t="n">
        <v>20020795</v>
      </c>
      <c r="K1683" t="n">
        <v>20020795</v>
      </c>
      <c r="L1683" s="8">
        <f>HYPERLINK("https://test.ictv.global/id/TN19995753","TN19995753@TEST")</f>
        <v/>
      </c>
      <c r="M1683" s="8">
        <f>HYPERLINK("https://test.ictv.global/id/ICTV20020816","ICTV20020816@TEST")</f>
        <v/>
      </c>
      <c r="N1683" s="8">
        <f>HYPERLINK("https://ictv.global/id/TN19995753","TN19995753@prod")</f>
        <v/>
      </c>
      <c r="O1683" s="8">
        <f>HYPERLINK("https://ictv.global/id/ICTV20020816","ICTV20020816@prod")</f>
        <v/>
      </c>
    </row>
    <row r="1684">
      <c r="A1684" t="n">
        <v>19</v>
      </c>
      <c r="B1684" t="n">
        <v>19995753</v>
      </c>
      <c r="C1684" t="n">
        <v>20020816</v>
      </c>
      <c r="D1684" t="inlineStr">
        <is>
          <t>species</t>
        </is>
      </c>
      <c r="E1684" t="inlineStr">
        <is>
          <t>Little cherry virus</t>
        </is>
      </c>
      <c r="G1684" t="inlineStr">
        <is>
          <t>Split,Moved,</t>
        </is>
      </c>
      <c r="H1684" t="inlineStr">
        <is>
          <t>Little cherry virus 1</t>
        </is>
      </c>
      <c r="I1684" t="inlineStr">
        <is>
          <t>species</t>
        </is>
      </c>
      <c r="J1684" t="n">
        <v>20020816</v>
      </c>
      <c r="K1684" t="n">
        <v>20020816</v>
      </c>
      <c r="L1684" s="8">
        <f>HYPERLINK("https://test.ictv.global/id/TN19995753","TN19995753@TEST")</f>
        <v/>
      </c>
      <c r="M1684" s="8">
        <f>HYPERLINK("https://test.ictv.global/id/ICTV20020816","ICTV20020816@TEST")</f>
        <v/>
      </c>
      <c r="N1684" s="8">
        <f>HYPERLINK("https://ictv.global/id/TN19995753","TN19995753@prod")</f>
        <v/>
      </c>
      <c r="O1684" s="8">
        <f>HYPERLINK("https://ictv.global/id/ICTV20020816","ICTV20020816@prod")</f>
        <v/>
      </c>
    </row>
    <row r="1685">
      <c r="A1685" t="n">
        <v>19</v>
      </c>
      <c r="B1685" t="n">
        <v>19996127</v>
      </c>
      <c r="C1685" t="n">
        <v>19910988</v>
      </c>
      <c r="D1685" t="inlineStr">
        <is>
          <t>species</t>
        </is>
      </c>
      <c r="E1685" t="inlineStr">
        <is>
          <t>Gypsy moth virus</t>
        </is>
      </c>
      <c r="G1685" t="inlineStr">
        <is>
          <t>Abolished,</t>
        </is>
      </c>
      <c r="L1685" s="8">
        <f>HYPERLINK("https://test.ictv.global/id/TN19996127","TN19996127@TEST")</f>
        <v/>
      </c>
      <c r="M1685" s="8">
        <f>HYPERLINK("https://test.ictv.global/id/ICTV19910988","ICTV19910988@TEST")</f>
        <v/>
      </c>
      <c r="N1685" s="8">
        <f>HYPERLINK("https://ictv.global/id/TN19996127","TN19996127@prod")</f>
        <v/>
      </c>
      <c r="O1685" s="8">
        <f>HYPERLINK("https://ictv.global/id/ICTV19910988","ICTV19910988@prod")</f>
        <v/>
      </c>
    </row>
    <row r="1686">
      <c r="A1686" t="n">
        <v>19</v>
      </c>
      <c r="B1686" t="n">
        <v>19996128</v>
      </c>
      <c r="C1686" t="n">
        <v>19910989</v>
      </c>
      <c r="D1686" t="inlineStr">
        <is>
          <t>species</t>
        </is>
      </c>
      <c r="E1686" t="inlineStr">
        <is>
          <t>Manawatu virus</t>
        </is>
      </c>
      <c r="G1686" t="inlineStr">
        <is>
          <t>Abolished,</t>
        </is>
      </c>
      <c r="L1686" s="8">
        <f>HYPERLINK("https://test.ictv.global/id/TN19996128","TN19996128@TEST")</f>
        <v/>
      </c>
      <c r="M1686" s="8">
        <f>HYPERLINK("https://test.ictv.global/id/ICTV19910989","ICTV19910989@TEST")</f>
        <v/>
      </c>
      <c r="N1686" s="8">
        <f>HYPERLINK("https://ictv.global/id/TN19996128","TN19996128@prod")</f>
        <v/>
      </c>
      <c r="O1686" s="8">
        <f>HYPERLINK("https://ictv.global/id/ICTV19910989","ICTV19910989@prod")</f>
        <v/>
      </c>
    </row>
    <row r="1687">
      <c r="A1687" t="n">
        <v>19</v>
      </c>
      <c r="B1687" t="n">
        <v>19996129</v>
      </c>
      <c r="C1687" t="n">
        <v>19991125</v>
      </c>
      <c r="D1687" t="inlineStr">
        <is>
          <t>species</t>
        </is>
      </c>
      <c r="E1687" t="inlineStr">
        <is>
          <t>New Zealand virus</t>
        </is>
      </c>
      <c r="G1687" t="inlineStr">
        <is>
          <t>Abolished,</t>
        </is>
      </c>
      <c r="L1687" s="8">
        <f>HYPERLINK("https://test.ictv.global/id/TN19996129","TN19996129@TEST")</f>
        <v/>
      </c>
      <c r="M1687" s="8">
        <f>HYPERLINK("https://test.ictv.global/id/ICTV19991125","ICTV19991125@TEST")</f>
        <v/>
      </c>
      <c r="N1687" s="8">
        <f>HYPERLINK("https://ictv.global/id/TN19996129","TN19996129@prod")</f>
        <v/>
      </c>
      <c r="O1687" s="8">
        <f>HYPERLINK("https://ictv.global/id/ICTV19991125","ICTV19991125@prod")</f>
        <v/>
      </c>
    </row>
    <row r="1688">
      <c r="A1688" t="n">
        <v>19</v>
      </c>
      <c r="B1688" t="n">
        <v>19996132</v>
      </c>
      <c r="C1688" t="n">
        <v>19961422</v>
      </c>
      <c r="D1688" t="inlineStr">
        <is>
          <t>species</t>
        </is>
      </c>
      <c r="E1688" t="inlineStr">
        <is>
          <t>Dicentrarchus labrax encephalitis virus</t>
        </is>
      </c>
      <c r="G1688" t="inlineStr">
        <is>
          <t>Abolished,</t>
        </is>
      </c>
      <c r="L1688" s="8">
        <f>HYPERLINK("https://test.ictv.global/id/TN19996132","TN19996132@TEST")</f>
        <v/>
      </c>
      <c r="M1688" s="8">
        <f>HYPERLINK("https://test.ictv.global/id/ICTV19961422","ICTV19961422@TEST")</f>
        <v/>
      </c>
      <c r="N1688" s="8">
        <f>HYPERLINK("https://ictv.global/id/TN19996132","TN19996132@prod")</f>
        <v/>
      </c>
      <c r="O1688" s="8">
        <f>HYPERLINK("https://ictv.global/id/ICTV19961422","ICTV19961422@prod")</f>
        <v/>
      </c>
    </row>
    <row r="1689">
      <c r="A1689" t="n">
        <v>19</v>
      </c>
      <c r="B1689" t="n">
        <v>19996133</v>
      </c>
      <c r="C1689" t="n">
        <v>19961423</v>
      </c>
      <c r="D1689" t="inlineStr">
        <is>
          <t>species</t>
        </is>
      </c>
      <c r="E1689" t="inlineStr">
        <is>
          <t>Japanese flounder nervous necrosis virus</t>
        </is>
      </c>
      <c r="G1689" t="inlineStr">
        <is>
          <t>Abolished,</t>
        </is>
      </c>
      <c r="L1689" s="8">
        <f>HYPERLINK("https://test.ictv.global/id/TN19996133","TN19996133@TEST")</f>
        <v/>
      </c>
      <c r="M1689" s="8">
        <f>HYPERLINK("https://test.ictv.global/id/ICTV19961423","ICTV19961423@TEST")</f>
        <v/>
      </c>
      <c r="N1689" s="8">
        <f>HYPERLINK("https://ictv.global/id/TN19996133","TN19996133@prod")</f>
        <v/>
      </c>
      <c r="O1689" s="8">
        <f>HYPERLINK("https://ictv.global/id/ICTV19961423","ICTV19961423@prod")</f>
        <v/>
      </c>
    </row>
    <row r="1690">
      <c r="A1690" t="n">
        <v>19</v>
      </c>
      <c r="B1690" t="n">
        <v>19996134</v>
      </c>
      <c r="C1690" t="n">
        <v>19961424</v>
      </c>
      <c r="D1690" t="inlineStr">
        <is>
          <t>species</t>
        </is>
      </c>
      <c r="E1690" t="inlineStr">
        <is>
          <t>Lates calcarifer encephalitis virus</t>
        </is>
      </c>
      <c r="G1690" t="inlineStr">
        <is>
          <t>Abolished,</t>
        </is>
      </c>
      <c r="L1690" s="8">
        <f>HYPERLINK("https://test.ictv.global/id/TN19996134","TN19996134@TEST")</f>
        <v/>
      </c>
      <c r="M1690" s="8">
        <f>HYPERLINK("https://test.ictv.global/id/ICTV19961424","ICTV19961424@TEST")</f>
        <v/>
      </c>
      <c r="N1690" s="8">
        <f>HYPERLINK("https://ictv.global/id/TN19996134","TN19996134@prod")</f>
        <v/>
      </c>
      <c r="O1690" s="8">
        <f>HYPERLINK("https://ictv.global/id/ICTV19961424","ICTV19961424@prod")</f>
        <v/>
      </c>
    </row>
    <row r="1691">
      <c r="A1691" t="n">
        <v>19</v>
      </c>
      <c r="B1691" t="n">
        <v>19996920</v>
      </c>
      <c r="C1691" t="n">
        <v>19952480</v>
      </c>
      <c r="D1691" t="inlineStr">
        <is>
          <t>species</t>
        </is>
      </c>
      <c r="E1691" t="inlineStr">
        <is>
          <t>Bean yellow vein-banding virus</t>
        </is>
      </c>
      <c r="G1691" t="inlineStr">
        <is>
          <t>Abolished,</t>
        </is>
      </c>
      <c r="L1691" s="8">
        <f>HYPERLINK("https://test.ictv.global/id/TN19996920","TN19996920@TEST")</f>
        <v/>
      </c>
      <c r="M1691" s="8">
        <f>HYPERLINK("https://test.ictv.global/id/ICTV19952480","ICTV19952480@TEST")</f>
        <v/>
      </c>
      <c r="N1691" s="8">
        <f>HYPERLINK("https://ictv.global/id/TN19996920","TN19996920@prod")</f>
        <v/>
      </c>
      <c r="O1691" s="8">
        <f>HYPERLINK("https://ictv.global/id/ICTV19952480","ICTV19952480@prod")</f>
        <v/>
      </c>
    </row>
    <row r="1692">
      <c r="A1692" t="n">
        <v>20</v>
      </c>
      <c r="B1692" t="n">
        <v>20020194</v>
      </c>
      <c r="C1692" t="n">
        <v>19950124</v>
      </c>
      <c r="D1692" t="inlineStr">
        <is>
          <t>genus</t>
        </is>
      </c>
      <c r="E1692" t="inlineStr">
        <is>
          <t>Astrovirus</t>
        </is>
      </c>
      <c r="G1692" t="inlineStr">
        <is>
          <t>Split,</t>
        </is>
      </c>
      <c r="H1692" t="inlineStr">
        <is>
          <t>Avastrovirus</t>
        </is>
      </c>
      <c r="I1692" t="inlineStr">
        <is>
          <t>genus</t>
        </is>
      </c>
      <c r="J1692" t="n">
        <v>20025197</v>
      </c>
      <c r="K1692" t="n">
        <v>20025197</v>
      </c>
      <c r="L1692" s="8">
        <f>HYPERLINK("https://test.ictv.global/id/TN20020194","TN20020194@TEST")</f>
        <v/>
      </c>
      <c r="M1692" s="8">
        <f>HYPERLINK("https://test.ictv.global/id/ICTV19950124","ICTV19950124@TEST")</f>
        <v/>
      </c>
      <c r="N1692" s="8">
        <f>HYPERLINK("https://ictv.global/id/TN20020194","TN20020194@prod")</f>
        <v/>
      </c>
      <c r="O1692" s="8">
        <f>HYPERLINK("https://ictv.global/id/ICTV19950124","ICTV19950124@prod")</f>
        <v/>
      </c>
    </row>
    <row r="1693">
      <c r="A1693" t="n">
        <v>20</v>
      </c>
      <c r="B1693" t="n">
        <v>20020194</v>
      </c>
      <c r="C1693" t="n">
        <v>19950124</v>
      </c>
      <c r="D1693" t="inlineStr">
        <is>
          <t>genus</t>
        </is>
      </c>
      <c r="E1693" t="inlineStr">
        <is>
          <t>Astrovirus</t>
        </is>
      </c>
      <c r="G1693" t="inlineStr">
        <is>
          <t>Split,</t>
        </is>
      </c>
      <c r="H1693" t="inlineStr">
        <is>
          <t>Mamastrovirus</t>
        </is>
      </c>
      <c r="I1693" t="inlineStr">
        <is>
          <t>genus</t>
        </is>
      </c>
      <c r="J1693" t="n">
        <v>20025198</v>
      </c>
      <c r="K1693" t="n">
        <v>20025198</v>
      </c>
      <c r="L1693" s="8">
        <f>HYPERLINK("https://test.ictv.global/id/TN20020194","TN20020194@TEST")</f>
        <v/>
      </c>
      <c r="M1693" s="8">
        <f>HYPERLINK("https://test.ictv.global/id/ICTV19950124","ICTV19950124@TEST")</f>
        <v/>
      </c>
      <c r="N1693" s="8">
        <f>HYPERLINK("https://ictv.global/id/TN20020194","TN20020194@prod")</f>
        <v/>
      </c>
      <c r="O1693" s="8">
        <f>HYPERLINK("https://ictv.global/id/ICTV19950124","ICTV19950124@prod")</f>
        <v/>
      </c>
    </row>
    <row r="1694">
      <c r="A1694" t="n">
        <v>20</v>
      </c>
      <c r="B1694" t="n">
        <v>20020791</v>
      </c>
      <c r="C1694" t="n">
        <v>19950823</v>
      </c>
      <c r="D1694" t="inlineStr">
        <is>
          <t>species</t>
        </is>
      </c>
      <c r="E1694" t="inlineStr">
        <is>
          <t>Porcine circovirus</t>
        </is>
      </c>
      <c r="G1694" t="inlineStr">
        <is>
          <t>Split,</t>
        </is>
      </c>
      <c r="H1694" t="inlineStr">
        <is>
          <t>Porcine circovirus 1</t>
        </is>
      </c>
      <c r="I1694" t="inlineStr">
        <is>
          <t>species</t>
        </is>
      </c>
      <c r="J1694" t="n">
        <v>20025805</v>
      </c>
      <c r="K1694" t="n">
        <v>20025805</v>
      </c>
      <c r="L1694" s="8">
        <f>HYPERLINK("https://test.ictv.global/id/TN20020791","TN20020791@TEST")</f>
        <v/>
      </c>
      <c r="M1694" s="8">
        <f>HYPERLINK("https://test.ictv.global/id/ICTV19950823","ICTV19950823@TEST")</f>
        <v/>
      </c>
      <c r="N1694" s="8">
        <f>HYPERLINK("https://ictv.global/id/TN20020791","TN20020791@prod")</f>
        <v/>
      </c>
      <c r="O1694" s="8">
        <f>HYPERLINK("https://ictv.global/id/ICTV19950823","ICTV19950823@prod")</f>
        <v/>
      </c>
    </row>
    <row r="1695">
      <c r="A1695" t="n">
        <v>20</v>
      </c>
      <c r="B1695" t="n">
        <v>20020791</v>
      </c>
      <c r="C1695" t="n">
        <v>19950823</v>
      </c>
      <c r="D1695" t="inlineStr">
        <is>
          <t>species</t>
        </is>
      </c>
      <c r="E1695" t="inlineStr">
        <is>
          <t>Porcine circovirus</t>
        </is>
      </c>
      <c r="G1695" t="inlineStr">
        <is>
          <t>Split,Removed as Type Species,</t>
        </is>
      </c>
      <c r="H1695" t="inlineStr">
        <is>
          <t>Porcine circovirus 2</t>
        </is>
      </c>
      <c r="I1695" t="inlineStr">
        <is>
          <t>species</t>
        </is>
      </c>
      <c r="J1695" t="n">
        <v>20025806</v>
      </c>
      <c r="K1695" t="n">
        <v>20025806</v>
      </c>
      <c r="L1695" s="8">
        <f>HYPERLINK("https://test.ictv.global/id/TN20020791","TN20020791@TEST")</f>
        <v/>
      </c>
      <c r="M1695" s="8">
        <f>HYPERLINK("https://test.ictv.global/id/ICTV19950823","ICTV19950823@TEST")</f>
        <v/>
      </c>
      <c r="N1695" s="8">
        <f>HYPERLINK("https://ictv.global/id/TN20020791","TN20020791@prod")</f>
        <v/>
      </c>
      <c r="O1695" s="8">
        <f>HYPERLINK("https://ictv.global/id/ICTV19950823","ICTV19950823@prod")</f>
        <v/>
      </c>
    </row>
    <row r="1696">
      <c r="A1696" t="n">
        <v>20</v>
      </c>
      <c r="B1696" t="n">
        <v>20021726</v>
      </c>
      <c r="C1696" t="n">
        <v>19760544</v>
      </c>
      <c r="D1696" t="inlineStr">
        <is>
          <t>species</t>
        </is>
      </c>
      <c r="E1696" t="inlineStr">
        <is>
          <t>Chimpanzee foamy virus</t>
        </is>
      </c>
      <c r="G1696" t="inlineStr">
        <is>
          <t>Merged,</t>
        </is>
      </c>
      <c r="H1696" t="inlineStr">
        <is>
          <t>Simian foamy virus</t>
        </is>
      </c>
      <c r="I1696" t="inlineStr">
        <is>
          <t>species</t>
        </is>
      </c>
      <c r="J1696" t="n">
        <v>20026748</v>
      </c>
      <c r="K1696" t="n">
        <v>20026748</v>
      </c>
      <c r="L1696" s="8">
        <f>HYPERLINK("https://test.ictv.global/id/TN20021726","TN20021726@TEST")</f>
        <v/>
      </c>
      <c r="M1696" s="8">
        <f>HYPERLINK("https://test.ictv.global/id/ICTV19760544","ICTV19760544@TEST")</f>
        <v/>
      </c>
      <c r="N1696" s="8">
        <f>HYPERLINK("https://ictv.global/id/TN20021726","TN20021726@prod")</f>
        <v/>
      </c>
      <c r="O1696" s="8">
        <f>HYPERLINK("https://ictv.global/id/ICTV19760544","ICTV19760544@prod")</f>
        <v/>
      </c>
    </row>
    <row r="1697">
      <c r="A1697" t="n">
        <v>20</v>
      </c>
      <c r="B1697" t="n">
        <v>20021728</v>
      </c>
      <c r="C1697" t="n">
        <v>19991650</v>
      </c>
      <c r="D1697" t="inlineStr">
        <is>
          <t>species</t>
        </is>
      </c>
      <c r="E1697" t="inlineStr">
        <is>
          <t>Simian foamy virus 1</t>
        </is>
      </c>
      <c r="G1697" t="inlineStr">
        <is>
          <t>Merged,Assigned as Type Species,</t>
        </is>
      </c>
      <c r="H1697" t="inlineStr">
        <is>
          <t>Simian foamy virus</t>
        </is>
      </c>
      <c r="I1697" t="inlineStr">
        <is>
          <t>species</t>
        </is>
      </c>
      <c r="J1697" t="n">
        <v>20026748</v>
      </c>
      <c r="K1697" t="n">
        <v>20026748</v>
      </c>
      <c r="L1697" s="8">
        <f>HYPERLINK("https://test.ictv.global/id/TN20021728","TN20021728@TEST")</f>
        <v/>
      </c>
      <c r="M1697" s="8">
        <f>HYPERLINK("https://test.ictv.global/id/ICTV19991650","ICTV19991650@TEST")</f>
        <v/>
      </c>
      <c r="N1697" s="8">
        <f>HYPERLINK("https://ictv.global/id/TN20021728","TN20021728@prod")</f>
        <v/>
      </c>
      <c r="O1697" s="8">
        <f>HYPERLINK("https://ictv.global/id/ICTV19991650","ICTV19991650@prod")</f>
        <v/>
      </c>
    </row>
    <row r="1698">
      <c r="A1698" t="n">
        <v>20</v>
      </c>
      <c r="B1698" t="n">
        <v>20021729</v>
      </c>
      <c r="C1698" t="n">
        <v>19991651</v>
      </c>
      <c r="D1698" t="inlineStr">
        <is>
          <t>species</t>
        </is>
      </c>
      <c r="E1698" t="inlineStr">
        <is>
          <t>Simian foamy virus 3</t>
        </is>
      </c>
      <c r="G1698" t="inlineStr">
        <is>
          <t>Merged,Assigned as Type Species,</t>
        </is>
      </c>
      <c r="H1698" t="inlineStr">
        <is>
          <t>Simian foamy virus</t>
        </is>
      </c>
      <c r="I1698" t="inlineStr">
        <is>
          <t>species</t>
        </is>
      </c>
      <c r="J1698" t="n">
        <v>20026748</v>
      </c>
      <c r="K1698" t="n">
        <v>20026748</v>
      </c>
      <c r="L1698" s="8">
        <f>HYPERLINK("https://test.ictv.global/id/TN20021729","TN20021729@TEST")</f>
        <v/>
      </c>
      <c r="M1698" s="8">
        <f>HYPERLINK("https://test.ictv.global/id/ICTV19991651","ICTV19991651@TEST")</f>
        <v/>
      </c>
      <c r="N1698" s="8">
        <f>HYPERLINK("https://ictv.global/id/TN20021729","TN20021729@prod")</f>
        <v/>
      </c>
      <c r="O1698" s="8">
        <f>HYPERLINK("https://ictv.global/id/ICTV19991651","ICTV19991651@prod")</f>
        <v/>
      </c>
    </row>
    <row r="1699">
      <c r="A1699" t="n">
        <v>21</v>
      </c>
      <c r="B1699" t="n">
        <v>20025293</v>
      </c>
      <c r="C1699" t="n">
        <v>19710008</v>
      </c>
      <c r="D1699" t="inlineStr">
        <is>
          <t>genus</t>
        </is>
      </c>
      <c r="E1699" t="inlineStr">
        <is>
          <t>Papillomavirus</t>
        </is>
      </c>
      <c r="G1699" t="inlineStr">
        <is>
          <t>Abolished,</t>
        </is>
      </c>
      <c r="L1699" s="8">
        <f>HYPERLINK("https://test.ictv.global/id/TN20025293","TN20025293@TEST")</f>
        <v/>
      </c>
      <c r="M1699" s="8">
        <f>HYPERLINK("https://test.ictv.global/id/ICTV19710008","ICTV19710008@TEST")</f>
        <v/>
      </c>
      <c r="N1699" s="8">
        <f>HYPERLINK("https://ictv.global/id/TN20025293","TN20025293@prod")</f>
        <v/>
      </c>
      <c r="O1699" s="8">
        <f>HYPERLINK("https://ictv.global/id/ICTV19710008","ICTV19710008@prod")</f>
        <v/>
      </c>
    </row>
    <row r="1700">
      <c r="A1700" t="n">
        <v>21</v>
      </c>
      <c r="B1700" t="n">
        <v>20025956</v>
      </c>
      <c r="C1700" t="n">
        <v>19950961</v>
      </c>
      <c r="D1700" t="inlineStr">
        <is>
          <t>species</t>
        </is>
      </c>
      <c r="E1700" t="inlineStr">
        <is>
          <t>Acalypha yellow mosaic virus</t>
        </is>
      </c>
      <c r="G1700" t="inlineStr">
        <is>
          <t>Abolished,</t>
        </is>
      </c>
      <c r="L1700" s="8">
        <f>HYPERLINK("https://test.ictv.global/id/TN20025956","TN20025956@TEST")</f>
        <v/>
      </c>
      <c r="M1700" s="8">
        <f>HYPERLINK("https://test.ictv.global/id/ICTV19950961","ICTV19950961@TEST")</f>
        <v/>
      </c>
      <c r="N1700" s="8">
        <f>HYPERLINK("https://ictv.global/id/TN20025956","TN20025956@prod")</f>
        <v/>
      </c>
      <c r="O1700" s="8">
        <f>HYPERLINK("https://ictv.global/id/ICTV19950961","ICTV19950961@prod")</f>
        <v/>
      </c>
    </row>
    <row r="1701">
      <c r="A1701" t="n">
        <v>21</v>
      </c>
      <c r="B1701" t="n">
        <v>20025960</v>
      </c>
      <c r="C1701" t="n">
        <v>19950964</v>
      </c>
      <c r="D1701" t="inlineStr">
        <is>
          <t>species</t>
        </is>
      </c>
      <c r="E1701" t="inlineStr">
        <is>
          <t>Asystasia golden mosaic virus</t>
        </is>
      </c>
      <c r="G1701" t="inlineStr">
        <is>
          <t>Abolished,</t>
        </is>
      </c>
      <c r="L1701" s="8">
        <f>HYPERLINK("https://test.ictv.global/id/TN20025960","TN20025960@TEST")</f>
        <v/>
      </c>
      <c r="M1701" s="8">
        <f>HYPERLINK("https://test.ictv.global/id/ICTV19950964","ICTV19950964@TEST")</f>
        <v/>
      </c>
      <c r="N1701" s="8">
        <f>HYPERLINK("https://ictv.global/id/TN20025960","TN20025960@prod")</f>
        <v/>
      </c>
      <c r="O1701" s="8">
        <f>HYPERLINK("https://ictv.global/id/ICTV19950964","ICTV19950964@prod")</f>
        <v/>
      </c>
    </row>
    <row r="1702">
      <c r="A1702" t="n">
        <v>21</v>
      </c>
      <c r="B1702" t="n">
        <v>20025968</v>
      </c>
      <c r="C1702" t="n">
        <v>19950972</v>
      </c>
      <c r="D1702" t="inlineStr">
        <is>
          <t>species</t>
        </is>
      </c>
      <c r="E1702" t="inlineStr">
        <is>
          <t>Croton yellow vein mosaic virus</t>
        </is>
      </c>
      <c r="F1702" t="inlineStr"/>
      <c r="G1702" t="inlineStr">
        <is>
          <t>Abolished,</t>
        </is>
      </c>
      <c r="L1702" s="8">
        <f>HYPERLINK("https://test.ictv.global/id/TN20025968","TN20025968@TEST")</f>
        <v/>
      </c>
      <c r="M1702" s="8">
        <f>HYPERLINK("https://test.ictv.global/id/ICTV19950972","ICTV19950972@TEST")</f>
        <v/>
      </c>
      <c r="N1702" s="8">
        <f>HYPERLINK("https://ictv.global/id/TN20025968","TN20025968@prod")</f>
        <v/>
      </c>
      <c r="O1702" s="8">
        <f>HYPERLINK("https://ictv.global/id/ICTV19950972","ICTV19950972@prod")</f>
        <v/>
      </c>
    </row>
    <row r="1703">
      <c r="A1703" t="n">
        <v>21</v>
      </c>
      <c r="B1703" t="n">
        <v>20025969</v>
      </c>
      <c r="C1703" t="n">
        <v>19950973</v>
      </c>
      <c r="D1703" t="inlineStr">
        <is>
          <t>species</t>
        </is>
      </c>
      <c r="E1703" t="inlineStr">
        <is>
          <t>Dolichos yellow mosaic virus</t>
        </is>
      </c>
      <c r="F1703" t="inlineStr"/>
      <c r="G1703" t="inlineStr">
        <is>
          <t>Abolished,</t>
        </is>
      </c>
      <c r="L1703" s="8">
        <f>HYPERLINK("https://test.ictv.global/id/TN20025969","TN20025969@TEST")</f>
        <v/>
      </c>
      <c r="M1703" s="8">
        <f>HYPERLINK("https://test.ictv.global/id/ICTV19950973","ICTV19950973@TEST")</f>
        <v/>
      </c>
      <c r="N1703" s="8">
        <f>HYPERLINK("https://ictv.global/id/TN20025969","TN20025969@prod")</f>
        <v/>
      </c>
      <c r="O1703" s="8">
        <f>HYPERLINK("https://ictv.global/id/ICTV19950973","ICTV19950973@prod")</f>
        <v/>
      </c>
    </row>
    <row r="1704">
      <c r="A1704" t="n">
        <v>21</v>
      </c>
      <c r="B1704" t="n">
        <v>20025971</v>
      </c>
      <c r="C1704" t="n">
        <v>19950974</v>
      </c>
      <c r="D1704" t="inlineStr">
        <is>
          <t>species</t>
        </is>
      </c>
      <c r="E1704" t="inlineStr">
        <is>
          <t>Eclipta yellow vein virus</t>
        </is>
      </c>
      <c r="F1704" t="inlineStr"/>
      <c r="G1704" t="inlineStr">
        <is>
          <t>Abolished,</t>
        </is>
      </c>
      <c r="L1704" s="8">
        <f>HYPERLINK("https://test.ictv.global/id/TN20025971","TN20025971@TEST")</f>
        <v/>
      </c>
      <c r="M1704" s="8">
        <f>HYPERLINK("https://test.ictv.global/id/ICTV19950974","ICTV19950974@TEST")</f>
        <v/>
      </c>
      <c r="N1704" s="8">
        <f>HYPERLINK("https://ictv.global/id/TN20025971","TN20025971@prod")</f>
        <v/>
      </c>
      <c r="O1704" s="8">
        <f>HYPERLINK("https://ictv.global/id/ICTV19950974","ICTV19950974@prod")</f>
        <v/>
      </c>
    </row>
    <row r="1705">
      <c r="A1705" t="n">
        <v>21</v>
      </c>
      <c r="B1705" t="n">
        <v>20025972</v>
      </c>
      <c r="C1705" t="n">
        <v>19871305</v>
      </c>
      <c r="D1705" t="inlineStr">
        <is>
          <t>species</t>
        </is>
      </c>
      <c r="E1705" t="inlineStr">
        <is>
          <t>Euphorbia mosaic virus</t>
        </is>
      </c>
      <c r="F1705" t="inlineStr"/>
      <c r="G1705" t="inlineStr">
        <is>
          <t>Abolished,</t>
        </is>
      </c>
      <c r="L1705" s="8">
        <f>HYPERLINK("https://test.ictv.global/id/TN20025972","TN20025972@TEST")</f>
        <v/>
      </c>
      <c r="M1705" s="8">
        <f>HYPERLINK("https://test.ictv.global/id/ICTV19871305","ICTV19871305@TEST")</f>
        <v/>
      </c>
      <c r="N1705" s="8">
        <f>HYPERLINK("https://ictv.global/id/TN20025972","TN20025972@prod")</f>
        <v/>
      </c>
      <c r="O1705" s="8">
        <f>HYPERLINK("https://ictv.global/id/ICTV19871305","ICTV19871305@prod")</f>
        <v/>
      </c>
    </row>
    <row r="1706">
      <c r="A1706" t="n">
        <v>21</v>
      </c>
      <c r="B1706" t="n">
        <v>20025973</v>
      </c>
      <c r="C1706" t="n">
        <v>19981393</v>
      </c>
      <c r="D1706" t="inlineStr">
        <is>
          <t>species</t>
        </is>
      </c>
      <c r="E1706" t="inlineStr">
        <is>
          <t>Hollyhock leaf curl virus</t>
        </is>
      </c>
      <c r="F1706" t="inlineStr"/>
      <c r="G1706" t="inlineStr">
        <is>
          <t>Abolished,</t>
        </is>
      </c>
      <c r="L1706" s="8">
        <f>HYPERLINK("https://test.ictv.global/id/TN20025973","TN20025973@TEST")</f>
        <v/>
      </c>
      <c r="M1706" s="8">
        <f>HYPERLINK("https://test.ictv.global/id/ICTV19981393","ICTV19981393@TEST")</f>
        <v/>
      </c>
      <c r="N1706" s="8">
        <f>HYPERLINK("https://ictv.global/id/TN20025973","TN20025973@prod")</f>
        <v/>
      </c>
      <c r="O1706" s="8">
        <f>HYPERLINK("https://ictv.global/id/ICTV19981393","ICTV19981393@prod")</f>
        <v/>
      </c>
    </row>
    <row r="1707">
      <c r="A1707" t="n">
        <v>21</v>
      </c>
      <c r="B1707" t="n">
        <v>20025975</v>
      </c>
      <c r="C1707" t="n">
        <v>19911645</v>
      </c>
      <c r="D1707" t="inlineStr">
        <is>
          <t>species</t>
        </is>
      </c>
      <c r="E1707" t="inlineStr">
        <is>
          <t>Horsegram yellow mosaic virus</t>
        </is>
      </c>
      <c r="F1707" t="inlineStr"/>
      <c r="G1707" t="inlineStr">
        <is>
          <t>Abolished,</t>
        </is>
      </c>
      <c r="L1707" s="8">
        <f>HYPERLINK("https://test.ictv.global/id/TN20025975","TN20025975@TEST")</f>
        <v/>
      </c>
      <c r="M1707" s="8">
        <f>HYPERLINK("https://test.ictv.global/id/ICTV19911645","ICTV19911645@TEST")</f>
        <v/>
      </c>
      <c r="N1707" s="8">
        <f>HYPERLINK("https://ictv.global/id/TN20025975","TN20025975@prod")</f>
        <v/>
      </c>
      <c r="O1707" s="8">
        <f>HYPERLINK("https://ictv.global/id/ICTV19911645","ICTV19911645@prod")</f>
        <v/>
      </c>
    </row>
    <row r="1708">
      <c r="A1708" t="n">
        <v>21</v>
      </c>
      <c r="B1708" t="n">
        <v>20025977</v>
      </c>
      <c r="C1708" t="n">
        <v>19981397</v>
      </c>
      <c r="D1708" t="inlineStr">
        <is>
          <t>species</t>
        </is>
      </c>
      <c r="E1708" t="inlineStr">
        <is>
          <t>Indian tomato leaf curl virus</t>
        </is>
      </c>
      <c r="G1708" t="inlineStr">
        <is>
          <t>Abolished,</t>
        </is>
      </c>
      <c r="L1708" s="8">
        <f>HYPERLINK("https://test.ictv.global/id/TN20025977","TN20025977@TEST")</f>
        <v/>
      </c>
      <c r="M1708" s="8">
        <f>HYPERLINK("https://test.ictv.global/id/ICTV19981397","ICTV19981397@TEST")</f>
        <v/>
      </c>
      <c r="N1708" s="8">
        <f>HYPERLINK("https://ictv.global/id/TN20025977","TN20025977@prod")</f>
        <v/>
      </c>
      <c r="O1708" s="8">
        <f>HYPERLINK("https://ictv.global/id/ICTV19981397","ICTV19981397@prod")</f>
        <v/>
      </c>
    </row>
    <row r="1709">
      <c r="A1709" t="n">
        <v>21</v>
      </c>
      <c r="B1709" t="n">
        <v>20025978</v>
      </c>
      <c r="C1709" t="n">
        <v>19911647</v>
      </c>
      <c r="D1709" t="inlineStr">
        <is>
          <t>species</t>
        </is>
      </c>
      <c r="E1709" t="inlineStr">
        <is>
          <t>Jatropha mosaic virus</t>
        </is>
      </c>
      <c r="G1709" t="inlineStr">
        <is>
          <t>Abolished,</t>
        </is>
      </c>
      <c r="L1709" s="8">
        <f>HYPERLINK("https://test.ictv.global/id/TN20025978","TN20025978@TEST")</f>
        <v/>
      </c>
      <c r="M1709" s="8">
        <f>HYPERLINK("https://test.ictv.global/id/ICTV19911647","ICTV19911647@TEST")</f>
        <v/>
      </c>
      <c r="N1709" s="8">
        <f>HYPERLINK("https://ictv.global/id/TN20025978","TN20025978@prod")</f>
        <v/>
      </c>
      <c r="O1709" s="8">
        <f>HYPERLINK("https://ictv.global/id/ICTV19911647","ICTV19911647@prod")</f>
        <v/>
      </c>
    </row>
    <row r="1710">
      <c r="A1710" t="n">
        <v>21</v>
      </c>
      <c r="B1710" t="n">
        <v>20025979</v>
      </c>
      <c r="C1710" t="n">
        <v>19981399</v>
      </c>
      <c r="D1710" t="inlineStr">
        <is>
          <t>species</t>
        </is>
      </c>
      <c r="E1710" t="inlineStr">
        <is>
          <t>Leonurus mosaic virus</t>
        </is>
      </c>
      <c r="F1710" t="inlineStr"/>
      <c r="G1710" t="inlineStr">
        <is>
          <t>Abolished,</t>
        </is>
      </c>
      <c r="L1710" s="8">
        <f>HYPERLINK("https://test.ictv.global/id/TN20025979","TN20025979@TEST")</f>
        <v/>
      </c>
      <c r="M1710" s="8">
        <f>HYPERLINK("https://test.ictv.global/id/ICTV19981399","ICTV19981399@TEST")</f>
        <v/>
      </c>
      <c r="N1710" s="8">
        <f>HYPERLINK("https://ictv.global/id/TN20025979","TN20025979@prod")</f>
        <v/>
      </c>
      <c r="O1710" s="8">
        <f>HYPERLINK("https://ictv.global/id/ICTV19981399","ICTV19981399@prod")</f>
        <v/>
      </c>
    </row>
    <row r="1711">
      <c r="A1711" t="n">
        <v>21</v>
      </c>
      <c r="B1711" t="n">
        <v>20025980</v>
      </c>
      <c r="C1711" t="n">
        <v>19911648</v>
      </c>
      <c r="D1711" t="inlineStr">
        <is>
          <t>species</t>
        </is>
      </c>
      <c r="E1711" t="inlineStr">
        <is>
          <t>Limabean golden mosaic virus</t>
        </is>
      </c>
      <c r="G1711" t="inlineStr">
        <is>
          <t>Abolished,</t>
        </is>
      </c>
      <c r="L1711" s="8">
        <f>HYPERLINK("https://test.ictv.global/id/TN20025980","TN20025980@TEST")</f>
        <v/>
      </c>
      <c r="M1711" s="8">
        <f>HYPERLINK("https://test.ictv.global/id/ICTV19911648","ICTV19911648@TEST")</f>
        <v/>
      </c>
      <c r="N1711" s="8">
        <f>HYPERLINK("https://ictv.global/id/TN20025980","TN20025980@prod")</f>
        <v/>
      </c>
      <c r="O1711" s="8">
        <f>HYPERLINK("https://ictv.global/id/ICTV19911648","ICTV19911648@prod")</f>
        <v/>
      </c>
    </row>
    <row r="1712">
      <c r="A1712" t="n">
        <v>21</v>
      </c>
      <c r="B1712" t="n">
        <v>20025981</v>
      </c>
      <c r="C1712" t="n">
        <v>19981401</v>
      </c>
      <c r="D1712" t="inlineStr">
        <is>
          <t>species</t>
        </is>
      </c>
      <c r="E1712" t="inlineStr">
        <is>
          <t>Macroptilium golden mosaic virus</t>
        </is>
      </c>
      <c r="F1712" t="inlineStr"/>
      <c r="G1712" t="inlineStr">
        <is>
          <t>Abolished,</t>
        </is>
      </c>
      <c r="L1712" s="8">
        <f>HYPERLINK("https://test.ictv.global/id/TN20025981","TN20025981@TEST")</f>
        <v/>
      </c>
      <c r="M1712" s="8">
        <f>HYPERLINK("https://test.ictv.global/id/ICTV19981401","ICTV19981401@TEST")</f>
        <v/>
      </c>
      <c r="N1712" s="8">
        <f>HYPERLINK("https://ictv.global/id/TN20025981","TN20025981@prod")</f>
        <v/>
      </c>
      <c r="O1712" s="8">
        <f>HYPERLINK("https://ictv.global/id/ICTV19981401","ICTV19981401@prod")</f>
        <v/>
      </c>
    </row>
    <row r="1713">
      <c r="A1713" t="n">
        <v>21</v>
      </c>
      <c r="B1713" t="n">
        <v>20025982</v>
      </c>
      <c r="C1713" t="n">
        <v>19950981</v>
      </c>
      <c r="D1713" t="inlineStr">
        <is>
          <t>species</t>
        </is>
      </c>
      <c r="E1713" t="inlineStr">
        <is>
          <t>Macrotyloma mosaic virus</t>
        </is>
      </c>
      <c r="G1713" t="inlineStr">
        <is>
          <t>Abolished,</t>
        </is>
      </c>
      <c r="L1713" s="8">
        <f>HYPERLINK("https://test.ictv.global/id/TN20025982","TN20025982@TEST")</f>
        <v/>
      </c>
      <c r="M1713" s="8">
        <f>HYPERLINK("https://test.ictv.global/id/ICTV19950981","ICTV19950981@TEST")</f>
        <v/>
      </c>
      <c r="N1713" s="8">
        <f>HYPERLINK("https://ictv.global/id/TN20025982","TN20025982@prod")</f>
        <v/>
      </c>
      <c r="O1713" s="8">
        <f>HYPERLINK("https://ictv.global/id/ICTV19950981","ICTV19950981@prod")</f>
        <v/>
      </c>
    </row>
    <row r="1714">
      <c r="A1714" t="n">
        <v>21</v>
      </c>
      <c r="B1714" t="n">
        <v>20025983</v>
      </c>
      <c r="C1714" t="n">
        <v>19911649</v>
      </c>
      <c r="D1714" t="inlineStr">
        <is>
          <t>species</t>
        </is>
      </c>
      <c r="E1714" t="inlineStr">
        <is>
          <t>Malvaceous chlorosis virus</t>
        </is>
      </c>
      <c r="G1714" t="inlineStr">
        <is>
          <t>Abolished,</t>
        </is>
      </c>
      <c r="L1714" s="8">
        <f>HYPERLINK("https://test.ictv.global/id/TN20025983","TN20025983@TEST")</f>
        <v/>
      </c>
      <c r="M1714" s="8">
        <f>HYPERLINK("https://test.ictv.global/id/ICTV19911649","ICTV19911649@TEST")</f>
        <v/>
      </c>
      <c r="N1714" s="8">
        <f>HYPERLINK("https://ictv.global/id/TN20025983","TN20025983@prod")</f>
        <v/>
      </c>
      <c r="O1714" s="8">
        <f>HYPERLINK("https://ictv.global/id/ICTV19911649","ICTV19911649@prod")</f>
        <v/>
      </c>
    </row>
    <row r="1715">
      <c r="A1715" t="n">
        <v>21</v>
      </c>
      <c r="B1715" t="n">
        <v>20025984</v>
      </c>
      <c r="C1715" t="n">
        <v>19911650</v>
      </c>
      <c r="D1715" t="inlineStr">
        <is>
          <t>species</t>
        </is>
      </c>
      <c r="E1715" t="inlineStr">
        <is>
          <t>Melon leaf curl virus</t>
        </is>
      </c>
      <c r="G1715" t="inlineStr">
        <is>
          <t>Abolished,</t>
        </is>
      </c>
      <c r="L1715" s="8">
        <f>HYPERLINK("https://test.ictv.global/id/TN20025984","TN20025984@TEST")</f>
        <v/>
      </c>
      <c r="M1715" s="8">
        <f>HYPERLINK("https://test.ictv.global/id/ICTV19911650","ICTV19911650@TEST")</f>
        <v/>
      </c>
      <c r="N1715" s="8">
        <f>HYPERLINK("https://ictv.global/id/TN20025984","TN20025984@prod")</f>
        <v/>
      </c>
      <c r="O1715" s="8">
        <f>HYPERLINK("https://ictv.global/id/ICTV19911650","ICTV19911650@prod")</f>
        <v/>
      </c>
    </row>
    <row r="1716">
      <c r="A1716" t="n">
        <v>21</v>
      </c>
      <c r="B1716" t="n">
        <v>20025986</v>
      </c>
      <c r="C1716" t="n">
        <v>19950985</v>
      </c>
      <c r="D1716" t="inlineStr">
        <is>
          <t>species</t>
        </is>
      </c>
      <c r="E1716" t="inlineStr">
        <is>
          <t>Okra leaf curl virus</t>
        </is>
      </c>
      <c r="G1716" t="inlineStr">
        <is>
          <t>Abolished,</t>
        </is>
      </c>
      <c r="L1716" s="8">
        <f>HYPERLINK("https://test.ictv.global/id/TN20025986","TN20025986@TEST")</f>
        <v/>
      </c>
      <c r="M1716" s="8">
        <f>HYPERLINK("https://test.ictv.global/id/ICTV19950985","ICTV19950985@TEST")</f>
        <v/>
      </c>
      <c r="N1716" s="8">
        <f>HYPERLINK("https://ictv.global/id/TN20025986","TN20025986@prod")</f>
        <v/>
      </c>
      <c r="O1716" s="8">
        <f>HYPERLINK("https://ictv.global/id/ICTV19950985","ICTV19950985@prod")</f>
        <v/>
      </c>
    </row>
    <row r="1717">
      <c r="A1717" t="n">
        <v>21</v>
      </c>
      <c r="B1717" t="n">
        <v>20025990</v>
      </c>
      <c r="C1717" t="n">
        <v>19911655</v>
      </c>
      <c r="D1717" t="inlineStr">
        <is>
          <t>species</t>
        </is>
      </c>
      <c r="E1717" t="inlineStr">
        <is>
          <t>Pepper mild tigré virus</t>
        </is>
      </c>
      <c r="G1717" t="inlineStr">
        <is>
          <t>Abolished,</t>
        </is>
      </c>
      <c r="L1717" s="8">
        <f>HYPERLINK("https://test.ictv.global/id/TN20025990","TN20025990@TEST")</f>
        <v/>
      </c>
      <c r="M1717" s="8">
        <f>HYPERLINK("https://test.ictv.global/id/ICTV19911655","ICTV19911655@TEST")</f>
        <v/>
      </c>
      <c r="N1717" s="8">
        <f>HYPERLINK("https://ictv.global/id/TN20025990","TN20025990@prod")</f>
        <v/>
      </c>
      <c r="O1717" s="8">
        <f>HYPERLINK("https://ictv.global/id/ICTV19911655","ICTV19911655@prod")</f>
        <v/>
      </c>
    </row>
    <row r="1718">
      <c r="A1718" t="n">
        <v>21</v>
      </c>
      <c r="B1718" t="n">
        <v>20025992</v>
      </c>
      <c r="C1718" t="n">
        <v>19950989</v>
      </c>
      <c r="D1718" t="inlineStr">
        <is>
          <t>species</t>
        </is>
      </c>
      <c r="E1718" t="inlineStr">
        <is>
          <t>Pseuderanthemum yellow vein virus</t>
        </is>
      </c>
      <c r="G1718" t="inlineStr">
        <is>
          <t>Abolished,</t>
        </is>
      </c>
      <c r="L1718" s="8">
        <f>HYPERLINK("https://test.ictv.global/id/TN20025992","TN20025992@TEST")</f>
        <v/>
      </c>
      <c r="M1718" s="8">
        <f>HYPERLINK("https://test.ictv.global/id/ICTV19950989","ICTV19950989@TEST")</f>
        <v/>
      </c>
      <c r="N1718" s="8">
        <f>HYPERLINK("https://ictv.global/id/TN20025992","TN20025992@prod")</f>
        <v/>
      </c>
      <c r="O1718" s="8">
        <f>HYPERLINK("https://ictv.global/id/ICTV19950989","ICTV19950989@prod")</f>
        <v/>
      </c>
    </row>
    <row r="1719">
      <c r="A1719" t="n">
        <v>21</v>
      </c>
      <c r="B1719" t="n">
        <v>20025998</v>
      </c>
      <c r="C1719" t="n">
        <v>19981418</v>
      </c>
      <c r="D1719" t="inlineStr">
        <is>
          <t>species</t>
        </is>
      </c>
      <c r="E1719" t="inlineStr">
        <is>
          <t>Solanum yellow leaf curl virus</t>
        </is>
      </c>
      <c r="G1719" t="inlineStr">
        <is>
          <t>Abolished,</t>
        </is>
      </c>
      <c r="L1719" s="8">
        <f>HYPERLINK("https://test.ictv.global/id/TN20025998","TN20025998@TEST")</f>
        <v/>
      </c>
      <c r="M1719" s="8">
        <f>HYPERLINK("https://test.ictv.global/id/ICTV19981418","ICTV19981418@TEST")</f>
        <v/>
      </c>
      <c r="N1719" s="8">
        <f>HYPERLINK("https://ictv.global/id/TN20025998","TN20025998@prod")</f>
        <v/>
      </c>
      <c r="O1719" s="8">
        <f>HYPERLINK("https://ictv.global/id/ICTV19981418","ICTV19981418@prod")</f>
        <v/>
      </c>
    </row>
    <row r="1720">
      <c r="A1720" t="n">
        <v>21</v>
      </c>
      <c r="B1720" t="n">
        <v>20026010</v>
      </c>
      <c r="C1720" t="n">
        <v>19981428</v>
      </c>
      <c r="D1720" t="inlineStr">
        <is>
          <t>species</t>
        </is>
      </c>
      <c r="E1720" t="inlineStr">
        <is>
          <t>Tomato leaf curl virus-Senegal</t>
        </is>
      </c>
      <c r="G1720" t="inlineStr">
        <is>
          <t>Abolished,</t>
        </is>
      </c>
      <c r="L1720" s="8">
        <f>HYPERLINK("https://test.ictv.global/id/TN20026010","TN20026010@TEST")</f>
        <v/>
      </c>
      <c r="M1720" s="8">
        <f>HYPERLINK("https://test.ictv.global/id/ICTV19981428","ICTV19981428@TEST")</f>
        <v/>
      </c>
      <c r="N1720" s="8">
        <f>HYPERLINK("https://ictv.global/id/TN20026010","TN20026010@prod")</f>
        <v/>
      </c>
      <c r="O1720" s="8">
        <f>HYPERLINK("https://ictv.global/id/ICTV19981428","ICTV19981428@prod")</f>
        <v/>
      </c>
    </row>
    <row r="1721">
      <c r="A1721" t="n">
        <v>21</v>
      </c>
      <c r="B1721" t="n">
        <v>20026012</v>
      </c>
      <c r="C1721" t="n">
        <v>19981430</v>
      </c>
      <c r="D1721" t="inlineStr">
        <is>
          <t>species</t>
        </is>
      </c>
      <c r="E1721" t="inlineStr">
        <is>
          <t>Tomato leaf curl virus-Tanzania</t>
        </is>
      </c>
      <c r="G1721" t="inlineStr">
        <is>
          <t>Abolished,</t>
        </is>
      </c>
      <c r="L1721" s="8">
        <f>HYPERLINK("https://test.ictv.global/id/TN20026012","TN20026012@TEST")</f>
        <v/>
      </c>
      <c r="M1721" s="8">
        <f>HYPERLINK("https://test.ictv.global/id/ICTV19981430","ICTV19981430@TEST")</f>
        <v/>
      </c>
      <c r="N1721" s="8">
        <f>HYPERLINK("https://ictv.global/id/TN20026012","TN20026012@prod")</f>
        <v/>
      </c>
      <c r="O1721" s="8">
        <f>HYPERLINK("https://ictv.global/id/ICTV19981430","ICTV19981430@prod")</f>
        <v/>
      </c>
    </row>
    <row r="1722">
      <c r="A1722" t="n">
        <v>21</v>
      </c>
      <c r="B1722" t="n">
        <v>20026015</v>
      </c>
      <c r="C1722" t="n">
        <v>19911659</v>
      </c>
      <c r="D1722" t="inlineStr">
        <is>
          <t>species</t>
        </is>
      </c>
      <c r="E1722" t="inlineStr">
        <is>
          <t>Tomato yellow dwarf virus</t>
        </is>
      </c>
      <c r="G1722" t="inlineStr">
        <is>
          <t>Abolished,</t>
        </is>
      </c>
      <c r="L1722" s="8">
        <f>HYPERLINK("https://test.ictv.global/id/TN20026015","TN20026015@TEST")</f>
        <v/>
      </c>
      <c r="M1722" s="8">
        <f>HYPERLINK("https://test.ictv.global/id/ICTV19911659","ICTV19911659@TEST")</f>
        <v/>
      </c>
      <c r="N1722" s="8">
        <f>HYPERLINK("https://ictv.global/id/TN20026015","TN20026015@prod")</f>
        <v/>
      </c>
      <c r="O1722" s="8">
        <f>HYPERLINK("https://ictv.global/id/ICTV19911659","ICTV19911659@prod")</f>
        <v/>
      </c>
    </row>
    <row r="1723">
      <c r="A1723" t="n">
        <v>21</v>
      </c>
      <c r="B1723" t="n">
        <v>20026018</v>
      </c>
      <c r="C1723" t="n">
        <v>19981436</v>
      </c>
      <c r="D1723" t="inlineStr">
        <is>
          <t>species</t>
        </is>
      </c>
      <c r="E1723" t="inlineStr">
        <is>
          <t>Tomato yellow leaf curl virus-Nigeria</t>
        </is>
      </c>
      <c r="G1723" t="inlineStr">
        <is>
          <t>Abolished,</t>
        </is>
      </c>
      <c r="L1723" s="8">
        <f>HYPERLINK("https://test.ictv.global/id/TN20026018","TN20026018@TEST")</f>
        <v/>
      </c>
      <c r="M1723" s="8">
        <f>HYPERLINK("https://test.ictv.global/id/ICTV19981436","ICTV19981436@TEST")</f>
        <v/>
      </c>
      <c r="N1723" s="8">
        <f>HYPERLINK("https://ictv.global/id/TN20026018","TN20026018@prod")</f>
        <v/>
      </c>
      <c r="O1723" s="8">
        <f>HYPERLINK("https://ictv.global/id/ICTV19981436","ICTV19981436@prod")</f>
        <v/>
      </c>
    </row>
    <row r="1724">
      <c r="A1724" t="n">
        <v>21</v>
      </c>
      <c r="B1724" t="n">
        <v>20026020</v>
      </c>
      <c r="C1724" t="n">
        <v>19981438</v>
      </c>
      <c r="D1724" t="inlineStr">
        <is>
          <t>species</t>
        </is>
      </c>
      <c r="E1724" t="inlineStr">
        <is>
          <t>Tomato yellow leaf curl virus-South Saudi Arabia</t>
        </is>
      </c>
      <c r="G1724" t="inlineStr">
        <is>
          <t>Abolished,</t>
        </is>
      </c>
      <c r="L1724" s="8">
        <f>HYPERLINK("https://test.ictv.global/id/TN20026020","TN20026020@TEST")</f>
        <v/>
      </c>
      <c r="M1724" s="8">
        <f>HYPERLINK("https://test.ictv.global/id/ICTV19981438","ICTV19981438@TEST")</f>
        <v/>
      </c>
      <c r="N1724" s="8">
        <f>HYPERLINK("https://ictv.global/id/TN20026020","TN20026020@prod")</f>
        <v/>
      </c>
      <c r="O1724" s="8">
        <f>HYPERLINK("https://ictv.global/id/ICTV19981438","ICTV19981438@prod")</f>
        <v/>
      </c>
    </row>
    <row r="1725">
      <c r="A1725" t="n">
        <v>21</v>
      </c>
      <c r="B1725" t="n">
        <v>20026021</v>
      </c>
      <c r="C1725" t="n">
        <v>19981439</v>
      </c>
      <c r="D1725" t="inlineStr">
        <is>
          <t>species</t>
        </is>
      </c>
      <c r="E1725" t="inlineStr">
        <is>
          <t>Tomato yellow leaf curl virus-Tanzania</t>
        </is>
      </c>
      <c r="G1725" t="inlineStr">
        <is>
          <t>Abolished,</t>
        </is>
      </c>
      <c r="L1725" s="8">
        <f>HYPERLINK("https://test.ictv.global/id/TN20026021","TN20026021@TEST")</f>
        <v/>
      </c>
      <c r="M1725" s="8">
        <f>HYPERLINK("https://test.ictv.global/id/ICTV19981439","ICTV19981439@TEST")</f>
        <v/>
      </c>
      <c r="N1725" s="8">
        <f>HYPERLINK("https://ictv.global/id/TN20026021","TN20026021@prod")</f>
        <v/>
      </c>
      <c r="O1725" s="8">
        <f>HYPERLINK("https://ictv.global/id/ICTV19981439","ICTV19981439@prod")</f>
        <v/>
      </c>
    </row>
    <row r="1726">
      <c r="A1726" t="n">
        <v>21</v>
      </c>
      <c r="B1726" t="n">
        <v>20026023</v>
      </c>
      <c r="C1726" t="n">
        <v>19951005</v>
      </c>
      <c r="D1726" t="inlineStr">
        <is>
          <t>species</t>
        </is>
      </c>
      <c r="E1726" t="inlineStr">
        <is>
          <t>Tomato yellow leaf curl virus-Yemen</t>
        </is>
      </c>
      <c r="G1726" t="inlineStr">
        <is>
          <t>Abolished,</t>
        </is>
      </c>
      <c r="L1726" s="8">
        <f>HYPERLINK("https://test.ictv.global/id/TN20026023","TN20026023@TEST")</f>
        <v/>
      </c>
      <c r="M1726" s="8">
        <f>HYPERLINK("https://test.ictv.global/id/ICTV19951005","ICTV19951005@TEST")</f>
        <v/>
      </c>
      <c r="N1726" s="8">
        <f>HYPERLINK("https://ictv.global/id/TN20026023","TN20026023@prod")</f>
        <v/>
      </c>
      <c r="O1726" s="8">
        <f>HYPERLINK("https://ictv.global/id/ICTV19951005","ICTV19951005@prod")</f>
        <v/>
      </c>
    </row>
    <row r="1727">
      <c r="A1727" t="n">
        <v>21</v>
      </c>
      <c r="B1727" t="n">
        <v>20026024</v>
      </c>
      <c r="C1727" t="n">
        <v>19911661</v>
      </c>
      <c r="D1727" t="inlineStr">
        <is>
          <t>species</t>
        </is>
      </c>
      <c r="E1727" t="inlineStr">
        <is>
          <t>Tomato yellow mosaic virus</t>
        </is>
      </c>
      <c r="G1727" t="inlineStr">
        <is>
          <t>Abolished,</t>
        </is>
      </c>
      <c r="L1727" s="8">
        <f>HYPERLINK("https://test.ictv.global/id/TN20026024","TN20026024@TEST")</f>
        <v/>
      </c>
      <c r="M1727" s="8">
        <f>HYPERLINK("https://test.ictv.global/id/ICTV19911661","ICTV19911661@TEST")</f>
        <v/>
      </c>
      <c r="N1727" s="8">
        <f>HYPERLINK("https://ictv.global/id/TN20026024","TN20026024@prod")</f>
        <v/>
      </c>
      <c r="O1727" s="8">
        <f>HYPERLINK("https://ictv.global/id/ICTV19911661","ICTV19911661@prod")</f>
        <v/>
      </c>
    </row>
    <row r="1728">
      <c r="A1728" t="n">
        <v>21</v>
      </c>
      <c r="B1728" t="n">
        <v>20026025</v>
      </c>
      <c r="C1728" t="n">
        <v>19981443</v>
      </c>
      <c r="D1728" t="inlineStr">
        <is>
          <t>species</t>
        </is>
      </c>
      <c r="E1728" t="inlineStr">
        <is>
          <t>Tomato yellow mottle virus</t>
        </is>
      </c>
      <c r="F1728" t="inlineStr"/>
      <c r="G1728" t="inlineStr">
        <is>
          <t>Abolished,</t>
        </is>
      </c>
      <c r="L1728" s="8">
        <f>HYPERLINK("https://test.ictv.global/id/TN20026025","TN20026025@TEST")</f>
        <v/>
      </c>
      <c r="M1728" s="8">
        <f>HYPERLINK("https://test.ictv.global/id/ICTV19981443","ICTV19981443@TEST")</f>
        <v/>
      </c>
      <c r="N1728" s="8">
        <f>HYPERLINK("https://ictv.global/id/TN20026025","TN20026025@prod")</f>
        <v/>
      </c>
      <c r="O1728" s="8">
        <f>HYPERLINK("https://ictv.global/id/ICTV19981443","ICTV19981443@prod")</f>
        <v/>
      </c>
    </row>
    <row r="1729">
      <c r="A1729" t="n">
        <v>21</v>
      </c>
      <c r="B1729" t="n">
        <v>20026026</v>
      </c>
      <c r="C1729" t="n">
        <v>19981444</v>
      </c>
      <c r="D1729" t="inlineStr">
        <is>
          <t>species</t>
        </is>
      </c>
      <c r="E1729" t="inlineStr">
        <is>
          <t>Tomato yellow vein streak virus</t>
        </is>
      </c>
      <c r="F1729" t="inlineStr"/>
      <c r="G1729" t="inlineStr">
        <is>
          <t>Abolished,</t>
        </is>
      </c>
      <c r="L1729" s="8">
        <f>HYPERLINK("https://test.ictv.global/id/TN20026026","TN20026026@TEST")</f>
        <v/>
      </c>
      <c r="M1729" s="8">
        <f>HYPERLINK("https://test.ictv.global/id/ICTV19981444","ICTV19981444@TEST")</f>
        <v/>
      </c>
      <c r="N1729" s="8">
        <f>HYPERLINK("https://ictv.global/id/TN20026026","TN20026026@prod")</f>
        <v/>
      </c>
      <c r="O1729" s="8">
        <f>HYPERLINK("https://ictv.global/id/ICTV19981444","ICTV19981444@prod")</f>
        <v/>
      </c>
    </row>
    <row r="1730">
      <c r="A1730" t="n">
        <v>21</v>
      </c>
      <c r="B1730" t="n">
        <v>20026028</v>
      </c>
      <c r="C1730" t="n">
        <v>19911663</v>
      </c>
      <c r="D1730" t="inlineStr">
        <is>
          <t>species</t>
        </is>
      </c>
      <c r="E1730" t="inlineStr">
        <is>
          <t>Watermelon curly mottle virus</t>
        </is>
      </c>
      <c r="G1730" t="inlineStr">
        <is>
          <t>Abolished,</t>
        </is>
      </c>
      <c r="L1730" s="8">
        <f>HYPERLINK("https://test.ictv.global/id/TN20026028","TN20026028@TEST")</f>
        <v/>
      </c>
      <c r="M1730" s="8">
        <f>HYPERLINK("https://test.ictv.global/id/ICTV19911663","ICTV19911663@TEST")</f>
        <v/>
      </c>
      <c r="N1730" s="8">
        <f>HYPERLINK("https://ictv.global/id/TN20026028","TN20026028@prod")</f>
        <v/>
      </c>
      <c r="O1730" s="8">
        <f>HYPERLINK("https://ictv.global/id/ICTV19911663","ICTV19911663@prod")</f>
        <v/>
      </c>
    </row>
    <row r="1731">
      <c r="A1731" t="n">
        <v>21</v>
      </c>
      <c r="B1731" t="n">
        <v>20026029</v>
      </c>
      <c r="C1731" t="n">
        <v>19981447</v>
      </c>
      <c r="D1731" t="inlineStr">
        <is>
          <t>species</t>
        </is>
      </c>
      <c r="E1731" t="inlineStr">
        <is>
          <t>Wissadula golden mosaic virus</t>
        </is>
      </c>
      <c r="F1731" t="inlineStr"/>
      <c r="G1731" t="inlineStr">
        <is>
          <t>Abolished,</t>
        </is>
      </c>
      <c r="L1731" s="8">
        <f>HYPERLINK("https://test.ictv.global/id/TN20026029","TN20026029@TEST")</f>
        <v/>
      </c>
      <c r="M1731" s="8">
        <f>HYPERLINK("https://test.ictv.global/id/ICTV19981447","ICTV19981447@TEST")</f>
        <v/>
      </c>
      <c r="N1731" s="8">
        <f>HYPERLINK("https://ictv.global/id/TN20026029","TN20026029@prod")</f>
        <v/>
      </c>
      <c r="O1731" s="8">
        <f>HYPERLINK("https://ictv.global/id/ICTV19981447","ICTV19981447@prod")</f>
        <v/>
      </c>
    </row>
    <row r="1732">
      <c r="A1732" t="n">
        <v>21</v>
      </c>
      <c r="B1732" t="n">
        <v>20026030</v>
      </c>
      <c r="C1732" t="n">
        <v>19981448</v>
      </c>
      <c r="D1732" t="inlineStr">
        <is>
          <t>species</t>
        </is>
      </c>
      <c r="E1732" t="inlineStr">
        <is>
          <t>Zinnia leaf curl virus</t>
        </is>
      </c>
      <c r="G1732" t="inlineStr">
        <is>
          <t>Abolished,</t>
        </is>
      </c>
      <c r="L1732" s="8">
        <f>HYPERLINK("https://test.ictv.global/id/TN20026030","TN20026030@TEST")</f>
        <v/>
      </c>
      <c r="M1732" s="8">
        <f>HYPERLINK("https://test.ictv.global/id/ICTV19981448","ICTV19981448@TEST")</f>
        <v/>
      </c>
      <c r="N1732" s="8">
        <f>HYPERLINK("https://ictv.global/id/TN20026030","TN20026030@prod")</f>
        <v/>
      </c>
      <c r="O1732" s="8">
        <f>HYPERLINK("https://ictv.global/id/ICTV19981448","ICTV19981448@prod")</f>
        <v/>
      </c>
    </row>
    <row r="1733">
      <c r="A1733" t="n">
        <v>21</v>
      </c>
      <c r="B1733" t="n">
        <v>20026208</v>
      </c>
      <c r="C1733" t="n">
        <v>19760739</v>
      </c>
      <c r="D1733" t="inlineStr">
        <is>
          <t>species</t>
        </is>
      </c>
      <c r="E1733" t="inlineStr">
        <is>
          <t>Enterobacteria phage S13</t>
        </is>
      </c>
      <c r="G1733" t="inlineStr">
        <is>
          <t>Abolished,</t>
        </is>
      </c>
      <c r="L1733" s="8">
        <f>HYPERLINK("https://test.ictv.global/id/TN20026208","TN20026208@TEST")</f>
        <v/>
      </c>
      <c r="M1733" s="8">
        <f>HYPERLINK("https://test.ictv.global/id/ICTV19760739","ICTV19760739@TEST")</f>
        <v/>
      </c>
      <c r="N1733" s="8">
        <f>HYPERLINK("https://ictv.global/id/TN20026208","TN20026208@prod")</f>
        <v/>
      </c>
      <c r="O1733" s="8">
        <f>HYPERLINK("https://ictv.global/id/ICTV19760739","ICTV19760739@prod")</f>
        <v/>
      </c>
    </row>
    <row r="1734">
      <c r="A1734" t="n">
        <v>21</v>
      </c>
      <c r="B1734" t="n">
        <v>20026238</v>
      </c>
      <c r="C1734" t="n">
        <v>19991139</v>
      </c>
      <c r="D1734" t="inlineStr">
        <is>
          <t>species</t>
        </is>
      </c>
      <c r="E1734" t="inlineStr">
        <is>
          <t>Bovine papillomavirus</t>
        </is>
      </c>
      <c r="G1734" t="inlineStr">
        <is>
          <t>Split,Moved,</t>
        </is>
      </c>
      <c r="H1734" t="inlineStr">
        <is>
          <t>Bovine papillomavirus 1</t>
        </is>
      </c>
      <c r="I1734" t="inlineStr">
        <is>
          <t>species</t>
        </is>
      </c>
      <c r="J1734" t="n">
        <v>20041476</v>
      </c>
      <c r="K1734" t="n">
        <v>20041476</v>
      </c>
      <c r="L1734" s="8">
        <f>HYPERLINK("https://test.ictv.global/id/TN20026238","TN20026238@TEST")</f>
        <v/>
      </c>
      <c r="M1734" s="8">
        <f>HYPERLINK("https://test.ictv.global/id/ICTV19991139","ICTV19991139@TEST")</f>
        <v/>
      </c>
      <c r="N1734" s="8">
        <f>HYPERLINK("https://ictv.global/id/TN20026238","TN20026238@prod")</f>
        <v/>
      </c>
      <c r="O1734" s="8">
        <f>HYPERLINK("https://ictv.global/id/ICTV19991139","ICTV19991139@prod")</f>
        <v/>
      </c>
    </row>
    <row r="1735">
      <c r="A1735" t="n">
        <v>21</v>
      </c>
      <c r="B1735" t="n">
        <v>20026238</v>
      </c>
      <c r="C1735" t="n">
        <v>19991139</v>
      </c>
      <c r="D1735" t="inlineStr">
        <is>
          <t>species</t>
        </is>
      </c>
      <c r="E1735" t="inlineStr">
        <is>
          <t>Bovine papillomavirus</t>
        </is>
      </c>
      <c r="G1735" t="inlineStr">
        <is>
          <t>Split,Moved,Assigned as Type Species,</t>
        </is>
      </c>
      <c r="H1735" t="inlineStr">
        <is>
          <t>Bovine papillomavirus 5</t>
        </is>
      </c>
      <c r="I1735" t="inlineStr">
        <is>
          <t>species</t>
        </is>
      </c>
      <c r="J1735" t="n">
        <v>20041480</v>
      </c>
      <c r="K1735" t="n">
        <v>20041480</v>
      </c>
      <c r="L1735" s="8">
        <f>HYPERLINK("https://test.ictv.global/id/TN20026238","TN20026238@TEST")</f>
        <v/>
      </c>
      <c r="M1735" s="8">
        <f>HYPERLINK("https://test.ictv.global/id/ICTV19991139","ICTV19991139@TEST")</f>
        <v/>
      </c>
      <c r="N1735" s="8">
        <f>HYPERLINK("https://ictv.global/id/TN20026238","TN20026238@prod")</f>
        <v/>
      </c>
      <c r="O1735" s="8">
        <f>HYPERLINK("https://ictv.global/id/ICTV19991139","ICTV19991139@prod")</f>
        <v/>
      </c>
    </row>
    <row r="1736">
      <c r="A1736" t="n">
        <v>21</v>
      </c>
      <c r="B1736" t="n">
        <v>20026238</v>
      </c>
      <c r="C1736" t="n">
        <v>19991139</v>
      </c>
      <c r="D1736" t="inlineStr">
        <is>
          <t>species</t>
        </is>
      </c>
      <c r="E1736" t="inlineStr">
        <is>
          <t>Bovine papillomavirus</t>
        </is>
      </c>
      <c r="G1736" t="inlineStr">
        <is>
          <t>Split,Moved,Assigned as Type Species,</t>
        </is>
      </c>
      <c r="H1736" t="inlineStr">
        <is>
          <t>Bovine papillomavirus 3</t>
        </is>
      </c>
      <c r="I1736" t="inlineStr">
        <is>
          <t>species</t>
        </is>
      </c>
      <c r="J1736" t="n">
        <v>20041498</v>
      </c>
      <c r="K1736" t="n">
        <v>20041498</v>
      </c>
      <c r="L1736" s="8">
        <f>HYPERLINK("https://test.ictv.global/id/TN20026238","TN20026238@TEST")</f>
        <v/>
      </c>
      <c r="M1736" s="8">
        <f>HYPERLINK("https://test.ictv.global/id/ICTV19991139","ICTV19991139@TEST")</f>
        <v/>
      </c>
      <c r="N1736" s="8">
        <f>HYPERLINK("https://ictv.global/id/TN20026238","TN20026238@prod")</f>
        <v/>
      </c>
      <c r="O1736" s="8">
        <f>HYPERLINK("https://ictv.global/id/ICTV19991139","ICTV19991139@prod")</f>
        <v/>
      </c>
    </row>
    <row r="1737">
      <c r="A1737" t="n">
        <v>21</v>
      </c>
      <c r="B1737" t="n">
        <v>20026243</v>
      </c>
      <c r="C1737" t="n">
        <v>19991144</v>
      </c>
      <c r="D1737" t="inlineStr">
        <is>
          <t>species</t>
        </is>
      </c>
      <c r="E1737" t="inlineStr">
        <is>
          <t>Human papillomavirus</t>
        </is>
      </c>
      <c r="G1737" t="inlineStr">
        <is>
          <t>Split,Moved,</t>
        </is>
      </c>
      <c r="H1737" t="inlineStr">
        <is>
          <t>Human papillomavirus 10</t>
        </is>
      </c>
      <c r="I1737" t="inlineStr">
        <is>
          <t>species</t>
        </is>
      </c>
      <c r="J1737" t="n">
        <v>20041457</v>
      </c>
      <c r="K1737" t="n">
        <v>20041457</v>
      </c>
      <c r="L1737" s="8">
        <f>HYPERLINK("https://test.ictv.global/id/TN20026243","TN20026243@TEST")</f>
        <v/>
      </c>
      <c r="M1737" s="8">
        <f>HYPERLINK("https://test.ictv.global/id/ICTV19991144","ICTV19991144@TEST")</f>
        <v/>
      </c>
      <c r="N1737" s="8">
        <f>HYPERLINK("https://ictv.global/id/TN20026243","TN20026243@prod")</f>
        <v/>
      </c>
      <c r="O1737" s="8">
        <f>HYPERLINK("https://ictv.global/id/ICTV19991144","ICTV19991144@prod")</f>
        <v/>
      </c>
    </row>
    <row r="1738">
      <c r="A1738" t="n">
        <v>21</v>
      </c>
      <c r="B1738" t="n">
        <v>20026243</v>
      </c>
      <c r="C1738" t="n">
        <v>19991144</v>
      </c>
      <c r="D1738" t="inlineStr">
        <is>
          <t>species</t>
        </is>
      </c>
      <c r="E1738" t="inlineStr">
        <is>
          <t>Human papillomavirus</t>
        </is>
      </c>
      <c r="G1738" t="inlineStr">
        <is>
          <t>Split,Moved,</t>
        </is>
      </c>
      <c r="H1738" t="inlineStr">
        <is>
          <t>Human papillomavirus 16</t>
        </is>
      </c>
      <c r="I1738" t="inlineStr">
        <is>
          <t>species</t>
        </is>
      </c>
      <c r="J1738" t="n">
        <v>20041458</v>
      </c>
      <c r="K1738" t="n">
        <v>20041458</v>
      </c>
      <c r="L1738" s="8">
        <f>HYPERLINK("https://test.ictv.global/id/TN20026243","TN20026243@TEST")</f>
        <v/>
      </c>
      <c r="M1738" s="8">
        <f>HYPERLINK("https://test.ictv.global/id/ICTV19991144","ICTV19991144@TEST")</f>
        <v/>
      </c>
      <c r="N1738" s="8">
        <f>HYPERLINK("https://ictv.global/id/TN20026243","TN20026243@prod")</f>
        <v/>
      </c>
      <c r="O1738" s="8">
        <f>HYPERLINK("https://ictv.global/id/ICTV19991144","ICTV19991144@prod")</f>
        <v/>
      </c>
    </row>
    <row r="1739">
      <c r="A1739" t="n">
        <v>21</v>
      </c>
      <c r="B1739" t="n">
        <v>20026243</v>
      </c>
      <c r="C1739" t="n">
        <v>19991144</v>
      </c>
      <c r="D1739" t="inlineStr">
        <is>
          <t>species</t>
        </is>
      </c>
      <c r="E1739" t="inlineStr">
        <is>
          <t>Human papillomavirus</t>
        </is>
      </c>
      <c r="G1739" t="inlineStr">
        <is>
          <t>Split,Moved,</t>
        </is>
      </c>
      <c r="H1739" t="inlineStr">
        <is>
          <t>Human papillomavirus 18</t>
        </is>
      </c>
      <c r="I1739" t="inlineStr">
        <is>
          <t>species</t>
        </is>
      </c>
      <c r="J1739" t="n">
        <v>20041459</v>
      </c>
      <c r="K1739" t="n">
        <v>20041459</v>
      </c>
      <c r="L1739" s="8">
        <f>HYPERLINK("https://test.ictv.global/id/TN20026243","TN20026243@TEST")</f>
        <v/>
      </c>
      <c r="M1739" s="8">
        <f>HYPERLINK("https://test.ictv.global/id/ICTV19991144","ICTV19991144@TEST")</f>
        <v/>
      </c>
      <c r="N1739" s="8">
        <f>HYPERLINK("https://ictv.global/id/TN20026243","TN20026243@prod")</f>
        <v/>
      </c>
      <c r="O1739" s="8">
        <f>HYPERLINK("https://ictv.global/id/ICTV19991144","ICTV19991144@prod")</f>
        <v/>
      </c>
    </row>
    <row r="1740">
      <c r="A1740" t="n">
        <v>21</v>
      </c>
      <c r="B1740" t="n">
        <v>20026243</v>
      </c>
      <c r="C1740" t="n">
        <v>19991144</v>
      </c>
      <c r="D1740" t="inlineStr">
        <is>
          <t>species</t>
        </is>
      </c>
      <c r="E1740" t="inlineStr">
        <is>
          <t>Human papillomavirus</t>
        </is>
      </c>
      <c r="G1740" t="inlineStr">
        <is>
          <t>Split,Moved,</t>
        </is>
      </c>
      <c r="H1740" t="inlineStr">
        <is>
          <t>Human papillomavirus 2</t>
        </is>
      </c>
      <c r="I1740" t="inlineStr">
        <is>
          <t>species</t>
        </is>
      </c>
      <c r="J1740" t="n">
        <v>20041460</v>
      </c>
      <c r="K1740" t="n">
        <v>20041460</v>
      </c>
      <c r="L1740" s="8">
        <f>HYPERLINK("https://test.ictv.global/id/TN20026243","TN20026243@TEST")</f>
        <v/>
      </c>
      <c r="M1740" s="8">
        <f>HYPERLINK("https://test.ictv.global/id/ICTV19991144","ICTV19991144@TEST")</f>
        <v/>
      </c>
      <c r="N1740" s="8">
        <f>HYPERLINK("https://ictv.global/id/TN20026243","TN20026243@prod")</f>
        <v/>
      </c>
      <c r="O1740" s="8">
        <f>HYPERLINK("https://ictv.global/id/ICTV19991144","ICTV19991144@prod")</f>
        <v/>
      </c>
    </row>
    <row r="1741">
      <c r="A1741" t="n">
        <v>21</v>
      </c>
      <c r="B1741" t="n">
        <v>20026243</v>
      </c>
      <c r="C1741" t="n">
        <v>19991144</v>
      </c>
      <c r="D1741" t="inlineStr">
        <is>
          <t>species</t>
        </is>
      </c>
      <c r="E1741" t="inlineStr">
        <is>
          <t>Human papillomavirus</t>
        </is>
      </c>
      <c r="G1741" t="inlineStr">
        <is>
          <t>Split,Moved,</t>
        </is>
      </c>
      <c r="H1741" t="inlineStr">
        <is>
          <t>Human papillomavirus 26</t>
        </is>
      </c>
      <c r="I1741" t="inlineStr">
        <is>
          <t>species</t>
        </is>
      </c>
      <c r="J1741" t="n">
        <v>20041461</v>
      </c>
      <c r="K1741" t="n">
        <v>20041461</v>
      </c>
      <c r="L1741" s="8">
        <f>HYPERLINK("https://test.ictv.global/id/TN20026243","TN20026243@TEST")</f>
        <v/>
      </c>
      <c r="M1741" s="8">
        <f>HYPERLINK("https://test.ictv.global/id/ICTV19991144","ICTV19991144@TEST")</f>
        <v/>
      </c>
      <c r="N1741" s="8">
        <f>HYPERLINK("https://ictv.global/id/TN20026243","TN20026243@prod")</f>
        <v/>
      </c>
      <c r="O1741" s="8">
        <f>HYPERLINK("https://ictv.global/id/ICTV19991144","ICTV19991144@prod")</f>
        <v/>
      </c>
    </row>
    <row r="1742">
      <c r="A1742" t="n">
        <v>21</v>
      </c>
      <c r="B1742" t="n">
        <v>20026243</v>
      </c>
      <c r="C1742" t="n">
        <v>19991144</v>
      </c>
      <c r="D1742" t="inlineStr">
        <is>
          <t>species</t>
        </is>
      </c>
      <c r="E1742" t="inlineStr">
        <is>
          <t>Human papillomavirus</t>
        </is>
      </c>
      <c r="G1742" t="inlineStr">
        <is>
          <t>Split,Moved,Assigned as Type Species,</t>
        </is>
      </c>
      <c r="H1742" t="inlineStr">
        <is>
          <t>Human papillomavirus 32</t>
        </is>
      </c>
      <c r="I1742" t="inlineStr">
        <is>
          <t>species</t>
        </is>
      </c>
      <c r="J1742" t="n">
        <v>20041462</v>
      </c>
      <c r="K1742" t="n">
        <v>20041462</v>
      </c>
      <c r="L1742" s="8">
        <f>HYPERLINK("https://test.ictv.global/id/TN20026243","TN20026243@TEST")</f>
        <v/>
      </c>
      <c r="M1742" s="8">
        <f>HYPERLINK("https://test.ictv.global/id/ICTV19991144","ICTV19991144@TEST")</f>
        <v/>
      </c>
      <c r="N1742" s="8">
        <f>HYPERLINK("https://ictv.global/id/TN20026243","TN20026243@prod")</f>
        <v/>
      </c>
      <c r="O1742" s="8">
        <f>HYPERLINK("https://ictv.global/id/ICTV19991144","ICTV19991144@prod")</f>
        <v/>
      </c>
    </row>
    <row r="1743">
      <c r="A1743" t="n">
        <v>21</v>
      </c>
      <c r="B1743" t="n">
        <v>20026243</v>
      </c>
      <c r="C1743" t="n">
        <v>19991144</v>
      </c>
      <c r="D1743" t="inlineStr">
        <is>
          <t>species</t>
        </is>
      </c>
      <c r="E1743" t="inlineStr">
        <is>
          <t>Human papillomavirus</t>
        </is>
      </c>
      <c r="G1743" t="inlineStr">
        <is>
          <t>Split,Moved,</t>
        </is>
      </c>
      <c r="H1743" t="inlineStr">
        <is>
          <t>Human papillomavirus 34</t>
        </is>
      </c>
      <c r="I1743" t="inlineStr">
        <is>
          <t>species</t>
        </is>
      </c>
      <c r="J1743" t="n">
        <v>20041463</v>
      </c>
      <c r="K1743" t="n">
        <v>20041463</v>
      </c>
      <c r="L1743" s="8">
        <f>HYPERLINK("https://test.ictv.global/id/TN20026243","TN20026243@TEST")</f>
        <v/>
      </c>
      <c r="M1743" s="8">
        <f>HYPERLINK("https://test.ictv.global/id/ICTV19991144","ICTV19991144@TEST")</f>
        <v/>
      </c>
      <c r="N1743" s="8">
        <f>HYPERLINK("https://ictv.global/id/TN20026243","TN20026243@prod")</f>
        <v/>
      </c>
      <c r="O1743" s="8">
        <f>HYPERLINK("https://ictv.global/id/ICTV19991144","ICTV19991144@prod")</f>
        <v/>
      </c>
    </row>
    <row r="1744">
      <c r="A1744" t="n">
        <v>21</v>
      </c>
      <c r="B1744" t="n">
        <v>20026243</v>
      </c>
      <c r="C1744" t="n">
        <v>19991144</v>
      </c>
      <c r="D1744" t="inlineStr">
        <is>
          <t>species</t>
        </is>
      </c>
      <c r="E1744" t="inlineStr">
        <is>
          <t>Human papillomavirus</t>
        </is>
      </c>
      <c r="G1744" t="inlineStr">
        <is>
          <t>Split,Moved,</t>
        </is>
      </c>
      <c r="H1744" t="inlineStr">
        <is>
          <t>Human papillomavirus 53</t>
        </is>
      </c>
      <c r="I1744" t="inlineStr">
        <is>
          <t>species</t>
        </is>
      </c>
      <c r="J1744" t="n">
        <v>20041464</v>
      </c>
      <c r="K1744" t="n">
        <v>20041464</v>
      </c>
      <c r="L1744" s="8">
        <f>HYPERLINK("https://test.ictv.global/id/TN20026243","TN20026243@TEST")</f>
        <v/>
      </c>
      <c r="M1744" s="8">
        <f>HYPERLINK("https://test.ictv.global/id/ICTV19991144","ICTV19991144@TEST")</f>
        <v/>
      </c>
      <c r="N1744" s="8">
        <f>HYPERLINK("https://ictv.global/id/TN20026243","TN20026243@prod")</f>
        <v/>
      </c>
      <c r="O1744" s="8">
        <f>HYPERLINK("https://ictv.global/id/ICTV19991144","ICTV19991144@prod")</f>
        <v/>
      </c>
    </row>
    <row r="1745">
      <c r="A1745" t="n">
        <v>21</v>
      </c>
      <c r="B1745" t="n">
        <v>20026243</v>
      </c>
      <c r="C1745" t="n">
        <v>19991144</v>
      </c>
      <c r="D1745" t="inlineStr">
        <is>
          <t>species</t>
        </is>
      </c>
      <c r="E1745" t="inlineStr">
        <is>
          <t>Human papillomavirus</t>
        </is>
      </c>
      <c r="G1745" t="inlineStr">
        <is>
          <t>Split,Moved,</t>
        </is>
      </c>
      <c r="H1745" t="inlineStr">
        <is>
          <t>Human papillomavirus 54</t>
        </is>
      </c>
      <c r="I1745" t="inlineStr">
        <is>
          <t>species</t>
        </is>
      </c>
      <c r="J1745" t="n">
        <v>20041465</v>
      </c>
      <c r="K1745" t="n">
        <v>20041465</v>
      </c>
      <c r="L1745" s="8">
        <f>HYPERLINK("https://test.ictv.global/id/TN20026243","TN20026243@TEST")</f>
        <v/>
      </c>
      <c r="M1745" s="8">
        <f>HYPERLINK("https://test.ictv.global/id/ICTV19991144","ICTV19991144@TEST")</f>
        <v/>
      </c>
      <c r="N1745" s="8">
        <f>HYPERLINK("https://ictv.global/id/TN20026243","TN20026243@prod")</f>
        <v/>
      </c>
      <c r="O1745" s="8">
        <f>HYPERLINK("https://ictv.global/id/ICTV19991144","ICTV19991144@prod")</f>
        <v/>
      </c>
    </row>
    <row r="1746">
      <c r="A1746" t="n">
        <v>21</v>
      </c>
      <c r="B1746" t="n">
        <v>20026243</v>
      </c>
      <c r="C1746" t="n">
        <v>19991144</v>
      </c>
      <c r="D1746" t="inlineStr">
        <is>
          <t>species</t>
        </is>
      </c>
      <c r="E1746" t="inlineStr">
        <is>
          <t>Human papillomavirus</t>
        </is>
      </c>
      <c r="G1746" t="inlineStr">
        <is>
          <t>Split,Moved,</t>
        </is>
      </c>
      <c r="H1746" t="inlineStr">
        <is>
          <t>Human papillomavirus 6</t>
        </is>
      </c>
      <c r="I1746" t="inlineStr">
        <is>
          <t>species</t>
        </is>
      </c>
      <c r="J1746" t="n">
        <v>20041466</v>
      </c>
      <c r="K1746" t="n">
        <v>20041466</v>
      </c>
      <c r="L1746" s="8">
        <f>HYPERLINK("https://test.ictv.global/id/TN20026243","TN20026243@TEST")</f>
        <v/>
      </c>
      <c r="M1746" s="8">
        <f>HYPERLINK("https://test.ictv.global/id/ICTV19991144","ICTV19991144@TEST")</f>
        <v/>
      </c>
      <c r="N1746" s="8">
        <f>HYPERLINK("https://ictv.global/id/TN20026243","TN20026243@prod")</f>
        <v/>
      </c>
      <c r="O1746" s="8">
        <f>HYPERLINK("https://ictv.global/id/ICTV19991144","ICTV19991144@prod")</f>
        <v/>
      </c>
    </row>
    <row r="1747">
      <c r="A1747" t="n">
        <v>21</v>
      </c>
      <c r="B1747" t="n">
        <v>20026243</v>
      </c>
      <c r="C1747" t="n">
        <v>19991144</v>
      </c>
      <c r="D1747" t="inlineStr">
        <is>
          <t>species</t>
        </is>
      </c>
      <c r="E1747" t="inlineStr">
        <is>
          <t>Human papillomavirus</t>
        </is>
      </c>
      <c r="G1747" t="inlineStr">
        <is>
          <t>Split,Moved,</t>
        </is>
      </c>
      <c r="H1747" t="inlineStr">
        <is>
          <t>Human papillomavirus 61</t>
        </is>
      </c>
      <c r="I1747" t="inlineStr">
        <is>
          <t>species</t>
        </is>
      </c>
      <c r="J1747" t="n">
        <v>20041467</v>
      </c>
      <c r="K1747" t="n">
        <v>20041467</v>
      </c>
      <c r="L1747" s="8">
        <f>HYPERLINK("https://test.ictv.global/id/TN20026243","TN20026243@TEST")</f>
        <v/>
      </c>
      <c r="M1747" s="8">
        <f>HYPERLINK("https://test.ictv.global/id/ICTV19991144","ICTV19991144@TEST")</f>
        <v/>
      </c>
      <c r="N1747" s="8">
        <f>HYPERLINK("https://ictv.global/id/TN20026243","TN20026243@prod")</f>
        <v/>
      </c>
      <c r="O1747" s="8">
        <f>HYPERLINK("https://ictv.global/id/ICTV19991144","ICTV19991144@prod")</f>
        <v/>
      </c>
    </row>
    <row r="1748">
      <c r="A1748" t="n">
        <v>21</v>
      </c>
      <c r="B1748" t="n">
        <v>20026243</v>
      </c>
      <c r="C1748" t="n">
        <v>19991144</v>
      </c>
      <c r="D1748" t="inlineStr">
        <is>
          <t>species</t>
        </is>
      </c>
      <c r="E1748" t="inlineStr">
        <is>
          <t>Human papillomavirus</t>
        </is>
      </c>
      <c r="G1748" t="inlineStr">
        <is>
          <t>Split,Moved,</t>
        </is>
      </c>
      <c r="H1748" t="inlineStr">
        <is>
          <t>Human papillomavirus 7</t>
        </is>
      </c>
      <c r="I1748" t="inlineStr">
        <is>
          <t>species</t>
        </is>
      </c>
      <c r="J1748" t="n">
        <v>20041468</v>
      </c>
      <c r="K1748" t="n">
        <v>20041468</v>
      </c>
      <c r="L1748" s="8">
        <f>HYPERLINK("https://test.ictv.global/id/TN20026243","TN20026243@TEST")</f>
        <v/>
      </c>
      <c r="M1748" s="8">
        <f>HYPERLINK("https://test.ictv.global/id/ICTV19991144","ICTV19991144@TEST")</f>
        <v/>
      </c>
      <c r="N1748" s="8">
        <f>HYPERLINK("https://ictv.global/id/TN20026243","TN20026243@prod")</f>
        <v/>
      </c>
      <c r="O1748" s="8">
        <f>HYPERLINK("https://ictv.global/id/ICTV19991144","ICTV19991144@prod")</f>
        <v/>
      </c>
    </row>
    <row r="1749">
      <c r="A1749" t="n">
        <v>21</v>
      </c>
      <c r="B1749" t="n">
        <v>20026243</v>
      </c>
      <c r="C1749" t="n">
        <v>19991144</v>
      </c>
      <c r="D1749" t="inlineStr">
        <is>
          <t>species</t>
        </is>
      </c>
      <c r="E1749" t="inlineStr">
        <is>
          <t>Human papillomavirus</t>
        </is>
      </c>
      <c r="G1749" t="inlineStr">
        <is>
          <t>Split,Moved,</t>
        </is>
      </c>
      <c r="H1749" t="inlineStr">
        <is>
          <t>Human papillomavirus 71</t>
        </is>
      </c>
      <c r="I1749" t="inlineStr">
        <is>
          <t>species</t>
        </is>
      </c>
      <c r="J1749" t="n">
        <v>20041469</v>
      </c>
      <c r="K1749" t="n">
        <v>20041469</v>
      </c>
      <c r="L1749" s="8">
        <f>HYPERLINK("https://test.ictv.global/id/TN20026243","TN20026243@TEST")</f>
        <v/>
      </c>
      <c r="M1749" s="8">
        <f>HYPERLINK("https://test.ictv.global/id/ICTV19991144","ICTV19991144@TEST")</f>
        <v/>
      </c>
      <c r="N1749" s="8">
        <f>HYPERLINK("https://ictv.global/id/TN20026243","TN20026243@prod")</f>
        <v/>
      </c>
      <c r="O1749" s="8">
        <f>HYPERLINK("https://ictv.global/id/ICTV19991144","ICTV19991144@prod")</f>
        <v/>
      </c>
    </row>
    <row r="1750">
      <c r="A1750" t="n">
        <v>21</v>
      </c>
      <c r="B1750" t="n">
        <v>20026243</v>
      </c>
      <c r="C1750" t="n">
        <v>19991144</v>
      </c>
      <c r="D1750" t="inlineStr">
        <is>
          <t>species</t>
        </is>
      </c>
      <c r="E1750" t="inlineStr">
        <is>
          <t>Human papillomavirus</t>
        </is>
      </c>
      <c r="G1750" t="inlineStr">
        <is>
          <t>Split,Moved,</t>
        </is>
      </c>
      <c r="H1750" t="inlineStr">
        <is>
          <t>Human papillomavirus cand90</t>
        </is>
      </c>
      <c r="I1750" t="inlineStr">
        <is>
          <t>species</t>
        </is>
      </c>
      <c r="J1750" t="n">
        <v>20041470</v>
      </c>
      <c r="K1750" t="n">
        <v>20041470</v>
      </c>
      <c r="L1750" s="8">
        <f>HYPERLINK("https://test.ictv.global/id/TN20026243","TN20026243@TEST")</f>
        <v/>
      </c>
      <c r="M1750" s="8">
        <f>HYPERLINK("https://test.ictv.global/id/ICTV19991144","ICTV19991144@TEST")</f>
        <v/>
      </c>
      <c r="N1750" s="8">
        <f>HYPERLINK("https://ictv.global/id/TN20026243","TN20026243@prod")</f>
        <v/>
      </c>
      <c r="O1750" s="8">
        <f>HYPERLINK("https://ictv.global/id/ICTV19991144","ICTV19991144@prod")</f>
        <v/>
      </c>
    </row>
    <row r="1751">
      <c r="A1751" t="n">
        <v>21</v>
      </c>
      <c r="B1751" t="n">
        <v>20026243</v>
      </c>
      <c r="C1751" t="n">
        <v>19991144</v>
      </c>
      <c r="D1751" t="inlineStr">
        <is>
          <t>species</t>
        </is>
      </c>
      <c r="E1751" t="inlineStr">
        <is>
          <t>Human papillomavirus</t>
        </is>
      </c>
      <c r="G1751" t="inlineStr">
        <is>
          <t>Split,Moved,</t>
        </is>
      </c>
      <c r="H1751" t="inlineStr">
        <is>
          <t>Human papillomavirus 49</t>
        </is>
      </c>
      <c r="I1751" t="inlineStr">
        <is>
          <t>species</t>
        </is>
      </c>
      <c r="J1751" t="n">
        <v>20041472</v>
      </c>
      <c r="K1751" t="n">
        <v>20041472</v>
      </c>
      <c r="L1751" s="8">
        <f>HYPERLINK("https://test.ictv.global/id/TN20026243","TN20026243@TEST")</f>
        <v/>
      </c>
      <c r="M1751" s="8">
        <f>HYPERLINK("https://test.ictv.global/id/ICTV19991144","ICTV19991144@TEST")</f>
        <v/>
      </c>
      <c r="N1751" s="8">
        <f>HYPERLINK("https://ictv.global/id/TN20026243","TN20026243@prod")</f>
        <v/>
      </c>
      <c r="O1751" s="8">
        <f>HYPERLINK("https://ictv.global/id/ICTV19991144","ICTV19991144@prod")</f>
        <v/>
      </c>
    </row>
    <row r="1752">
      <c r="A1752" t="n">
        <v>21</v>
      </c>
      <c r="B1752" t="n">
        <v>20026243</v>
      </c>
      <c r="C1752" t="n">
        <v>19991144</v>
      </c>
      <c r="D1752" t="inlineStr">
        <is>
          <t>species</t>
        </is>
      </c>
      <c r="E1752" t="inlineStr">
        <is>
          <t>Human papillomavirus</t>
        </is>
      </c>
      <c r="G1752" t="inlineStr">
        <is>
          <t>Split,Moved,Assigned as Type Species,</t>
        </is>
      </c>
      <c r="H1752" t="inlineStr">
        <is>
          <t>Human papillomavirus 5</t>
        </is>
      </c>
      <c r="I1752" t="inlineStr">
        <is>
          <t>species</t>
        </is>
      </c>
      <c r="J1752" t="n">
        <v>20041473</v>
      </c>
      <c r="K1752" t="n">
        <v>20041473</v>
      </c>
      <c r="L1752" s="8">
        <f>HYPERLINK("https://test.ictv.global/id/TN20026243","TN20026243@TEST")</f>
        <v/>
      </c>
      <c r="M1752" s="8">
        <f>HYPERLINK("https://test.ictv.global/id/ICTV19991144","ICTV19991144@TEST")</f>
        <v/>
      </c>
      <c r="N1752" s="8">
        <f>HYPERLINK("https://ictv.global/id/TN20026243","TN20026243@prod")</f>
        <v/>
      </c>
      <c r="O1752" s="8">
        <f>HYPERLINK("https://ictv.global/id/ICTV19991144","ICTV19991144@prod")</f>
        <v/>
      </c>
    </row>
    <row r="1753">
      <c r="A1753" t="n">
        <v>21</v>
      </c>
      <c r="B1753" t="n">
        <v>20026243</v>
      </c>
      <c r="C1753" t="n">
        <v>19991144</v>
      </c>
      <c r="D1753" t="inlineStr">
        <is>
          <t>species</t>
        </is>
      </c>
      <c r="E1753" t="inlineStr">
        <is>
          <t>Human papillomavirus</t>
        </is>
      </c>
      <c r="G1753" t="inlineStr">
        <is>
          <t>Split,Moved,</t>
        </is>
      </c>
      <c r="H1753" t="inlineStr">
        <is>
          <t>Human papillomavirus 9</t>
        </is>
      </c>
      <c r="I1753" t="inlineStr">
        <is>
          <t>species</t>
        </is>
      </c>
      <c r="J1753" t="n">
        <v>20041474</v>
      </c>
      <c r="K1753" t="n">
        <v>20041474</v>
      </c>
      <c r="L1753" s="8">
        <f>HYPERLINK("https://test.ictv.global/id/TN20026243","TN20026243@TEST")</f>
        <v/>
      </c>
      <c r="M1753" s="8">
        <f>HYPERLINK("https://test.ictv.global/id/ICTV19991144","ICTV19991144@TEST")</f>
        <v/>
      </c>
      <c r="N1753" s="8">
        <f>HYPERLINK("https://ictv.global/id/TN20026243","TN20026243@prod")</f>
        <v/>
      </c>
      <c r="O1753" s="8">
        <f>HYPERLINK("https://ictv.global/id/ICTV19991144","ICTV19991144@prod")</f>
        <v/>
      </c>
    </row>
    <row r="1754">
      <c r="A1754" t="n">
        <v>21</v>
      </c>
      <c r="B1754" t="n">
        <v>20026243</v>
      </c>
      <c r="C1754" t="n">
        <v>19991144</v>
      </c>
      <c r="D1754" t="inlineStr">
        <is>
          <t>species</t>
        </is>
      </c>
      <c r="E1754" t="inlineStr">
        <is>
          <t>Human papillomavirus</t>
        </is>
      </c>
      <c r="G1754" t="inlineStr">
        <is>
          <t>Split,Moved,</t>
        </is>
      </c>
      <c r="H1754" t="inlineStr">
        <is>
          <t>Human papillomavirus cand92</t>
        </is>
      </c>
      <c r="I1754" t="inlineStr">
        <is>
          <t>species</t>
        </is>
      </c>
      <c r="J1754" t="n">
        <v>20041475</v>
      </c>
      <c r="K1754" t="n">
        <v>20041475</v>
      </c>
      <c r="L1754" s="8">
        <f>HYPERLINK("https://test.ictv.global/id/TN20026243","TN20026243@TEST")</f>
        <v/>
      </c>
      <c r="M1754" s="8">
        <f>HYPERLINK("https://test.ictv.global/id/ICTV19991144","ICTV19991144@TEST")</f>
        <v/>
      </c>
      <c r="N1754" s="8">
        <f>HYPERLINK("https://ictv.global/id/TN20026243","TN20026243@prod")</f>
        <v/>
      </c>
      <c r="O1754" s="8">
        <f>HYPERLINK("https://ictv.global/id/ICTV19991144","ICTV19991144@prod")</f>
        <v/>
      </c>
    </row>
    <row r="1755">
      <c r="A1755" t="n">
        <v>21</v>
      </c>
      <c r="B1755" t="n">
        <v>20026243</v>
      </c>
      <c r="C1755" t="n">
        <v>19991144</v>
      </c>
      <c r="D1755" t="inlineStr">
        <is>
          <t>species</t>
        </is>
      </c>
      <c r="E1755" t="inlineStr">
        <is>
          <t>Human papillomavirus</t>
        </is>
      </c>
      <c r="G1755" t="inlineStr">
        <is>
          <t>Split,Moved,Assigned as Type Species,</t>
        </is>
      </c>
      <c r="H1755" t="inlineStr">
        <is>
          <t>Human papillomavirus 4</t>
        </is>
      </c>
      <c r="I1755" t="inlineStr">
        <is>
          <t>species</t>
        </is>
      </c>
      <c r="J1755" t="n">
        <v>20041482</v>
      </c>
      <c r="K1755" t="n">
        <v>20041482</v>
      </c>
      <c r="L1755" s="8">
        <f>HYPERLINK("https://test.ictv.global/id/TN20026243","TN20026243@TEST")</f>
        <v/>
      </c>
      <c r="M1755" s="8">
        <f>HYPERLINK("https://test.ictv.global/id/ICTV19991144","ICTV19991144@TEST")</f>
        <v/>
      </c>
      <c r="N1755" s="8">
        <f>HYPERLINK("https://ictv.global/id/TN20026243","TN20026243@prod")</f>
        <v/>
      </c>
      <c r="O1755" s="8">
        <f>HYPERLINK("https://ictv.global/id/ICTV19991144","ICTV19991144@prod")</f>
        <v/>
      </c>
    </row>
    <row r="1756">
      <c r="A1756" t="n">
        <v>21</v>
      </c>
      <c r="B1756" t="n">
        <v>20026243</v>
      </c>
      <c r="C1756" t="n">
        <v>19991144</v>
      </c>
      <c r="D1756" t="inlineStr">
        <is>
          <t>species</t>
        </is>
      </c>
      <c r="E1756" t="inlineStr">
        <is>
          <t>Human papillomavirus</t>
        </is>
      </c>
      <c r="G1756" t="inlineStr">
        <is>
          <t>Split,Moved,</t>
        </is>
      </c>
      <c r="H1756" t="inlineStr">
        <is>
          <t>Human papillomavirus 48</t>
        </is>
      </c>
      <c r="I1756" t="inlineStr">
        <is>
          <t>species</t>
        </is>
      </c>
      <c r="J1756" t="n">
        <v>20041483</v>
      </c>
      <c r="K1756" t="n">
        <v>20041483</v>
      </c>
      <c r="L1756" s="8">
        <f>HYPERLINK("https://test.ictv.global/id/TN20026243","TN20026243@TEST")</f>
        <v/>
      </c>
      <c r="M1756" s="8">
        <f>HYPERLINK("https://test.ictv.global/id/ICTV19991144","ICTV19991144@TEST")</f>
        <v/>
      </c>
      <c r="N1756" s="8">
        <f>HYPERLINK("https://ictv.global/id/TN20026243","TN20026243@prod")</f>
        <v/>
      </c>
      <c r="O1756" s="8">
        <f>HYPERLINK("https://ictv.global/id/ICTV19991144","ICTV19991144@prod")</f>
        <v/>
      </c>
    </row>
    <row r="1757">
      <c r="A1757" t="n">
        <v>21</v>
      </c>
      <c r="B1757" t="n">
        <v>20026243</v>
      </c>
      <c r="C1757" t="n">
        <v>19991144</v>
      </c>
      <c r="D1757" t="inlineStr">
        <is>
          <t>species</t>
        </is>
      </c>
      <c r="E1757" t="inlineStr">
        <is>
          <t>Human papillomavirus</t>
        </is>
      </c>
      <c r="G1757" t="inlineStr">
        <is>
          <t>Split,Moved,</t>
        </is>
      </c>
      <c r="H1757" t="inlineStr">
        <is>
          <t>Human papillomavirus 50</t>
        </is>
      </c>
      <c r="I1757" t="inlineStr">
        <is>
          <t>species</t>
        </is>
      </c>
      <c r="J1757" t="n">
        <v>20041484</v>
      </c>
      <c r="K1757" t="n">
        <v>20041484</v>
      </c>
      <c r="L1757" s="8">
        <f>HYPERLINK("https://test.ictv.global/id/TN20026243","TN20026243@TEST")</f>
        <v/>
      </c>
      <c r="M1757" s="8">
        <f>HYPERLINK("https://test.ictv.global/id/ICTV19991144","ICTV19991144@TEST")</f>
        <v/>
      </c>
      <c r="N1757" s="8">
        <f>HYPERLINK("https://ictv.global/id/TN20026243","TN20026243@prod")</f>
        <v/>
      </c>
      <c r="O1757" s="8">
        <f>HYPERLINK("https://ictv.global/id/ICTV19991144","ICTV19991144@prod")</f>
        <v/>
      </c>
    </row>
    <row r="1758">
      <c r="A1758" t="n">
        <v>21</v>
      </c>
      <c r="B1758" t="n">
        <v>20026243</v>
      </c>
      <c r="C1758" t="n">
        <v>19991144</v>
      </c>
      <c r="D1758" t="inlineStr">
        <is>
          <t>species</t>
        </is>
      </c>
      <c r="E1758" t="inlineStr">
        <is>
          <t>Human papillomavirus</t>
        </is>
      </c>
      <c r="G1758" t="inlineStr">
        <is>
          <t>Split,Moved,</t>
        </is>
      </c>
      <c r="H1758" t="inlineStr">
        <is>
          <t>Human papillomavirus 60</t>
        </is>
      </c>
      <c r="I1758" t="inlineStr">
        <is>
          <t>species</t>
        </is>
      </c>
      <c r="J1758" t="n">
        <v>20041485</v>
      </c>
      <c r="K1758" t="n">
        <v>20041485</v>
      </c>
      <c r="L1758" s="8">
        <f>HYPERLINK("https://test.ictv.global/id/TN20026243","TN20026243@TEST")</f>
        <v/>
      </c>
      <c r="M1758" s="8">
        <f>HYPERLINK("https://test.ictv.global/id/ICTV19991144","ICTV19991144@TEST")</f>
        <v/>
      </c>
      <c r="N1758" s="8">
        <f>HYPERLINK("https://ictv.global/id/TN20026243","TN20026243@prod")</f>
        <v/>
      </c>
      <c r="O1758" s="8">
        <f>HYPERLINK("https://ictv.global/id/ICTV19991144","ICTV19991144@prod")</f>
        <v/>
      </c>
    </row>
    <row r="1759">
      <c r="A1759" t="n">
        <v>21</v>
      </c>
      <c r="B1759" t="n">
        <v>20026243</v>
      </c>
      <c r="C1759" t="n">
        <v>19991144</v>
      </c>
      <c r="D1759" t="inlineStr">
        <is>
          <t>species</t>
        </is>
      </c>
      <c r="E1759" t="inlineStr">
        <is>
          <t>Human papillomavirus</t>
        </is>
      </c>
      <c r="G1759" t="inlineStr">
        <is>
          <t>Split,Moved,</t>
        </is>
      </c>
      <c r="H1759" t="inlineStr">
        <is>
          <t>Human papillomavirus 88</t>
        </is>
      </c>
      <c r="I1759" t="inlineStr">
        <is>
          <t>species</t>
        </is>
      </c>
      <c r="J1759" t="n">
        <v>20041486</v>
      </c>
      <c r="K1759" t="n">
        <v>20041486</v>
      </c>
      <c r="L1759" s="8">
        <f>HYPERLINK("https://test.ictv.global/id/TN20026243","TN20026243@TEST")</f>
        <v/>
      </c>
      <c r="M1759" s="8">
        <f>HYPERLINK("https://test.ictv.global/id/ICTV19991144","ICTV19991144@TEST")</f>
        <v/>
      </c>
      <c r="N1759" s="8">
        <f>HYPERLINK("https://ictv.global/id/TN20026243","TN20026243@prod")</f>
        <v/>
      </c>
      <c r="O1759" s="8">
        <f>HYPERLINK("https://ictv.global/id/ICTV19991144","ICTV19991144@prod")</f>
        <v/>
      </c>
    </row>
    <row r="1760">
      <c r="A1760" t="n">
        <v>21</v>
      </c>
      <c r="B1760" t="n">
        <v>20026243</v>
      </c>
      <c r="C1760" t="n">
        <v>19991144</v>
      </c>
      <c r="D1760" t="inlineStr">
        <is>
          <t>species</t>
        </is>
      </c>
      <c r="E1760" t="inlineStr">
        <is>
          <t>Human papillomavirus</t>
        </is>
      </c>
      <c r="G1760" t="inlineStr">
        <is>
          <t>Split,Moved,Assigned as Type Species,</t>
        </is>
      </c>
      <c r="H1760" t="inlineStr">
        <is>
          <t>Human papillomavirus 1</t>
        </is>
      </c>
      <c r="I1760" t="inlineStr">
        <is>
          <t>species</t>
        </is>
      </c>
      <c r="J1760" t="n">
        <v>20041492</v>
      </c>
      <c r="K1760" t="n">
        <v>20041492</v>
      </c>
      <c r="L1760" s="8">
        <f>HYPERLINK("https://test.ictv.global/id/TN20026243","TN20026243@TEST")</f>
        <v/>
      </c>
      <c r="M1760" s="8">
        <f>HYPERLINK("https://test.ictv.global/id/ICTV19991144","ICTV19991144@TEST")</f>
        <v/>
      </c>
      <c r="N1760" s="8">
        <f>HYPERLINK("https://ictv.global/id/TN20026243","TN20026243@prod")</f>
        <v/>
      </c>
      <c r="O1760" s="8">
        <f>HYPERLINK("https://ictv.global/id/ICTV19991144","ICTV19991144@prod")</f>
        <v/>
      </c>
    </row>
    <row r="1761">
      <c r="A1761" t="n">
        <v>21</v>
      </c>
      <c r="B1761" t="n">
        <v>20026243</v>
      </c>
      <c r="C1761" t="n">
        <v>19991144</v>
      </c>
      <c r="D1761" t="inlineStr">
        <is>
          <t>species</t>
        </is>
      </c>
      <c r="E1761" t="inlineStr">
        <is>
          <t>Human papillomavirus</t>
        </is>
      </c>
      <c r="G1761" t="inlineStr">
        <is>
          <t>Split,Moved,</t>
        </is>
      </c>
      <c r="H1761" t="inlineStr">
        <is>
          <t>Human papillomavirus 63</t>
        </is>
      </c>
      <c r="I1761" t="inlineStr">
        <is>
          <t>species</t>
        </is>
      </c>
      <c r="J1761" t="n">
        <v>20041493</v>
      </c>
      <c r="K1761" t="n">
        <v>20041493</v>
      </c>
      <c r="L1761" s="8">
        <f>HYPERLINK("https://test.ictv.global/id/TN20026243","TN20026243@TEST")</f>
        <v/>
      </c>
      <c r="M1761" s="8">
        <f>HYPERLINK("https://test.ictv.global/id/ICTV19991144","ICTV19991144@TEST")</f>
        <v/>
      </c>
      <c r="N1761" s="8">
        <f>HYPERLINK("https://ictv.global/id/TN20026243","TN20026243@prod")</f>
        <v/>
      </c>
      <c r="O1761" s="8">
        <f>HYPERLINK("https://ictv.global/id/ICTV19991144","ICTV19991144@prod")</f>
        <v/>
      </c>
    </row>
    <row r="1762">
      <c r="A1762" t="n">
        <v>21</v>
      </c>
      <c r="B1762" t="n">
        <v>20026243</v>
      </c>
      <c r="C1762" t="n">
        <v>19991144</v>
      </c>
      <c r="D1762" t="inlineStr">
        <is>
          <t>species</t>
        </is>
      </c>
      <c r="E1762" t="inlineStr">
        <is>
          <t>Human papillomavirus</t>
        </is>
      </c>
      <c r="G1762" t="inlineStr">
        <is>
          <t>Split,Moved,Assigned as Type Species,</t>
        </is>
      </c>
      <c r="H1762" t="inlineStr">
        <is>
          <t>Human papillomavirus 41</t>
        </is>
      </c>
      <c r="I1762" t="inlineStr">
        <is>
          <t>species</t>
        </is>
      </c>
      <c r="J1762" t="n">
        <v>20041494</v>
      </c>
      <c r="K1762" t="n">
        <v>20041494</v>
      </c>
      <c r="L1762" s="8">
        <f>HYPERLINK("https://test.ictv.global/id/TN20026243","TN20026243@TEST")</f>
        <v/>
      </c>
      <c r="M1762" s="8">
        <f>HYPERLINK("https://test.ictv.global/id/ICTV19991144","ICTV19991144@TEST")</f>
        <v/>
      </c>
      <c r="N1762" s="8">
        <f>HYPERLINK("https://ictv.global/id/TN20026243","TN20026243@prod")</f>
        <v/>
      </c>
      <c r="O1762" s="8">
        <f>HYPERLINK("https://ictv.global/id/ICTV19991144","ICTV19991144@prod")</f>
        <v/>
      </c>
    </row>
    <row r="1763">
      <c r="A1763" t="n">
        <v>21</v>
      </c>
      <c r="B1763" t="n">
        <v>20026294</v>
      </c>
      <c r="C1763" t="n">
        <v>19951465</v>
      </c>
      <c r="D1763" t="inlineStr">
        <is>
          <t>species</t>
        </is>
      </c>
      <c r="E1763" t="inlineStr">
        <is>
          <t>Canine parvovirus</t>
        </is>
      </c>
      <c r="G1763" t="inlineStr">
        <is>
          <t>Merged,</t>
        </is>
      </c>
      <c r="H1763" t="inlineStr">
        <is>
          <t>Feline panleukopenia virus</t>
        </is>
      </c>
      <c r="I1763" t="inlineStr">
        <is>
          <t>species</t>
        </is>
      </c>
      <c r="J1763" t="n">
        <v>20132614</v>
      </c>
      <c r="K1763" t="n">
        <v>20041556</v>
      </c>
      <c r="L1763" s="8">
        <f>HYPERLINK("https://test.ictv.global/id/TN20026294","TN20026294@TEST")</f>
        <v/>
      </c>
      <c r="M1763" s="8">
        <f>HYPERLINK("https://test.ictv.global/id/ICTV19951465","ICTV19951465@TEST")</f>
        <v/>
      </c>
      <c r="N1763" s="8">
        <f>HYPERLINK("https://ictv.global/id/TN20026294","TN20026294@prod")</f>
        <v/>
      </c>
      <c r="O1763" s="8">
        <f>HYPERLINK("https://ictv.global/id/ICTV19951465","ICTV19951465@prod")</f>
        <v/>
      </c>
    </row>
    <row r="1764">
      <c r="A1764" t="n">
        <v>21</v>
      </c>
      <c r="B1764" t="n">
        <v>20026296</v>
      </c>
      <c r="C1764" t="n">
        <v>20132614</v>
      </c>
      <c r="D1764" t="inlineStr">
        <is>
          <t>species</t>
        </is>
      </c>
      <c r="E1764" t="inlineStr">
        <is>
          <t>Feline panleukopenia virus</t>
        </is>
      </c>
      <c r="G1764" t="inlineStr">
        <is>
          <t>Merged,</t>
        </is>
      </c>
      <c r="H1764" t="inlineStr">
        <is>
          <t>Feline panleukopenia virus</t>
        </is>
      </c>
      <c r="I1764" t="inlineStr">
        <is>
          <t>species</t>
        </is>
      </c>
      <c r="J1764" t="n">
        <v>20132614</v>
      </c>
      <c r="K1764" t="n">
        <v>20041556</v>
      </c>
      <c r="L1764" s="8">
        <f>HYPERLINK("https://test.ictv.global/id/TN20026296","TN20026296@TEST")</f>
        <v/>
      </c>
      <c r="M1764" s="8">
        <f>HYPERLINK("https://test.ictv.global/id/ICTV20132614","ICTV20132614@TEST")</f>
        <v/>
      </c>
      <c r="N1764" s="8">
        <f>HYPERLINK("https://ictv.global/id/TN20026296","TN20026296@prod")</f>
        <v/>
      </c>
      <c r="O1764" s="8">
        <f>HYPERLINK("https://ictv.global/id/ICTV20132614","ICTV20132614@prod")</f>
        <v/>
      </c>
    </row>
    <row r="1765">
      <c r="A1765" t="n">
        <v>21</v>
      </c>
      <c r="B1765" t="n">
        <v>20026297</v>
      </c>
      <c r="C1765" t="n">
        <v>19760307</v>
      </c>
      <c r="D1765" t="inlineStr">
        <is>
          <t>species</t>
        </is>
      </c>
      <c r="E1765" t="inlineStr">
        <is>
          <t>Feline parvovirus</t>
        </is>
      </c>
      <c r="G1765" t="inlineStr">
        <is>
          <t>Merged,</t>
        </is>
      </c>
      <c r="H1765" t="inlineStr">
        <is>
          <t>Feline panleukopenia virus</t>
        </is>
      </c>
      <c r="I1765" t="inlineStr">
        <is>
          <t>species</t>
        </is>
      </c>
      <c r="J1765" t="n">
        <v>20132614</v>
      </c>
      <c r="K1765" t="n">
        <v>20041556</v>
      </c>
      <c r="L1765" s="8">
        <f>HYPERLINK("https://test.ictv.global/id/TN20026297","TN20026297@TEST")</f>
        <v/>
      </c>
      <c r="M1765" s="8">
        <f>HYPERLINK("https://test.ictv.global/id/ICTV19760307","ICTV19760307@TEST")</f>
        <v/>
      </c>
      <c r="N1765" s="8">
        <f>HYPERLINK("https://ictv.global/id/TN20026297","TN20026297@prod")</f>
        <v/>
      </c>
      <c r="O1765" s="8">
        <f>HYPERLINK("https://ictv.global/id/ICTV19760307","ICTV19760307@prod")</f>
        <v/>
      </c>
    </row>
    <row r="1766">
      <c r="A1766" t="n">
        <v>21</v>
      </c>
      <c r="B1766" t="n">
        <v>20026305</v>
      </c>
      <c r="C1766" t="n">
        <v>19951476</v>
      </c>
      <c r="D1766" t="inlineStr">
        <is>
          <t>species</t>
        </is>
      </c>
      <c r="E1766" t="inlineStr">
        <is>
          <t>Mink enteritis virus</t>
        </is>
      </c>
      <c r="G1766" t="inlineStr">
        <is>
          <t>Merged,</t>
        </is>
      </c>
      <c r="H1766" t="inlineStr">
        <is>
          <t>Feline panleukopenia virus</t>
        </is>
      </c>
      <c r="I1766" t="inlineStr">
        <is>
          <t>species</t>
        </is>
      </c>
      <c r="J1766" t="n">
        <v>20132614</v>
      </c>
      <c r="K1766" t="n">
        <v>20041556</v>
      </c>
      <c r="L1766" s="8">
        <f>HYPERLINK("https://test.ictv.global/id/TN20026305","TN20026305@TEST")</f>
        <v/>
      </c>
      <c r="M1766" s="8">
        <f>HYPERLINK("https://test.ictv.global/id/ICTV19951476","ICTV19951476@TEST")</f>
        <v/>
      </c>
      <c r="N1766" s="8">
        <f>HYPERLINK("https://ictv.global/id/TN20026305","TN20026305@prod")</f>
        <v/>
      </c>
      <c r="O1766" s="8">
        <f>HYPERLINK("https://ictv.global/id/ICTV19951476","ICTV19951476@prod")</f>
        <v/>
      </c>
    </row>
    <row r="1767">
      <c r="A1767" t="n">
        <v>21</v>
      </c>
      <c r="B1767" t="n">
        <v>20026309</v>
      </c>
      <c r="C1767" t="n">
        <v>19951478</v>
      </c>
      <c r="D1767" t="inlineStr">
        <is>
          <t>species</t>
        </is>
      </c>
      <c r="E1767" t="inlineStr">
        <is>
          <t>Raccoon parvovirus</t>
        </is>
      </c>
      <c r="G1767" t="inlineStr">
        <is>
          <t>Merged,</t>
        </is>
      </c>
      <c r="H1767" t="inlineStr">
        <is>
          <t>Feline panleukopenia virus</t>
        </is>
      </c>
      <c r="I1767" t="inlineStr">
        <is>
          <t>species</t>
        </is>
      </c>
      <c r="J1767" t="n">
        <v>20132614</v>
      </c>
      <c r="K1767" t="n">
        <v>20041556</v>
      </c>
      <c r="L1767" s="8">
        <f>HYPERLINK("https://test.ictv.global/id/TN20026309","TN20026309@TEST")</f>
        <v/>
      </c>
      <c r="M1767" s="8">
        <f>HYPERLINK("https://test.ictv.global/id/ICTV19951478","ICTV19951478@TEST")</f>
        <v/>
      </c>
      <c r="N1767" s="8">
        <f>HYPERLINK("https://ictv.global/id/TN20026309","TN20026309@prod")</f>
        <v/>
      </c>
      <c r="O1767" s="8">
        <f>HYPERLINK("https://ictv.global/id/ICTV19951478","ICTV19951478@prod")</f>
        <v/>
      </c>
    </row>
    <row r="1768">
      <c r="A1768" t="n">
        <v>21</v>
      </c>
      <c r="B1768" t="n">
        <v>20026528</v>
      </c>
      <c r="C1768" t="n">
        <v>19951915</v>
      </c>
      <c r="D1768" t="inlineStr">
        <is>
          <t>species</t>
        </is>
      </c>
      <c r="E1768" t="inlineStr">
        <is>
          <t>Rembrandt tulip breaking virus</t>
        </is>
      </c>
      <c r="G1768" t="inlineStr">
        <is>
          <t>Abolished,</t>
        </is>
      </c>
      <c r="L1768" s="8">
        <f>HYPERLINK("https://test.ictv.global/id/TN20026528","TN20026528@TEST")</f>
        <v/>
      </c>
      <c r="M1768" s="8">
        <f>HYPERLINK("https://test.ictv.global/id/ICTV19951915","ICTV19951915@TEST")</f>
        <v/>
      </c>
      <c r="N1768" s="8">
        <f>HYPERLINK("https://ictv.global/id/TN20026528","TN20026528@prod")</f>
        <v/>
      </c>
      <c r="O1768" s="8">
        <f>HYPERLINK("https://ictv.global/id/ICTV19951915","ICTV19951915@prod")</f>
        <v/>
      </c>
    </row>
    <row r="1769">
      <c r="A1769" t="n">
        <v>21</v>
      </c>
      <c r="B1769" t="n">
        <v>20026899</v>
      </c>
      <c r="C1769" t="n">
        <v>19991775</v>
      </c>
      <c r="D1769" t="inlineStr">
        <is>
          <t>species</t>
        </is>
      </c>
      <c r="E1769" t="inlineStr">
        <is>
          <t>Garlic latent virus</t>
        </is>
      </c>
      <c r="G1769" t="inlineStr">
        <is>
          <t>Abolished,</t>
        </is>
      </c>
      <c r="L1769" s="8">
        <f>HYPERLINK("https://test.ictv.global/id/TN20026899","TN20026899@TEST")</f>
        <v/>
      </c>
      <c r="M1769" s="8">
        <f>HYPERLINK("https://test.ictv.global/id/ICTV19991775","ICTV19991775@TEST")</f>
        <v/>
      </c>
      <c r="N1769" s="8">
        <f>HYPERLINK("https://ictv.global/id/TN20026899","TN20026899@prod")</f>
        <v/>
      </c>
      <c r="O1769" s="8">
        <f>HYPERLINK("https://ictv.global/id/ICTV19991775","ICTV19991775@prod")</f>
        <v/>
      </c>
    </row>
    <row r="1770">
      <c r="A1770" t="n">
        <v>22</v>
      </c>
      <c r="B1770" t="n">
        <v>20040463</v>
      </c>
      <c r="C1770" t="n">
        <v>20073002</v>
      </c>
      <c r="D1770" t="inlineStr">
        <is>
          <t>species</t>
        </is>
      </c>
      <c r="E1770" t="inlineStr">
        <is>
          <t>Enterobacteria phage P1</t>
        </is>
      </c>
      <c r="F1770" t="inlineStr"/>
      <c r="G1770" t="inlineStr">
        <is>
          <t>Merged,</t>
        </is>
      </c>
      <c r="H1770" t="inlineStr">
        <is>
          <t>Enterobacteria phage P1</t>
        </is>
      </c>
      <c r="I1770" t="inlineStr">
        <is>
          <t>species</t>
        </is>
      </c>
      <c r="J1770" t="n">
        <v>20073002</v>
      </c>
      <c r="K1770" t="n">
        <v>20073002</v>
      </c>
      <c r="L1770" s="8">
        <f>HYPERLINK("https://test.ictv.global/id/TN20040463","TN20040463@TEST")</f>
        <v/>
      </c>
      <c r="M1770" s="8">
        <f>HYPERLINK("https://test.ictv.global/id/ICTV20073002","ICTV20073002@TEST")</f>
        <v/>
      </c>
      <c r="N1770" s="8">
        <f>HYPERLINK("https://ictv.global/id/TN20040463","TN20040463@prod")</f>
        <v/>
      </c>
      <c r="O1770" s="8">
        <f>HYPERLINK("https://ictv.global/id/ICTV20073002","ICTV20073002@prod")</f>
        <v/>
      </c>
    </row>
    <row r="1771">
      <c r="A1771" t="n">
        <v>22</v>
      </c>
      <c r="B1771" t="n">
        <v>20040464</v>
      </c>
      <c r="C1771" t="n">
        <v>19990381</v>
      </c>
      <c r="D1771" t="inlineStr">
        <is>
          <t>species</t>
        </is>
      </c>
      <c r="E1771" t="inlineStr">
        <is>
          <t>Enterobacteria phage P1D</t>
        </is>
      </c>
      <c r="G1771" t="inlineStr">
        <is>
          <t>Merged,Assigned as Type Species,</t>
        </is>
      </c>
      <c r="H1771" t="inlineStr">
        <is>
          <t>Enterobacteria phage P1</t>
        </is>
      </c>
      <c r="I1771" t="inlineStr">
        <is>
          <t>species</t>
        </is>
      </c>
      <c r="J1771" t="n">
        <v>20073002</v>
      </c>
      <c r="K1771" t="n">
        <v>20073002</v>
      </c>
      <c r="L1771" s="8">
        <f>HYPERLINK("https://test.ictv.global/id/TN20040464","TN20040464@TEST")</f>
        <v/>
      </c>
      <c r="M1771" s="8">
        <f>HYPERLINK("https://test.ictv.global/id/ICTV19990381","ICTV19990381@TEST")</f>
        <v/>
      </c>
      <c r="N1771" s="8">
        <f>HYPERLINK("https://ictv.global/id/TN20040464","TN20040464@prod")</f>
        <v/>
      </c>
      <c r="O1771" s="8">
        <f>HYPERLINK("https://ictv.global/id/ICTV19990381","ICTV19990381@prod")</f>
        <v/>
      </c>
    </row>
    <row r="1772">
      <c r="A1772" t="n">
        <v>22</v>
      </c>
      <c r="B1772" t="n">
        <v>20040692</v>
      </c>
      <c r="C1772" t="n">
        <v>20020617</v>
      </c>
      <c r="D1772" t="inlineStr">
        <is>
          <t>species</t>
        </is>
      </c>
      <c r="E1772" t="inlineStr">
        <is>
          <t>Mamestra configurata nucleopolyhedrovirus</t>
        </is>
      </c>
      <c r="G1772" t="inlineStr">
        <is>
          <t>Split,</t>
        </is>
      </c>
      <c r="H1772" t="inlineStr">
        <is>
          <t>Mamestra configurata nucleopolyhedrovirus A</t>
        </is>
      </c>
      <c r="I1772" t="inlineStr">
        <is>
          <t>species</t>
        </is>
      </c>
      <c r="J1772" t="n">
        <v>20073239</v>
      </c>
      <c r="K1772" t="n">
        <v>20073239</v>
      </c>
      <c r="L1772" s="8">
        <f>HYPERLINK("https://test.ictv.global/id/TN20040692","TN20040692@TEST")</f>
        <v/>
      </c>
      <c r="M1772" s="8">
        <f>HYPERLINK("https://test.ictv.global/id/ICTV20020617","ICTV20020617@TEST")</f>
        <v/>
      </c>
      <c r="N1772" s="8">
        <f>HYPERLINK("https://ictv.global/id/TN20040692","TN20040692@prod")</f>
        <v/>
      </c>
      <c r="O1772" s="8">
        <f>HYPERLINK("https://ictv.global/id/ICTV20020617","ICTV20020617@prod")</f>
        <v/>
      </c>
    </row>
    <row r="1773">
      <c r="A1773" t="n">
        <v>22</v>
      </c>
      <c r="B1773" t="n">
        <v>20040692</v>
      </c>
      <c r="C1773" t="n">
        <v>20020617</v>
      </c>
      <c r="D1773" t="inlineStr">
        <is>
          <t>species</t>
        </is>
      </c>
      <c r="E1773" t="inlineStr">
        <is>
          <t>Mamestra configurata nucleopolyhedrovirus</t>
        </is>
      </c>
      <c r="G1773" t="inlineStr">
        <is>
          <t>Split,</t>
        </is>
      </c>
      <c r="H1773" t="inlineStr">
        <is>
          <t>Mamestra configurata nucleopolyhedrovirus B</t>
        </is>
      </c>
      <c r="I1773" t="inlineStr">
        <is>
          <t>species</t>
        </is>
      </c>
      <c r="J1773" t="n">
        <v>20073240</v>
      </c>
      <c r="K1773" t="n">
        <v>20073240</v>
      </c>
      <c r="L1773" s="8">
        <f>HYPERLINK("https://test.ictv.global/id/TN20040692","TN20040692@TEST")</f>
        <v/>
      </c>
      <c r="M1773" s="8">
        <f>HYPERLINK("https://test.ictv.global/id/ICTV20020617","ICTV20020617@TEST")</f>
        <v/>
      </c>
      <c r="N1773" s="8">
        <f>HYPERLINK("https://ictv.global/id/TN20040692","TN20040692@prod")</f>
        <v/>
      </c>
      <c r="O1773" s="8">
        <f>HYPERLINK("https://ictv.global/id/ICTV20020617","ICTV20020617@prod")</f>
        <v/>
      </c>
    </row>
    <row r="1774">
      <c r="A1774" t="n">
        <v>22</v>
      </c>
      <c r="B1774" t="n">
        <v>20040707</v>
      </c>
      <c r="C1774" t="n">
        <v>20040707</v>
      </c>
      <c r="D1774" t="inlineStr">
        <is>
          <t>species</t>
        </is>
      </c>
      <c r="E1774" t="inlineStr">
        <is>
          <t>Blotched snakehead virus</t>
        </is>
      </c>
      <c r="F1774" t="inlineStr"/>
      <c r="G1774" t="inlineStr">
        <is>
          <t>Abolished,</t>
        </is>
      </c>
      <c r="L1774" s="8">
        <f>HYPERLINK("https://test.ictv.global/id/TN20040707","TN20040707@TEST")</f>
        <v/>
      </c>
      <c r="M1774" s="8">
        <f>HYPERLINK("https://test.ictv.global/id/ICTV20040707","ICTV20040707@TEST")</f>
        <v/>
      </c>
      <c r="N1774" s="8">
        <f>HYPERLINK("https://ictv.global/id/TN20040707","TN20040707@prod")</f>
        <v/>
      </c>
      <c r="O1774" s="8">
        <f>HYPERLINK("https://ictv.global/id/ICTV20040707","ICTV20040707@prod")</f>
        <v/>
      </c>
    </row>
    <row r="1775">
      <c r="A1775" t="n">
        <v>22</v>
      </c>
      <c r="B1775" t="n">
        <v>20040724</v>
      </c>
      <c r="C1775" t="n">
        <v>20073273</v>
      </c>
      <c r="D1775" t="inlineStr">
        <is>
          <t>species</t>
        </is>
      </c>
      <c r="E1775" t="inlineStr">
        <is>
          <t>Elm mottle virus</t>
        </is>
      </c>
      <c r="F1775" t="inlineStr">
        <is>
          <t>RNA1: U57047; RNA2: U34050; RNA3: U85399</t>
        </is>
      </c>
      <c r="G1775" t="inlineStr">
        <is>
          <t>Merged,</t>
        </is>
      </c>
      <c r="H1775" t="inlineStr">
        <is>
          <t>Elm mottle virus</t>
        </is>
      </c>
      <c r="I1775" t="inlineStr">
        <is>
          <t>species</t>
        </is>
      </c>
      <c r="J1775" t="n">
        <v>20073273</v>
      </c>
      <c r="K1775" t="n">
        <v>20073273</v>
      </c>
      <c r="L1775" s="8">
        <f>HYPERLINK("https://test.ictv.global/id/TN20040724","TN20040724@TEST")</f>
        <v/>
      </c>
      <c r="M1775" s="8">
        <f>HYPERLINK("https://test.ictv.global/id/ICTV20073273","ICTV20073273@TEST")</f>
        <v/>
      </c>
      <c r="N1775" s="8">
        <f>HYPERLINK("https://ictv.global/id/TN20040724","TN20040724@prod")</f>
        <v/>
      </c>
      <c r="O1775" s="8">
        <f>HYPERLINK("https://ictv.global/id/ICTV20073273","ICTV20073273@prod")</f>
        <v/>
      </c>
    </row>
    <row r="1776">
      <c r="A1776" t="n">
        <v>22</v>
      </c>
      <c r="B1776" t="n">
        <v>20040727</v>
      </c>
      <c r="C1776" t="n">
        <v>19911681</v>
      </c>
      <c r="D1776" t="inlineStr">
        <is>
          <t>species</t>
        </is>
      </c>
      <c r="E1776" t="inlineStr">
        <is>
          <t>Hydrangea mosaic virus</t>
        </is>
      </c>
      <c r="G1776" t="inlineStr">
        <is>
          <t>Merged,</t>
        </is>
      </c>
      <c r="H1776" t="inlineStr">
        <is>
          <t>Elm mottle virus</t>
        </is>
      </c>
      <c r="I1776" t="inlineStr">
        <is>
          <t>species</t>
        </is>
      </c>
      <c r="J1776" t="n">
        <v>20073273</v>
      </c>
      <c r="K1776" t="n">
        <v>20073273</v>
      </c>
      <c r="L1776" s="8">
        <f>HYPERLINK("https://test.ictv.global/id/TN20040727","TN20040727@TEST")</f>
        <v/>
      </c>
      <c r="M1776" s="8">
        <f>HYPERLINK("https://test.ictv.global/id/ICTV19911681","ICTV19911681@TEST")</f>
        <v/>
      </c>
      <c r="N1776" s="8">
        <f>HYPERLINK("https://ictv.global/id/TN20040727","TN20040727@prod")</f>
        <v/>
      </c>
      <c r="O1776" s="8">
        <f>HYPERLINK("https://ictv.global/id/ICTV19911681","ICTV19911681@prod")</f>
        <v/>
      </c>
    </row>
    <row r="1777">
      <c r="A1777" t="n">
        <v>22</v>
      </c>
      <c r="B1777" t="n">
        <v>20040760</v>
      </c>
      <c r="C1777" t="n">
        <v>20073308</v>
      </c>
      <c r="D1777" t="inlineStr">
        <is>
          <t>species</t>
        </is>
      </c>
      <c r="E1777" t="inlineStr">
        <is>
          <t>Dugbe virus</t>
        </is>
      </c>
      <c r="F1777" t="inlineStr"/>
      <c r="G1777" t="inlineStr">
        <is>
          <t>Merged,</t>
        </is>
      </c>
      <c r="H1777" t="inlineStr">
        <is>
          <t>Dugbe virus</t>
        </is>
      </c>
      <c r="I1777" t="inlineStr">
        <is>
          <t>species</t>
        </is>
      </c>
      <c r="J1777" t="n">
        <v>20073308</v>
      </c>
      <c r="K1777" t="n">
        <v>20073308</v>
      </c>
      <c r="L1777" s="8">
        <f>HYPERLINK("https://test.ictv.global/id/TN20040760","TN20040760@TEST")</f>
        <v/>
      </c>
      <c r="M1777" s="8">
        <f>HYPERLINK("https://test.ictv.global/id/ICTV20073308","ICTV20073308@TEST")</f>
        <v/>
      </c>
      <c r="N1777" s="8">
        <f>HYPERLINK("https://ictv.global/id/TN20040760","TN20040760@prod")</f>
        <v/>
      </c>
      <c r="O1777" s="8">
        <f>HYPERLINK("https://ictv.global/id/ICTV20073308","ICTV20073308@prod")</f>
        <v/>
      </c>
    </row>
    <row r="1778">
      <c r="A1778" t="n">
        <v>22</v>
      </c>
      <c r="B1778" t="n">
        <v>20040762</v>
      </c>
      <c r="C1778" t="n">
        <v>19790300</v>
      </c>
      <c r="D1778" t="inlineStr">
        <is>
          <t>species</t>
        </is>
      </c>
      <c r="E1778" t="inlineStr">
        <is>
          <t>Nairobi sheep disease virus</t>
        </is>
      </c>
      <c r="G1778" t="inlineStr">
        <is>
          <t>Merged,Assigned as Type Species,</t>
        </is>
      </c>
      <c r="H1778" t="inlineStr">
        <is>
          <t>Dugbe virus</t>
        </is>
      </c>
      <c r="I1778" t="inlineStr">
        <is>
          <t>species</t>
        </is>
      </c>
      <c r="J1778" t="n">
        <v>20073308</v>
      </c>
      <c r="K1778" t="n">
        <v>20073308</v>
      </c>
      <c r="L1778" s="8">
        <f>HYPERLINK("https://test.ictv.global/id/TN20040762","TN20040762@TEST")</f>
        <v/>
      </c>
      <c r="M1778" s="8">
        <f>HYPERLINK("https://test.ictv.global/id/ICTV19790300","ICTV19790300@TEST")</f>
        <v/>
      </c>
      <c r="N1778" s="8">
        <f>HYPERLINK("https://ictv.global/id/TN20040762","TN20040762@prod")</f>
        <v/>
      </c>
      <c r="O1778" s="8">
        <f>HYPERLINK("https://ictv.global/id/ICTV19790300","ICTV19790300@prod")</f>
        <v/>
      </c>
    </row>
    <row r="1779">
      <c r="A1779" t="n">
        <v>22</v>
      </c>
      <c r="B1779" t="n">
        <v>20040837</v>
      </c>
      <c r="C1779" t="n">
        <v>19911578</v>
      </c>
      <c r="D1779" t="inlineStr">
        <is>
          <t>species</t>
        </is>
      </c>
      <c r="E1779" t="inlineStr">
        <is>
          <t>Banana streak virus</t>
        </is>
      </c>
      <c r="G1779" t="inlineStr">
        <is>
          <t>Split,</t>
        </is>
      </c>
      <c r="H1779" t="inlineStr">
        <is>
          <t>Banana streak GF virus</t>
        </is>
      </c>
      <c r="I1779" t="inlineStr">
        <is>
          <t>species</t>
        </is>
      </c>
      <c r="J1779" t="n">
        <v>20073386</v>
      </c>
      <c r="K1779" t="n">
        <v>20073386</v>
      </c>
      <c r="L1779" s="8">
        <f>HYPERLINK("https://test.ictv.global/id/TN20040837","TN20040837@TEST")</f>
        <v/>
      </c>
      <c r="M1779" s="8">
        <f>HYPERLINK("https://test.ictv.global/id/ICTV19911578","ICTV19911578@TEST")</f>
        <v/>
      </c>
      <c r="N1779" s="8">
        <f>HYPERLINK("https://ictv.global/id/TN20040837","TN20040837@prod")</f>
        <v/>
      </c>
      <c r="O1779" s="8">
        <f>HYPERLINK("https://ictv.global/id/ICTV19911578","ICTV19911578@prod")</f>
        <v/>
      </c>
    </row>
    <row r="1780">
      <c r="A1780" t="n">
        <v>22</v>
      </c>
      <c r="B1780" t="n">
        <v>20040837</v>
      </c>
      <c r="C1780" t="n">
        <v>19911578</v>
      </c>
      <c r="D1780" t="inlineStr">
        <is>
          <t>species</t>
        </is>
      </c>
      <c r="E1780" t="inlineStr">
        <is>
          <t>Banana streak virus</t>
        </is>
      </c>
      <c r="G1780" t="inlineStr">
        <is>
          <t>Split,</t>
        </is>
      </c>
      <c r="H1780" t="inlineStr">
        <is>
          <t>Banana streak Mysore virus</t>
        </is>
      </c>
      <c r="I1780" t="inlineStr">
        <is>
          <t>species</t>
        </is>
      </c>
      <c r="J1780" t="n">
        <v>20073387</v>
      </c>
      <c r="K1780" t="n">
        <v>20073387</v>
      </c>
      <c r="L1780" s="8">
        <f>HYPERLINK("https://test.ictv.global/id/TN20040837","TN20040837@TEST")</f>
        <v/>
      </c>
      <c r="M1780" s="8">
        <f>HYPERLINK("https://test.ictv.global/id/ICTV19911578","ICTV19911578@TEST")</f>
        <v/>
      </c>
      <c r="N1780" s="8">
        <f>HYPERLINK("https://ictv.global/id/TN20040837","TN20040837@prod")</f>
        <v/>
      </c>
      <c r="O1780" s="8">
        <f>HYPERLINK("https://ictv.global/id/ICTV19911578","ICTV19911578@prod")</f>
        <v/>
      </c>
    </row>
    <row r="1781">
      <c r="A1781" t="n">
        <v>22</v>
      </c>
      <c r="B1781" t="n">
        <v>20040837</v>
      </c>
      <c r="C1781" t="n">
        <v>19911578</v>
      </c>
      <c r="D1781" t="inlineStr">
        <is>
          <t>species</t>
        </is>
      </c>
      <c r="E1781" t="inlineStr">
        <is>
          <t>Banana streak virus</t>
        </is>
      </c>
      <c r="G1781" t="inlineStr">
        <is>
          <t>Split,</t>
        </is>
      </c>
      <c r="H1781" t="inlineStr">
        <is>
          <t>Banana streak OL virus</t>
        </is>
      </c>
      <c r="I1781" t="inlineStr">
        <is>
          <t>species</t>
        </is>
      </c>
      <c r="J1781" t="n">
        <v>20073388</v>
      </c>
      <c r="K1781" t="n">
        <v>20073388</v>
      </c>
      <c r="L1781" s="8">
        <f>HYPERLINK("https://test.ictv.global/id/TN20040837","TN20040837@TEST")</f>
        <v/>
      </c>
      <c r="M1781" s="8">
        <f>HYPERLINK("https://test.ictv.global/id/ICTV19911578","ICTV19911578@TEST")</f>
        <v/>
      </c>
      <c r="N1781" s="8">
        <f>HYPERLINK("https://ictv.global/id/TN20040837","TN20040837@prod")</f>
        <v/>
      </c>
      <c r="O1781" s="8">
        <f>HYPERLINK("https://ictv.global/id/ICTV19911578","ICTV19911578@prod")</f>
        <v/>
      </c>
    </row>
    <row r="1782">
      <c r="A1782" t="n">
        <v>22</v>
      </c>
      <c r="B1782" t="n">
        <v>20040845</v>
      </c>
      <c r="C1782" t="n">
        <v>19990719</v>
      </c>
      <c r="D1782" t="inlineStr">
        <is>
          <t>species</t>
        </is>
      </c>
      <c r="E1782" t="inlineStr">
        <is>
          <t>Pineapple bacilliform virus</t>
        </is>
      </c>
      <c r="G1782" t="inlineStr">
        <is>
          <t>Abolished,</t>
        </is>
      </c>
      <c r="L1782" s="8">
        <f>HYPERLINK("https://test.ictv.global/id/TN20040845","TN20040845@TEST")</f>
        <v/>
      </c>
      <c r="M1782" s="8">
        <f>HYPERLINK("https://test.ictv.global/id/ICTV19990719","ICTV19990719@TEST")</f>
        <v/>
      </c>
      <c r="N1782" s="8">
        <f>HYPERLINK("https://ictv.global/id/TN20040845","TN20040845@prod")</f>
        <v/>
      </c>
      <c r="O1782" s="8">
        <f>HYPERLINK("https://ictv.global/id/ICTV19990719","ICTV19990719@prod")</f>
        <v/>
      </c>
    </row>
    <row r="1783">
      <c r="A1783" t="n">
        <v>22</v>
      </c>
      <c r="B1783" t="n">
        <v>20040850</v>
      </c>
      <c r="C1783" t="n">
        <v>19911580</v>
      </c>
      <c r="D1783" t="inlineStr">
        <is>
          <t>species</t>
        </is>
      </c>
      <c r="E1783" t="inlineStr">
        <is>
          <t>Sugarcane bacilliform virus</t>
        </is>
      </c>
      <c r="G1783" t="inlineStr">
        <is>
          <t>Split,</t>
        </is>
      </c>
      <c r="H1783" t="inlineStr">
        <is>
          <t>Sugarcane bacilliform IM virus</t>
        </is>
      </c>
      <c r="I1783" t="inlineStr">
        <is>
          <t>species</t>
        </is>
      </c>
      <c r="J1783" t="n">
        <v>20073399</v>
      </c>
      <c r="K1783" t="n">
        <v>20073399</v>
      </c>
      <c r="L1783" s="8">
        <f>HYPERLINK("https://test.ictv.global/id/TN20040850","TN20040850@TEST")</f>
        <v/>
      </c>
      <c r="M1783" s="8">
        <f>HYPERLINK("https://test.ictv.global/id/ICTV19911580","ICTV19911580@TEST")</f>
        <v/>
      </c>
      <c r="N1783" s="8">
        <f>HYPERLINK("https://ictv.global/id/TN20040850","TN20040850@prod")</f>
        <v/>
      </c>
      <c r="O1783" s="8">
        <f>HYPERLINK("https://ictv.global/id/ICTV19911580","ICTV19911580@prod")</f>
        <v/>
      </c>
    </row>
    <row r="1784">
      <c r="A1784" t="n">
        <v>22</v>
      </c>
      <c r="B1784" t="n">
        <v>20040850</v>
      </c>
      <c r="C1784" t="n">
        <v>19911580</v>
      </c>
      <c r="D1784" t="inlineStr">
        <is>
          <t>species</t>
        </is>
      </c>
      <c r="E1784" t="inlineStr">
        <is>
          <t>Sugarcane bacilliform virus</t>
        </is>
      </c>
      <c r="G1784" t="inlineStr">
        <is>
          <t>Split,</t>
        </is>
      </c>
      <c r="H1784" t="inlineStr">
        <is>
          <t>Sugarcane bacilliform Mor virus</t>
        </is>
      </c>
      <c r="I1784" t="inlineStr">
        <is>
          <t>species</t>
        </is>
      </c>
      <c r="J1784" t="n">
        <v>20073400</v>
      </c>
      <c r="K1784" t="n">
        <v>20073400</v>
      </c>
      <c r="L1784" s="8">
        <f>HYPERLINK("https://test.ictv.global/id/TN20040850","TN20040850@TEST")</f>
        <v/>
      </c>
      <c r="M1784" s="8">
        <f>HYPERLINK("https://test.ictv.global/id/ICTV19911580","ICTV19911580@TEST")</f>
        <v/>
      </c>
      <c r="N1784" s="8">
        <f>HYPERLINK("https://ictv.global/id/TN20040850","TN20040850@prod")</f>
        <v/>
      </c>
      <c r="O1784" s="8">
        <f>HYPERLINK("https://ictv.global/id/ICTV19911580","ICTV19911580@prod")</f>
        <v/>
      </c>
    </row>
    <row r="1785">
      <c r="A1785" t="n">
        <v>22</v>
      </c>
      <c r="B1785" t="n">
        <v>20040917</v>
      </c>
      <c r="C1785" t="n">
        <v>20073469</v>
      </c>
      <c r="D1785" t="inlineStr">
        <is>
          <t>species</t>
        </is>
      </c>
      <c r="E1785" t="inlineStr">
        <is>
          <t>Broad bean wilt virus 2</t>
        </is>
      </c>
      <c r="F1785" t="inlineStr">
        <is>
          <t>RNA1: AF225953; RNA2: AF225954</t>
        </is>
      </c>
      <c r="G1785" t="inlineStr">
        <is>
          <t>Merged,</t>
        </is>
      </c>
      <c r="H1785" t="inlineStr">
        <is>
          <t>Broad bean wilt virus 2</t>
        </is>
      </c>
      <c r="I1785" t="inlineStr">
        <is>
          <t>species</t>
        </is>
      </c>
      <c r="J1785" t="n">
        <v>20073469</v>
      </c>
      <c r="K1785" t="n">
        <v>20073469</v>
      </c>
      <c r="L1785" s="8">
        <f>HYPERLINK("https://test.ictv.global/id/TN20040917","TN20040917@TEST")</f>
        <v/>
      </c>
      <c r="M1785" s="8">
        <f>HYPERLINK("https://test.ictv.global/id/ICTV20073469","ICTV20073469@TEST")</f>
        <v/>
      </c>
      <c r="N1785" s="8">
        <f>HYPERLINK("https://ictv.global/id/TN20040917","TN20040917@prod")</f>
        <v/>
      </c>
      <c r="O1785" s="8">
        <f>HYPERLINK("https://ictv.global/id/ICTV20073469","ICTV20073469@prod")</f>
        <v/>
      </c>
    </row>
    <row r="1786">
      <c r="A1786" t="n">
        <v>22</v>
      </c>
      <c r="B1786" t="n">
        <v>20040919</v>
      </c>
      <c r="C1786" t="n">
        <v>19981278</v>
      </c>
      <c r="D1786" t="inlineStr">
        <is>
          <t>species</t>
        </is>
      </c>
      <c r="E1786" t="inlineStr">
        <is>
          <t>Patchouli mild mosaic virus</t>
        </is>
      </c>
      <c r="G1786" t="inlineStr">
        <is>
          <t>Merged,</t>
        </is>
      </c>
      <c r="H1786" t="inlineStr">
        <is>
          <t>Broad bean wilt virus 2</t>
        </is>
      </c>
      <c r="I1786" t="inlineStr">
        <is>
          <t>species</t>
        </is>
      </c>
      <c r="J1786" t="n">
        <v>20073469</v>
      </c>
      <c r="K1786" t="n">
        <v>20073469</v>
      </c>
      <c r="L1786" s="8">
        <f>HYPERLINK("https://test.ictv.global/id/TN20040919","TN20040919@TEST")</f>
        <v/>
      </c>
      <c r="M1786" s="8">
        <f>HYPERLINK("https://test.ictv.global/id/ICTV19981278","ICTV19981278@TEST")</f>
        <v/>
      </c>
      <c r="N1786" s="8">
        <f>HYPERLINK("https://ictv.global/id/TN20040919","TN20040919@prod")</f>
        <v/>
      </c>
      <c r="O1786" s="8">
        <f>HYPERLINK("https://ictv.global/id/ICTV19981278","ICTV19981278@prod")</f>
        <v/>
      </c>
    </row>
    <row r="1787">
      <c r="A1787" t="n">
        <v>22</v>
      </c>
      <c r="B1787" t="n">
        <v>20041021</v>
      </c>
      <c r="C1787" t="n">
        <v>19990868</v>
      </c>
      <c r="D1787" t="inlineStr">
        <is>
          <t>species</t>
        </is>
      </c>
      <c r="E1787" t="inlineStr">
        <is>
          <t>GB virus A</t>
        </is>
      </c>
      <c r="G1787" t="inlineStr">
        <is>
          <t>Abolished,</t>
        </is>
      </c>
      <c r="L1787" s="8">
        <f>HYPERLINK("https://test.ictv.global/id/TN20041021","TN20041021@TEST")</f>
        <v/>
      </c>
      <c r="M1787" s="8">
        <f>HYPERLINK("https://test.ictv.global/id/ICTV19990868","ICTV19990868@TEST")</f>
        <v/>
      </c>
      <c r="N1787" s="8">
        <f>HYPERLINK("https://ictv.global/id/TN20041021","TN20041021@prod")</f>
        <v/>
      </c>
      <c r="O1787" s="8">
        <f>HYPERLINK("https://ictv.global/id/ICTV19990868","ICTV19990868@prod")</f>
        <v/>
      </c>
    </row>
    <row r="1788">
      <c r="A1788" t="n">
        <v>22</v>
      </c>
      <c r="B1788" t="n">
        <v>20041022</v>
      </c>
      <c r="C1788" t="n">
        <v>19990869</v>
      </c>
      <c r="D1788" t="inlineStr">
        <is>
          <t>species</t>
        </is>
      </c>
      <c r="E1788" t="inlineStr">
        <is>
          <t>GB virus B</t>
        </is>
      </c>
      <c r="G1788" t="inlineStr">
        <is>
          <t>Abolished,</t>
        </is>
      </c>
      <c r="L1788" s="8">
        <f>HYPERLINK("https://test.ictv.global/id/TN20041022","TN20041022@TEST")</f>
        <v/>
      </c>
      <c r="M1788" s="8">
        <f>HYPERLINK("https://test.ictv.global/id/ICTV19990869","ICTV19990869@TEST")</f>
        <v/>
      </c>
      <c r="N1788" s="8">
        <f>HYPERLINK("https://ictv.global/id/TN20041022","TN20041022@prod")</f>
        <v/>
      </c>
      <c r="O1788" s="8">
        <f>HYPERLINK("https://ictv.global/id/ICTV19990869","ICTV19990869@prod")</f>
        <v/>
      </c>
    </row>
    <row r="1789">
      <c r="A1789" t="n">
        <v>22</v>
      </c>
      <c r="B1789" t="n">
        <v>20041023</v>
      </c>
      <c r="C1789" t="n">
        <v>19990870</v>
      </c>
      <c r="D1789" t="inlineStr">
        <is>
          <t>species</t>
        </is>
      </c>
      <c r="E1789" t="inlineStr">
        <is>
          <t>GB virus C/Hepatitis G virus</t>
        </is>
      </c>
      <c r="G1789" t="inlineStr">
        <is>
          <t>Abolished,</t>
        </is>
      </c>
      <c r="L1789" s="8">
        <f>HYPERLINK("https://test.ictv.global/id/TN20041023","TN20041023@TEST")</f>
        <v/>
      </c>
      <c r="M1789" s="8">
        <f>HYPERLINK("https://test.ictv.global/id/ICTV19990870","ICTV19990870@TEST")</f>
        <v/>
      </c>
      <c r="N1789" s="8">
        <f>HYPERLINK("https://ictv.global/id/TN20041023","TN20041023@prod")</f>
        <v/>
      </c>
      <c r="O1789" s="8">
        <f>HYPERLINK("https://ictv.global/id/ICTV19990870","ICTV19990870@prod")</f>
        <v/>
      </c>
    </row>
    <row r="1790">
      <c r="A1790" t="n">
        <v>22</v>
      </c>
      <c r="B1790" t="n">
        <v>20041139</v>
      </c>
      <c r="C1790" t="n">
        <v>20041139</v>
      </c>
      <c r="D1790" t="inlineStr">
        <is>
          <t>species</t>
        </is>
      </c>
      <c r="E1790" t="inlineStr">
        <is>
          <t>Eupatorium leaf curl virus</t>
        </is>
      </c>
      <c r="G1790" t="inlineStr">
        <is>
          <t>Abolished,</t>
        </is>
      </c>
      <c r="L1790" s="8">
        <f>HYPERLINK("https://test.ictv.global/id/TN20041139","TN20041139@TEST")</f>
        <v/>
      </c>
      <c r="M1790" s="8">
        <f>HYPERLINK("https://test.ictv.global/id/ICTV20041139","ICTV20041139@TEST")</f>
        <v/>
      </c>
      <c r="N1790" s="8">
        <f>HYPERLINK("https://ictv.global/id/TN20041139","TN20041139@prod")</f>
        <v/>
      </c>
      <c r="O1790" s="8">
        <f>HYPERLINK("https://ictv.global/id/ICTV20041139","ICTV20041139@prod")</f>
        <v/>
      </c>
    </row>
    <row r="1791">
      <c r="A1791" t="n">
        <v>22</v>
      </c>
      <c r="B1791" t="n">
        <v>20041164</v>
      </c>
      <c r="C1791" t="n">
        <v>19911653</v>
      </c>
      <c r="D1791" t="inlineStr">
        <is>
          <t>species</t>
        </is>
      </c>
      <c r="E1791" t="inlineStr">
        <is>
          <t>Rhynchosia mosaic virus</t>
        </is>
      </c>
      <c r="G1791" t="inlineStr">
        <is>
          <t>Abolished,</t>
        </is>
      </c>
      <c r="L1791" s="8">
        <f>HYPERLINK("https://test.ictv.global/id/TN20041164","TN20041164@TEST")</f>
        <v/>
      </c>
      <c r="M1791" s="8">
        <f>HYPERLINK("https://test.ictv.global/id/ICTV19911653","ICTV19911653@TEST")</f>
        <v/>
      </c>
      <c r="N1791" s="8">
        <f>HYPERLINK("https://ictv.global/id/TN20041164","TN20041164@prod")</f>
        <v/>
      </c>
      <c r="O1791" s="8">
        <f>HYPERLINK("https://ictv.global/id/ICTV19911653","ICTV19911653@prod")</f>
        <v/>
      </c>
    </row>
    <row r="1792">
      <c r="A1792" t="n">
        <v>22</v>
      </c>
      <c r="B1792" t="n">
        <v>20041174</v>
      </c>
      <c r="C1792" t="n">
        <v>19981416</v>
      </c>
      <c r="D1792" t="inlineStr">
        <is>
          <t>species</t>
        </is>
      </c>
      <c r="E1792" t="inlineStr">
        <is>
          <t>Sinaloa tomato leaf curl virus</t>
        </is>
      </c>
      <c r="G1792" t="inlineStr">
        <is>
          <t>Abolished,</t>
        </is>
      </c>
      <c r="L1792" s="8">
        <f>HYPERLINK("https://test.ictv.global/id/TN20041174","TN20041174@TEST")</f>
        <v/>
      </c>
      <c r="M1792" s="8">
        <f>HYPERLINK("https://test.ictv.global/id/ICTV19981416","ICTV19981416@TEST")</f>
        <v/>
      </c>
      <c r="N1792" s="8">
        <f>HYPERLINK("https://ictv.global/id/TN20041174","TN20041174@prod")</f>
        <v/>
      </c>
      <c r="O1792" s="8">
        <f>HYPERLINK("https://ictv.global/id/ICTV19981416","ICTV19981416@prod")</f>
        <v/>
      </c>
    </row>
    <row r="1793">
      <c r="A1793" t="n">
        <v>22</v>
      </c>
      <c r="B1793" t="n">
        <v>20041175</v>
      </c>
      <c r="C1793" t="n">
        <v>19981417</v>
      </c>
      <c r="D1793" t="inlineStr">
        <is>
          <t>species</t>
        </is>
      </c>
      <c r="E1793" t="inlineStr">
        <is>
          <t>Solanum tomato leaf curl virus</t>
        </is>
      </c>
      <c r="G1793" t="inlineStr">
        <is>
          <t>Abolished,</t>
        </is>
      </c>
      <c r="L1793" s="8">
        <f>HYPERLINK("https://test.ictv.global/id/TN20041175","TN20041175@TEST")</f>
        <v/>
      </c>
      <c r="M1793" s="8">
        <f>HYPERLINK("https://test.ictv.global/id/ICTV19981417","ICTV19981417@TEST")</f>
        <v/>
      </c>
      <c r="N1793" s="8">
        <f>HYPERLINK("https://ictv.global/id/TN20041175","TN20041175@prod")</f>
        <v/>
      </c>
      <c r="O1793" s="8">
        <f>HYPERLINK("https://ictv.global/id/ICTV19981417","ICTV19981417@prod")</f>
        <v/>
      </c>
    </row>
    <row r="1794">
      <c r="A1794" t="n">
        <v>22</v>
      </c>
      <c r="B1794" t="n">
        <v>20041190</v>
      </c>
      <c r="C1794" t="n">
        <v>19871308</v>
      </c>
      <c r="D1794" t="inlineStr">
        <is>
          <t>species</t>
        </is>
      </c>
      <c r="E1794" t="inlineStr">
        <is>
          <t>Tobacco leaf curl virus</t>
        </is>
      </c>
      <c r="G1794" t="inlineStr">
        <is>
          <t>Abolished,</t>
        </is>
      </c>
      <c r="L1794" s="8">
        <f>HYPERLINK("https://test.ictv.global/id/TN20041190","TN20041190@TEST")</f>
        <v/>
      </c>
      <c r="M1794" s="8">
        <f>HYPERLINK("https://test.ictv.global/id/ICTV19871308","ICTV19871308@TEST")</f>
        <v/>
      </c>
      <c r="N1794" s="8">
        <f>HYPERLINK("https://ictv.global/id/TN20041190","TN20041190@prod")</f>
        <v/>
      </c>
      <c r="O1794" s="8">
        <f>HYPERLINK("https://ictv.global/id/ICTV19871308","ICTV19871308@prod")</f>
        <v/>
      </c>
    </row>
    <row r="1795">
      <c r="A1795" t="n">
        <v>22</v>
      </c>
      <c r="B1795" t="n">
        <v>20041214</v>
      </c>
      <c r="C1795" t="n">
        <v>20041214</v>
      </c>
      <c r="D1795" t="inlineStr">
        <is>
          <t>species</t>
        </is>
      </c>
      <c r="E1795" t="inlineStr">
        <is>
          <t>Tomato yellow leaf curl Gezira virus</t>
        </is>
      </c>
      <c r="G1795" t="inlineStr">
        <is>
          <t>Merged,</t>
        </is>
      </c>
      <c r="H1795" t="inlineStr">
        <is>
          <t>Tomato yellow leaf curl virus</t>
        </is>
      </c>
      <c r="I1795" t="inlineStr">
        <is>
          <t>species</t>
        </is>
      </c>
      <c r="J1795" t="n">
        <v>20073780</v>
      </c>
      <c r="K1795" t="n">
        <v>20073780</v>
      </c>
      <c r="L1795" s="8">
        <f>HYPERLINK("https://test.ictv.global/id/TN20041214","TN20041214@TEST")</f>
        <v/>
      </c>
      <c r="M1795" s="8">
        <f>HYPERLINK("https://test.ictv.global/id/ICTV20041214","ICTV20041214@TEST")</f>
        <v/>
      </c>
      <c r="N1795" s="8">
        <f>HYPERLINK("https://ictv.global/id/TN20041214","TN20041214@prod")</f>
        <v/>
      </c>
      <c r="O1795" s="8">
        <f>HYPERLINK("https://ictv.global/id/ICTV20041214","ICTV20041214@prod")</f>
        <v/>
      </c>
    </row>
    <row r="1796">
      <c r="A1796" t="n">
        <v>22</v>
      </c>
      <c r="B1796" t="n">
        <v>20041216</v>
      </c>
      <c r="C1796" t="n">
        <v>19911660</v>
      </c>
      <c r="D1796" t="inlineStr">
        <is>
          <t>species</t>
        </is>
      </c>
      <c r="E1796" t="inlineStr">
        <is>
          <t>Tomato yellow leaf curl virus-Israel</t>
        </is>
      </c>
      <c r="G1796" t="inlineStr">
        <is>
          <t>Merged,</t>
        </is>
      </c>
      <c r="H1796" t="inlineStr">
        <is>
          <t>Tomato yellow leaf curl virus</t>
        </is>
      </c>
      <c r="I1796" t="inlineStr">
        <is>
          <t>species</t>
        </is>
      </c>
      <c r="J1796" t="n">
        <v>20073780</v>
      </c>
      <c r="K1796" t="n">
        <v>20073780</v>
      </c>
      <c r="L1796" s="8">
        <f>HYPERLINK("https://test.ictv.global/id/TN20041216","TN20041216@TEST")</f>
        <v/>
      </c>
      <c r="M1796" s="8">
        <f>HYPERLINK("https://test.ictv.global/id/ICTV19911660","ICTV19911660@TEST")</f>
        <v/>
      </c>
      <c r="N1796" s="8">
        <f>HYPERLINK("https://ictv.global/id/TN20041216","TN20041216@prod")</f>
        <v/>
      </c>
      <c r="O1796" s="8">
        <f>HYPERLINK("https://ictv.global/id/ICTV19911660","ICTV19911660@prod")</f>
        <v/>
      </c>
    </row>
    <row r="1797">
      <c r="A1797" t="n">
        <v>22</v>
      </c>
      <c r="B1797" t="n">
        <v>20041225</v>
      </c>
      <c r="C1797" t="n">
        <v>19950946</v>
      </c>
      <c r="D1797" t="inlineStr">
        <is>
          <t>species</t>
        </is>
      </c>
      <c r="E1797" t="inlineStr">
        <is>
          <t>Bromus striate mosaic virus</t>
        </is>
      </c>
      <c r="G1797" t="inlineStr">
        <is>
          <t>Abolished,</t>
        </is>
      </c>
      <c r="L1797" s="8">
        <f>HYPERLINK("https://test.ictv.global/id/TN20041225","TN20041225@TEST")</f>
        <v/>
      </c>
      <c r="M1797" s="8">
        <f>HYPERLINK("https://test.ictv.global/id/ICTV19950946","ICTV19950946@TEST")</f>
        <v/>
      </c>
      <c r="N1797" s="8">
        <f>HYPERLINK("https://ictv.global/id/TN20041225","TN20041225@prod")</f>
        <v/>
      </c>
      <c r="O1797" s="8">
        <f>HYPERLINK("https://ictv.global/id/ICTV19950946","ICTV19950946@prod")</f>
        <v/>
      </c>
    </row>
    <row r="1798">
      <c r="A1798" t="n">
        <v>22</v>
      </c>
      <c r="B1798" t="n">
        <v>20041228</v>
      </c>
      <c r="C1798" t="n">
        <v>19950949</v>
      </c>
      <c r="D1798" t="inlineStr">
        <is>
          <t>species</t>
        </is>
      </c>
      <c r="E1798" t="inlineStr">
        <is>
          <t>Digitaria striate mosaic virus</t>
        </is>
      </c>
      <c r="G1798" t="inlineStr">
        <is>
          <t>Abolished,</t>
        </is>
      </c>
      <c r="L1798" s="8">
        <f>HYPERLINK("https://test.ictv.global/id/TN20041228","TN20041228@TEST")</f>
        <v/>
      </c>
      <c r="M1798" s="8">
        <f>HYPERLINK("https://test.ictv.global/id/ICTV19950949","ICTV19950949@TEST")</f>
        <v/>
      </c>
      <c r="N1798" s="8">
        <f>HYPERLINK("https://ictv.global/id/TN20041228","TN20041228@prod")</f>
        <v/>
      </c>
      <c r="O1798" s="8">
        <f>HYPERLINK("https://ictv.global/id/ICTV19950949","ICTV19950949@prod")</f>
        <v/>
      </c>
    </row>
    <row r="1799">
      <c r="A1799" t="n">
        <v>22</v>
      </c>
      <c r="B1799" t="n">
        <v>20041232</v>
      </c>
      <c r="C1799" t="n">
        <v>19950953</v>
      </c>
      <c r="D1799" t="inlineStr">
        <is>
          <t>species</t>
        </is>
      </c>
      <c r="E1799" t="inlineStr">
        <is>
          <t>Paspalum striate mosaic virus</t>
        </is>
      </c>
      <c r="F1799" t="inlineStr"/>
      <c r="G1799" t="inlineStr">
        <is>
          <t>Abolished,</t>
        </is>
      </c>
      <c r="L1799" s="8">
        <f>HYPERLINK("https://test.ictv.global/id/TN20041232","TN20041232@TEST")</f>
        <v/>
      </c>
      <c r="M1799" s="8">
        <f>HYPERLINK("https://test.ictv.global/id/ICTV19950953","ICTV19950953@TEST")</f>
        <v/>
      </c>
      <c r="N1799" s="8">
        <f>HYPERLINK("https://ictv.global/id/TN20041232","TN20041232@prod")</f>
        <v/>
      </c>
      <c r="O1799" s="8">
        <f>HYPERLINK("https://ictv.global/id/ICTV19950953","ICTV19950953@prod")</f>
        <v/>
      </c>
    </row>
    <row r="1800">
      <c r="A1800" t="n">
        <v>22</v>
      </c>
      <c r="B1800" t="n">
        <v>20041364</v>
      </c>
      <c r="C1800" t="n">
        <v>19951239</v>
      </c>
      <c r="D1800" t="inlineStr">
        <is>
          <t>species</t>
        </is>
      </c>
      <c r="E1800" t="inlineStr">
        <is>
          <t>Thermoproteus virus 2</t>
        </is>
      </c>
      <c r="G1800" t="inlineStr">
        <is>
          <t>Abolished,</t>
        </is>
      </c>
      <c r="L1800" s="8">
        <f>HYPERLINK("https://test.ictv.global/id/TN20041364","TN20041364@TEST")</f>
        <v/>
      </c>
      <c r="M1800" s="8">
        <f>HYPERLINK("https://test.ictv.global/id/ICTV19951239","ICTV19951239@TEST")</f>
        <v/>
      </c>
      <c r="N1800" s="8">
        <f>HYPERLINK("https://ictv.global/id/TN20041364","TN20041364@prod")</f>
        <v/>
      </c>
      <c r="O1800" s="8">
        <f>HYPERLINK("https://ictv.global/id/ICTV19951239","ICTV19951239@prod")</f>
        <v/>
      </c>
    </row>
    <row r="1801">
      <c r="A1801" t="n">
        <v>22</v>
      </c>
      <c r="B1801" t="n">
        <v>20041537</v>
      </c>
      <c r="C1801" t="n">
        <v>19710233</v>
      </c>
      <c r="D1801" t="inlineStr">
        <is>
          <t>species</t>
        </is>
      </c>
      <c r="E1801" t="inlineStr">
        <is>
          <t>Adeno-associated virus 1</t>
        </is>
      </c>
      <c r="G1801" t="inlineStr">
        <is>
          <t>Merged,</t>
        </is>
      </c>
      <c r="H1801" t="inlineStr">
        <is>
          <t>Adeno-associated virus-1</t>
        </is>
      </c>
      <c r="I1801" t="inlineStr">
        <is>
          <t>species</t>
        </is>
      </c>
      <c r="J1801" t="n">
        <v>20074128</v>
      </c>
      <c r="K1801" t="n">
        <v>20074128</v>
      </c>
      <c r="L1801" s="8">
        <f>HYPERLINK("https://test.ictv.global/id/TN20041537","TN20041537@TEST")</f>
        <v/>
      </c>
      <c r="M1801" s="8">
        <f>HYPERLINK("https://test.ictv.global/id/ICTV19710233","ICTV19710233@TEST")</f>
        <v/>
      </c>
      <c r="N1801" s="8">
        <f>HYPERLINK("https://ictv.global/id/TN20041537","TN20041537@prod")</f>
        <v/>
      </c>
      <c r="O1801" s="8">
        <f>HYPERLINK("https://ictv.global/id/ICTV19710233","ICTV19710233@prod")</f>
        <v/>
      </c>
    </row>
    <row r="1802">
      <c r="A1802" t="n">
        <v>22</v>
      </c>
      <c r="B1802" t="n">
        <v>20041542</v>
      </c>
      <c r="C1802" t="n">
        <v>19991186</v>
      </c>
      <c r="D1802" t="inlineStr">
        <is>
          <t>species</t>
        </is>
      </c>
      <c r="E1802" t="inlineStr">
        <is>
          <t>Adeno-associated virus 6</t>
        </is>
      </c>
      <c r="G1802" t="inlineStr">
        <is>
          <t>Merged,</t>
        </is>
      </c>
      <c r="H1802" t="inlineStr">
        <is>
          <t>Adeno-associated virus-1</t>
        </is>
      </c>
      <c r="I1802" t="inlineStr">
        <is>
          <t>species</t>
        </is>
      </c>
      <c r="J1802" t="n">
        <v>20074128</v>
      </c>
      <c r="K1802" t="n">
        <v>20074128</v>
      </c>
      <c r="L1802" s="8">
        <f>HYPERLINK("https://test.ictv.global/id/TN20041542","TN20041542@TEST")</f>
        <v/>
      </c>
      <c r="M1802" s="8">
        <f>HYPERLINK("https://test.ictv.global/id/ICTV19991186","ICTV19991186@TEST")</f>
        <v/>
      </c>
      <c r="N1802" s="8">
        <f>HYPERLINK("https://ictv.global/id/TN20041542","TN20041542@prod")</f>
        <v/>
      </c>
      <c r="O1802" s="8">
        <f>HYPERLINK("https://ictv.global/id/ICTV19991186","ICTV19991186@prod")</f>
        <v/>
      </c>
    </row>
    <row r="1803">
      <c r="A1803" t="n">
        <v>22</v>
      </c>
      <c r="B1803" t="n">
        <v>20041799</v>
      </c>
      <c r="C1803" t="n">
        <v>20074395</v>
      </c>
      <c r="D1803" t="inlineStr">
        <is>
          <t>species</t>
        </is>
      </c>
      <c r="E1803" t="inlineStr">
        <is>
          <t>Potato virus A</t>
        </is>
      </c>
      <c r="F1803" t="inlineStr">
        <is>
          <t>AF543212</t>
        </is>
      </c>
      <c r="G1803" t="inlineStr">
        <is>
          <t>Merged,</t>
        </is>
      </c>
      <c r="H1803" t="inlineStr">
        <is>
          <t>Potato virus A</t>
        </is>
      </c>
      <c r="I1803" t="inlineStr">
        <is>
          <t>species</t>
        </is>
      </c>
      <c r="J1803" t="n">
        <v>20074395</v>
      </c>
      <c r="K1803" t="n">
        <v>20074395</v>
      </c>
      <c r="L1803" s="8">
        <f>HYPERLINK("https://test.ictv.global/id/TN20041799","TN20041799@TEST")</f>
        <v/>
      </c>
      <c r="M1803" s="8">
        <f>HYPERLINK("https://test.ictv.global/id/ICTV20074395","ICTV20074395@TEST")</f>
        <v/>
      </c>
      <c r="N1803" s="8">
        <f>HYPERLINK("https://ictv.global/id/TN20041799","TN20041799@prod")</f>
        <v/>
      </c>
      <c r="O1803" s="8">
        <f>HYPERLINK("https://ictv.global/id/ICTV20074395","ICTV20074395@prod")</f>
        <v/>
      </c>
    </row>
    <row r="1804">
      <c r="A1804" t="n">
        <v>22</v>
      </c>
      <c r="B1804" t="n">
        <v>20041813</v>
      </c>
      <c r="C1804" t="n">
        <v>19821330</v>
      </c>
      <c r="D1804" t="inlineStr">
        <is>
          <t>species</t>
        </is>
      </c>
      <c r="E1804" t="inlineStr">
        <is>
          <t>Tamarillo mosaic virus</t>
        </is>
      </c>
      <c r="G1804" t="inlineStr">
        <is>
          <t>Merged,</t>
        </is>
      </c>
      <c r="H1804" t="inlineStr">
        <is>
          <t>Potato virus A</t>
        </is>
      </c>
      <c r="I1804" t="inlineStr">
        <is>
          <t>species</t>
        </is>
      </c>
      <c r="J1804" t="n">
        <v>20074395</v>
      </c>
      <c r="K1804" t="n">
        <v>20074395</v>
      </c>
      <c r="L1804" s="8">
        <f>HYPERLINK("https://test.ictv.global/id/TN20041813","TN20041813@TEST")</f>
        <v/>
      </c>
      <c r="M1804" s="8">
        <f>HYPERLINK("https://test.ictv.global/id/ICTV19821330","ICTV19821330@TEST")</f>
        <v/>
      </c>
      <c r="N1804" s="8">
        <f>HYPERLINK("https://ictv.global/id/TN20041813","TN20041813@prod")</f>
        <v/>
      </c>
      <c r="O1804" s="8">
        <f>HYPERLINK("https://ictv.global/id/ICTV19821330","ICTV19821330@prod")</f>
        <v/>
      </c>
    </row>
    <row r="1805">
      <c r="A1805" t="n">
        <v>22</v>
      </c>
      <c r="B1805" t="n">
        <v>20042051</v>
      </c>
      <c r="C1805" t="n">
        <v>20074654</v>
      </c>
      <c r="D1805" t="inlineStr">
        <is>
          <t>species</t>
        </is>
      </c>
      <c r="E1805" t="inlineStr">
        <is>
          <t>Feline immunodeficiency virus</t>
        </is>
      </c>
      <c r="F1805" t="inlineStr"/>
      <c r="G1805" t="inlineStr">
        <is>
          <t>Merged,</t>
        </is>
      </c>
      <c r="H1805" t="inlineStr">
        <is>
          <t>Feline immunodeficiency virus</t>
        </is>
      </c>
      <c r="I1805" t="inlineStr">
        <is>
          <t>species</t>
        </is>
      </c>
      <c r="J1805" t="n">
        <v>20074654</v>
      </c>
      <c r="K1805" t="n">
        <v>20074654</v>
      </c>
      <c r="L1805" s="8">
        <f>HYPERLINK("https://test.ictv.global/id/TN20042051","TN20042051@TEST")</f>
        <v/>
      </c>
      <c r="M1805" s="8">
        <f>HYPERLINK("https://test.ictv.global/id/ICTV20074654","ICTV20074654@TEST")</f>
        <v/>
      </c>
      <c r="N1805" s="8">
        <f>HYPERLINK("https://ictv.global/id/TN20042051","TN20042051@prod")</f>
        <v/>
      </c>
      <c r="O1805" s="8">
        <f>HYPERLINK("https://ictv.global/id/ICTV20074654","ICTV20074654@prod")</f>
        <v/>
      </c>
    </row>
    <row r="1806">
      <c r="A1806" t="n">
        <v>22</v>
      </c>
      <c r="B1806" t="n">
        <v>20042052</v>
      </c>
      <c r="C1806" t="n">
        <v>19991641</v>
      </c>
      <c r="D1806" t="inlineStr">
        <is>
          <t>species</t>
        </is>
      </c>
      <c r="E1806" t="inlineStr">
        <is>
          <t>Feline immunodeficiency virus (Oma)</t>
        </is>
      </c>
      <c r="G1806" t="inlineStr">
        <is>
          <t>Merged,</t>
        </is>
      </c>
      <c r="H1806" t="inlineStr">
        <is>
          <t>Feline immunodeficiency virus</t>
        </is>
      </c>
      <c r="I1806" t="inlineStr">
        <is>
          <t>species</t>
        </is>
      </c>
      <c r="J1806" t="n">
        <v>20074654</v>
      </c>
      <c r="K1806" t="n">
        <v>20074654</v>
      </c>
      <c r="L1806" s="8">
        <f>HYPERLINK("https://test.ictv.global/id/TN20042052","TN20042052@TEST")</f>
        <v/>
      </c>
      <c r="M1806" s="8">
        <f>HYPERLINK("https://test.ictv.global/id/ICTV19991641","ICTV19991641@TEST")</f>
        <v/>
      </c>
      <c r="N1806" s="8">
        <f>HYPERLINK("https://ictv.global/id/TN20042052","TN20042052@prod")</f>
        <v/>
      </c>
      <c r="O1806" s="8">
        <f>HYPERLINK("https://ictv.global/id/ICTV19991641","ICTV19991641@prod")</f>
        <v/>
      </c>
    </row>
    <row r="1807">
      <c r="A1807" t="n">
        <v>22</v>
      </c>
      <c r="B1807" t="n">
        <v>20042123</v>
      </c>
      <c r="C1807" t="n">
        <v>20042123</v>
      </c>
      <c r="D1807" t="inlineStr">
        <is>
          <t>species</t>
        </is>
      </c>
      <c r="E1807" t="inlineStr">
        <is>
          <t>Pea stem necrosis virus</t>
        </is>
      </c>
      <c r="F1807" t="inlineStr">
        <is>
          <t>AB086951</t>
        </is>
      </c>
      <c r="G1807" t="inlineStr">
        <is>
          <t>Abolished,</t>
        </is>
      </c>
      <c r="L1807" s="8">
        <f>HYPERLINK("https://test.ictv.global/id/TN20042123","TN20042123@TEST")</f>
        <v/>
      </c>
      <c r="M1807" s="8">
        <f>HYPERLINK("https://test.ictv.global/id/ICTV20042123","ICTV20042123@TEST")</f>
        <v/>
      </c>
      <c r="N1807" s="8">
        <f>HYPERLINK("https://ictv.global/id/TN20042123","TN20042123@prod")</f>
        <v/>
      </c>
      <c r="O1807" s="8">
        <f>HYPERLINK("https://ictv.global/id/ICTV20042123","ICTV20042123@prod")</f>
        <v/>
      </c>
    </row>
    <row r="1808">
      <c r="A1808" t="n">
        <v>22</v>
      </c>
      <c r="B1808" t="n">
        <v>20042198</v>
      </c>
      <c r="C1808" t="n">
        <v>20042198</v>
      </c>
      <c r="D1808" t="inlineStr">
        <is>
          <t>species</t>
        </is>
      </c>
      <c r="E1808" t="inlineStr">
        <is>
          <t>Poinsettia mosaic virus</t>
        </is>
      </c>
      <c r="F1808" t="inlineStr"/>
      <c r="G1808" t="inlineStr">
        <is>
          <t>Abolished,</t>
        </is>
      </c>
      <c r="L1808" s="8">
        <f>HYPERLINK("https://test.ictv.global/id/TN20042198","TN20042198@TEST")</f>
        <v/>
      </c>
      <c r="M1808" s="8">
        <f>HYPERLINK("https://test.ictv.global/id/ICTV20042198","ICTV20042198@TEST")</f>
        <v/>
      </c>
      <c r="N1808" s="8">
        <f>HYPERLINK("https://ictv.global/id/TN20042198","TN20042198@prod")</f>
        <v/>
      </c>
      <c r="O1808" s="8">
        <f>HYPERLINK("https://ictv.global/id/ICTV20042198","ICTV20042198@prod")</f>
        <v/>
      </c>
    </row>
    <row r="1809">
      <c r="A1809" t="n">
        <v>23</v>
      </c>
      <c r="B1809" t="n">
        <v>20071050</v>
      </c>
      <c r="C1809" t="n">
        <v>19930121</v>
      </c>
      <c r="D1809" t="inlineStr">
        <is>
          <t>genus</t>
        </is>
      </c>
      <c r="E1809" t="inlineStr">
        <is>
          <t>Nucleopolyhedrovirus</t>
        </is>
      </c>
      <c r="G1809" t="inlineStr">
        <is>
          <t>Split,</t>
        </is>
      </c>
      <c r="H1809" t="inlineStr">
        <is>
          <t>Alphabaculovirus</t>
        </is>
      </c>
      <c r="I1809" t="inlineStr">
        <is>
          <t>genus</t>
        </is>
      </c>
      <c r="J1809" t="n">
        <v>20081089</v>
      </c>
      <c r="K1809" t="n">
        <v>20081089</v>
      </c>
      <c r="L1809" s="8">
        <f>HYPERLINK("https://test.ictv.global/id/TN20071050","TN20071050@TEST")</f>
        <v/>
      </c>
      <c r="M1809" s="8">
        <f>HYPERLINK("https://test.ictv.global/id/ICTV19930121","ICTV19930121@TEST")</f>
        <v/>
      </c>
      <c r="N1809" s="8">
        <f>HYPERLINK("https://ictv.global/id/TN20071050","TN20071050@prod")</f>
        <v/>
      </c>
      <c r="O1809" s="8">
        <f>HYPERLINK("https://ictv.global/id/ICTV19930121","ICTV19930121@prod")</f>
        <v/>
      </c>
    </row>
    <row r="1810">
      <c r="A1810" t="n">
        <v>23</v>
      </c>
      <c r="B1810" t="n">
        <v>20071050</v>
      </c>
      <c r="C1810" t="n">
        <v>19930121</v>
      </c>
      <c r="D1810" t="inlineStr">
        <is>
          <t>genus</t>
        </is>
      </c>
      <c r="E1810" t="inlineStr">
        <is>
          <t>Nucleopolyhedrovirus</t>
        </is>
      </c>
      <c r="G1810" t="inlineStr">
        <is>
          <t>Split,</t>
        </is>
      </c>
      <c r="H1810" t="inlineStr">
        <is>
          <t>Deltabaculovirus</t>
        </is>
      </c>
      <c r="I1810" t="inlineStr">
        <is>
          <t>genus</t>
        </is>
      </c>
      <c r="J1810" t="n">
        <v>20081091</v>
      </c>
      <c r="K1810" t="n">
        <v>20081091</v>
      </c>
      <c r="L1810" s="8">
        <f>HYPERLINK("https://test.ictv.global/id/TN20071050","TN20071050@TEST")</f>
        <v/>
      </c>
      <c r="M1810" s="8">
        <f>HYPERLINK("https://test.ictv.global/id/ICTV19930121","ICTV19930121@TEST")</f>
        <v/>
      </c>
      <c r="N1810" s="8">
        <f>HYPERLINK("https://ictv.global/id/TN20071050","TN20071050@prod")</f>
        <v/>
      </c>
      <c r="O1810" s="8">
        <f>HYPERLINK("https://ictv.global/id/ICTV19930121","ICTV19930121@prod")</f>
        <v/>
      </c>
    </row>
    <row r="1811">
      <c r="A1811" t="n">
        <v>23</v>
      </c>
      <c r="B1811" t="n">
        <v>20071050</v>
      </c>
      <c r="C1811" t="n">
        <v>19930121</v>
      </c>
      <c r="D1811" t="inlineStr">
        <is>
          <t>genus</t>
        </is>
      </c>
      <c r="E1811" t="inlineStr">
        <is>
          <t>Nucleopolyhedrovirus</t>
        </is>
      </c>
      <c r="G1811" t="inlineStr">
        <is>
          <t>Split,</t>
        </is>
      </c>
      <c r="H1811" t="inlineStr">
        <is>
          <t>Gammabaculovirus</t>
        </is>
      </c>
      <c r="I1811" t="inlineStr">
        <is>
          <t>genus</t>
        </is>
      </c>
      <c r="J1811" t="n">
        <v>20081092</v>
      </c>
      <c r="K1811" t="n">
        <v>20081092</v>
      </c>
      <c r="L1811" s="8">
        <f>HYPERLINK("https://test.ictv.global/id/TN20071050","TN20071050@TEST")</f>
        <v/>
      </c>
      <c r="M1811" s="8">
        <f>HYPERLINK("https://test.ictv.global/id/ICTV19930121","ICTV19930121@TEST")</f>
        <v/>
      </c>
      <c r="N1811" s="8">
        <f>HYPERLINK("https://ictv.global/id/TN20071050","TN20071050@prod")</f>
        <v/>
      </c>
      <c r="O1811" s="8">
        <f>HYPERLINK("https://ictv.global/id/ICTV19930121","ICTV19930121@prod")</f>
        <v/>
      </c>
    </row>
    <row r="1812">
      <c r="A1812" t="n">
        <v>23</v>
      </c>
      <c r="B1812" t="n">
        <v>20071202</v>
      </c>
      <c r="C1812" t="n">
        <v>19710012</v>
      </c>
      <c r="D1812" t="inlineStr">
        <is>
          <t>genus</t>
        </is>
      </c>
      <c r="E1812" t="inlineStr">
        <is>
          <t>Rhinovirus</t>
        </is>
      </c>
      <c r="G1812" t="inlineStr">
        <is>
          <t>Abolished,</t>
        </is>
      </c>
      <c r="L1812" s="8">
        <f>HYPERLINK("https://test.ictv.global/id/TN20071202","TN20071202@TEST")</f>
        <v/>
      </c>
      <c r="M1812" s="8">
        <f>HYPERLINK("https://test.ictv.global/id/ICTV19710012","ICTV19710012@TEST")</f>
        <v/>
      </c>
      <c r="N1812" s="8">
        <f>HYPERLINK("https://ictv.global/id/TN20071202","TN20071202@prod")</f>
        <v/>
      </c>
      <c r="O1812" s="8">
        <f>HYPERLINK("https://ictv.global/id/ICTV19710012","ICTV19710012@prod")</f>
        <v/>
      </c>
    </row>
    <row r="1813">
      <c r="A1813" t="n">
        <v>23</v>
      </c>
      <c r="B1813" t="n">
        <v>20073583</v>
      </c>
      <c r="C1813" t="n">
        <v>19952324</v>
      </c>
      <c r="D1813" t="inlineStr">
        <is>
          <t>species</t>
        </is>
      </c>
      <c r="E1813" t="inlineStr">
        <is>
          <t>Lilac chlorotic leafspot virus</t>
        </is>
      </c>
      <c r="G1813" t="inlineStr">
        <is>
          <t>Abolished,</t>
        </is>
      </c>
      <c r="L1813" s="8">
        <f>HYPERLINK("https://test.ictv.global/id/TN20073583","TN20073583@TEST")</f>
        <v/>
      </c>
      <c r="M1813" s="8">
        <f>HYPERLINK("https://test.ictv.global/id/ICTV19952324","ICTV19952324@TEST")</f>
        <v/>
      </c>
      <c r="N1813" s="8">
        <f>HYPERLINK("https://ictv.global/id/TN20073583","TN20073583@prod")</f>
        <v/>
      </c>
      <c r="O1813" s="8">
        <f>HYPERLINK("https://ictv.global/id/ICTV19952324","ICTV19952324@prod")</f>
        <v/>
      </c>
    </row>
    <row r="1814">
      <c r="A1814" t="n">
        <v>23</v>
      </c>
      <c r="B1814" t="n">
        <v>20073624</v>
      </c>
      <c r="C1814" t="n">
        <v>20083778</v>
      </c>
      <c r="D1814" t="inlineStr">
        <is>
          <t>species</t>
        </is>
      </c>
      <c r="E1814" t="inlineStr">
        <is>
          <t>Asparagus virus 3</t>
        </is>
      </c>
      <c r="F1814" t="inlineStr">
        <is>
          <t>AB304848</t>
        </is>
      </c>
      <c r="G1814" t="inlineStr">
        <is>
          <t>Merged,</t>
        </is>
      </c>
      <c r="H1814" t="inlineStr">
        <is>
          <t>Asparagus virus 3</t>
        </is>
      </c>
      <c r="I1814" t="inlineStr">
        <is>
          <t>species</t>
        </is>
      </c>
      <c r="J1814" t="n">
        <v>20083778</v>
      </c>
      <c r="K1814" t="n">
        <v>20083778</v>
      </c>
      <c r="L1814" s="8">
        <f>HYPERLINK("https://test.ictv.global/id/TN20073624","TN20073624@TEST")</f>
        <v/>
      </c>
      <c r="M1814" s="8">
        <f>HYPERLINK("https://test.ictv.global/id/ICTV20083778","ICTV20083778@TEST")</f>
        <v/>
      </c>
      <c r="N1814" s="8">
        <f>HYPERLINK("https://ictv.global/id/TN20073624","TN20073624@prod")</f>
        <v/>
      </c>
      <c r="O1814" s="8">
        <f>HYPERLINK("https://ictv.global/id/ICTV20083778","ICTV20083778@prod")</f>
        <v/>
      </c>
    </row>
    <row r="1815">
      <c r="A1815" t="n">
        <v>23</v>
      </c>
      <c r="B1815" t="n">
        <v>20073646</v>
      </c>
      <c r="C1815" t="n">
        <v>20073646</v>
      </c>
      <c r="D1815" t="inlineStr">
        <is>
          <t>species</t>
        </is>
      </c>
      <c r="E1815" t="inlineStr">
        <is>
          <t>Scallion virus X</t>
        </is>
      </c>
      <c r="G1815" t="inlineStr">
        <is>
          <t>Merged,</t>
        </is>
      </c>
      <c r="H1815" t="inlineStr">
        <is>
          <t>Asparagus virus 3</t>
        </is>
      </c>
      <c r="I1815" t="inlineStr">
        <is>
          <t>species</t>
        </is>
      </c>
      <c r="J1815" t="n">
        <v>20083778</v>
      </c>
      <c r="K1815" t="n">
        <v>20083778</v>
      </c>
      <c r="L1815" s="8">
        <f>HYPERLINK("https://test.ictv.global/id/TN20073646","TN20073646@TEST")</f>
        <v/>
      </c>
      <c r="M1815" s="8">
        <f>HYPERLINK("https://test.ictv.global/id/ICTV20073646","ICTV20073646@TEST")</f>
        <v/>
      </c>
      <c r="N1815" s="8">
        <f>HYPERLINK("https://ictv.global/id/TN20073646","TN20073646@prod")</f>
        <v/>
      </c>
      <c r="O1815" s="8">
        <f>HYPERLINK("https://ictv.global/id/ICTV20073646","ICTV20073646@prod")</f>
        <v/>
      </c>
    </row>
    <row r="1816">
      <c r="A1816" t="n">
        <v>23</v>
      </c>
      <c r="B1816" t="n">
        <v>20073667</v>
      </c>
      <c r="C1816" t="n">
        <v>20041112</v>
      </c>
      <c r="D1816" t="inlineStr">
        <is>
          <t>species</t>
        </is>
      </c>
      <c r="E1816" t="inlineStr">
        <is>
          <t>Ageratum yellow vein China virus</t>
        </is>
      </c>
      <c r="G1816" t="inlineStr">
        <is>
          <t>Merged,</t>
        </is>
      </c>
      <c r="H1816" t="inlineStr">
        <is>
          <t>Ageratum yellow vein virus</t>
        </is>
      </c>
      <c r="I1816" t="inlineStr">
        <is>
          <t>species</t>
        </is>
      </c>
      <c r="J1816" t="n">
        <v>20083829</v>
      </c>
      <c r="K1816" t="n">
        <v>20083829</v>
      </c>
      <c r="L1816" s="8">
        <f>HYPERLINK("https://test.ictv.global/id/TN20073667","TN20073667@TEST")</f>
        <v/>
      </c>
      <c r="M1816" s="8">
        <f>HYPERLINK("https://test.ictv.global/id/ICTV20041112","ICTV20041112@TEST")</f>
        <v/>
      </c>
      <c r="N1816" s="8">
        <f>HYPERLINK("https://ictv.global/id/TN20073667","TN20073667@prod")</f>
        <v/>
      </c>
      <c r="O1816" s="8">
        <f>HYPERLINK("https://ictv.global/id/ICTV20041112","ICTV20041112@prod")</f>
        <v/>
      </c>
    </row>
    <row r="1817">
      <c r="A1817" t="n">
        <v>23</v>
      </c>
      <c r="B1817" t="n">
        <v>20073669</v>
      </c>
      <c r="C1817" t="n">
        <v>20041114</v>
      </c>
      <c r="D1817" t="inlineStr">
        <is>
          <t>species</t>
        </is>
      </c>
      <c r="E1817" t="inlineStr">
        <is>
          <t>Ageratum yellow vein Taiwan virus</t>
        </is>
      </c>
      <c r="G1817" t="inlineStr">
        <is>
          <t>Merged,</t>
        </is>
      </c>
      <c r="H1817" t="inlineStr">
        <is>
          <t>Ageratum yellow vein virus</t>
        </is>
      </c>
      <c r="I1817" t="inlineStr">
        <is>
          <t>species</t>
        </is>
      </c>
      <c r="J1817" t="n">
        <v>20083829</v>
      </c>
      <c r="K1817" t="n">
        <v>20083829</v>
      </c>
      <c r="L1817" s="8">
        <f>HYPERLINK("https://test.ictv.global/id/TN20073669","TN20073669@TEST")</f>
        <v/>
      </c>
      <c r="M1817" s="8">
        <f>HYPERLINK("https://test.ictv.global/id/ICTV20041114","ICTV20041114@TEST")</f>
        <v/>
      </c>
      <c r="N1817" s="8">
        <f>HYPERLINK("https://ictv.global/id/TN20073669","TN20073669@prod")</f>
        <v/>
      </c>
      <c r="O1817" s="8">
        <f>HYPERLINK("https://ictv.global/id/ICTV20041114","ICTV20041114@prod")</f>
        <v/>
      </c>
    </row>
    <row r="1818">
      <c r="A1818" t="n">
        <v>23</v>
      </c>
      <c r="B1818" t="n">
        <v>20073670</v>
      </c>
      <c r="C1818" t="n">
        <v>20083829</v>
      </c>
      <c r="D1818" t="inlineStr">
        <is>
          <t>species</t>
        </is>
      </c>
      <c r="E1818" t="inlineStr">
        <is>
          <t>Ageratum yellow vein virus</t>
        </is>
      </c>
      <c r="F1818" t="inlineStr"/>
      <c r="G1818" t="inlineStr">
        <is>
          <t>Merged,</t>
        </is>
      </c>
      <c r="H1818" t="inlineStr">
        <is>
          <t>Ageratum yellow vein virus</t>
        </is>
      </c>
      <c r="I1818" t="inlineStr">
        <is>
          <t>species</t>
        </is>
      </c>
      <c r="J1818" t="n">
        <v>20083829</v>
      </c>
      <c r="K1818" t="n">
        <v>20083829</v>
      </c>
      <c r="L1818" s="8">
        <f>HYPERLINK("https://test.ictv.global/id/TN20073670","TN20073670@TEST")</f>
        <v/>
      </c>
      <c r="M1818" s="8">
        <f>HYPERLINK("https://test.ictv.global/id/ICTV20083829","ICTV20083829@TEST")</f>
        <v/>
      </c>
      <c r="N1818" s="8">
        <f>HYPERLINK("https://ictv.global/id/TN20073670","TN20073670@prod")</f>
        <v/>
      </c>
      <c r="O1818" s="8">
        <f>HYPERLINK("https://ictv.global/id/ICTV20083829","ICTV20083829@prod")</f>
        <v/>
      </c>
    </row>
    <row r="1819">
      <c r="A1819" t="n">
        <v>23</v>
      </c>
      <c r="B1819" t="n">
        <v>20073684</v>
      </c>
      <c r="C1819" t="n">
        <v>20083852</v>
      </c>
      <c r="D1819" t="inlineStr">
        <is>
          <t>species</t>
        </is>
      </c>
      <c r="E1819" t="inlineStr">
        <is>
          <t>Cotton leaf curl Multan virus</t>
        </is>
      </c>
      <c r="F1819" t="inlineStr"/>
      <c r="G1819" t="inlineStr">
        <is>
          <t>Merged,</t>
        </is>
      </c>
      <c r="H1819" t="inlineStr">
        <is>
          <t>Cotton leaf curl Multan virus</t>
        </is>
      </c>
      <c r="I1819" t="inlineStr">
        <is>
          <t>species</t>
        </is>
      </c>
      <c r="J1819" t="n">
        <v>20083852</v>
      </c>
      <c r="K1819" t="n">
        <v>20083852</v>
      </c>
      <c r="L1819" s="8">
        <f>HYPERLINK("https://test.ictv.global/id/TN20073684","TN20073684@TEST")</f>
        <v/>
      </c>
      <c r="M1819" s="8">
        <f>HYPERLINK("https://test.ictv.global/id/ICTV20083852","ICTV20083852@TEST")</f>
        <v/>
      </c>
      <c r="N1819" s="8">
        <f>HYPERLINK("https://ictv.global/id/TN20073684","TN20073684@prod")</f>
        <v/>
      </c>
      <c r="O1819" s="8">
        <f>HYPERLINK("https://ictv.global/id/ICTV20083852","ICTV20083852@prod")</f>
        <v/>
      </c>
    </row>
    <row r="1820">
      <c r="A1820" t="n">
        <v>23</v>
      </c>
      <c r="B1820" t="n">
        <v>20073685</v>
      </c>
      <c r="C1820" t="n">
        <v>20041130</v>
      </c>
      <c r="D1820" t="inlineStr">
        <is>
          <t>species</t>
        </is>
      </c>
      <c r="E1820" t="inlineStr">
        <is>
          <t>Cotton leaf curl Rajasthan virus</t>
        </is>
      </c>
      <c r="G1820" t="inlineStr">
        <is>
          <t>Merged,</t>
        </is>
      </c>
      <c r="H1820" t="inlineStr">
        <is>
          <t>Cotton leaf curl Multan virus</t>
        </is>
      </c>
      <c r="I1820" t="inlineStr">
        <is>
          <t>species</t>
        </is>
      </c>
      <c r="J1820" t="n">
        <v>20083852</v>
      </c>
      <c r="K1820" t="n">
        <v>20083852</v>
      </c>
      <c r="L1820" s="8">
        <f>HYPERLINK("https://test.ictv.global/id/TN20073685","TN20073685@TEST")</f>
        <v/>
      </c>
      <c r="M1820" s="8">
        <f>HYPERLINK("https://test.ictv.global/id/ICTV20041130","ICTV20041130@TEST")</f>
        <v/>
      </c>
      <c r="N1820" s="8">
        <f>HYPERLINK("https://ictv.global/id/TN20073685","TN20073685@prod")</f>
        <v/>
      </c>
      <c r="O1820" s="8">
        <f>HYPERLINK("https://ictv.global/id/ICTV20041130","ICTV20041130@prod")</f>
        <v/>
      </c>
    </row>
    <row r="1821">
      <c r="A1821" t="n">
        <v>23</v>
      </c>
      <c r="B1821" t="n">
        <v>20073699</v>
      </c>
      <c r="C1821" t="n">
        <v>20083874</v>
      </c>
      <c r="D1821" t="inlineStr">
        <is>
          <t>species</t>
        </is>
      </c>
      <c r="E1821" t="inlineStr">
        <is>
          <t>Honeysuckle yellow vein virus</t>
        </is>
      </c>
      <c r="F1821" t="inlineStr"/>
      <c r="G1821" t="inlineStr">
        <is>
          <t>Merged,</t>
        </is>
      </c>
      <c r="H1821" t="inlineStr">
        <is>
          <t>Honeysuckle yellow vein virus</t>
        </is>
      </c>
      <c r="I1821" t="inlineStr">
        <is>
          <t>species</t>
        </is>
      </c>
      <c r="J1821" t="n">
        <v>20083874</v>
      </c>
      <c r="K1821" t="n">
        <v>20083874</v>
      </c>
      <c r="L1821" s="8">
        <f>HYPERLINK("https://test.ictv.global/id/TN20073699","TN20073699@TEST")</f>
        <v/>
      </c>
      <c r="M1821" s="8">
        <f>HYPERLINK("https://test.ictv.global/id/ICTV20083874","ICTV20083874@TEST")</f>
        <v/>
      </c>
      <c r="N1821" s="8">
        <f>HYPERLINK("https://ictv.global/id/TN20073699","TN20073699@prod")</f>
        <v/>
      </c>
      <c r="O1821" s="8">
        <f>HYPERLINK("https://ictv.global/id/ICTV20083874","ICTV20083874@prod")</f>
        <v/>
      </c>
    </row>
    <row r="1822">
      <c r="A1822" t="n">
        <v>23</v>
      </c>
      <c r="B1822" t="n">
        <v>20073719</v>
      </c>
      <c r="C1822" t="n">
        <v>20041161</v>
      </c>
      <c r="D1822" t="inlineStr">
        <is>
          <t>species</t>
        </is>
      </c>
      <c r="E1822" t="inlineStr">
        <is>
          <t>Potato yellow mosaic Trinidad virus</t>
        </is>
      </c>
      <c r="G1822" t="inlineStr">
        <is>
          <t>Merged,</t>
        </is>
      </c>
      <c r="H1822" t="inlineStr">
        <is>
          <t>Potato yellow mosaic virus</t>
        </is>
      </c>
      <c r="I1822" t="inlineStr">
        <is>
          <t>species</t>
        </is>
      </c>
      <c r="J1822" t="n">
        <v>20083914</v>
      </c>
      <c r="K1822" t="n">
        <v>20083914</v>
      </c>
      <c r="L1822" s="8">
        <f>HYPERLINK("https://test.ictv.global/id/TN20073719","TN20073719@TEST")</f>
        <v/>
      </c>
      <c r="M1822" s="8">
        <f>HYPERLINK("https://test.ictv.global/id/ICTV20041161","ICTV20041161@TEST")</f>
        <v/>
      </c>
      <c r="N1822" s="8">
        <f>HYPERLINK("https://ictv.global/id/TN20073719","TN20073719@prod")</f>
        <v/>
      </c>
      <c r="O1822" s="8">
        <f>HYPERLINK("https://ictv.global/id/ICTV20041161","ICTV20041161@prod")</f>
        <v/>
      </c>
    </row>
    <row r="1823">
      <c r="A1823" t="n">
        <v>23</v>
      </c>
      <c r="B1823" t="n">
        <v>20073720</v>
      </c>
      <c r="C1823" t="n">
        <v>20083914</v>
      </c>
      <c r="D1823" t="inlineStr">
        <is>
          <t>species</t>
        </is>
      </c>
      <c r="E1823" t="inlineStr">
        <is>
          <t>Potato yellow mosaic virus</t>
        </is>
      </c>
      <c r="F1823" t="inlineStr"/>
      <c r="G1823" t="inlineStr">
        <is>
          <t>Merged,</t>
        </is>
      </c>
      <c r="H1823" t="inlineStr">
        <is>
          <t>Potato yellow mosaic virus</t>
        </is>
      </c>
      <c r="I1823" t="inlineStr">
        <is>
          <t>species</t>
        </is>
      </c>
      <c r="J1823" t="n">
        <v>20083914</v>
      </c>
      <c r="K1823" t="n">
        <v>20083914</v>
      </c>
      <c r="L1823" s="8">
        <f>HYPERLINK("https://test.ictv.global/id/TN20073720","TN20073720@TEST")</f>
        <v/>
      </c>
      <c r="M1823" s="8">
        <f>HYPERLINK("https://test.ictv.global/id/ICTV20083914","ICTV20083914@TEST")</f>
        <v/>
      </c>
      <c r="N1823" s="8">
        <f>HYPERLINK("https://ictv.global/id/TN20073720","TN20073720@prod")</f>
        <v/>
      </c>
      <c r="O1823" s="8">
        <f>HYPERLINK("https://ictv.global/id/ICTV20083914","ICTV20083914@prod")</f>
        <v/>
      </c>
    </row>
    <row r="1824">
      <c r="A1824" t="n">
        <v>23</v>
      </c>
      <c r="B1824" t="n">
        <v>20073744</v>
      </c>
      <c r="C1824" t="n">
        <v>20041189</v>
      </c>
      <c r="D1824" t="inlineStr">
        <is>
          <t>species</t>
        </is>
      </c>
      <c r="E1824" t="inlineStr">
        <is>
          <t>Tobacco leaf curl Kochi virus</t>
        </is>
      </c>
      <c r="G1824" t="inlineStr">
        <is>
          <t>Merged,</t>
        </is>
      </c>
      <c r="H1824" t="inlineStr">
        <is>
          <t>Honeysuckle yellow vein virus</t>
        </is>
      </c>
      <c r="I1824" t="inlineStr">
        <is>
          <t>species</t>
        </is>
      </c>
      <c r="J1824" t="n">
        <v>20083874</v>
      </c>
      <c r="K1824" t="n">
        <v>20083874</v>
      </c>
      <c r="L1824" s="8">
        <f>HYPERLINK("https://test.ictv.global/id/TN20073744","TN20073744@TEST")</f>
        <v/>
      </c>
      <c r="M1824" s="8">
        <f>HYPERLINK("https://test.ictv.global/id/ICTV20041189","ICTV20041189@TEST")</f>
        <v/>
      </c>
      <c r="N1824" s="8">
        <f>HYPERLINK("https://ictv.global/id/TN20073744","TN20073744@prod")</f>
        <v/>
      </c>
      <c r="O1824" s="8">
        <f>HYPERLINK("https://ictv.global/id/ICTV20041189","ICTV20041189@prod")</f>
        <v/>
      </c>
    </row>
    <row r="1825">
      <c r="A1825" t="n">
        <v>23</v>
      </c>
      <c r="B1825" t="n">
        <v>20073757</v>
      </c>
      <c r="C1825" t="n">
        <v>20073757</v>
      </c>
      <c r="D1825" t="inlineStr">
        <is>
          <t>species</t>
        </is>
      </c>
      <c r="E1825" t="inlineStr">
        <is>
          <t>Tomato leaf curl Iran virus</t>
        </is>
      </c>
      <c r="F1825" t="inlineStr"/>
      <c r="G1825" t="inlineStr">
        <is>
          <t>Merged,</t>
        </is>
      </c>
      <c r="H1825" t="inlineStr">
        <is>
          <t>Tomato leaf curl Karnataka virus</t>
        </is>
      </c>
      <c r="I1825" t="inlineStr">
        <is>
          <t>species</t>
        </is>
      </c>
      <c r="J1825" t="n">
        <v>20083976</v>
      </c>
      <c r="K1825" t="n">
        <v>20083976</v>
      </c>
      <c r="L1825" s="8">
        <f>HYPERLINK("https://test.ictv.global/id/TN20073757","TN20073757@TEST")</f>
        <v/>
      </c>
      <c r="M1825" s="8">
        <f>HYPERLINK("https://test.ictv.global/id/ICTV20073757","ICTV20073757@TEST")</f>
        <v/>
      </c>
      <c r="N1825" s="8">
        <f>HYPERLINK("https://ictv.global/id/TN20073757","TN20073757@prod")</f>
        <v/>
      </c>
      <c r="O1825" s="8">
        <f>HYPERLINK("https://ictv.global/id/ICTV20073757","ICTV20073757@prod")</f>
        <v/>
      </c>
    </row>
    <row r="1826">
      <c r="A1826" t="n">
        <v>23</v>
      </c>
      <c r="B1826" t="n">
        <v>20073758</v>
      </c>
      <c r="C1826" t="n">
        <v>20083976</v>
      </c>
      <c r="D1826" t="inlineStr">
        <is>
          <t>species</t>
        </is>
      </c>
      <c r="E1826" t="inlineStr">
        <is>
          <t>Tomato leaf curl Karnataka virus</t>
        </is>
      </c>
      <c r="F1826" t="inlineStr"/>
      <c r="G1826" t="inlineStr">
        <is>
          <t>Merged,</t>
        </is>
      </c>
      <c r="H1826" t="inlineStr">
        <is>
          <t>Tomato leaf curl Karnataka virus</t>
        </is>
      </c>
      <c r="I1826" t="inlineStr">
        <is>
          <t>species</t>
        </is>
      </c>
      <c r="J1826" t="n">
        <v>20083976</v>
      </c>
      <c r="K1826" t="n">
        <v>20083976</v>
      </c>
      <c r="L1826" s="8">
        <f>HYPERLINK("https://test.ictv.global/id/TN20073758","TN20073758@TEST")</f>
        <v/>
      </c>
      <c r="M1826" s="8">
        <f>HYPERLINK("https://test.ictv.global/id/ICTV20083976","ICTV20083976@TEST")</f>
        <v/>
      </c>
      <c r="N1826" s="8">
        <f>HYPERLINK("https://ictv.global/id/TN20073758","TN20073758@prod")</f>
        <v/>
      </c>
      <c r="O1826" s="8">
        <f>HYPERLINK("https://ictv.global/id/ICTV20083976","ICTV20083976@prod")</f>
        <v/>
      </c>
    </row>
    <row r="1827">
      <c r="A1827" t="n">
        <v>23</v>
      </c>
      <c r="B1827" t="n">
        <v>20074199</v>
      </c>
      <c r="C1827" t="n">
        <v>19991249</v>
      </c>
      <c r="D1827" t="inlineStr">
        <is>
          <t>species</t>
        </is>
      </c>
      <c r="E1827" t="inlineStr">
        <is>
          <t>Human enterovirus C</t>
        </is>
      </c>
      <c r="G1827" t="inlineStr">
        <is>
          <t>Merged,Assigned as Type Species,</t>
        </is>
      </c>
      <c r="H1827" t="inlineStr">
        <is>
          <t>Human enterovirus C</t>
        </is>
      </c>
      <c r="I1827" t="inlineStr">
        <is>
          <t>species</t>
        </is>
      </c>
      <c r="J1827" t="n">
        <v>20083305</v>
      </c>
      <c r="K1827" t="n">
        <v>20083305</v>
      </c>
      <c r="L1827" s="8">
        <f>HYPERLINK("https://test.ictv.global/id/TN20074199","TN20074199@TEST")</f>
        <v/>
      </c>
      <c r="M1827" s="8">
        <f>HYPERLINK("https://test.ictv.global/id/ICTV19991249","ICTV19991249@TEST")</f>
        <v/>
      </c>
      <c r="N1827" s="8">
        <f>HYPERLINK("https://ictv.global/id/TN20074199","TN20074199@prod")</f>
        <v/>
      </c>
      <c r="O1827" s="8">
        <f>HYPERLINK("https://ictv.global/id/ICTV19991249","ICTV19991249@prod")</f>
        <v/>
      </c>
    </row>
    <row r="1828">
      <c r="A1828" t="n">
        <v>23</v>
      </c>
      <c r="B1828" t="n">
        <v>20074201</v>
      </c>
      <c r="C1828" t="n">
        <v>20083305</v>
      </c>
      <c r="D1828" t="inlineStr">
        <is>
          <t>species</t>
        </is>
      </c>
      <c r="E1828" t="inlineStr">
        <is>
          <t>Poliovirus</t>
        </is>
      </c>
      <c r="G1828" t="inlineStr">
        <is>
          <t>Merged,</t>
        </is>
      </c>
      <c r="H1828" t="inlineStr">
        <is>
          <t>Human enterovirus C</t>
        </is>
      </c>
      <c r="I1828" t="inlineStr">
        <is>
          <t>species</t>
        </is>
      </c>
      <c r="J1828" t="n">
        <v>20083305</v>
      </c>
      <c r="K1828" t="n">
        <v>20083305</v>
      </c>
      <c r="L1828" s="8">
        <f>HYPERLINK("https://test.ictv.global/id/TN20074201","TN20074201@TEST")</f>
        <v/>
      </c>
      <c r="M1828" s="8">
        <f>HYPERLINK("https://test.ictv.global/id/ICTV20083305","ICTV20083305@TEST")</f>
        <v/>
      </c>
      <c r="N1828" s="8">
        <f>HYPERLINK("https://ictv.global/id/TN20074201","TN20074201@prod")</f>
        <v/>
      </c>
      <c r="O1828" s="8">
        <f>HYPERLINK("https://ictv.global/id/ICTV20083305","ICTV20083305@prod")</f>
        <v/>
      </c>
    </row>
    <row r="1829">
      <c r="A1829" t="n">
        <v>23</v>
      </c>
      <c r="B1829" t="n">
        <v>20074365</v>
      </c>
      <c r="C1829" t="n">
        <v>20084536</v>
      </c>
      <c r="D1829" t="inlineStr">
        <is>
          <t>species</t>
        </is>
      </c>
      <c r="E1829" t="inlineStr">
        <is>
          <t>Konjac mosaic virus</t>
        </is>
      </c>
      <c r="F1829" t="inlineStr">
        <is>
          <t>AB219545</t>
        </is>
      </c>
      <c r="G1829" t="inlineStr">
        <is>
          <t>Merged,</t>
        </is>
      </c>
      <c r="H1829" t="inlineStr">
        <is>
          <t>Konjac mosaic virus</t>
        </is>
      </c>
      <c r="I1829" t="inlineStr">
        <is>
          <t>species</t>
        </is>
      </c>
      <c r="J1829" t="n">
        <v>20084536</v>
      </c>
      <c r="K1829" t="n">
        <v>20084536</v>
      </c>
      <c r="L1829" s="8">
        <f>HYPERLINK("https://test.ictv.global/id/TN20074365","TN20074365@TEST")</f>
        <v/>
      </c>
      <c r="M1829" s="8">
        <f>HYPERLINK("https://test.ictv.global/id/ICTV20084536","ICTV20084536@TEST")</f>
        <v/>
      </c>
      <c r="N1829" s="8">
        <f>HYPERLINK("https://ictv.global/id/TN20074365","TN20074365@prod")</f>
        <v/>
      </c>
      <c r="O1829" s="8">
        <f>HYPERLINK("https://ictv.global/id/ICTV20084536","ICTV20084536@prod")</f>
        <v/>
      </c>
    </row>
    <row r="1830">
      <c r="A1830" t="n">
        <v>23</v>
      </c>
      <c r="B1830" t="n">
        <v>20074425</v>
      </c>
      <c r="C1830" t="n">
        <v>20074425</v>
      </c>
      <c r="D1830" t="inlineStr">
        <is>
          <t>species</t>
        </is>
      </c>
      <c r="E1830" t="inlineStr">
        <is>
          <t>Zantedeschia mosaic virus</t>
        </is>
      </c>
      <c r="G1830" t="inlineStr">
        <is>
          <t>Merged,</t>
        </is>
      </c>
      <c r="H1830" t="inlineStr">
        <is>
          <t>Konjac mosaic virus</t>
        </is>
      </c>
      <c r="I1830" t="inlineStr">
        <is>
          <t>species</t>
        </is>
      </c>
      <c r="J1830" t="n">
        <v>20084536</v>
      </c>
      <c r="K1830" t="n">
        <v>20084536</v>
      </c>
      <c r="L1830" s="8">
        <f>HYPERLINK("https://test.ictv.global/id/TN20074425","TN20074425@TEST")</f>
        <v/>
      </c>
      <c r="M1830" s="8">
        <f>HYPERLINK("https://test.ictv.global/id/ICTV20074425","ICTV20074425@TEST")</f>
        <v/>
      </c>
      <c r="N1830" s="8">
        <f>HYPERLINK("https://ictv.global/id/TN20074425","TN20074425@prod")</f>
        <v/>
      </c>
      <c r="O1830" s="8">
        <f>HYPERLINK("https://ictv.global/id/ICTV20074425","ICTV20074425@prod")</f>
        <v/>
      </c>
    </row>
    <row r="1831">
      <c r="A1831" t="n">
        <v>23</v>
      </c>
      <c r="B1831" t="n">
        <v>20074753</v>
      </c>
      <c r="C1831" t="n">
        <v>20084942</v>
      </c>
      <c r="D1831" t="inlineStr">
        <is>
          <t>species</t>
        </is>
      </c>
      <c r="E1831" t="inlineStr">
        <is>
          <t>Eggplant mottled crinkle virus</t>
        </is>
      </c>
      <c r="F1831" t="inlineStr">
        <is>
          <t>JQ864181</t>
        </is>
      </c>
      <c r="G1831" t="inlineStr">
        <is>
          <t>Merged,</t>
        </is>
      </c>
      <c r="H1831" t="inlineStr">
        <is>
          <t>Eggplant mottled crinkle virus</t>
        </is>
      </c>
      <c r="I1831" t="inlineStr">
        <is>
          <t>species</t>
        </is>
      </c>
      <c r="J1831" t="n">
        <v>20084942</v>
      </c>
      <c r="K1831" t="n">
        <v>20084942</v>
      </c>
      <c r="L1831" s="8">
        <f>HYPERLINK("https://test.ictv.global/id/TN20074753","TN20074753@TEST")</f>
        <v/>
      </c>
      <c r="M1831" s="8">
        <f>HYPERLINK("https://test.ictv.global/id/ICTV20084942","ICTV20084942@TEST")</f>
        <v/>
      </c>
      <c r="N1831" s="8">
        <f>HYPERLINK("https://ictv.global/id/TN20074753","TN20074753@prod")</f>
        <v/>
      </c>
      <c r="O1831" s="8">
        <f>HYPERLINK("https://ictv.global/id/ICTV20084942","ICTV20084942@prod")</f>
        <v/>
      </c>
    </row>
    <row r="1832">
      <c r="A1832" t="n">
        <v>23</v>
      </c>
      <c r="B1832" t="n">
        <v>20074758</v>
      </c>
      <c r="C1832" t="n">
        <v>20074758</v>
      </c>
      <c r="D1832" t="inlineStr">
        <is>
          <t>species</t>
        </is>
      </c>
      <c r="E1832" t="inlineStr">
        <is>
          <t>Pear latent virus</t>
        </is>
      </c>
      <c r="G1832" t="inlineStr">
        <is>
          <t>Merged,</t>
        </is>
      </c>
      <c r="H1832" t="inlineStr">
        <is>
          <t>Eggplant mottled crinkle virus</t>
        </is>
      </c>
      <c r="I1832" t="inlineStr">
        <is>
          <t>species</t>
        </is>
      </c>
      <c r="J1832" t="n">
        <v>20084942</v>
      </c>
      <c r="K1832" t="n">
        <v>20084942</v>
      </c>
      <c r="L1832" s="8">
        <f>HYPERLINK("https://test.ictv.global/id/TN20074758","TN20074758@TEST")</f>
        <v/>
      </c>
      <c r="M1832" s="8">
        <f>HYPERLINK("https://test.ictv.global/id/ICTV20074758","ICTV20074758@TEST")</f>
        <v/>
      </c>
      <c r="N1832" s="8">
        <f>HYPERLINK("https://ictv.global/id/TN20074758","TN20074758@prod")</f>
        <v/>
      </c>
      <c r="O1832" s="8">
        <f>HYPERLINK("https://ictv.global/id/ICTV20074758","ICTV20074758@prod")</f>
        <v/>
      </c>
    </row>
    <row r="1833">
      <c r="A1833" t="n">
        <v>24</v>
      </c>
      <c r="B1833" t="n">
        <v>20080313</v>
      </c>
      <c r="C1833" t="n">
        <v>19930015</v>
      </c>
      <c r="D1833" t="inlineStr">
        <is>
          <t>family</t>
        </is>
      </c>
      <c r="E1833" t="inlineStr">
        <is>
          <t>Comoviridae</t>
        </is>
      </c>
      <c r="G1833" t="inlineStr">
        <is>
          <t>Merged,</t>
        </is>
      </c>
      <c r="H1833" t="inlineStr">
        <is>
          <t>Secoviridae</t>
        </is>
      </c>
      <c r="I1833" t="inlineStr">
        <is>
          <t>family</t>
        </is>
      </c>
      <c r="J1833" t="n">
        <v>20090378</v>
      </c>
      <c r="K1833" t="n">
        <v>20090378</v>
      </c>
      <c r="L1833" s="8">
        <f>HYPERLINK("https://test.ictv.global/id/TN20080313","TN20080313@TEST")</f>
        <v/>
      </c>
      <c r="M1833" s="8">
        <f>HYPERLINK("https://test.ictv.global/id/ICTV19930015","ICTV19930015@TEST")</f>
        <v/>
      </c>
      <c r="N1833" s="8">
        <f>HYPERLINK("https://ictv.global/id/TN20080313","TN20080313@prod")</f>
        <v/>
      </c>
      <c r="O1833" s="8">
        <f>HYPERLINK("https://ictv.global/id/ICTV19930015","ICTV19930015@prod")</f>
        <v/>
      </c>
    </row>
    <row r="1834">
      <c r="A1834" t="n">
        <v>24</v>
      </c>
      <c r="B1834" t="n">
        <v>20080318</v>
      </c>
      <c r="C1834" t="n">
        <v>19930045</v>
      </c>
      <c r="D1834" t="inlineStr">
        <is>
          <t>family</t>
        </is>
      </c>
      <c r="E1834" t="inlineStr">
        <is>
          <t>Sequiviridae</t>
        </is>
      </c>
      <c r="G1834" t="inlineStr">
        <is>
          <t>Merged,</t>
        </is>
      </c>
      <c r="H1834" t="inlineStr">
        <is>
          <t>Secoviridae</t>
        </is>
      </c>
      <c r="I1834" t="inlineStr">
        <is>
          <t>family</t>
        </is>
      </c>
      <c r="J1834" t="n">
        <v>20090378</v>
      </c>
      <c r="K1834" t="n">
        <v>20090378</v>
      </c>
      <c r="L1834" s="8">
        <f>HYPERLINK("https://test.ictv.global/id/TN20080318","TN20080318@TEST")</f>
        <v/>
      </c>
      <c r="M1834" s="8">
        <f>HYPERLINK("https://test.ictv.global/id/ICTV19930045","ICTV19930045@TEST")</f>
        <v/>
      </c>
      <c r="N1834" s="8">
        <f>HYPERLINK("https://ictv.global/id/TN20080318","TN20080318@prod")</f>
        <v/>
      </c>
      <c r="O1834" s="8">
        <f>HYPERLINK("https://ictv.global/id/ICTV19930045","ICTV19930045@prod")</f>
        <v/>
      </c>
    </row>
    <row r="1835">
      <c r="A1835" t="n">
        <v>24</v>
      </c>
      <c r="B1835" t="n">
        <v>20080341</v>
      </c>
      <c r="C1835" t="n">
        <v>20040036</v>
      </c>
      <c r="D1835" t="inlineStr">
        <is>
          <t>family</t>
        </is>
      </c>
      <c r="E1835" t="inlineStr">
        <is>
          <t>Flexiviridae</t>
        </is>
      </c>
      <c r="G1835" t="inlineStr">
        <is>
          <t>Split,Moved,</t>
        </is>
      </c>
      <c r="H1835" t="inlineStr">
        <is>
          <t>Alphaflexiviridae</t>
        </is>
      </c>
      <c r="I1835" t="inlineStr">
        <is>
          <t>family</t>
        </is>
      </c>
      <c r="J1835" t="n">
        <v>20090302</v>
      </c>
      <c r="K1835" t="n">
        <v>20090302</v>
      </c>
      <c r="L1835" s="8">
        <f>HYPERLINK("https://test.ictv.global/id/TN20080341","TN20080341@TEST")</f>
        <v/>
      </c>
      <c r="M1835" s="8">
        <f>HYPERLINK("https://test.ictv.global/id/ICTV20040036","ICTV20040036@TEST")</f>
        <v/>
      </c>
      <c r="N1835" s="8">
        <f>HYPERLINK("https://ictv.global/id/TN20080341","TN20080341@prod")</f>
        <v/>
      </c>
      <c r="O1835" s="8">
        <f>HYPERLINK("https://ictv.global/id/ICTV20040036","ICTV20040036@prod")</f>
        <v/>
      </c>
    </row>
    <row r="1836">
      <c r="A1836" t="n">
        <v>24</v>
      </c>
      <c r="B1836" t="n">
        <v>20080341</v>
      </c>
      <c r="C1836" t="n">
        <v>20040036</v>
      </c>
      <c r="D1836" t="inlineStr">
        <is>
          <t>family</t>
        </is>
      </c>
      <c r="E1836" t="inlineStr">
        <is>
          <t>Flexiviridae</t>
        </is>
      </c>
      <c r="G1836" t="inlineStr">
        <is>
          <t>Split,Moved,</t>
        </is>
      </c>
      <c r="H1836" t="inlineStr">
        <is>
          <t>Betaflexiviridae</t>
        </is>
      </c>
      <c r="I1836" t="inlineStr">
        <is>
          <t>family</t>
        </is>
      </c>
      <c r="J1836" t="n">
        <v>20090313</v>
      </c>
      <c r="K1836" t="n">
        <v>20090313</v>
      </c>
      <c r="L1836" s="8">
        <f>HYPERLINK("https://test.ictv.global/id/TN20080341","TN20080341@TEST")</f>
        <v/>
      </c>
      <c r="M1836" s="8">
        <f>HYPERLINK("https://test.ictv.global/id/ICTV20040036","ICTV20040036@TEST")</f>
        <v/>
      </c>
      <c r="N1836" s="8">
        <f>HYPERLINK("https://ictv.global/id/TN20080341","TN20080341@prod")</f>
        <v/>
      </c>
      <c r="O1836" s="8">
        <f>HYPERLINK("https://ictv.global/id/ICTV20040036","ICTV20040036@prod")</f>
        <v/>
      </c>
    </row>
    <row r="1837">
      <c r="A1837" t="n">
        <v>24</v>
      </c>
      <c r="B1837" t="n">
        <v>20081054</v>
      </c>
      <c r="C1837" t="n">
        <v>19710022</v>
      </c>
      <c r="D1837" t="inlineStr">
        <is>
          <t>genus</t>
        </is>
      </c>
      <c r="E1837" t="inlineStr">
        <is>
          <t>Coronavirus</t>
        </is>
      </c>
      <c r="G1837" t="inlineStr">
        <is>
          <t>Split,Moved,</t>
        </is>
      </c>
      <c r="H1837" t="inlineStr">
        <is>
          <t>Alphacoronavirus</t>
        </is>
      </c>
      <c r="I1837" t="inlineStr">
        <is>
          <t>genus</t>
        </is>
      </c>
      <c r="J1837" t="n">
        <v>20091081</v>
      </c>
      <c r="K1837" t="n">
        <v>20091081</v>
      </c>
      <c r="L1837" s="8">
        <f>HYPERLINK("https://test.ictv.global/id/TN20081054","TN20081054@TEST")</f>
        <v/>
      </c>
      <c r="M1837" s="8">
        <f>HYPERLINK("https://test.ictv.global/id/ICTV19710022","ICTV19710022@TEST")</f>
        <v/>
      </c>
      <c r="N1837" s="8">
        <f>HYPERLINK("https://ictv.global/id/TN20081054","TN20081054@prod")</f>
        <v/>
      </c>
      <c r="O1837" s="8">
        <f>HYPERLINK("https://ictv.global/id/ICTV19710022","ICTV19710022@prod")</f>
        <v/>
      </c>
    </row>
    <row r="1838">
      <c r="A1838" t="n">
        <v>24</v>
      </c>
      <c r="B1838" t="n">
        <v>20081054</v>
      </c>
      <c r="C1838" t="n">
        <v>19710022</v>
      </c>
      <c r="D1838" t="inlineStr">
        <is>
          <t>genus</t>
        </is>
      </c>
      <c r="E1838" t="inlineStr">
        <is>
          <t>Coronavirus</t>
        </is>
      </c>
      <c r="G1838" t="inlineStr">
        <is>
          <t>Split,Moved,</t>
        </is>
      </c>
      <c r="H1838" t="inlineStr">
        <is>
          <t>Betacoronavirus</t>
        </is>
      </c>
      <c r="I1838" t="inlineStr">
        <is>
          <t>genus</t>
        </is>
      </c>
      <c r="J1838" t="n">
        <v>20091082</v>
      </c>
      <c r="K1838" t="n">
        <v>20091082</v>
      </c>
      <c r="L1838" s="8">
        <f>HYPERLINK("https://test.ictv.global/id/TN20081054","TN20081054@TEST")</f>
        <v/>
      </c>
      <c r="M1838" s="8">
        <f>HYPERLINK("https://test.ictv.global/id/ICTV19710022","ICTV19710022@TEST")</f>
        <v/>
      </c>
      <c r="N1838" s="8">
        <f>HYPERLINK("https://ictv.global/id/TN20081054","TN20081054@prod")</f>
        <v/>
      </c>
      <c r="O1838" s="8">
        <f>HYPERLINK("https://ictv.global/id/ICTV19710022","ICTV19710022@prod")</f>
        <v/>
      </c>
    </row>
    <row r="1839">
      <c r="A1839" t="n">
        <v>24</v>
      </c>
      <c r="B1839" t="n">
        <v>20081054</v>
      </c>
      <c r="C1839" t="n">
        <v>19710022</v>
      </c>
      <c r="D1839" t="inlineStr">
        <is>
          <t>genus</t>
        </is>
      </c>
      <c r="E1839" t="inlineStr">
        <is>
          <t>Coronavirus</t>
        </is>
      </c>
      <c r="G1839" t="inlineStr">
        <is>
          <t>Split,Moved,</t>
        </is>
      </c>
      <c r="H1839" t="inlineStr">
        <is>
          <t>Gammacoronavirus</t>
        </is>
      </c>
      <c r="I1839" t="inlineStr">
        <is>
          <t>genus</t>
        </is>
      </c>
      <c r="J1839" t="n">
        <v>20091083</v>
      </c>
      <c r="K1839" t="n">
        <v>20091083</v>
      </c>
      <c r="L1839" s="8">
        <f>HYPERLINK("https://test.ictv.global/id/TN20081054","TN20081054@TEST")</f>
        <v/>
      </c>
      <c r="M1839" s="8">
        <f>HYPERLINK("https://test.ictv.global/id/ICTV19710022","ICTV19710022@TEST")</f>
        <v/>
      </c>
      <c r="N1839" s="8">
        <f>HYPERLINK("https://ictv.global/id/TN20081054","TN20081054@prod")</f>
        <v/>
      </c>
      <c r="O1839" s="8">
        <f>HYPERLINK("https://ictv.global/id/ICTV19710022","ICTV19710022@prod")</f>
        <v/>
      </c>
    </row>
    <row r="1840">
      <c r="A1840" t="n">
        <v>24</v>
      </c>
      <c r="B1840" t="n">
        <v>20081304</v>
      </c>
      <c r="C1840" t="n">
        <v>20040238</v>
      </c>
      <c r="D1840" t="inlineStr">
        <is>
          <t>genus</t>
        </is>
      </c>
      <c r="E1840" t="inlineStr">
        <is>
          <t>Anellovirus</t>
        </is>
      </c>
      <c r="G1840" t="inlineStr">
        <is>
          <t>Renamed,Promoted,</t>
        </is>
      </c>
      <c r="H1840" t="inlineStr">
        <is>
          <t>Anelloviridae</t>
        </is>
      </c>
      <c r="I1840" t="inlineStr">
        <is>
          <t>family</t>
        </is>
      </c>
      <c r="J1840" t="n">
        <v>20040238</v>
      </c>
      <c r="K1840" t="n">
        <v>20090304</v>
      </c>
      <c r="L1840" s="8">
        <f>HYPERLINK("https://test.ictv.global/id/TN20081304","TN20081304@TEST")</f>
        <v/>
      </c>
      <c r="M1840" s="8">
        <f>HYPERLINK("https://test.ictv.global/id/ICTV20040238","ICTV20040238@TEST")</f>
        <v/>
      </c>
      <c r="N1840" s="8">
        <f>HYPERLINK("https://ictv.global/id/TN20081304","TN20081304@prod")</f>
        <v/>
      </c>
      <c r="O1840" s="8">
        <f>HYPERLINK("https://ictv.global/id/ICTV20040238","ICTV20040238@prod")</f>
        <v/>
      </c>
    </row>
    <row r="1841">
      <c r="A1841" t="n">
        <v>24</v>
      </c>
      <c r="B1841" t="n">
        <v>20083199</v>
      </c>
      <c r="C1841" t="n">
        <v>19910699</v>
      </c>
      <c r="D1841" t="inlineStr">
        <is>
          <t>species</t>
        </is>
      </c>
      <c r="E1841" t="inlineStr">
        <is>
          <t>Bovine coronavirus</t>
        </is>
      </c>
      <c r="G1841" t="inlineStr">
        <is>
          <t>Merged,Moved,</t>
        </is>
      </c>
      <c r="H1841" t="inlineStr">
        <is>
          <t>Betacoronavirus 1</t>
        </is>
      </c>
      <c r="I1841" t="inlineStr">
        <is>
          <t>species</t>
        </is>
      </c>
      <c r="J1841" t="n">
        <v>20093523</v>
      </c>
      <c r="K1841" t="n">
        <v>20093523</v>
      </c>
      <c r="L1841" s="8">
        <f>HYPERLINK("https://test.ictv.global/id/TN20083199","TN20083199@TEST")</f>
        <v/>
      </c>
      <c r="M1841" s="8">
        <f>HYPERLINK("https://test.ictv.global/id/ICTV19910699","ICTV19910699@TEST")</f>
        <v/>
      </c>
      <c r="N1841" s="8">
        <f>HYPERLINK("https://ictv.global/id/TN20083199","TN20083199@prod")</f>
        <v/>
      </c>
      <c r="O1841" s="8">
        <f>HYPERLINK("https://ictv.global/id/ICTV19910699","ICTV19910699@prod")</f>
        <v/>
      </c>
    </row>
    <row r="1842">
      <c r="A1842" t="n">
        <v>24</v>
      </c>
      <c r="B1842" t="n">
        <v>20083200</v>
      </c>
      <c r="C1842" t="n">
        <v>19910700</v>
      </c>
      <c r="D1842" t="inlineStr">
        <is>
          <t>species</t>
        </is>
      </c>
      <c r="E1842" t="inlineStr">
        <is>
          <t>Canine coronavirus</t>
        </is>
      </c>
      <c r="G1842" t="inlineStr">
        <is>
          <t>Merged,Moved,Assigned as Type Species,</t>
        </is>
      </c>
      <c r="H1842" t="inlineStr">
        <is>
          <t>Alphacoronavirus 1</t>
        </is>
      </c>
      <c r="I1842" t="inlineStr">
        <is>
          <t>species</t>
        </is>
      </c>
      <c r="J1842" t="n">
        <v>20093515</v>
      </c>
      <c r="K1842" t="n">
        <v>20093515</v>
      </c>
      <c r="L1842" s="8">
        <f>HYPERLINK("https://test.ictv.global/id/TN20083200","TN20083200@TEST")</f>
        <v/>
      </c>
      <c r="M1842" s="8">
        <f>HYPERLINK("https://test.ictv.global/id/ICTV19910700","ICTV19910700@TEST")</f>
        <v/>
      </c>
      <c r="N1842" s="8">
        <f>HYPERLINK("https://ictv.global/id/TN20083200","TN20083200@prod")</f>
        <v/>
      </c>
      <c r="O1842" s="8">
        <f>HYPERLINK("https://ictv.global/id/ICTV19910700","ICTV19910700@prod")</f>
        <v/>
      </c>
    </row>
    <row r="1843">
      <c r="A1843" t="n">
        <v>24</v>
      </c>
      <c r="B1843" t="n">
        <v>20083201</v>
      </c>
      <c r="C1843" t="n">
        <v>20083201</v>
      </c>
      <c r="D1843" t="inlineStr">
        <is>
          <t>species</t>
        </is>
      </c>
      <c r="E1843" t="inlineStr">
        <is>
          <t>Duck coronavirus</t>
        </is>
      </c>
      <c r="G1843" t="inlineStr">
        <is>
          <t>Merged,Moved,Assigned as Type Species,</t>
        </is>
      </c>
      <c r="H1843" t="inlineStr">
        <is>
          <t>Avian coronavirus</t>
        </is>
      </c>
      <c r="I1843" t="inlineStr">
        <is>
          <t>species</t>
        </is>
      </c>
      <c r="J1843" t="n">
        <v>20093530</v>
      </c>
      <c r="K1843" t="n">
        <v>20093530</v>
      </c>
      <c r="L1843" s="8">
        <f>HYPERLINK("https://test.ictv.global/id/TN20083201","TN20083201@TEST")</f>
        <v/>
      </c>
      <c r="M1843" s="8">
        <f>HYPERLINK("https://test.ictv.global/id/ICTV20083201","ICTV20083201@TEST")</f>
        <v/>
      </c>
      <c r="N1843" s="8">
        <f>HYPERLINK("https://ictv.global/id/TN20083201","TN20083201@prod")</f>
        <v/>
      </c>
      <c r="O1843" s="8">
        <f>HYPERLINK("https://ictv.global/id/ICTV20083201","ICTV20083201@prod")</f>
        <v/>
      </c>
    </row>
    <row r="1844">
      <c r="A1844" t="n">
        <v>24</v>
      </c>
      <c r="B1844" t="n">
        <v>20083202</v>
      </c>
      <c r="C1844" t="n">
        <v>20083202</v>
      </c>
      <c r="D1844" t="inlineStr">
        <is>
          <t>species</t>
        </is>
      </c>
      <c r="E1844" t="inlineStr">
        <is>
          <t>Equine coronavirus</t>
        </is>
      </c>
      <c r="G1844" t="inlineStr">
        <is>
          <t>Merged,Moved,</t>
        </is>
      </c>
      <c r="H1844" t="inlineStr">
        <is>
          <t>Betacoronavirus 1</t>
        </is>
      </c>
      <c r="I1844" t="inlineStr">
        <is>
          <t>species</t>
        </is>
      </c>
      <c r="J1844" t="n">
        <v>20093523</v>
      </c>
      <c r="K1844" t="n">
        <v>20093523</v>
      </c>
      <c r="L1844" s="8">
        <f>HYPERLINK("https://test.ictv.global/id/TN20083202","TN20083202@TEST")</f>
        <v/>
      </c>
      <c r="M1844" s="8">
        <f>HYPERLINK("https://test.ictv.global/id/ICTV20083202","ICTV20083202@TEST")</f>
        <v/>
      </c>
      <c r="N1844" s="8">
        <f>HYPERLINK("https://ictv.global/id/TN20083202","TN20083202@prod")</f>
        <v/>
      </c>
      <c r="O1844" s="8">
        <f>HYPERLINK("https://ictv.global/id/ICTV20083202","ICTV20083202@prod")</f>
        <v/>
      </c>
    </row>
    <row r="1845">
      <c r="A1845" t="n">
        <v>24</v>
      </c>
      <c r="B1845" t="n">
        <v>20083203</v>
      </c>
      <c r="C1845" t="n">
        <v>19910701</v>
      </c>
      <c r="D1845" t="inlineStr">
        <is>
          <t>species</t>
        </is>
      </c>
      <c r="E1845" t="inlineStr">
        <is>
          <t>Feline coronavirus</t>
        </is>
      </c>
      <c r="G1845" t="inlineStr">
        <is>
          <t>Merged,Moved,Assigned as Type Species,</t>
        </is>
      </c>
      <c r="H1845" t="inlineStr">
        <is>
          <t>Alphacoronavirus 1</t>
        </is>
      </c>
      <c r="I1845" t="inlineStr">
        <is>
          <t>species</t>
        </is>
      </c>
      <c r="J1845" t="n">
        <v>20093515</v>
      </c>
      <c r="K1845" t="n">
        <v>20093515</v>
      </c>
      <c r="L1845" s="8">
        <f>HYPERLINK("https://test.ictv.global/id/TN20083203","TN20083203@TEST")</f>
        <v/>
      </c>
      <c r="M1845" s="8">
        <f>HYPERLINK("https://test.ictv.global/id/ICTV19910701","ICTV19910701@TEST")</f>
        <v/>
      </c>
      <c r="N1845" s="8">
        <f>HYPERLINK("https://ictv.global/id/TN20083203","TN20083203@prod")</f>
        <v/>
      </c>
      <c r="O1845" s="8">
        <f>HYPERLINK("https://ictv.global/id/ICTV19910701","ICTV19910701@prod")</f>
        <v/>
      </c>
    </row>
    <row r="1846">
      <c r="A1846" t="n">
        <v>24</v>
      </c>
      <c r="B1846" t="n">
        <v>20083204</v>
      </c>
      <c r="C1846" t="n">
        <v>20083204</v>
      </c>
      <c r="D1846" t="inlineStr">
        <is>
          <t>species</t>
        </is>
      </c>
      <c r="E1846" t="inlineStr">
        <is>
          <t>Goose coronavirus</t>
        </is>
      </c>
      <c r="G1846" t="inlineStr">
        <is>
          <t>Merged,Moved,Assigned as Type Species,</t>
        </is>
      </c>
      <c r="H1846" t="inlineStr">
        <is>
          <t>Avian coronavirus</t>
        </is>
      </c>
      <c r="I1846" t="inlineStr">
        <is>
          <t>species</t>
        </is>
      </c>
      <c r="J1846" t="n">
        <v>20093530</v>
      </c>
      <c r="K1846" t="n">
        <v>20093530</v>
      </c>
      <c r="L1846" s="8">
        <f>HYPERLINK("https://test.ictv.global/id/TN20083204","TN20083204@TEST")</f>
        <v/>
      </c>
      <c r="M1846" s="8">
        <f>HYPERLINK("https://test.ictv.global/id/ICTV20083204","ICTV20083204@TEST")</f>
        <v/>
      </c>
      <c r="N1846" s="8">
        <f>HYPERLINK("https://ictv.global/id/TN20083204","TN20083204@prod")</f>
        <v/>
      </c>
      <c r="O1846" s="8">
        <f>HYPERLINK("https://ictv.global/id/ICTV20083204","ICTV20083204@prod")</f>
        <v/>
      </c>
    </row>
    <row r="1847">
      <c r="A1847" t="n">
        <v>24</v>
      </c>
      <c r="B1847" t="n">
        <v>20083208</v>
      </c>
      <c r="C1847" t="n">
        <v>19950875</v>
      </c>
      <c r="D1847" t="inlineStr">
        <is>
          <t>species</t>
        </is>
      </c>
      <c r="E1847" t="inlineStr">
        <is>
          <t>Human coronavirus OC43</t>
        </is>
      </c>
      <c r="G1847" t="inlineStr">
        <is>
          <t>Merged,Moved,</t>
        </is>
      </c>
      <c r="H1847" t="inlineStr">
        <is>
          <t>Betacoronavirus 1</t>
        </is>
      </c>
      <c r="I1847" t="inlineStr">
        <is>
          <t>species</t>
        </is>
      </c>
      <c r="J1847" t="n">
        <v>20093523</v>
      </c>
      <c r="K1847" t="n">
        <v>20093523</v>
      </c>
      <c r="L1847" s="8">
        <f>HYPERLINK("https://test.ictv.global/id/TN20083208","TN20083208@TEST")</f>
        <v/>
      </c>
      <c r="M1847" s="8">
        <f>HYPERLINK("https://test.ictv.global/id/ICTV19950875","ICTV19950875@TEST")</f>
        <v/>
      </c>
      <c r="N1847" s="8">
        <f>HYPERLINK("https://ictv.global/id/TN20083208","TN20083208@prod")</f>
        <v/>
      </c>
      <c r="O1847" s="8">
        <f>HYPERLINK("https://ictv.global/id/ICTV19950875","ICTV19950875@prod")</f>
        <v/>
      </c>
    </row>
    <row r="1848">
      <c r="A1848" t="n">
        <v>24</v>
      </c>
      <c r="B1848" t="n">
        <v>20083209</v>
      </c>
      <c r="C1848" t="n">
        <v>20073123</v>
      </c>
      <c r="D1848" t="inlineStr">
        <is>
          <t>species</t>
        </is>
      </c>
      <c r="E1848" t="inlineStr">
        <is>
          <t>Human enteric coronavirus</t>
        </is>
      </c>
      <c r="G1848" t="inlineStr">
        <is>
          <t>Merged,Moved,</t>
        </is>
      </c>
      <c r="H1848" t="inlineStr">
        <is>
          <t>Betacoronavirus 1</t>
        </is>
      </c>
      <c r="I1848" t="inlineStr">
        <is>
          <t>species</t>
        </is>
      </c>
      <c r="J1848" t="n">
        <v>20093523</v>
      </c>
      <c r="K1848" t="n">
        <v>20093523</v>
      </c>
      <c r="L1848" s="8">
        <f>HYPERLINK("https://test.ictv.global/id/TN20083209","TN20083209@TEST")</f>
        <v/>
      </c>
      <c r="M1848" s="8">
        <f>HYPERLINK("https://test.ictv.global/id/ICTV20073123","ICTV20073123@TEST")</f>
        <v/>
      </c>
      <c r="N1848" s="8">
        <f>HYPERLINK("https://ictv.global/id/TN20083209","TN20083209@prod")</f>
        <v/>
      </c>
      <c r="O1848" s="8">
        <f>HYPERLINK("https://ictv.global/id/ICTV20073123","ICTV20073123@prod")</f>
        <v/>
      </c>
    </row>
    <row r="1849">
      <c r="A1849" t="n">
        <v>24</v>
      </c>
      <c r="B1849" t="n">
        <v>20083210</v>
      </c>
      <c r="C1849" t="n">
        <v>19710155</v>
      </c>
      <c r="D1849" t="inlineStr">
        <is>
          <t>species</t>
        </is>
      </c>
      <c r="E1849" t="inlineStr">
        <is>
          <t>Infectious bronchitis virus</t>
        </is>
      </c>
      <c r="G1849" t="inlineStr">
        <is>
          <t>Merged,Moved,</t>
        </is>
      </c>
      <c r="H1849" t="inlineStr">
        <is>
          <t>Avian coronavirus</t>
        </is>
      </c>
      <c r="I1849" t="inlineStr">
        <is>
          <t>species</t>
        </is>
      </c>
      <c r="J1849" t="n">
        <v>20093530</v>
      </c>
      <c r="K1849" t="n">
        <v>20093530</v>
      </c>
      <c r="L1849" s="8">
        <f>HYPERLINK("https://test.ictv.global/id/TN20083210","TN20083210@TEST")</f>
        <v/>
      </c>
      <c r="M1849" s="8">
        <f>HYPERLINK("https://test.ictv.global/id/ICTV19710155","ICTV19710155@TEST")</f>
        <v/>
      </c>
      <c r="N1849" s="8">
        <f>HYPERLINK("https://ictv.global/id/TN20083210","TN20083210@prod")</f>
        <v/>
      </c>
      <c r="O1849" s="8">
        <f>HYPERLINK("https://ictv.global/id/ICTV19710155","ICTV19710155@prod")</f>
        <v/>
      </c>
    </row>
    <row r="1850">
      <c r="A1850" t="n">
        <v>24</v>
      </c>
      <c r="B1850" t="n">
        <v>20083211</v>
      </c>
      <c r="C1850" t="n">
        <v>19710157</v>
      </c>
      <c r="D1850" t="inlineStr">
        <is>
          <t>species</t>
        </is>
      </c>
      <c r="E1850" t="inlineStr">
        <is>
          <t>Murine hepatitis virus</t>
        </is>
      </c>
      <c r="G1850" t="inlineStr">
        <is>
          <t>Merged,Moved,Assigned as Type Species,</t>
        </is>
      </c>
      <c r="H1850" t="inlineStr">
        <is>
          <t>Murine coronavirus</t>
        </is>
      </c>
      <c r="I1850" t="inlineStr">
        <is>
          <t>species</t>
        </is>
      </c>
      <c r="J1850" t="n">
        <v>20093525</v>
      </c>
      <c r="K1850" t="n">
        <v>20093525</v>
      </c>
      <c r="L1850" s="8">
        <f>HYPERLINK("https://test.ictv.global/id/TN20083211","TN20083211@TEST")</f>
        <v/>
      </c>
      <c r="M1850" s="8">
        <f>HYPERLINK("https://test.ictv.global/id/ICTV19710157","ICTV19710157@TEST")</f>
        <v/>
      </c>
      <c r="N1850" s="8">
        <f>HYPERLINK("https://ictv.global/id/TN20083211","TN20083211@prod")</f>
        <v/>
      </c>
      <c r="O1850" s="8">
        <f>HYPERLINK("https://ictv.global/id/ICTV19710157","ICTV19710157@prod")</f>
        <v/>
      </c>
    </row>
    <row r="1851">
      <c r="A1851" t="n">
        <v>24</v>
      </c>
      <c r="B1851" t="n">
        <v>20083212</v>
      </c>
      <c r="C1851" t="n">
        <v>20073126</v>
      </c>
      <c r="D1851" t="inlineStr">
        <is>
          <t>species</t>
        </is>
      </c>
      <c r="E1851" t="inlineStr">
        <is>
          <t>Pheasant coronavirus</t>
        </is>
      </c>
      <c r="G1851" t="inlineStr">
        <is>
          <t>Merged,Moved,Assigned as Type Species,</t>
        </is>
      </c>
      <c r="H1851" t="inlineStr">
        <is>
          <t>Avian coronavirus</t>
        </is>
      </c>
      <c r="I1851" t="inlineStr">
        <is>
          <t>species</t>
        </is>
      </c>
      <c r="J1851" t="n">
        <v>20093530</v>
      </c>
      <c r="K1851" t="n">
        <v>20093530</v>
      </c>
      <c r="L1851" s="8">
        <f>HYPERLINK("https://test.ictv.global/id/TN20083212","TN20083212@TEST")</f>
        <v/>
      </c>
      <c r="M1851" s="8">
        <f>HYPERLINK("https://test.ictv.global/id/ICTV20073126","ICTV20073126@TEST")</f>
        <v/>
      </c>
      <c r="N1851" s="8">
        <f>HYPERLINK("https://ictv.global/id/TN20083212","TN20083212@prod")</f>
        <v/>
      </c>
      <c r="O1851" s="8">
        <f>HYPERLINK("https://ictv.global/id/ICTV20073126","ICTV20073126@prod")</f>
        <v/>
      </c>
    </row>
    <row r="1852">
      <c r="A1852" t="n">
        <v>24</v>
      </c>
      <c r="B1852" t="n">
        <v>20083213</v>
      </c>
      <c r="C1852" t="n">
        <v>20083213</v>
      </c>
      <c r="D1852" t="inlineStr">
        <is>
          <t>species</t>
        </is>
      </c>
      <c r="E1852" t="inlineStr">
        <is>
          <t>Pigeon coronavirus</t>
        </is>
      </c>
      <c r="G1852" t="inlineStr">
        <is>
          <t>Merged,Moved,Assigned as Type Species,</t>
        </is>
      </c>
      <c r="H1852" t="inlineStr">
        <is>
          <t>Avian coronavirus</t>
        </is>
      </c>
      <c r="I1852" t="inlineStr">
        <is>
          <t>species</t>
        </is>
      </c>
      <c r="J1852" t="n">
        <v>20093530</v>
      </c>
      <c r="K1852" t="n">
        <v>20093530</v>
      </c>
      <c r="L1852" s="8">
        <f>HYPERLINK("https://test.ictv.global/id/TN20083213","TN20083213@TEST")</f>
        <v/>
      </c>
      <c r="M1852" s="8">
        <f>HYPERLINK("https://test.ictv.global/id/ICTV20083213","ICTV20083213@TEST")</f>
        <v/>
      </c>
      <c r="N1852" s="8">
        <f>HYPERLINK("https://ictv.global/id/TN20083213","TN20083213@prod")</f>
        <v/>
      </c>
      <c r="O1852" s="8">
        <f>HYPERLINK("https://ictv.global/id/ICTV20083213","ICTV20083213@prod")</f>
        <v/>
      </c>
    </row>
    <row r="1853">
      <c r="A1853" t="n">
        <v>24</v>
      </c>
      <c r="B1853" t="n">
        <v>20083215</v>
      </c>
      <c r="C1853" t="n">
        <v>19760229</v>
      </c>
      <c r="D1853" t="inlineStr">
        <is>
          <t>species</t>
        </is>
      </c>
      <c r="E1853" t="inlineStr">
        <is>
          <t>Porcine hemagglutinating encephalomyelitis virus</t>
        </is>
      </c>
      <c r="G1853" t="inlineStr">
        <is>
          <t>Merged,Moved,</t>
        </is>
      </c>
      <c r="H1853" t="inlineStr">
        <is>
          <t>Betacoronavirus 1</t>
        </is>
      </c>
      <c r="I1853" t="inlineStr">
        <is>
          <t>species</t>
        </is>
      </c>
      <c r="J1853" t="n">
        <v>20093523</v>
      </c>
      <c r="K1853" t="n">
        <v>20093523</v>
      </c>
      <c r="L1853" s="8">
        <f>HYPERLINK("https://test.ictv.global/id/TN20083215","TN20083215@TEST")</f>
        <v/>
      </c>
      <c r="M1853" s="8">
        <f>HYPERLINK("https://test.ictv.global/id/ICTV19760229","ICTV19760229@TEST")</f>
        <v/>
      </c>
      <c r="N1853" s="8">
        <f>HYPERLINK("https://ictv.global/id/TN20083215","TN20083215@prod")</f>
        <v/>
      </c>
      <c r="O1853" s="8">
        <f>HYPERLINK("https://ictv.global/id/ICTV19760229","ICTV19760229@prod")</f>
        <v/>
      </c>
    </row>
    <row r="1854">
      <c r="A1854" t="n">
        <v>24</v>
      </c>
      <c r="B1854" t="n">
        <v>20083216</v>
      </c>
      <c r="C1854" t="n">
        <v>20073129</v>
      </c>
      <c r="D1854" t="inlineStr">
        <is>
          <t>species</t>
        </is>
      </c>
      <c r="E1854" t="inlineStr">
        <is>
          <t>Puffinosis coronavirus</t>
        </is>
      </c>
      <c r="G1854" t="inlineStr">
        <is>
          <t>Merged,Moved,Assigned as Type Species,</t>
        </is>
      </c>
      <c r="H1854" t="inlineStr">
        <is>
          <t>Murine coronavirus</t>
        </is>
      </c>
      <c r="I1854" t="inlineStr">
        <is>
          <t>species</t>
        </is>
      </c>
      <c r="J1854" t="n">
        <v>20093525</v>
      </c>
      <c r="K1854" t="n">
        <v>20093525</v>
      </c>
      <c r="L1854" s="8">
        <f>HYPERLINK("https://test.ictv.global/id/TN20083216","TN20083216@TEST")</f>
        <v/>
      </c>
      <c r="M1854" s="8">
        <f>HYPERLINK("https://test.ictv.global/id/ICTV20073129","ICTV20073129@TEST")</f>
        <v/>
      </c>
      <c r="N1854" s="8">
        <f>HYPERLINK("https://ictv.global/id/TN20083216","TN20083216@prod")</f>
        <v/>
      </c>
      <c r="O1854" s="8">
        <f>HYPERLINK("https://ictv.global/id/ICTV20073129","ICTV20073129@prod")</f>
        <v/>
      </c>
    </row>
    <row r="1855">
      <c r="A1855" t="n">
        <v>24</v>
      </c>
      <c r="B1855" t="n">
        <v>20083217</v>
      </c>
      <c r="C1855" t="n">
        <v>19950880</v>
      </c>
      <c r="D1855" t="inlineStr">
        <is>
          <t>species</t>
        </is>
      </c>
      <c r="E1855" t="inlineStr">
        <is>
          <t>Rat coronavirus</t>
        </is>
      </c>
      <c r="G1855" t="inlineStr">
        <is>
          <t>Merged,Moved,Assigned as Type Species,</t>
        </is>
      </c>
      <c r="H1855" t="inlineStr">
        <is>
          <t>Murine coronavirus</t>
        </is>
      </c>
      <c r="I1855" t="inlineStr">
        <is>
          <t>species</t>
        </is>
      </c>
      <c r="J1855" t="n">
        <v>20093525</v>
      </c>
      <c r="K1855" t="n">
        <v>20093525</v>
      </c>
      <c r="L1855" s="8">
        <f>HYPERLINK("https://test.ictv.global/id/TN20083217","TN20083217@TEST")</f>
        <v/>
      </c>
      <c r="M1855" s="8">
        <f>HYPERLINK("https://test.ictv.global/id/ICTV19950880","ICTV19950880@TEST")</f>
        <v/>
      </c>
      <c r="N1855" s="8">
        <f>HYPERLINK("https://ictv.global/id/TN20083217","TN20083217@prod")</f>
        <v/>
      </c>
      <c r="O1855" s="8">
        <f>HYPERLINK("https://ictv.global/id/ICTV19950880","ICTV19950880@prod")</f>
        <v/>
      </c>
    </row>
    <row r="1856">
      <c r="A1856" t="n">
        <v>24</v>
      </c>
      <c r="B1856" t="n">
        <v>20083219</v>
      </c>
      <c r="C1856" t="n">
        <v>19710158</v>
      </c>
      <c r="D1856" t="inlineStr">
        <is>
          <t>species</t>
        </is>
      </c>
      <c r="E1856" t="inlineStr">
        <is>
          <t>Transmissible gastroenteritis virus</t>
        </is>
      </c>
      <c r="G1856" t="inlineStr">
        <is>
          <t>Merged,Moved,Assigned as Type Species,</t>
        </is>
      </c>
      <c r="H1856" t="inlineStr">
        <is>
          <t>Alphacoronavirus 1</t>
        </is>
      </c>
      <c r="I1856" t="inlineStr">
        <is>
          <t>species</t>
        </is>
      </c>
      <c r="J1856" t="n">
        <v>20093515</v>
      </c>
      <c r="K1856" t="n">
        <v>20093515</v>
      </c>
      <c r="L1856" s="8">
        <f>HYPERLINK("https://test.ictv.global/id/TN20083219","TN20083219@TEST")</f>
        <v/>
      </c>
      <c r="M1856" s="8">
        <f>HYPERLINK("https://test.ictv.global/id/ICTV19710158","ICTV19710158@TEST")</f>
        <v/>
      </c>
      <c r="N1856" s="8">
        <f>HYPERLINK("https://ictv.global/id/TN20083219","TN20083219@prod")</f>
        <v/>
      </c>
      <c r="O1856" s="8">
        <f>HYPERLINK("https://ictv.global/id/ICTV19710158","ICTV19710158@prod")</f>
        <v/>
      </c>
    </row>
    <row r="1857">
      <c r="A1857" t="n">
        <v>24</v>
      </c>
      <c r="B1857" t="n">
        <v>20083220</v>
      </c>
      <c r="C1857" t="n">
        <v>19910706</v>
      </c>
      <c r="D1857" t="inlineStr">
        <is>
          <t>species</t>
        </is>
      </c>
      <c r="E1857" t="inlineStr">
        <is>
          <t>Turkey coronavirus</t>
        </is>
      </c>
      <c r="G1857" t="inlineStr">
        <is>
          <t>Merged,Moved,Assigned as Type Species,</t>
        </is>
      </c>
      <c r="H1857" t="inlineStr">
        <is>
          <t>Avian coronavirus</t>
        </is>
      </c>
      <c r="I1857" t="inlineStr">
        <is>
          <t>species</t>
        </is>
      </c>
      <c r="J1857" t="n">
        <v>20093530</v>
      </c>
      <c r="K1857" t="n">
        <v>20093530</v>
      </c>
      <c r="L1857" s="8">
        <f>HYPERLINK("https://test.ictv.global/id/TN20083220","TN20083220@TEST")</f>
        <v/>
      </c>
      <c r="M1857" s="8">
        <f>HYPERLINK("https://test.ictv.global/id/ICTV19910706","ICTV19910706@TEST")</f>
        <v/>
      </c>
      <c r="N1857" s="8">
        <f>HYPERLINK("https://ictv.global/id/TN20083220","TN20083220@prod")</f>
        <v/>
      </c>
      <c r="O1857" s="8">
        <f>HYPERLINK("https://ictv.global/id/ICTV19910706","ICTV19910706@prod")</f>
        <v/>
      </c>
    </row>
    <row r="1858">
      <c r="A1858" t="n">
        <v>24</v>
      </c>
      <c r="B1858" t="n">
        <v>20084520</v>
      </c>
      <c r="C1858" t="n">
        <v>20094569</v>
      </c>
      <c r="D1858" t="inlineStr">
        <is>
          <t>species</t>
        </is>
      </c>
      <c r="E1858" t="inlineStr">
        <is>
          <t>Freesia mosaic virus</t>
        </is>
      </c>
      <c r="F1858" t="inlineStr">
        <is>
          <t>FM206346</t>
        </is>
      </c>
      <c r="G1858" t="inlineStr">
        <is>
          <t>Merged,</t>
        </is>
      </c>
      <c r="H1858" t="inlineStr">
        <is>
          <t>Freesia mosaic virus</t>
        </is>
      </c>
      <c r="I1858" t="inlineStr">
        <is>
          <t>species</t>
        </is>
      </c>
      <c r="J1858" t="n">
        <v>20094569</v>
      </c>
      <c r="K1858" t="n">
        <v>20094569</v>
      </c>
      <c r="L1858" s="8">
        <f>HYPERLINK("https://test.ictv.global/id/TN20084520","TN20084520@TEST")</f>
        <v/>
      </c>
      <c r="M1858" s="8">
        <f>HYPERLINK("https://test.ictv.global/id/ICTV20094569","ICTV20094569@TEST")</f>
        <v/>
      </c>
      <c r="N1858" s="8">
        <f>HYPERLINK("https://ictv.global/id/TN20084520","TN20084520@prod")</f>
        <v/>
      </c>
      <c r="O1858" s="8">
        <f>HYPERLINK("https://ictv.global/id/ICTV20094569","ICTV20094569@prod")</f>
        <v/>
      </c>
    </row>
    <row r="1859">
      <c r="A1859" t="n">
        <v>24</v>
      </c>
      <c r="B1859" t="n">
        <v>20084582</v>
      </c>
      <c r="C1859" t="n">
        <v>20084582</v>
      </c>
      <c r="D1859" t="inlineStr">
        <is>
          <t>species</t>
        </is>
      </c>
      <c r="E1859" t="inlineStr">
        <is>
          <t>Spiranthes mosaic virus 2</t>
        </is>
      </c>
      <c r="G1859" t="inlineStr">
        <is>
          <t>Merged,</t>
        </is>
      </c>
      <c r="H1859" t="inlineStr">
        <is>
          <t>Freesia mosaic virus</t>
        </is>
      </c>
      <c r="I1859" t="inlineStr">
        <is>
          <t>species</t>
        </is>
      </c>
      <c r="J1859" t="n">
        <v>20094569</v>
      </c>
      <c r="K1859" t="n">
        <v>20094569</v>
      </c>
      <c r="L1859" s="8">
        <f>HYPERLINK("https://test.ictv.global/id/TN20084582","TN20084582@TEST")</f>
        <v/>
      </c>
      <c r="M1859" s="8">
        <f>HYPERLINK("https://test.ictv.global/id/ICTV20084582","ICTV20084582@TEST")</f>
        <v/>
      </c>
      <c r="N1859" s="8">
        <f>HYPERLINK("https://ictv.global/id/TN20084582","TN20084582@prod")</f>
        <v/>
      </c>
      <c r="O1859" s="8">
        <f>HYPERLINK("https://ictv.global/id/ICTV20084582","ICTV20084582@prod")</f>
        <v/>
      </c>
    </row>
    <row r="1860">
      <c r="A1860" t="n">
        <v>24</v>
      </c>
      <c r="B1860" t="n">
        <v>20085002</v>
      </c>
      <c r="C1860" t="n">
        <v>20040869</v>
      </c>
      <c r="D1860" t="inlineStr">
        <is>
          <t>species</t>
        </is>
      </c>
      <c r="E1860" t="inlineStr">
        <is>
          <t>Torque teno virus</t>
        </is>
      </c>
      <c r="G1860" t="inlineStr">
        <is>
          <t>Abolished,</t>
        </is>
      </c>
      <c r="L1860" s="8">
        <f>HYPERLINK("https://test.ictv.global/id/TN20085002","TN20085002@TEST")</f>
        <v/>
      </c>
      <c r="M1860" s="8">
        <f>HYPERLINK("https://test.ictv.global/id/ICTV20040869","ICTV20040869@TEST")</f>
        <v/>
      </c>
      <c r="N1860" s="8">
        <f>HYPERLINK("https://ictv.global/id/TN20085002","TN20085002@prod")</f>
        <v/>
      </c>
      <c r="O1860" s="8">
        <f>HYPERLINK("https://ictv.global/id/ICTV20040869","ICTV20040869@prod")</f>
        <v/>
      </c>
    </row>
    <row r="1861">
      <c r="A1861" t="n">
        <v>25</v>
      </c>
      <c r="B1861" t="n">
        <v>20093178</v>
      </c>
      <c r="C1861" t="n">
        <v>19990551</v>
      </c>
      <c r="D1861" t="inlineStr">
        <is>
          <t>species</t>
        </is>
      </c>
      <c r="E1861" t="inlineStr">
        <is>
          <t>Bovine astrovirus</t>
        </is>
      </c>
      <c r="G1861" t="inlineStr">
        <is>
          <t>Abolished,</t>
        </is>
      </c>
      <c r="L1861" s="8">
        <f>HYPERLINK("https://test.ictv.global/id/TN20093178","TN20093178@TEST")</f>
        <v/>
      </c>
      <c r="M1861" s="8">
        <f>HYPERLINK("https://test.ictv.global/id/ICTV19990551","ICTV19990551@TEST")</f>
        <v/>
      </c>
      <c r="N1861" s="8">
        <f>HYPERLINK("https://ictv.global/id/TN20093178","TN20093178@prod")</f>
        <v/>
      </c>
      <c r="O1861" s="8">
        <f>HYPERLINK("https://ictv.global/id/ICTV19990551","ICTV19990551@prod")</f>
        <v/>
      </c>
    </row>
    <row r="1862">
      <c r="A1862" t="n">
        <v>25</v>
      </c>
      <c r="B1862" t="n">
        <v>20093709</v>
      </c>
      <c r="C1862" t="n">
        <v>20083909</v>
      </c>
      <c r="D1862" t="inlineStr">
        <is>
          <t>species</t>
        </is>
      </c>
      <c r="E1862" t="inlineStr">
        <is>
          <t>Pepper leaf curl Pakistan virus</t>
        </is>
      </c>
      <c r="G1862" t="inlineStr">
        <is>
          <t>Abolished,</t>
        </is>
      </c>
      <c r="L1862" s="8">
        <f>HYPERLINK("https://test.ictv.global/id/TN20093709","TN20093709@TEST")</f>
        <v/>
      </c>
      <c r="M1862" s="8">
        <f>HYPERLINK("https://test.ictv.global/id/ICTV20083909","ICTV20083909@TEST")</f>
        <v/>
      </c>
      <c r="N1862" s="8">
        <f>HYPERLINK("https://ictv.global/id/TN20093709","TN20093709@prod")</f>
        <v/>
      </c>
      <c r="O1862" s="8">
        <f>HYPERLINK("https://ictv.global/id/ICTV20083909","ICTV20083909@prod")</f>
        <v/>
      </c>
    </row>
    <row r="1863">
      <c r="A1863" t="n">
        <v>25</v>
      </c>
      <c r="B1863" t="n">
        <v>20093745</v>
      </c>
      <c r="C1863" t="n">
        <v>20041182</v>
      </c>
      <c r="D1863" t="inlineStr">
        <is>
          <t>species</t>
        </is>
      </c>
      <c r="E1863" t="inlineStr">
        <is>
          <t>Squash yellow mild mottle virus</t>
        </is>
      </c>
      <c r="G1863" t="inlineStr">
        <is>
          <t>Abolished,</t>
        </is>
      </c>
      <c r="L1863" s="8">
        <f>HYPERLINK("https://test.ictv.global/id/TN20093745","TN20093745@TEST")</f>
        <v/>
      </c>
      <c r="M1863" s="8">
        <f>HYPERLINK("https://test.ictv.global/id/ICTV20041182","ICTV20041182@TEST")</f>
        <v/>
      </c>
      <c r="N1863" s="8">
        <f>HYPERLINK("https://ictv.global/id/TN20093745","TN20093745@prod")</f>
        <v/>
      </c>
      <c r="O1863" s="8">
        <f>HYPERLINK("https://ictv.global/id/ICTV20041182","ICTV20041182@prod")</f>
        <v/>
      </c>
    </row>
    <row r="1864">
      <c r="A1864" t="n">
        <v>25</v>
      </c>
      <c r="B1864" t="n">
        <v>20093773</v>
      </c>
      <c r="C1864" t="n">
        <v>20073756</v>
      </c>
      <c r="D1864" t="inlineStr">
        <is>
          <t>species</t>
        </is>
      </c>
      <c r="E1864" t="inlineStr">
        <is>
          <t>Tomato leaf curl Indonesia virus</t>
        </is>
      </c>
      <c r="G1864" t="inlineStr">
        <is>
          <t>Abolished,</t>
        </is>
      </c>
      <c r="L1864" s="8">
        <f>HYPERLINK("https://test.ictv.global/id/TN20093773","TN20093773@TEST")</f>
        <v/>
      </c>
      <c r="M1864" s="8">
        <f>HYPERLINK("https://test.ictv.global/id/ICTV20073756","ICTV20073756@TEST")</f>
        <v/>
      </c>
      <c r="N1864" s="8">
        <f>HYPERLINK("https://ictv.global/id/TN20093773","TN20093773@prod")</f>
        <v/>
      </c>
      <c r="O1864" s="8">
        <f>HYPERLINK("https://ictv.global/id/ICTV20073756","ICTV20073756@prod")</f>
        <v/>
      </c>
    </row>
    <row r="1865">
      <c r="A1865" t="n">
        <v>25</v>
      </c>
      <c r="B1865" t="n">
        <v>20093784</v>
      </c>
      <c r="C1865" t="n">
        <v>20083984</v>
      </c>
      <c r="D1865" t="inlineStr">
        <is>
          <t>species</t>
        </is>
      </c>
      <c r="E1865" t="inlineStr">
        <is>
          <t>Tomato leaf curl Pakistan virus</t>
        </is>
      </c>
      <c r="G1865" t="inlineStr">
        <is>
          <t>Abolished,</t>
        </is>
      </c>
      <c r="L1865" s="8">
        <f>HYPERLINK("https://test.ictv.global/id/TN20093784","TN20093784@TEST")</f>
        <v/>
      </c>
      <c r="M1865" s="8">
        <f>HYPERLINK("https://test.ictv.global/id/ICTV20083984","ICTV20083984@TEST")</f>
        <v/>
      </c>
      <c r="N1865" s="8">
        <f>HYPERLINK("https://ictv.global/id/TN20093784","TN20093784@prod")</f>
        <v/>
      </c>
      <c r="O1865" s="8">
        <f>HYPERLINK("https://ictv.global/id/ICTV20083984","ICTV20083984@prod")</f>
        <v/>
      </c>
    </row>
    <row r="1866">
      <c r="A1866" t="n">
        <v>25</v>
      </c>
      <c r="B1866" t="n">
        <v>20093895</v>
      </c>
      <c r="C1866" t="n">
        <v>19930938</v>
      </c>
      <c r="D1866" t="inlineStr">
        <is>
          <t>species</t>
        </is>
      </c>
      <c r="E1866" t="inlineStr">
        <is>
          <t>Human herpesvirus 6</t>
        </is>
      </c>
      <c r="G1866" t="inlineStr">
        <is>
          <t>Abolished,</t>
        </is>
      </c>
      <c r="L1866" s="8">
        <f>HYPERLINK("https://test.ictv.global/id/TN20093895","TN20093895@TEST")</f>
        <v/>
      </c>
      <c r="M1866" s="8">
        <f>HYPERLINK("https://test.ictv.global/id/ICTV19930938","ICTV19930938@TEST")</f>
        <v/>
      </c>
      <c r="N1866" s="8">
        <f>HYPERLINK("https://ictv.global/id/TN20093895","TN20093895@prod")</f>
        <v/>
      </c>
      <c r="O1866" s="8">
        <f>HYPERLINK("https://ictv.global/id/ICTV19930938","ICTV19930938@prod")</f>
        <v/>
      </c>
    </row>
    <row r="1867">
      <c r="A1867" t="n">
        <v>25</v>
      </c>
      <c r="B1867" t="n">
        <v>20094404</v>
      </c>
      <c r="C1867" t="n">
        <v>20094404</v>
      </c>
      <c r="D1867" t="inlineStr">
        <is>
          <t>species</t>
        </is>
      </c>
      <c r="E1867" t="inlineStr">
        <is>
          <t>44AHJD</t>
        </is>
      </c>
      <c r="G1867" t="inlineStr">
        <is>
          <t>Merged,Assigned as Type Species,</t>
        </is>
      </c>
      <c r="H1867" t="inlineStr">
        <is>
          <t>Staphylococcus phage 44AHJD</t>
        </is>
      </c>
      <c r="I1867" t="inlineStr">
        <is>
          <t>species</t>
        </is>
      </c>
      <c r="J1867" t="n">
        <v>20115339</v>
      </c>
      <c r="K1867" t="n">
        <v>20115339</v>
      </c>
      <c r="L1867" s="8">
        <f>HYPERLINK("https://test.ictv.global/id/TN20094404","TN20094404@TEST")</f>
        <v/>
      </c>
      <c r="M1867" s="8">
        <f>HYPERLINK("https://test.ictv.global/id/ICTV20094404","ICTV20094404@TEST")</f>
        <v/>
      </c>
      <c r="N1867" s="8">
        <f>HYPERLINK("https://ictv.global/id/TN20094404","TN20094404@prod")</f>
        <v/>
      </c>
      <c r="O1867" s="8">
        <f>HYPERLINK("https://ictv.global/id/ICTV20094404","ICTV20094404@prod")</f>
        <v/>
      </c>
    </row>
    <row r="1868">
      <c r="A1868" t="n">
        <v>25</v>
      </c>
      <c r="B1868" t="n">
        <v>20094405</v>
      </c>
      <c r="C1868" t="n">
        <v>20094405</v>
      </c>
      <c r="D1868" t="inlineStr">
        <is>
          <t>species</t>
        </is>
      </c>
      <c r="E1868" t="inlineStr">
        <is>
          <t>Staphylococcus phage AHJD</t>
        </is>
      </c>
      <c r="G1868" t="inlineStr">
        <is>
          <t>Merged,</t>
        </is>
      </c>
      <c r="H1868" t="inlineStr">
        <is>
          <t>Staphylococcus phage 44AHJD</t>
        </is>
      </c>
      <c r="I1868" t="inlineStr">
        <is>
          <t>species</t>
        </is>
      </c>
      <c r="J1868" t="n">
        <v>20115339</v>
      </c>
      <c r="K1868" t="n">
        <v>20115339</v>
      </c>
      <c r="L1868" s="8">
        <f>HYPERLINK("https://test.ictv.global/id/TN20094405","TN20094405@TEST")</f>
        <v/>
      </c>
      <c r="M1868" s="8">
        <f>HYPERLINK("https://test.ictv.global/id/ICTV20094405","ICTV20094405@TEST")</f>
        <v/>
      </c>
      <c r="N1868" s="8">
        <f>HYPERLINK("https://ictv.global/id/TN20094405","TN20094405@prod")</f>
        <v/>
      </c>
      <c r="O1868" s="8">
        <f>HYPERLINK("https://ictv.global/id/ICTV20094405","ICTV20094405@prod")</f>
        <v/>
      </c>
    </row>
    <row r="1869">
      <c r="A1869" t="n">
        <v>25</v>
      </c>
      <c r="B1869" t="n">
        <v>20095242</v>
      </c>
      <c r="C1869" t="n">
        <v>20042290</v>
      </c>
      <c r="D1869" t="inlineStr">
        <is>
          <t>species</t>
        </is>
      </c>
      <c r="E1869" t="inlineStr">
        <is>
          <t>Hawaiian rubus leaf curl virus</t>
        </is>
      </c>
      <c r="G1869" t="inlineStr">
        <is>
          <t>Abolished,</t>
        </is>
      </c>
      <c r="L1869" s="8">
        <f>HYPERLINK("https://test.ictv.global/id/TN20095242","TN20095242@TEST")</f>
        <v/>
      </c>
      <c r="M1869" s="8">
        <f>HYPERLINK("https://test.ictv.global/id/ICTV20042290","ICTV20042290@TEST")</f>
        <v/>
      </c>
      <c r="N1869" s="8">
        <f>HYPERLINK("https://ictv.global/id/TN20095242","TN20095242@prod")</f>
        <v/>
      </c>
      <c r="O1869" s="8">
        <f>HYPERLINK("https://ictv.global/id/ICTV20042290","ICTV20042290@prod")</f>
        <v/>
      </c>
    </row>
    <row r="1870">
      <c r="A1870" t="n">
        <v>25</v>
      </c>
      <c r="B1870" t="n">
        <v>20095243</v>
      </c>
      <c r="C1870" t="n">
        <v>20042291</v>
      </c>
      <c r="D1870" t="inlineStr">
        <is>
          <t>species</t>
        </is>
      </c>
      <c r="E1870" t="inlineStr">
        <is>
          <t>Pigeonpea sterility mosaic virus</t>
        </is>
      </c>
      <c r="F1870" t="inlineStr">
        <is>
          <t>RNA1: HF568801; RNA2: HF568802; RNA3: HF568803; RNA4: HF568804; RNA5: HF945448</t>
        </is>
      </c>
      <c r="G1870" t="inlineStr">
        <is>
          <t>Abolished,</t>
        </is>
      </c>
      <c r="L1870" s="8">
        <f>HYPERLINK("https://test.ictv.global/id/TN20095243","TN20095243@TEST")</f>
        <v/>
      </c>
      <c r="M1870" s="8">
        <f>HYPERLINK("https://test.ictv.global/id/ICTV20042291","ICTV20042291@TEST")</f>
        <v/>
      </c>
      <c r="N1870" s="8">
        <f>HYPERLINK("https://ictv.global/id/TN20095243","TN20095243@prod")</f>
        <v/>
      </c>
      <c r="O1870" s="8">
        <f>HYPERLINK("https://ictv.global/id/ICTV20042291","ICTV20042291@prod")</f>
        <v/>
      </c>
    </row>
    <row r="1871">
      <c r="A1871" t="n">
        <v>25</v>
      </c>
      <c r="B1871" t="n">
        <v>20095301</v>
      </c>
      <c r="C1871" t="n">
        <v>20041469</v>
      </c>
      <c r="D1871" t="inlineStr">
        <is>
          <t>species</t>
        </is>
      </c>
      <c r="E1871" t="inlineStr">
        <is>
          <t>Human papillomavirus 71</t>
        </is>
      </c>
      <c r="G1871" t="inlineStr">
        <is>
          <t>Merged,</t>
        </is>
      </c>
      <c r="H1871" t="inlineStr">
        <is>
          <t>Alphapapillomavirus 14</t>
        </is>
      </c>
      <c r="I1871" t="inlineStr">
        <is>
          <t>species</t>
        </is>
      </c>
      <c r="J1871" t="n">
        <v>20115553</v>
      </c>
      <c r="K1871" t="n">
        <v>20115553</v>
      </c>
      <c r="L1871" s="8">
        <f>HYPERLINK("https://test.ictv.global/id/TN20095301","TN20095301@TEST")</f>
        <v/>
      </c>
      <c r="M1871" s="8">
        <f>HYPERLINK("https://test.ictv.global/id/ICTV20041469","ICTV20041469@TEST")</f>
        <v/>
      </c>
      <c r="N1871" s="8">
        <f>HYPERLINK("https://ictv.global/id/TN20095301","TN20095301@prod")</f>
        <v/>
      </c>
      <c r="O1871" s="8">
        <f>HYPERLINK("https://ictv.global/id/ICTV20041469","ICTV20041469@prod")</f>
        <v/>
      </c>
    </row>
    <row r="1872">
      <c r="A1872" t="n">
        <v>25</v>
      </c>
      <c r="B1872" t="n">
        <v>20095302</v>
      </c>
      <c r="C1872" t="n">
        <v>20041470</v>
      </c>
      <c r="D1872" t="inlineStr">
        <is>
          <t>species</t>
        </is>
      </c>
      <c r="E1872" t="inlineStr">
        <is>
          <t>Human papillomavirus cand90</t>
        </is>
      </c>
      <c r="G1872" t="inlineStr">
        <is>
          <t>Merged,</t>
        </is>
      </c>
      <c r="H1872" t="inlineStr">
        <is>
          <t>Alphapapillomavirus 14</t>
        </is>
      </c>
      <c r="I1872" t="inlineStr">
        <is>
          <t>species</t>
        </is>
      </c>
      <c r="J1872" t="n">
        <v>20115553</v>
      </c>
      <c r="K1872" t="n">
        <v>20115553</v>
      </c>
      <c r="L1872" s="8">
        <f>HYPERLINK("https://test.ictv.global/id/TN20095302","TN20095302@TEST")</f>
        <v/>
      </c>
      <c r="M1872" s="8">
        <f>HYPERLINK("https://test.ictv.global/id/ICTV20041470","ICTV20041470@TEST")</f>
        <v/>
      </c>
      <c r="N1872" s="8">
        <f>HYPERLINK("https://ictv.global/id/TN20095302","TN20095302@prod")</f>
        <v/>
      </c>
      <c r="O1872" s="8">
        <f>HYPERLINK("https://ictv.global/id/ICTV20041470","ICTV20041470@prod")</f>
        <v/>
      </c>
    </row>
    <row r="1873">
      <c r="A1873" t="n">
        <v>26</v>
      </c>
      <c r="B1873" t="n">
        <v>20111341</v>
      </c>
      <c r="C1873" t="n">
        <v>19710046</v>
      </c>
      <c r="D1873" t="inlineStr">
        <is>
          <t>genus</t>
        </is>
      </c>
      <c r="E1873" t="inlineStr">
        <is>
          <t>Necrovirus</t>
        </is>
      </c>
      <c r="G1873" t="inlineStr">
        <is>
          <t>Split,</t>
        </is>
      </c>
      <c r="H1873" t="inlineStr">
        <is>
          <t>Alphanecrovirus</t>
        </is>
      </c>
      <c r="I1873" t="inlineStr">
        <is>
          <t>genus</t>
        </is>
      </c>
      <c r="J1873" t="n">
        <v>20125728</v>
      </c>
      <c r="K1873" t="n">
        <v>20125728</v>
      </c>
      <c r="L1873" s="8">
        <f>HYPERLINK("https://test.ictv.global/id/TN20111341","TN20111341@TEST")</f>
        <v/>
      </c>
      <c r="M1873" s="8">
        <f>HYPERLINK("https://test.ictv.global/id/ICTV19710046","ICTV19710046@TEST")</f>
        <v/>
      </c>
      <c r="N1873" s="8">
        <f>HYPERLINK("https://ictv.global/id/TN20111341","TN20111341@prod")</f>
        <v/>
      </c>
      <c r="O1873" s="8">
        <f>HYPERLINK("https://ictv.global/id/ICTV19710046","ICTV19710046@prod")</f>
        <v/>
      </c>
    </row>
    <row r="1874">
      <c r="A1874" t="n">
        <v>26</v>
      </c>
      <c r="B1874" t="n">
        <v>20111341</v>
      </c>
      <c r="C1874" t="n">
        <v>19710046</v>
      </c>
      <c r="D1874" t="inlineStr">
        <is>
          <t>genus</t>
        </is>
      </c>
      <c r="E1874" t="inlineStr">
        <is>
          <t>Necrovirus</t>
        </is>
      </c>
      <c r="G1874" t="inlineStr">
        <is>
          <t>Split,</t>
        </is>
      </c>
      <c r="H1874" t="inlineStr">
        <is>
          <t>Betanecrovirus</t>
        </is>
      </c>
      <c r="I1874" t="inlineStr">
        <is>
          <t>genus</t>
        </is>
      </c>
      <c r="J1874" t="n">
        <v>20125729</v>
      </c>
      <c r="K1874" t="n">
        <v>20125729</v>
      </c>
      <c r="L1874" s="8">
        <f>HYPERLINK("https://test.ictv.global/id/TN20111341","TN20111341@TEST")</f>
        <v/>
      </c>
      <c r="M1874" s="8">
        <f>HYPERLINK("https://test.ictv.global/id/ICTV19710046","ICTV19710046@TEST")</f>
        <v/>
      </c>
      <c r="N1874" s="8">
        <f>HYPERLINK("https://ictv.global/id/TN20111341","TN20111341@prod")</f>
        <v/>
      </c>
      <c r="O1874" s="8">
        <f>HYPERLINK("https://ictv.global/id/ICTV19710046","ICTV19710046@prod")</f>
        <v/>
      </c>
    </row>
    <row r="1875">
      <c r="A1875" t="n">
        <v>26</v>
      </c>
      <c r="B1875" t="n">
        <v>20113261</v>
      </c>
      <c r="C1875" t="n">
        <v>20083756</v>
      </c>
      <c r="D1875" t="inlineStr">
        <is>
          <t>species</t>
        </is>
      </c>
      <c r="E1875" t="inlineStr">
        <is>
          <t>Narcissus symptomless virus</t>
        </is>
      </c>
      <c r="G1875" t="inlineStr">
        <is>
          <t>Abolished,</t>
        </is>
      </c>
      <c r="L1875" s="8">
        <f>HYPERLINK("https://test.ictv.global/id/TN20113261","TN20113261@TEST")</f>
        <v/>
      </c>
      <c r="M1875" s="8">
        <f>HYPERLINK("https://test.ictv.global/id/ICTV20083756","ICTV20083756@TEST")</f>
        <v/>
      </c>
      <c r="N1875" s="8">
        <f>HYPERLINK("https://ictv.global/id/TN20113261","TN20113261@prod")</f>
        <v/>
      </c>
      <c r="O1875" s="8">
        <f>HYPERLINK("https://ictv.global/id/ICTV20083756","ICTV20083756@prod")</f>
        <v/>
      </c>
    </row>
    <row r="1876">
      <c r="A1876" t="n">
        <v>26</v>
      </c>
      <c r="B1876" t="n">
        <v>20113487</v>
      </c>
      <c r="C1876" t="n">
        <v>20073432</v>
      </c>
      <c r="D1876" t="inlineStr">
        <is>
          <t>species</t>
        </is>
      </c>
      <c r="E1876" t="inlineStr">
        <is>
          <t>Grapevine leafroll-associated virus 5</t>
        </is>
      </c>
      <c r="G1876" t="inlineStr">
        <is>
          <t>Abolished,</t>
        </is>
      </c>
      <c r="L1876" s="8">
        <f>HYPERLINK("https://test.ictv.global/id/TN20113487","TN20113487@TEST")</f>
        <v/>
      </c>
      <c r="M1876" s="8">
        <f>HYPERLINK("https://test.ictv.global/id/ICTV20073432","ICTV20073432@TEST")</f>
        <v/>
      </c>
      <c r="N1876" s="8">
        <f>HYPERLINK("https://ictv.global/id/TN20113487","TN20113487@prod")</f>
        <v/>
      </c>
      <c r="O1876" s="8">
        <f>HYPERLINK("https://ictv.global/id/ICTV20073432","ICTV20073432@prod")</f>
        <v/>
      </c>
    </row>
    <row r="1877">
      <c r="A1877" t="n">
        <v>26</v>
      </c>
      <c r="B1877" t="n">
        <v>20113821</v>
      </c>
      <c r="C1877" t="n">
        <v>20021017</v>
      </c>
      <c r="D1877" t="inlineStr">
        <is>
          <t>species</t>
        </is>
      </c>
      <c r="E1877" t="inlineStr">
        <is>
          <t>Beet mild curly top virus</t>
        </is>
      </c>
      <c r="G1877" t="inlineStr">
        <is>
          <t>Abolished,</t>
        </is>
      </c>
      <c r="L1877" s="8">
        <f>HYPERLINK("https://test.ictv.global/id/TN20113821","TN20113821@TEST")</f>
        <v/>
      </c>
      <c r="M1877" s="8">
        <f>HYPERLINK("https://test.ictv.global/id/ICTV20021017","ICTV20021017@TEST")</f>
        <v/>
      </c>
      <c r="N1877" s="8">
        <f>HYPERLINK("https://ictv.global/id/TN20113821","TN20113821@prod")</f>
        <v/>
      </c>
      <c r="O1877" s="8">
        <f>HYPERLINK("https://ictv.global/id/ICTV20021017","ICTV20021017@prod")</f>
        <v/>
      </c>
    </row>
    <row r="1878">
      <c r="A1878" t="n">
        <v>26</v>
      </c>
      <c r="B1878" t="n">
        <v>20113822</v>
      </c>
      <c r="C1878" t="n">
        <v>20021018</v>
      </c>
      <c r="D1878" t="inlineStr">
        <is>
          <t>species</t>
        </is>
      </c>
      <c r="E1878" t="inlineStr">
        <is>
          <t>Beet severe curly top virus</t>
        </is>
      </c>
      <c r="G1878" t="inlineStr">
        <is>
          <t>Abolished,</t>
        </is>
      </c>
      <c r="L1878" s="8">
        <f>HYPERLINK("https://test.ictv.global/id/TN20113822","TN20113822@TEST")</f>
        <v/>
      </c>
      <c r="M1878" s="8">
        <f>HYPERLINK("https://test.ictv.global/id/ICTV20021018","ICTV20021018@TEST")</f>
        <v/>
      </c>
      <c r="N1878" s="8">
        <f>HYPERLINK("https://ictv.global/id/TN20113822","TN20113822@prod")</f>
        <v/>
      </c>
      <c r="O1878" s="8">
        <f>HYPERLINK("https://ictv.global/id/ICTV20021018","ICTV20021018@prod")</f>
        <v/>
      </c>
    </row>
    <row r="1879">
      <c r="A1879" t="n">
        <v>26</v>
      </c>
      <c r="B1879" t="n">
        <v>20113824</v>
      </c>
      <c r="C1879" t="n">
        <v>20084023</v>
      </c>
      <c r="D1879" t="inlineStr">
        <is>
          <t>species</t>
        </is>
      </c>
      <c r="E1879" t="inlineStr">
        <is>
          <t>Pepper curly top virus</t>
        </is>
      </c>
      <c r="G1879" t="inlineStr">
        <is>
          <t>Abolished,</t>
        </is>
      </c>
      <c r="L1879" s="8">
        <f>HYPERLINK("https://test.ictv.global/id/TN20113824","TN20113824@TEST")</f>
        <v/>
      </c>
      <c r="M1879" s="8">
        <f>HYPERLINK("https://test.ictv.global/id/ICTV20084023","ICTV20084023@TEST")</f>
        <v/>
      </c>
      <c r="N1879" s="8">
        <f>HYPERLINK("https://ictv.global/id/TN20113824","TN20113824@prod")</f>
        <v/>
      </c>
      <c r="O1879" s="8">
        <f>HYPERLINK("https://ictv.global/id/ICTV20084023","ICTV20084023@prod")</f>
        <v/>
      </c>
    </row>
    <row r="1880">
      <c r="A1880" t="n">
        <v>26</v>
      </c>
      <c r="B1880" t="n">
        <v>20113825</v>
      </c>
      <c r="C1880" t="n">
        <v>20084024</v>
      </c>
      <c r="D1880" t="inlineStr">
        <is>
          <t>species</t>
        </is>
      </c>
      <c r="E1880" t="inlineStr">
        <is>
          <t>Spinach curly top virus</t>
        </is>
      </c>
      <c r="G1880" t="inlineStr">
        <is>
          <t>Abolished,</t>
        </is>
      </c>
      <c r="L1880" s="8">
        <f>HYPERLINK("https://test.ictv.global/id/TN20113825","TN20113825@TEST")</f>
        <v/>
      </c>
      <c r="M1880" s="8">
        <f>HYPERLINK("https://test.ictv.global/id/ICTV20084024","ICTV20084024@TEST")</f>
        <v/>
      </c>
      <c r="N1880" s="8">
        <f>HYPERLINK("https://ictv.global/id/TN20113825","TN20113825@prod")</f>
        <v/>
      </c>
      <c r="O1880" s="8">
        <f>HYPERLINK("https://ictv.global/id/ICTV20084024","ICTV20084024@prod")</f>
        <v/>
      </c>
    </row>
    <row r="1881">
      <c r="A1881" t="n">
        <v>26</v>
      </c>
      <c r="B1881" t="n">
        <v>20113826</v>
      </c>
      <c r="C1881" t="n">
        <v>19981454</v>
      </c>
      <c r="D1881" t="inlineStr">
        <is>
          <t>species</t>
        </is>
      </c>
      <c r="E1881" t="inlineStr">
        <is>
          <t>Bean yellow dwarf virus</t>
        </is>
      </c>
      <c r="G1881" t="inlineStr">
        <is>
          <t>Abolished,</t>
        </is>
      </c>
      <c r="L1881" s="8">
        <f>HYPERLINK("https://test.ictv.global/id/TN20113826","TN20113826@TEST")</f>
        <v/>
      </c>
      <c r="M1881" s="8">
        <f>HYPERLINK("https://test.ictv.global/id/ICTV19981454","ICTV19981454@TEST")</f>
        <v/>
      </c>
      <c r="N1881" s="8">
        <f>HYPERLINK("https://ictv.global/id/TN20113826","TN20113826@prod")</f>
        <v/>
      </c>
      <c r="O1881" s="8">
        <f>HYPERLINK("https://ictv.global/id/ICTV19981454","ICTV19981454@prod")</f>
        <v/>
      </c>
    </row>
    <row r="1882">
      <c r="A1882" t="n">
        <v>26</v>
      </c>
      <c r="B1882" t="n">
        <v>20113833</v>
      </c>
      <c r="C1882" t="n">
        <v>20093833</v>
      </c>
      <c r="D1882" t="inlineStr">
        <is>
          <t>species</t>
        </is>
      </c>
      <c r="E1882" t="inlineStr">
        <is>
          <t>Setaria streak virus</t>
        </is>
      </c>
      <c r="G1882" t="inlineStr">
        <is>
          <t>Abolished,</t>
        </is>
      </c>
      <c r="L1882" s="8">
        <f>HYPERLINK("https://test.ictv.global/id/TN20113833","TN20113833@TEST")</f>
        <v/>
      </c>
      <c r="M1882" s="8">
        <f>HYPERLINK("https://test.ictv.global/id/ICTV20093833","ICTV20093833@TEST")</f>
        <v/>
      </c>
      <c r="N1882" s="8">
        <f>HYPERLINK("https://ictv.global/id/TN20113833","TN20113833@prod")</f>
        <v/>
      </c>
      <c r="O1882" s="8">
        <f>HYPERLINK("https://ictv.global/id/ICTV20093833","ICTV20093833@prod")</f>
        <v/>
      </c>
    </row>
    <row r="1883">
      <c r="A1883" t="n">
        <v>27</v>
      </c>
      <c r="B1883" t="n">
        <v>20121199</v>
      </c>
      <c r="C1883" t="n">
        <v>19870176</v>
      </c>
      <c r="D1883" t="inlineStr">
        <is>
          <t>genus</t>
        </is>
      </c>
      <c r="E1883" t="inlineStr">
        <is>
          <t>Alphacryptovirus</t>
        </is>
      </c>
      <c r="G1883" t="inlineStr">
        <is>
          <t>Abolished,</t>
        </is>
      </c>
      <c r="L1883" s="8">
        <f>HYPERLINK("https://test.ictv.global/id/TN20121199","TN20121199@TEST")</f>
        <v/>
      </c>
      <c r="M1883" s="8">
        <f>HYPERLINK("https://test.ictv.global/id/ICTV19870176","ICTV19870176@TEST")</f>
        <v/>
      </c>
      <c r="N1883" s="8">
        <f>HYPERLINK("https://ictv.global/id/TN20121199","TN20121199@prod")</f>
        <v/>
      </c>
      <c r="O1883" s="8">
        <f>HYPERLINK("https://ictv.global/id/ICTV19870176","ICTV19870176@prod")</f>
        <v/>
      </c>
    </row>
    <row r="1884">
      <c r="A1884" t="n">
        <v>27</v>
      </c>
      <c r="B1884" t="n">
        <v>20121200</v>
      </c>
      <c r="C1884" t="n">
        <v>19870177</v>
      </c>
      <c r="D1884" t="inlineStr">
        <is>
          <t>genus</t>
        </is>
      </c>
      <c r="E1884" t="inlineStr">
        <is>
          <t>Betacryptovirus</t>
        </is>
      </c>
      <c r="G1884" t="inlineStr">
        <is>
          <t>Abolished,</t>
        </is>
      </c>
      <c r="L1884" s="8">
        <f>HYPERLINK("https://test.ictv.global/id/TN20121200","TN20121200@TEST")</f>
        <v/>
      </c>
      <c r="M1884" s="8">
        <f>HYPERLINK("https://test.ictv.global/id/ICTV19870177","ICTV19870177@TEST")</f>
        <v/>
      </c>
      <c r="N1884" s="8">
        <f>HYPERLINK("https://ictv.global/id/TN20121200","TN20121200@prod")</f>
        <v/>
      </c>
      <c r="O1884" s="8">
        <f>HYPERLINK("https://ictv.global/id/ICTV19870177","ICTV19870177@prod")</f>
        <v/>
      </c>
    </row>
    <row r="1885">
      <c r="A1885" t="n">
        <v>27</v>
      </c>
      <c r="B1885" t="n">
        <v>20121202</v>
      </c>
      <c r="C1885" t="n">
        <v>19840118</v>
      </c>
      <c r="D1885" t="inlineStr">
        <is>
          <t>genus</t>
        </is>
      </c>
      <c r="E1885" t="inlineStr">
        <is>
          <t>Partitivirus</t>
        </is>
      </c>
      <c r="G1885" t="inlineStr">
        <is>
          <t>Abolished,</t>
        </is>
      </c>
      <c r="L1885" s="8">
        <f>HYPERLINK("https://test.ictv.global/id/TN20121202","TN20121202@TEST")</f>
        <v/>
      </c>
      <c r="M1885" s="8">
        <f>HYPERLINK("https://test.ictv.global/id/ICTV19840118","ICTV19840118@TEST")</f>
        <v/>
      </c>
      <c r="N1885" s="8">
        <f>HYPERLINK("https://ictv.global/id/TN20121202","TN20121202@prod")</f>
        <v/>
      </c>
      <c r="O1885" s="8">
        <f>HYPERLINK("https://ictv.global/id/ICTV19840118","ICTV19840118@prod")</f>
        <v/>
      </c>
    </row>
    <row r="1886">
      <c r="A1886" t="n">
        <v>27</v>
      </c>
      <c r="B1886" t="n">
        <v>20121206</v>
      </c>
      <c r="C1886" t="n">
        <v>20040342</v>
      </c>
      <c r="D1886" t="inlineStr">
        <is>
          <t>genus</t>
        </is>
      </c>
      <c r="E1886" t="inlineStr">
        <is>
          <t>Pefudensovirus</t>
        </is>
      </c>
      <c r="G1886" t="inlineStr">
        <is>
          <t>Abolished,</t>
        </is>
      </c>
      <c r="L1886" s="8">
        <f>HYPERLINK("https://test.ictv.global/id/TN20121206","TN20121206@TEST")</f>
        <v/>
      </c>
      <c r="M1886" s="8">
        <f>HYPERLINK("https://test.ictv.global/id/ICTV20040342","ICTV20040342@TEST")</f>
        <v/>
      </c>
      <c r="N1886" s="8">
        <f>HYPERLINK("https://ictv.global/id/TN20121206","TN20121206@prod")</f>
        <v/>
      </c>
      <c r="O1886" s="8">
        <f>HYPERLINK("https://ictv.global/id/ICTV20040342","ICTV20040342@prod")</f>
        <v/>
      </c>
    </row>
    <row r="1887">
      <c r="A1887" t="n">
        <v>27</v>
      </c>
      <c r="B1887" t="n">
        <v>20123677</v>
      </c>
      <c r="C1887" t="n">
        <v>20041145</v>
      </c>
      <c r="D1887" t="inlineStr">
        <is>
          <t>species</t>
        </is>
      </c>
      <c r="E1887" t="inlineStr">
        <is>
          <t>Ipomoea yellow vein virus</t>
        </is>
      </c>
      <c r="G1887" t="inlineStr">
        <is>
          <t>Merged,</t>
        </is>
      </c>
      <c r="H1887" t="inlineStr">
        <is>
          <t>Sweet potato leaf curl virus</t>
        </is>
      </c>
      <c r="I1887" t="inlineStr">
        <is>
          <t>species</t>
        </is>
      </c>
      <c r="J1887" t="n">
        <v>20041185</v>
      </c>
      <c r="K1887" t="n">
        <v>20131826</v>
      </c>
      <c r="L1887" s="8">
        <f>HYPERLINK("https://test.ictv.global/id/TN20123677","TN20123677@TEST")</f>
        <v/>
      </c>
      <c r="M1887" s="8">
        <f>HYPERLINK("https://test.ictv.global/id/ICTV20041145","ICTV20041145@TEST")</f>
        <v/>
      </c>
      <c r="N1887" s="8">
        <f>HYPERLINK("https://ictv.global/id/TN20123677","TN20123677@prod")</f>
        <v/>
      </c>
      <c r="O1887" s="8">
        <f>HYPERLINK("https://ictv.global/id/ICTV20041145","ICTV20041145@prod")</f>
        <v/>
      </c>
    </row>
    <row r="1888">
      <c r="A1888" t="n">
        <v>27</v>
      </c>
      <c r="B1888" t="n">
        <v>20123751</v>
      </c>
      <c r="C1888" t="n">
        <v>20083951</v>
      </c>
      <c r="D1888" t="inlineStr">
        <is>
          <t>species</t>
        </is>
      </c>
      <c r="E1888" t="inlineStr">
        <is>
          <t>Sweet potato leaf curl Lanzarote virus</t>
        </is>
      </c>
      <c r="G1888" t="inlineStr">
        <is>
          <t>Merged,</t>
        </is>
      </c>
      <c r="H1888" t="inlineStr">
        <is>
          <t>Sweet potato leaf curl virus</t>
        </is>
      </c>
      <c r="I1888" t="inlineStr">
        <is>
          <t>species</t>
        </is>
      </c>
      <c r="J1888" t="n">
        <v>20041185</v>
      </c>
      <c r="K1888" t="n">
        <v>20131826</v>
      </c>
      <c r="L1888" s="8">
        <f>HYPERLINK("https://test.ictv.global/id/TN20123751","TN20123751@TEST")</f>
        <v/>
      </c>
      <c r="M1888" s="8">
        <f>HYPERLINK("https://test.ictv.global/id/ICTV20083951","ICTV20083951@TEST")</f>
        <v/>
      </c>
      <c r="N1888" s="8">
        <f>HYPERLINK("https://ictv.global/id/TN20123751","TN20123751@prod")</f>
        <v/>
      </c>
      <c r="O1888" s="8">
        <f>HYPERLINK("https://ictv.global/id/ICTV20083951","ICTV20083951@prod")</f>
        <v/>
      </c>
    </row>
    <row r="1889">
      <c r="A1889" t="n">
        <v>27</v>
      </c>
      <c r="B1889" t="n">
        <v>20123752</v>
      </c>
      <c r="C1889" t="n">
        <v>20083952</v>
      </c>
      <c r="D1889" t="inlineStr">
        <is>
          <t>species</t>
        </is>
      </c>
      <c r="E1889" t="inlineStr">
        <is>
          <t>Sweet potato leaf curl Spain virus</t>
        </is>
      </c>
      <c r="G1889" t="inlineStr">
        <is>
          <t>Merged,</t>
        </is>
      </c>
      <c r="H1889" t="inlineStr">
        <is>
          <t>Sweet potato leaf curl virus</t>
        </is>
      </c>
      <c r="I1889" t="inlineStr">
        <is>
          <t>species</t>
        </is>
      </c>
      <c r="J1889" t="n">
        <v>20041185</v>
      </c>
      <c r="K1889" t="n">
        <v>20131826</v>
      </c>
      <c r="L1889" s="8">
        <f>HYPERLINK("https://test.ictv.global/id/TN20123752","TN20123752@TEST")</f>
        <v/>
      </c>
      <c r="M1889" s="8">
        <f>HYPERLINK("https://test.ictv.global/id/ICTV20083952","ICTV20083952@TEST")</f>
        <v/>
      </c>
      <c r="N1889" s="8">
        <f>HYPERLINK("https://ictv.global/id/TN20123752","TN20123752@prod")</f>
        <v/>
      </c>
      <c r="O1889" s="8">
        <f>HYPERLINK("https://ictv.global/id/ICTV20083952","ICTV20083952@prod")</f>
        <v/>
      </c>
    </row>
    <row r="1890">
      <c r="A1890" t="n">
        <v>27</v>
      </c>
      <c r="B1890" t="n">
        <v>20123753</v>
      </c>
      <c r="C1890" t="n">
        <v>20041185</v>
      </c>
      <c r="D1890" t="inlineStr">
        <is>
          <t>species</t>
        </is>
      </c>
      <c r="E1890" t="inlineStr">
        <is>
          <t>Sweet potato leaf curl virus</t>
        </is>
      </c>
      <c r="F1890" t="inlineStr"/>
      <c r="G1890" t="inlineStr">
        <is>
          <t>Merged,</t>
        </is>
      </c>
      <c r="H1890" t="inlineStr">
        <is>
          <t>Sweet potato leaf curl virus</t>
        </is>
      </c>
      <c r="I1890" t="inlineStr">
        <is>
          <t>species</t>
        </is>
      </c>
      <c r="J1890" t="n">
        <v>20041185</v>
      </c>
      <c r="K1890" t="n">
        <v>20131826</v>
      </c>
      <c r="L1890" s="8">
        <f>HYPERLINK("https://test.ictv.global/id/TN20123753","TN20123753@TEST")</f>
        <v/>
      </c>
      <c r="M1890" s="8">
        <f>HYPERLINK("https://test.ictv.global/id/ICTV20041185","ICTV20041185@TEST")</f>
        <v/>
      </c>
      <c r="N1890" s="8">
        <f>HYPERLINK("https://ictv.global/id/TN20123753","TN20123753@prod")</f>
        <v/>
      </c>
      <c r="O1890" s="8">
        <f>HYPERLINK("https://ictv.global/id/ICTV20041185","ICTV20041185@prod")</f>
        <v/>
      </c>
    </row>
    <row r="1891">
      <c r="A1891" t="n">
        <v>27</v>
      </c>
      <c r="B1891" t="n">
        <v>20123768</v>
      </c>
      <c r="C1891" t="n">
        <v>20083968</v>
      </c>
      <c r="D1891" t="inlineStr">
        <is>
          <t>species</t>
        </is>
      </c>
      <c r="E1891" t="inlineStr">
        <is>
          <t>Tomato leaf curl Comoros virus</t>
        </is>
      </c>
      <c r="F1891" t="inlineStr"/>
      <c r="G1891" t="inlineStr">
        <is>
          <t>Merged,</t>
        </is>
      </c>
      <c r="H1891" t="inlineStr">
        <is>
          <t>Tomato leaf curl Comoros virus</t>
        </is>
      </c>
      <c r="I1891" t="inlineStr">
        <is>
          <t>species</t>
        </is>
      </c>
      <c r="J1891" t="n">
        <v>20083968</v>
      </c>
      <c r="K1891" t="n">
        <v>20131841</v>
      </c>
      <c r="L1891" s="8">
        <f>HYPERLINK("https://test.ictv.global/id/TN20123768","TN20123768@TEST")</f>
        <v/>
      </c>
      <c r="M1891" s="8">
        <f>HYPERLINK("https://test.ictv.global/id/ICTV20083968","ICTV20083968@TEST")</f>
        <v/>
      </c>
      <c r="N1891" s="8">
        <f>HYPERLINK("https://ictv.global/id/TN20123768","TN20123768@prod")</f>
        <v/>
      </c>
      <c r="O1891" s="8">
        <f>HYPERLINK("https://ictv.global/id/ICTV20083968","ICTV20083968@prod")</f>
        <v/>
      </c>
    </row>
    <row r="1892">
      <c r="A1892" t="n">
        <v>27</v>
      </c>
      <c r="B1892" t="n">
        <v>20123782</v>
      </c>
      <c r="C1892" t="n">
        <v>20083982</v>
      </c>
      <c r="D1892" t="inlineStr">
        <is>
          <t>species</t>
        </is>
      </c>
      <c r="E1892" t="inlineStr">
        <is>
          <t>Tomato leaf curl Mayotte virus</t>
        </is>
      </c>
      <c r="G1892" t="inlineStr">
        <is>
          <t>Merged,</t>
        </is>
      </c>
      <c r="H1892" t="inlineStr">
        <is>
          <t>Tomato leaf curl Comoros virus</t>
        </is>
      </c>
      <c r="I1892" t="inlineStr">
        <is>
          <t>species</t>
        </is>
      </c>
      <c r="J1892" t="n">
        <v>20083968</v>
      </c>
      <c r="K1892" t="n">
        <v>20131841</v>
      </c>
      <c r="L1892" s="8">
        <f>HYPERLINK("https://test.ictv.global/id/TN20123782","TN20123782@TEST")</f>
        <v/>
      </c>
      <c r="M1892" s="8">
        <f>HYPERLINK("https://test.ictv.global/id/ICTV20083982","ICTV20083982@TEST")</f>
        <v/>
      </c>
      <c r="N1892" s="8">
        <f>HYPERLINK("https://ictv.global/id/TN20123782","TN20123782@prod")</f>
        <v/>
      </c>
      <c r="O1892" s="8">
        <f>HYPERLINK("https://ictv.global/id/ICTV20083982","ICTV20083982@prod")</f>
        <v/>
      </c>
    </row>
    <row r="1893">
      <c r="A1893" t="n">
        <v>27</v>
      </c>
      <c r="B1893" t="n">
        <v>20124266</v>
      </c>
      <c r="C1893" t="n">
        <v>19931197</v>
      </c>
      <c r="D1893" t="inlineStr">
        <is>
          <t>species</t>
        </is>
      </c>
      <c r="E1893" t="inlineStr">
        <is>
          <t>Aedes aegypti densovirus</t>
        </is>
      </c>
      <c r="G1893" t="inlineStr">
        <is>
          <t>Merged,</t>
        </is>
      </c>
      <c r="H1893" t="inlineStr">
        <is>
          <t>Dipteran brevidensovirus 1</t>
        </is>
      </c>
      <c r="I1893" t="inlineStr">
        <is>
          <t>species</t>
        </is>
      </c>
      <c r="J1893" t="n">
        <v>20132530</v>
      </c>
      <c r="K1893" t="n">
        <v>20132530</v>
      </c>
      <c r="L1893" s="8">
        <f>HYPERLINK("https://test.ictv.global/id/TN20124266","TN20124266@TEST")</f>
        <v/>
      </c>
      <c r="M1893" s="8">
        <f>HYPERLINK("https://test.ictv.global/id/ICTV19931197","ICTV19931197@TEST")</f>
        <v/>
      </c>
      <c r="N1893" s="8">
        <f>HYPERLINK("https://ictv.global/id/TN20124266","TN20124266@prod")</f>
        <v/>
      </c>
      <c r="O1893" s="8">
        <f>HYPERLINK("https://ictv.global/id/ICTV19931197","ICTV19931197@prod")</f>
        <v/>
      </c>
    </row>
    <row r="1894">
      <c r="A1894" t="n">
        <v>27</v>
      </c>
      <c r="B1894" t="n">
        <v>20124267</v>
      </c>
      <c r="C1894" t="n">
        <v>19951447</v>
      </c>
      <c r="D1894" t="inlineStr">
        <is>
          <t>species</t>
        </is>
      </c>
      <c r="E1894" t="inlineStr">
        <is>
          <t>Aedes albopictus densovirus</t>
        </is>
      </c>
      <c r="G1894" t="inlineStr">
        <is>
          <t>Merged,Assigned as Type Species,</t>
        </is>
      </c>
      <c r="H1894" t="inlineStr">
        <is>
          <t>Dipteran brevidensovirus 1</t>
        </is>
      </c>
      <c r="I1894" t="inlineStr">
        <is>
          <t>species</t>
        </is>
      </c>
      <c r="J1894" t="n">
        <v>20132530</v>
      </c>
      <c r="K1894" t="n">
        <v>20132530</v>
      </c>
      <c r="L1894" s="8">
        <f>HYPERLINK("https://test.ictv.global/id/TN20124267","TN20124267@TEST")</f>
        <v/>
      </c>
      <c r="M1894" s="8">
        <f>HYPERLINK("https://test.ictv.global/id/ICTV19951447","ICTV19951447@TEST")</f>
        <v/>
      </c>
      <c r="N1894" s="8">
        <f>HYPERLINK("https://ictv.global/id/TN20124267","TN20124267@prod")</f>
        <v/>
      </c>
      <c r="O1894" s="8">
        <f>HYPERLINK("https://ictv.global/id/ICTV19951447","ICTV19951447@prod")</f>
        <v/>
      </c>
    </row>
    <row r="1895">
      <c r="A1895" t="n">
        <v>27</v>
      </c>
      <c r="B1895" t="n">
        <v>20124268</v>
      </c>
      <c r="C1895" t="n">
        <v>19750175</v>
      </c>
      <c r="D1895" t="inlineStr">
        <is>
          <t>species</t>
        </is>
      </c>
      <c r="E1895" t="inlineStr">
        <is>
          <t>Galleria mellonella densovirus</t>
        </is>
      </c>
      <c r="G1895" t="inlineStr">
        <is>
          <t>Merged,Assigned as Type Species,</t>
        </is>
      </c>
      <c r="H1895" t="inlineStr">
        <is>
          <t>Lepidopteran ambidensovirus 1</t>
        </is>
      </c>
      <c r="I1895" t="inlineStr">
        <is>
          <t>species</t>
        </is>
      </c>
      <c r="J1895" t="n">
        <v>20132539</v>
      </c>
      <c r="K1895" t="n">
        <v>20132539</v>
      </c>
      <c r="L1895" s="8">
        <f>HYPERLINK("https://test.ictv.global/id/TN20124268","TN20124268@TEST")</f>
        <v/>
      </c>
      <c r="M1895" s="8">
        <f>HYPERLINK("https://test.ictv.global/id/ICTV19750175","ICTV19750175@TEST")</f>
        <v/>
      </c>
      <c r="N1895" s="8">
        <f>HYPERLINK("https://ictv.global/id/TN20124268","TN20124268@prod")</f>
        <v/>
      </c>
      <c r="O1895" s="8">
        <f>HYPERLINK("https://ictv.global/id/ICTV19750175","ICTV19750175@prod")</f>
        <v/>
      </c>
    </row>
    <row r="1896">
      <c r="A1896" t="n">
        <v>27</v>
      </c>
      <c r="B1896" t="n">
        <v>20124269</v>
      </c>
      <c r="C1896" t="n">
        <v>19760305</v>
      </c>
      <c r="D1896" t="inlineStr">
        <is>
          <t>species</t>
        </is>
      </c>
      <c r="E1896" t="inlineStr">
        <is>
          <t>Junonia coenia densovirus</t>
        </is>
      </c>
      <c r="G1896" t="inlineStr">
        <is>
          <t>Merged,</t>
        </is>
      </c>
      <c r="H1896" t="inlineStr">
        <is>
          <t>Lepidopteran ambidensovirus 1</t>
        </is>
      </c>
      <c r="I1896" t="inlineStr">
        <is>
          <t>species</t>
        </is>
      </c>
      <c r="J1896" t="n">
        <v>20132539</v>
      </c>
      <c r="K1896" t="n">
        <v>20132539</v>
      </c>
      <c r="L1896" s="8">
        <f>HYPERLINK("https://test.ictv.global/id/TN20124269","TN20124269@TEST")</f>
        <v/>
      </c>
      <c r="M1896" s="8">
        <f>HYPERLINK("https://test.ictv.global/id/ICTV19760305","ICTV19760305@TEST")</f>
        <v/>
      </c>
      <c r="N1896" s="8">
        <f>HYPERLINK("https://ictv.global/id/TN20124269","TN20124269@prod")</f>
        <v/>
      </c>
      <c r="O1896" s="8">
        <f>HYPERLINK("https://ictv.global/id/ICTV19760305","ICTV19760305@prod")</f>
        <v/>
      </c>
    </row>
    <row r="1897">
      <c r="A1897" t="n">
        <v>27</v>
      </c>
      <c r="B1897" t="n">
        <v>20124275</v>
      </c>
      <c r="C1897" t="n">
        <v>20074128</v>
      </c>
      <c r="D1897" t="inlineStr">
        <is>
          <t>species</t>
        </is>
      </c>
      <c r="E1897" t="inlineStr">
        <is>
          <t>Adeno-associated virus-1</t>
        </is>
      </c>
      <c r="G1897" t="inlineStr">
        <is>
          <t>Merged,Assigned as Type Species,</t>
        </is>
      </c>
      <c r="H1897" t="inlineStr">
        <is>
          <t>Adeno-associated dependoparvovirus A</t>
        </is>
      </c>
      <c r="I1897" t="inlineStr">
        <is>
          <t>species</t>
        </is>
      </c>
      <c r="J1897" t="n">
        <v>20132583</v>
      </c>
      <c r="K1897" t="n">
        <v>20132583</v>
      </c>
      <c r="L1897" s="8">
        <f>HYPERLINK("https://test.ictv.global/id/TN20124275","TN20124275@TEST")</f>
        <v/>
      </c>
      <c r="M1897" s="8">
        <f>HYPERLINK("https://test.ictv.global/id/ICTV20074128","ICTV20074128@TEST")</f>
        <v/>
      </c>
      <c r="N1897" s="8">
        <f>HYPERLINK("https://ictv.global/id/TN20124275","TN20124275@prod")</f>
        <v/>
      </c>
      <c r="O1897" s="8">
        <f>HYPERLINK("https://ictv.global/id/ICTV20074128","ICTV20074128@prod")</f>
        <v/>
      </c>
    </row>
    <row r="1898">
      <c r="A1898" t="n">
        <v>27</v>
      </c>
      <c r="B1898" t="n">
        <v>20124276</v>
      </c>
      <c r="C1898" t="n">
        <v>19710234</v>
      </c>
      <c r="D1898" t="inlineStr">
        <is>
          <t>species</t>
        </is>
      </c>
      <c r="E1898" t="inlineStr">
        <is>
          <t>Adeno-associated virus-2</t>
        </is>
      </c>
      <c r="G1898" t="inlineStr">
        <is>
          <t>Merged,</t>
        </is>
      </c>
      <c r="H1898" t="inlineStr">
        <is>
          <t>Adeno-associated dependoparvovirus A</t>
        </is>
      </c>
      <c r="I1898" t="inlineStr">
        <is>
          <t>species</t>
        </is>
      </c>
      <c r="J1898" t="n">
        <v>20132583</v>
      </c>
      <c r="K1898" t="n">
        <v>20132583</v>
      </c>
      <c r="L1898" s="8">
        <f>HYPERLINK("https://test.ictv.global/id/TN20124276","TN20124276@TEST")</f>
        <v/>
      </c>
      <c r="M1898" s="8">
        <f>HYPERLINK("https://test.ictv.global/id/ICTV19710234","ICTV19710234@TEST")</f>
        <v/>
      </c>
      <c r="N1898" s="8">
        <f>HYPERLINK("https://ictv.global/id/TN20124276","TN20124276@prod")</f>
        <v/>
      </c>
      <c r="O1898" s="8">
        <f>HYPERLINK("https://ictv.global/id/ICTV19710234","ICTV19710234@prod")</f>
        <v/>
      </c>
    </row>
    <row r="1899">
      <c r="A1899" t="n">
        <v>27</v>
      </c>
      <c r="B1899" t="n">
        <v>20124277</v>
      </c>
      <c r="C1899" t="n">
        <v>19710235</v>
      </c>
      <c r="D1899" t="inlineStr">
        <is>
          <t>species</t>
        </is>
      </c>
      <c r="E1899" t="inlineStr">
        <is>
          <t>Adeno-associated virus-3</t>
        </is>
      </c>
      <c r="G1899" t="inlineStr">
        <is>
          <t>Merged,Assigned as Type Species,</t>
        </is>
      </c>
      <c r="H1899" t="inlineStr">
        <is>
          <t>Adeno-associated dependoparvovirus A</t>
        </is>
      </c>
      <c r="I1899" t="inlineStr">
        <is>
          <t>species</t>
        </is>
      </c>
      <c r="J1899" t="n">
        <v>20132583</v>
      </c>
      <c r="K1899" t="n">
        <v>20132583</v>
      </c>
      <c r="L1899" s="8">
        <f>HYPERLINK("https://test.ictv.global/id/TN20124277","TN20124277@TEST")</f>
        <v/>
      </c>
      <c r="M1899" s="8">
        <f>HYPERLINK("https://test.ictv.global/id/ICTV19710235","ICTV19710235@TEST")</f>
        <v/>
      </c>
      <c r="N1899" s="8">
        <f>HYPERLINK("https://ictv.global/id/TN20124277","TN20124277@prod")</f>
        <v/>
      </c>
      <c r="O1899" s="8">
        <f>HYPERLINK("https://ictv.global/id/ICTV19710235","ICTV19710235@prod")</f>
        <v/>
      </c>
    </row>
    <row r="1900">
      <c r="A1900" t="n">
        <v>27</v>
      </c>
      <c r="B1900" t="n">
        <v>20124278</v>
      </c>
      <c r="C1900" t="n">
        <v>19710236</v>
      </c>
      <c r="D1900" t="inlineStr">
        <is>
          <t>species</t>
        </is>
      </c>
      <c r="E1900" t="inlineStr">
        <is>
          <t>Adeno-associated virus-4</t>
        </is>
      </c>
      <c r="G1900" t="inlineStr">
        <is>
          <t>Merged,Assigned as Type Species,</t>
        </is>
      </c>
      <c r="H1900" t="inlineStr">
        <is>
          <t>Adeno-associated dependoparvovirus A</t>
        </is>
      </c>
      <c r="I1900" t="inlineStr">
        <is>
          <t>species</t>
        </is>
      </c>
      <c r="J1900" t="n">
        <v>20132583</v>
      </c>
      <c r="K1900" t="n">
        <v>20132583</v>
      </c>
      <c r="L1900" s="8">
        <f>HYPERLINK("https://test.ictv.global/id/TN20124278","TN20124278@TEST")</f>
        <v/>
      </c>
      <c r="M1900" s="8">
        <f>HYPERLINK("https://test.ictv.global/id/ICTV19710236","ICTV19710236@TEST")</f>
        <v/>
      </c>
      <c r="N1900" s="8">
        <f>HYPERLINK("https://ictv.global/id/TN20124278","TN20124278@prod")</f>
        <v/>
      </c>
      <c r="O1900" s="8">
        <f>HYPERLINK("https://ictv.global/id/ICTV19710236","ICTV19710236@prod")</f>
        <v/>
      </c>
    </row>
    <row r="1901">
      <c r="A1901" t="n">
        <v>27</v>
      </c>
      <c r="B1901" t="n">
        <v>20124279</v>
      </c>
      <c r="C1901" t="n">
        <v>19951455</v>
      </c>
      <c r="D1901" t="inlineStr">
        <is>
          <t>species</t>
        </is>
      </c>
      <c r="E1901" t="inlineStr">
        <is>
          <t>Adeno-associated virus-5</t>
        </is>
      </c>
      <c r="G1901" t="inlineStr">
        <is>
          <t>Merged,</t>
        </is>
      </c>
      <c r="H1901" t="inlineStr">
        <is>
          <t>Adeno-associated dependoparvovirus B</t>
        </is>
      </c>
      <c r="I1901" t="inlineStr">
        <is>
          <t>species</t>
        </is>
      </c>
      <c r="J1901" t="n">
        <v>20132584</v>
      </c>
      <c r="K1901" t="n">
        <v>20132584</v>
      </c>
      <c r="L1901" s="8">
        <f>HYPERLINK("https://test.ictv.global/id/TN20124279","TN20124279@TEST")</f>
        <v/>
      </c>
      <c r="M1901" s="8">
        <f>HYPERLINK("https://test.ictv.global/id/ICTV19951455","ICTV19951455@TEST")</f>
        <v/>
      </c>
      <c r="N1901" s="8">
        <f>HYPERLINK("https://ictv.global/id/TN20124279","TN20124279@prod")</f>
        <v/>
      </c>
      <c r="O1901" s="8">
        <f>HYPERLINK("https://ictv.global/id/ICTV19951455","ICTV19951455@prod")</f>
        <v/>
      </c>
    </row>
    <row r="1902">
      <c r="A1902" t="n">
        <v>27</v>
      </c>
      <c r="B1902" t="n">
        <v>20124281</v>
      </c>
      <c r="C1902" t="n">
        <v>19760303</v>
      </c>
      <c r="D1902" t="inlineStr">
        <is>
          <t>species</t>
        </is>
      </c>
      <c r="E1902" t="inlineStr">
        <is>
          <t>Bovine adeno-associated virus</t>
        </is>
      </c>
      <c r="G1902" t="inlineStr">
        <is>
          <t>Merged,</t>
        </is>
      </c>
      <c r="H1902" t="inlineStr">
        <is>
          <t>Adeno-associated dependoparvovirus B</t>
        </is>
      </c>
      <c r="I1902" t="inlineStr">
        <is>
          <t>species</t>
        </is>
      </c>
      <c r="J1902" t="n">
        <v>20132584</v>
      </c>
      <c r="K1902" t="n">
        <v>20132584</v>
      </c>
      <c r="L1902" s="8">
        <f>HYPERLINK("https://test.ictv.global/id/TN20124281","TN20124281@TEST")</f>
        <v/>
      </c>
      <c r="M1902" s="8">
        <f>HYPERLINK("https://test.ictv.global/id/ICTV19760303","ICTV19760303@TEST")</f>
        <v/>
      </c>
      <c r="N1902" s="8">
        <f>HYPERLINK("https://ictv.global/id/TN20124281","TN20124281@prod")</f>
        <v/>
      </c>
      <c r="O1902" s="8">
        <f>HYPERLINK("https://ictv.global/id/ICTV19760303","ICTV19760303@prod")</f>
        <v/>
      </c>
    </row>
    <row r="1903">
      <c r="A1903" t="n">
        <v>27</v>
      </c>
      <c r="B1903" t="n">
        <v>20124282</v>
      </c>
      <c r="C1903" t="n">
        <v>19820640</v>
      </c>
      <c r="D1903" t="inlineStr">
        <is>
          <t>species</t>
        </is>
      </c>
      <c r="E1903" t="inlineStr">
        <is>
          <t>Canine adeno-associated virus</t>
        </is>
      </c>
      <c r="G1903" t="inlineStr">
        <is>
          <t>Abolished,</t>
        </is>
      </c>
      <c r="L1903" s="8">
        <f>HYPERLINK("https://test.ictv.global/id/TN20124282","TN20124282@TEST")</f>
        <v/>
      </c>
      <c r="M1903" s="8">
        <f>HYPERLINK("https://test.ictv.global/id/ICTV19820640","ICTV19820640@TEST")</f>
        <v/>
      </c>
      <c r="N1903" s="8">
        <f>HYPERLINK("https://ictv.global/id/TN20124282","TN20124282@prod")</f>
        <v/>
      </c>
      <c r="O1903" s="8">
        <f>HYPERLINK("https://ictv.global/id/ICTV19820640","ICTV19820640@prod")</f>
        <v/>
      </c>
    </row>
    <row r="1904">
      <c r="A1904" t="n">
        <v>27</v>
      </c>
      <c r="B1904" t="n">
        <v>20124283</v>
      </c>
      <c r="C1904" t="n">
        <v>19991209</v>
      </c>
      <c r="D1904" t="inlineStr">
        <is>
          <t>species</t>
        </is>
      </c>
      <c r="E1904" t="inlineStr">
        <is>
          <t>Duck parvovirus</t>
        </is>
      </c>
      <c r="G1904" t="inlineStr">
        <is>
          <t>Merged,</t>
        </is>
      </c>
      <c r="H1904" t="inlineStr">
        <is>
          <t>Anseriform dependoparvovirus 1</t>
        </is>
      </c>
      <c r="I1904" t="inlineStr">
        <is>
          <t>species</t>
        </is>
      </c>
      <c r="J1904" t="n">
        <v>20132585</v>
      </c>
      <c r="K1904" t="n">
        <v>20132585</v>
      </c>
      <c r="L1904" s="8">
        <f>HYPERLINK("https://test.ictv.global/id/TN20124283","TN20124283@TEST")</f>
        <v/>
      </c>
      <c r="M1904" s="8">
        <f>HYPERLINK("https://test.ictv.global/id/ICTV19991209","ICTV19991209@TEST")</f>
        <v/>
      </c>
      <c r="N1904" s="8">
        <f>HYPERLINK("https://ictv.global/id/TN20124283","TN20124283@prod")</f>
        <v/>
      </c>
      <c r="O1904" s="8">
        <f>HYPERLINK("https://ictv.global/id/ICTV19991209","ICTV19991209@prod")</f>
        <v/>
      </c>
    </row>
    <row r="1905">
      <c r="A1905" t="n">
        <v>27</v>
      </c>
      <c r="B1905" t="n">
        <v>20124284</v>
      </c>
      <c r="C1905" t="n">
        <v>19951459</v>
      </c>
      <c r="D1905" t="inlineStr">
        <is>
          <t>species</t>
        </is>
      </c>
      <c r="E1905" t="inlineStr">
        <is>
          <t>Equine adeno-associated virus</t>
        </is>
      </c>
      <c r="G1905" t="inlineStr">
        <is>
          <t>Abolished,</t>
        </is>
      </c>
      <c r="L1905" s="8">
        <f>HYPERLINK("https://test.ictv.global/id/TN20124284","TN20124284@TEST")</f>
        <v/>
      </c>
      <c r="M1905" s="8">
        <f>HYPERLINK("https://test.ictv.global/id/ICTV19951459","ICTV19951459@TEST")</f>
        <v/>
      </c>
      <c r="N1905" s="8">
        <f>HYPERLINK("https://ictv.global/id/TN20124284","TN20124284@prod")</f>
        <v/>
      </c>
      <c r="O1905" s="8">
        <f>HYPERLINK("https://ictv.global/id/ICTV19951459","ICTV19951459@prod")</f>
        <v/>
      </c>
    </row>
    <row r="1906">
      <c r="A1906" t="n">
        <v>27</v>
      </c>
      <c r="B1906" t="n">
        <v>20124285</v>
      </c>
      <c r="C1906" t="n">
        <v>19760308</v>
      </c>
      <c r="D1906" t="inlineStr">
        <is>
          <t>species</t>
        </is>
      </c>
      <c r="E1906" t="inlineStr">
        <is>
          <t>Goose parvovirus</t>
        </is>
      </c>
      <c r="G1906" t="inlineStr">
        <is>
          <t>Merged,</t>
        </is>
      </c>
      <c r="H1906" t="inlineStr">
        <is>
          <t>Anseriform dependoparvovirus 1</t>
        </is>
      </c>
      <c r="I1906" t="inlineStr">
        <is>
          <t>species</t>
        </is>
      </c>
      <c r="J1906" t="n">
        <v>20132585</v>
      </c>
      <c r="K1906" t="n">
        <v>20132585</v>
      </c>
      <c r="L1906" s="8">
        <f>HYPERLINK("https://test.ictv.global/id/TN20124285","TN20124285@TEST")</f>
        <v/>
      </c>
      <c r="M1906" s="8">
        <f>HYPERLINK("https://test.ictv.global/id/ICTV19760308","ICTV19760308@TEST")</f>
        <v/>
      </c>
      <c r="N1906" s="8">
        <f>HYPERLINK("https://ictv.global/id/TN20124285","TN20124285@prod")</f>
        <v/>
      </c>
      <c r="O1906" s="8">
        <f>HYPERLINK("https://ictv.global/id/ICTV19760308","ICTV19760308@prod")</f>
        <v/>
      </c>
    </row>
    <row r="1907">
      <c r="A1907" t="n">
        <v>27</v>
      </c>
      <c r="B1907" t="n">
        <v>20124286</v>
      </c>
      <c r="C1907" t="n">
        <v>19951460</v>
      </c>
      <c r="D1907" t="inlineStr">
        <is>
          <t>species</t>
        </is>
      </c>
      <c r="E1907" t="inlineStr">
        <is>
          <t>Ovine adeno-associated virus</t>
        </is>
      </c>
      <c r="G1907" t="inlineStr">
        <is>
          <t>Abolished,</t>
        </is>
      </c>
      <c r="L1907" s="8">
        <f>HYPERLINK("https://test.ictv.global/id/TN20124286","TN20124286@TEST")</f>
        <v/>
      </c>
      <c r="M1907" s="8">
        <f>HYPERLINK("https://test.ictv.global/id/ICTV19951460","ICTV19951460@TEST")</f>
        <v/>
      </c>
      <c r="N1907" s="8">
        <f>HYPERLINK("https://ictv.global/id/TN20124286","TN20124286@prod")</f>
        <v/>
      </c>
      <c r="O1907" s="8">
        <f>HYPERLINK("https://ictv.global/id/ICTV19951460","ICTV19951460@prod")</f>
        <v/>
      </c>
    </row>
    <row r="1908">
      <c r="A1908" t="n">
        <v>27</v>
      </c>
      <c r="B1908" t="n">
        <v>20124293</v>
      </c>
      <c r="C1908" t="n">
        <v>19710238</v>
      </c>
      <c r="D1908" t="inlineStr">
        <is>
          <t>species</t>
        </is>
      </c>
      <c r="E1908" t="inlineStr">
        <is>
          <t>H-1 parvovirus</t>
        </is>
      </c>
      <c r="G1908" t="inlineStr">
        <is>
          <t>Merged,Assigned as Type Species,</t>
        </is>
      </c>
      <c r="H1908" t="inlineStr">
        <is>
          <t>Rodent protoparvovirus 1</t>
        </is>
      </c>
      <c r="I1908" t="inlineStr">
        <is>
          <t>species</t>
        </is>
      </c>
      <c r="J1908" t="n">
        <v>20132616</v>
      </c>
      <c r="K1908" t="n">
        <v>20132616</v>
      </c>
      <c r="L1908" s="8">
        <f>HYPERLINK("https://test.ictv.global/id/TN20124293","TN20124293@TEST")</f>
        <v/>
      </c>
      <c r="M1908" s="8">
        <f>HYPERLINK("https://test.ictv.global/id/ICTV19710238","ICTV19710238@TEST")</f>
        <v/>
      </c>
      <c r="N1908" s="8">
        <f>HYPERLINK("https://ictv.global/id/TN20124293","TN20124293@prod")</f>
        <v/>
      </c>
      <c r="O1908" s="8">
        <f>HYPERLINK("https://ictv.global/id/ICTV19710238","ICTV19710238@prod")</f>
        <v/>
      </c>
    </row>
    <row r="1909">
      <c r="A1909" t="n">
        <v>27</v>
      </c>
      <c r="B1909" t="n">
        <v>20124294</v>
      </c>
      <c r="C1909" t="n">
        <v>19951471</v>
      </c>
      <c r="D1909" t="inlineStr">
        <is>
          <t>species</t>
        </is>
      </c>
      <c r="E1909" t="inlineStr">
        <is>
          <t>HB parvovirus</t>
        </is>
      </c>
      <c r="G1909" t="inlineStr">
        <is>
          <t>Abolished,</t>
        </is>
      </c>
      <c r="L1909" s="8">
        <f>HYPERLINK("https://test.ictv.global/id/TN20124294","TN20124294@TEST")</f>
        <v/>
      </c>
      <c r="M1909" s="8">
        <f>HYPERLINK("https://test.ictv.global/id/ICTV19951471","ICTV19951471@TEST")</f>
        <v/>
      </c>
      <c r="N1909" s="8">
        <f>HYPERLINK("https://ictv.global/id/TN20124294","TN20124294@prod")</f>
        <v/>
      </c>
      <c r="O1909" s="8">
        <f>HYPERLINK("https://ictv.global/id/ICTV19951471","ICTV19951471@prod")</f>
        <v/>
      </c>
    </row>
    <row r="1910">
      <c r="A1910" t="n">
        <v>27</v>
      </c>
      <c r="B1910" t="n">
        <v>20124295</v>
      </c>
      <c r="C1910" t="n">
        <v>19911042</v>
      </c>
      <c r="D1910" t="inlineStr">
        <is>
          <t>species</t>
        </is>
      </c>
      <c r="E1910" t="inlineStr">
        <is>
          <t>Kilham rat virus</t>
        </is>
      </c>
      <c r="G1910" t="inlineStr">
        <is>
          <t>Merged,Assigned as Type Species,</t>
        </is>
      </c>
      <c r="H1910" t="inlineStr">
        <is>
          <t>Rodent protoparvovirus 1</t>
        </is>
      </c>
      <c r="I1910" t="inlineStr">
        <is>
          <t>species</t>
        </is>
      </c>
      <c r="J1910" t="n">
        <v>20132616</v>
      </c>
      <c r="K1910" t="n">
        <v>20132616</v>
      </c>
      <c r="L1910" s="8">
        <f>HYPERLINK("https://test.ictv.global/id/TN20124295","TN20124295@TEST")</f>
        <v/>
      </c>
      <c r="M1910" s="8">
        <f>HYPERLINK("https://test.ictv.global/id/ICTV19911042","ICTV19911042@TEST")</f>
        <v/>
      </c>
      <c r="N1910" s="8">
        <f>HYPERLINK("https://ictv.global/id/TN20124295","TN20124295@prod")</f>
        <v/>
      </c>
      <c r="O1910" s="8">
        <f>HYPERLINK("https://ictv.global/id/ICTV19911042","ICTV19911042@prod")</f>
        <v/>
      </c>
    </row>
    <row r="1911">
      <c r="A1911" t="n">
        <v>27</v>
      </c>
      <c r="B1911" t="n">
        <v>20124296</v>
      </c>
      <c r="C1911" t="n">
        <v>19810594</v>
      </c>
      <c r="D1911" t="inlineStr">
        <is>
          <t>species</t>
        </is>
      </c>
      <c r="E1911" t="inlineStr">
        <is>
          <t>Lapine parvovirus</t>
        </is>
      </c>
      <c r="G1911" t="inlineStr">
        <is>
          <t>Abolished,</t>
        </is>
      </c>
      <c r="L1911" s="8">
        <f>HYPERLINK("https://test.ictv.global/id/TN20124296","TN20124296@TEST")</f>
        <v/>
      </c>
      <c r="M1911" s="8">
        <f>HYPERLINK("https://test.ictv.global/id/ICTV19810594","ICTV19810594@TEST")</f>
        <v/>
      </c>
      <c r="N1911" s="8">
        <f>HYPERLINK("https://ictv.global/id/TN20124296","TN20124296@prod")</f>
        <v/>
      </c>
      <c r="O1911" s="8">
        <f>HYPERLINK("https://ictv.global/id/ICTV19810594","ICTV19810594@prod")</f>
        <v/>
      </c>
    </row>
    <row r="1912">
      <c r="A1912" t="n">
        <v>27</v>
      </c>
      <c r="B1912" t="n">
        <v>20124297</v>
      </c>
      <c r="C1912" t="n">
        <v>19760311</v>
      </c>
      <c r="D1912" t="inlineStr">
        <is>
          <t>species</t>
        </is>
      </c>
      <c r="E1912" t="inlineStr">
        <is>
          <t>LuIII virus</t>
        </is>
      </c>
      <c r="G1912" t="inlineStr">
        <is>
          <t>Merged,Assigned as Type Species,</t>
        </is>
      </c>
      <c r="H1912" t="inlineStr">
        <is>
          <t>Rodent protoparvovirus 1</t>
        </is>
      </c>
      <c r="I1912" t="inlineStr">
        <is>
          <t>species</t>
        </is>
      </c>
      <c r="J1912" t="n">
        <v>20132616</v>
      </c>
      <c r="K1912" t="n">
        <v>20132616</v>
      </c>
      <c r="L1912" s="8">
        <f>HYPERLINK("https://test.ictv.global/id/TN20124297","TN20124297@TEST")</f>
        <v/>
      </c>
      <c r="M1912" s="8">
        <f>HYPERLINK("https://test.ictv.global/id/ICTV19760311","ICTV19760311@TEST")</f>
        <v/>
      </c>
      <c r="N1912" s="8">
        <f>HYPERLINK("https://ictv.global/id/TN20124297","TN20124297@prod")</f>
        <v/>
      </c>
      <c r="O1912" s="8">
        <f>HYPERLINK("https://ictv.global/id/ICTV19760311","ICTV19760311@prod")</f>
        <v/>
      </c>
    </row>
    <row r="1913">
      <c r="A1913" t="n">
        <v>27</v>
      </c>
      <c r="B1913" t="n">
        <v>20124298</v>
      </c>
      <c r="C1913" t="n">
        <v>19710240</v>
      </c>
      <c r="D1913" t="inlineStr">
        <is>
          <t>species</t>
        </is>
      </c>
      <c r="E1913" t="inlineStr">
        <is>
          <t>Minute virus of mice</t>
        </is>
      </c>
      <c r="G1913" t="inlineStr">
        <is>
          <t>Merged,</t>
        </is>
      </c>
      <c r="H1913" t="inlineStr">
        <is>
          <t>Rodent protoparvovirus 1</t>
        </is>
      </c>
      <c r="I1913" t="inlineStr">
        <is>
          <t>species</t>
        </is>
      </c>
      <c r="J1913" t="n">
        <v>20132616</v>
      </c>
      <c r="K1913" t="n">
        <v>20132616</v>
      </c>
      <c r="L1913" s="8">
        <f>HYPERLINK("https://test.ictv.global/id/TN20124298","TN20124298@TEST")</f>
        <v/>
      </c>
      <c r="M1913" s="8">
        <f>HYPERLINK("https://test.ictv.global/id/ICTV19710240","ICTV19710240@TEST")</f>
        <v/>
      </c>
      <c r="N1913" s="8">
        <f>HYPERLINK("https://ictv.global/id/TN20124298","TN20124298@prod")</f>
        <v/>
      </c>
      <c r="O1913" s="8">
        <f>HYPERLINK("https://ictv.global/id/ICTV19710240","ICTV19710240@prod")</f>
        <v/>
      </c>
    </row>
    <row r="1914">
      <c r="A1914" t="n">
        <v>27</v>
      </c>
      <c r="B1914" t="n">
        <v>20124299</v>
      </c>
      <c r="C1914" t="n">
        <v>19991208</v>
      </c>
      <c r="D1914" t="inlineStr">
        <is>
          <t>species</t>
        </is>
      </c>
      <c r="E1914" t="inlineStr">
        <is>
          <t>Mouse parvovirus 1</t>
        </is>
      </c>
      <c r="G1914" t="inlineStr">
        <is>
          <t>Merged,Assigned as Type Species,</t>
        </is>
      </c>
      <c r="H1914" t="inlineStr">
        <is>
          <t>Rodent protoparvovirus 1</t>
        </is>
      </c>
      <c r="I1914" t="inlineStr">
        <is>
          <t>species</t>
        </is>
      </c>
      <c r="J1914" t="n">
        <v>20132616</v>
      </c>
      <c r="K1914" t="n">
        <v>20132616</v>
      </c>
      <c r="L1914" s="8">
        <f>HYPERLINK("https://test.ictv.global/id/TN20124299","TN20124299@TEST")</f>
        <v/>
      </c>
      <c r="M1914" s="8">
        <f>HYPERLINK("https://test.ictv.global/id/ICTV19991208","ICTV19991208@TEST")</f>
        <v/>
      </c>
      <c r="N1914" s="8">
        <f>HYPERLINK("https://ictv.global/id/TN20124299","TN20124299@prod")</f>
        <v/>
      </c>
      <c r="O1914" s="8">
        <f>HYPERLINK("https://ictv.global/id/ICTV19991208","ICTV19991208@prod")</f>
        <v/>
      </c>
    </row>
    <row r="1915">
      <c r="A1915" t="n">
        <v>27</v>
      </c>
      <c r="B1915" t="n">
        <v>20124301</v>
      </c>
      <c r="C1915" t="n">
        <v>19760314</v>
      </c>
      <c r="D1915" t="inlineStr">
        <is>
          <t>species</t>
        </is>
      </c>
      <c r="E1915" t="inlineStr">
        <is>
          <t>RT parvovirus</t>
        </is>
      </c>
      <c r="G1915" t="inlineStr">
        <is>
          <t>Abolished,</t>
        </is>
      </c>
      <c r="L1915" s="8">
        <f>HYPERLINK("https://test.ictv.global/id/TN20124301","TN20124301@TEST")</f>
        <v/>
      </c>
      <c r="M1915" s="8">
        <f>HYPERLINK("https://test.ictv.global/id/ICTV19760314","ICTV19760314@TEST")</f>
        <v/>
      </c>
      <c r="N1915" s="8">
        <f>HYPERLINK("https://ictv.global/id/TN20124301","TN20124301@prod")</f>
        <v/>
      </c>
      <c r="O1915" s="8">
        <f>HYPERLINK("https://ictv.global/id/ICTV19760314","ICTV19760314@prod")</f>
        <v/>
      </c>
    </row>
    <row r="1916">
      <c r="A1916" t="n">
        <v>27</v>
      </c>
      <c r="B1916" t="n">
        <v>20124302</v>
      </c>
      <c r="C1916" t="n">
        <v>19760315</v>
      </c>
      <c r="D1916" t="inlineStr">
        <is>
          <t>species</t>
        </is>
      </c>
      <c r="E1916" t="inlineStr">
        <is>
          <t>Tumor virus X</t>
        </is>
      </c>
      <c r="G1916" t="inlineStr">
        <is>
          <t>Merged,Assigned as Type Species,</t>
        </is>
      </c>
      <c r="H1916" t="inlineStr">
        <is>
          <t>Rodent protoparvovirus 1</t>
        </is>
      </c>
      <c r="I1916" t="inlineStr">
        <is>
          <t>species</t>
        </is>
      </c>
      <c r="J1916" t="n">
        <v>20132616</v>
      </c>
      <c r="K1916" t="n">
        <v>20132616</v>
      </c>
      <c r="L1916" s="8">
        <f>HYPERLINK("https://test.ictv.global/id/TN20124302","TN20124302@TEST")</f>
        <v/>
      </c>
      <c r="M1916" s="8">
        <f>HYPERLINK("https://test.ictv.global/id/ICTV19760315","ICTV19760315@TEST")</f>
        <v/>
      </c>
      <c r="N1916" s="8">
        <f>HYPERLINK("https://ictv.global/id/TN20124302","TN20124302@prod")</f>
        <v/>
      </c>
      <c r="O1916" s="8">
        <f>HYPERLINK("https://ictv.global/id/ICTV19760315","ICTV19760315@prod")</f>
        <v/>
      </c>
    </row>
    <row r="1917">
      <c r="A1917" t="n">
        <v>27</v>
      </c>
      <c r="B1917" t="n">
        <v>20125149</v>
      </c>
      <c r="C1917" t="n">
        <v>19931791</v>
      </c>
      <c r="D1917" t="inlineStr">
        <is>
          <t>species</t>
        </is>
      </c>
      <c r="E1917" t="inlineStr">
        <is>
          <t>Leishmania RNA virus 1 - 1</t>
        </is>
      </c>
      <c r="G1917" t="inlineStr">
        <is>
          <t>Merged,</t>
        </is>
      </c>
      <c r="H1917" t="inlineStr">
        <is>
          <t>Leishmania RNA virus 1</t>
        </is>
      </c>
      <c r="I1917" t="inlineStr">
        <is>
          <t>species</t>
        </is>
      </c>
      <c r="J1917" t="n">
        <v>19931791</v>
      </c>
      <c r="K1917" t="n">
        <v>20133402</v>
      </c>
      <c r="L1917" s="8">
        <f>HYPERLINK("https://test.ictv.global/id/TN20125149","TN20125149@TEST")</f>
        <v/>
      </c>
      <c r="M1917" s="8">
        <f>HYPERLINK("https://test.ictv.global/id/ICTV19931791","ICTV19931791@TEST")</f>
        <v/>
      </c>
      <c r="N1917" s="8">
        <f>HYPERLINK("https://ictv.global/id/TN20125149","TN20125149@prod")</f>
        <v/>
      </c>
      <c r="O1917" s="8">
        <f>HYPERLINK("https://ictv.global/id/ICTV19931791","ICTV19931791@prod")</f>
        <v/>
      </c>
    </row>
    <row r="1918">
      <c r="A1918" t="n">
        <v>27</v>
      </c>
      <c r="B1918" t="n">
        <v>20125150</v>
      </c>
      <c r="C1918" t="n">
        <v>19952290</v>
      </c>
      <c r="D1918" t="inlineStr">
        <is>
          <t>species</t>
        </is>
      </c>
      <c r="E1918" t="inlineStr">
        <is>
          <t>Leishmania RNA virus 1 - 10</t>
        </is>
      </c>
      <c r="G1918" t="inlineStr">
        <is>
          <t>Abolished,</t>
        </is>
      </c>
      <c r="L1918" s="8">
        <f>HYPERLINK("https://test.ictv.global/id/TN20125150","TN20125150@TEST")</f>
        <v/>
      </c>
      <c r="M1918" s="8">
        <f>HYPERLINK("https://test.ictv.global/id/ICTV19952290","ICTV19952290@TEST")</f>
        <v/>
      </c>
      <c r="N1918" s="8">
        <f>HYPERLINK("https://ictv.global/id/TN20125150","TN20125150@prod")</f>
        <v/>
      </c>
      <c r="O1918" s="8">
        <f>HYPERLINK("https://ictv.global/id/ICTV19952290","ICTV19952290@prod")</f>
        <v/>
      </c>
    </row>
    <row r="1919">
      <c r="A1919" t="n">
        <v>27</v>
      </c>
      <c r="B1919" t="n">
        <v>20125151</v>
      </c>
      <c r="C1919" t="n">
        <v>19952291</v>
      </c>
      <c r="D1919" t="inlineStr">
        <is>
          <t>species</t>
        </is>
      </c>
      <c r="E1919" t="inlineStr">
        <is>
          <t>Leishmania RNA virus 1 - 11</t>
        </is>
      </c>
      <c r="G1919" t="inlineStr">
        <is>
          <t>Merged,Assigned as Type Species,</t>
        </is>
      </c>
      <c r="H1919" t="inlineStr">
        <is>
          <t>Leishmania RNA virus 1</t>
        </is>
      </c>
      <c r="I1919" t="inlineStr">
        <is>
          <t>species</t>
        </is>
      </c>
      <c r="J1919" t="n">
        <v>19931791</v>
      </c>
      <c r="K1919" t="n">
        <v>20133402</v>
      </c>
      <c r="L1919" s="8">
        <f>HYPERLINK("https://test.ictv.global/id/TN20125151","TN20125151@TEST")</f>
        <v/>
      </c>
      <c r="M1919" s="8">
        <f>HYPERLINK("https://test.ictv.global/id/ICTV19952291","ICTV19952291@TEST")</f>
        <v/>
      </c>
      <c r="N1919" s="8">
        <f>HYPERLINK("https://ictv.global/id/TN20125151","TN20125151@prod")</f>
        <v/>
      </c>
      <c r="O1919" s="8">
        <f>HYPERLINK("https://ictv.global/id/ICTV19952291","ICTV19952291@prod")</f>
        <v/>
      </c>
    </row>
    <row r="1920">
      <c r="A1920" t="n">
        <v>27</v>
      </c>
      <c r="B1920" t="n">
        <v>20125152</v>
      </c>
      <c r="C1920" t="n">
        <v>19952292</v>
      </c>
      <c r="D1920" t="inlineStr">
        <is>
          <t>species</t>
        </is>
      </c>
      <c r="E1920" t="inlineStr">
        <is>
          <t>Leishmania RNA virus 1 - 12</t>
        </is>
      </c>
      <c r="G1920" t="inlineStr">
        <is>
          <t>Abolished,</t>
        </is>
      </c>
      <c r="L1920" s="8">
        <f>HYPERLINK("https://test.ictv.global/id/TN20125152","TN20125152@TEST")</f>
        <v/>
      </c>
      <c r="M1920" s="8">
        <f>HYPERLINK("https://test.ictv.global/id/ICTV19952292","ICTV19952292@TEST")</f>
        <v/>
      </c>
      <c r="N1920" s="8">
        <f>HYPERLINK("https://ictv.global/id/TN20125152","TN20125152@prod")</f>
        <v/>
      </c>
      <c r="O1920" s="8">
        <f>HYPERLINK("https://ictv.global/id/ICTV19952292","ICTV19952292@prod")</f>
        <v/>
      </c>
    </row>
    <row r="1921">
      <c r="A1921" t="n">
        <v>27</v>
      </c>
      <c r="B1921" t="n">
        <v>20125153</v>
      </c>
      <c r="C1921" t="n">
        <v>19952293</v>
      </c>
      <c r="D1921" t="inlineStr">
        <is>
          <t>species</t>
        </is>
      </c>
      <c r="E1921" t="inlineStr">
        <is>
          <t>Leishmania RNA virus 1 - 2</t>
        </is>
      </c>
      <c r="G1921" t="inlineStr">
        <is>
          <t>Merged,Assigned as Type Species,</t>
        </is>
      </c>
      <c r="H1921" t="inlineStr">
        <is>
          <t>Leishmania RNA virus 1</t>
        </is>
      </c>
      <c r="I1921" t="inlineStr">
        <is>
          <t>species</t>
        </is>
      </c>
      <c r="J1921" t="n">
        <v>19931791</v>
      </c>
      <c r="K1921" t="n">
        <v>20133402</v>
      </c>
      <c r="L1921" s="8">
        <f>HYPERLINK("https://test.ictv.global/id/TN20125153","TN20125153@TEST")</f>
        <v/>
      </c>
      <c r="M1921" s="8">
        <f>HYPERLINK("https://test.ictv.global/id/ICTV19952293","ICTV19952293@TEST")</f>
        <v/>
      </c>
      <c r="N1921" s="8">
        <f>HYPERLINK("https://ictv.global/id/TN20125153","TN20125153@prod")</f>
        <v/>
      </c>
      <c r="O1921" s="8">
        <f>HYPERLINK("https://ictv.global/id/ICTV19952293","ICTV19952293@prod")</f>
        <v/>
      </c>
    </row>
    <row r="1922">
      <c r="A1922" t="n">
        <v>27</v>
      </c>
      <c r="B1922" t="n">
        <v>20125154</v>
      </c>
      <c r="C1922" t="n">
        <v>19952294</v>
      </c>
      <c r="D1922" t="inlineStr">
        <is>
          <t>species</t>
        </is>
      </c>
      <c r="E1922" t="inlineStr">
        <is>
          <t>Leishmania RNA virus 1 - 3</t>
        </is>
      </c>
      <c r="G1922" t="inlineStr">
        <is>
          <t>Abolished,</t>
        </is>
      </c>
      <c r="L1922" s="8">
        <f>HYPERLINK("https://test.ictv.global/id/TN20125154","TN20125154@TEST")</f>
        <v/>
      </c>
      <c r="M1922" s="8">
        <f>HYPERLINK("https://test.ictv.global/id/ICTV19952294","ICTV19952294@TEST")</f>
        <v/>
      </c>
      <c r="N1922" s="8">
        <f>HYPERLINK("https://ictv.global/id/TN20125154","TN20125154@prod")</f>
        <v/>
      </c>
      <c r="O1922" s="8">
        <f>HYPERLINK("https://ictv.global/id/ICTV19952294","ICTV19952294@prod")</f>
        <v/>
      </c>
    </row>
    <row r="1923">
      <c r="A1923" t="n">
        <v>27</v>
      </c>
      <c r="B1923" t="n">
        <v>20125155</v>
      </c>
      <c r="C1923" t="n">
        <v>19952295</v>
      </c>
      <c r="D1923" t="inlineStr">
        <is>
          <t>species</t>
        </is>
      </c>
      <c r="E1923" t="inlineStr">
        <is>
          <t>Leishmania RNA virus 1 - 4</t>
        </is>
      </c>
      <c r="G1923" t="inlineStr">
        <is>
          <t>Merged,Assigned as Type Species,</t>
        </is>
      </c>
      <c r="H1923" t="inlineStr">
        <is>
          <t>Leishmania RNA virus 1</t>
        </is>
      </c>
      <c r="I1923" t="inlineStr">
        <is>
          <t>species</t>
        </is>
      </c>
      <c r="J1923" t="n">
        <v>19931791</v>
      </c>
      <c r="K1923" t="n">
        <v>20133402</v>
      </c>
      <c r="L1923" s="8">
        <f>HYPERLINK("https://test.ictv.global/id/TN20125155","TN20125155@TEST")</f>
        <v/>
      </c>
      <c r="M1923" s="8">
        <f>HYPERLINK("https://test.ictv.global/id/ICTV19952295","ICTV19952295@TEST")</f>
        <v/>
      </c>
      <c r="N1923" s="8">
        <f>HYPERLINK("https://ictv.global/id/TN20125155","TN20125155@prod")</f>
        <v/>
      </c>
      <c r="O1923" s="8">
        <f>HYPERLINK("https://ictv.global/id/ICTV19952295","ICTV19952295@prod")</f>
        <v/>
      </c>
    </row>
    <row r="1924">
      <c r="A1924" t="n">
        <v>27</v>
      </c>
      <c r="B1924" t="n">
        <v>20125156</v>
      </c>
      <c r="C1924" t="n">
        <v>19952296</v>
      </c>
      <c r="D1924" t="inlineStr">
        <is>
          <t>species</t>
        </is>
      </c>
      <c r="E1924" t="inlineStr">
        <is>
          <t>Leishmania RNA virus 1 - 5</t>
        </is>
      </c>
      <c r="G1924" t="inlineStr">
        <is>
          <t>Abolished,</t>
        </is>
      </c>
      <c r="L1924" s="8">
        <f>HYPERLINK("https://test.ictv.global/id/TN20125156","TN20125156@TEST")</f>
        <v/>
      </c>
      <c r="M1924" s="8">
        <f>HYPERLINK("https://test.ictv.global/id/ICTV19952296","ICTV19952296@TEST")</f>
        <v/>
      </c>
      <c r="N1924" s="8">
        <f>HYPERLINK("https://ictv.global/id/TN20125156","TN20125156@prod")</f>
        <v/>
      </c>
      <c r="O1924" s="8">
        <f>HYPERLINK("https://ictv.global/id/ICTV19952296","ICTV19952296@prod")</f>
        <v/>
      </c>
    </row>
    <row r="1925">
      <c r="A1925" t="n">
        <v>27</v>
      </c>
      <c r="B1925" t="n">
        <v>20125157</v>
      </c>
      <c r="C1925" t="n">
        <v>19952297</v>
      </c>
      <c r="D1925" t="inlineStr">
        <is>
          <t>species</t>
        </is>
      </c>
      <c r="E1925" t="inlineStr">
        <is>
          <t>Leishmania RNA virus 1 - 6</t>
        </is>
      </c>
      <c r="G1925" t="inlineStr">
        <is>
          <t>Abolished,</t>
        </is>
      </c>
      <c r="L1925" s="8">
        <f>HYPERLINK("https://test.ictv.global/id/TN20125157","TN20125157@TEST")</f>
        <v/>
      </c>
      <c r="M1925" s="8">
        <f>HYPERLINK("https://test.ictv.global/id/ICTV19952297","ICTV19952297@TEST")</f>
        <v/>
      </c>
      <c r="N1925" s="8">
        <f>HYPERLINK("https://ictv.global/id/TN20125157","TN20125157@prod")</f>
        <v/>
      </c>
      <c r="O1925" s="8">
        <f>HYPERLINK("https://ictv.global/id/ICTV19952297","ICTV19952297@prod")</f>
        <v/>
      </c>
    </row>
    <row r="1926">
      <c r="A1926" t="n">
        <v>27</v>
      </c>
      <c r="B1926" t="n">
        <v>20125158</v>
      </c>
      <c r="C1926" t="n">
        <v>19952298</v>
      </c>
      <c r="D1926" t="inlineStr">
        <is>
          <t>species</t>
        </is>
      </c>
      <c r="E1926" t="inlineStr">
        <is>
          <t>Leishmania RNA virus 1 - 7</t>
        </is>
      </c>
      <c r="G1926" t="inlineStr">
        <is>
          <t>Merged,Assigned as Type Species,</t>
        </is>
      </c>
      <c r="H1926" t="inlineStr">
        <is>
          <t>Leishmania RNA virus 1</t>
        </is>
      </c>
      <c r="I1926" t="inlineStr">
        <is>
          <t>species</t>
        </is>
      </c>
      <c r="J1926" t="n">
        <v>19931791</v>
      </c>
      <c r="K1926" t="n">
        <v>20133402</v>
      </c>
      <c r="L1926" s="8">
        <f>HYPERLINK("https://test.ictv.global/id/TN20125158","TN20125158@TEST")</f>
        <v/>
      </c>
      <c r="M1926" s="8">
        <f>HYPERLINK("https://test.ictv.global/id/ICTV19952298","ICTV19952298@TEST")</f>
        <v/>
      </c>
      <c r="N1926" s="8">
        <f>HYPERLINK("https://ictv.global/id/TN20125158","TN20125158@prod")</f>
        <v/>
      </c>
      <c r="O1926" s="8">
        <f>HYPERLINK("https://ictv.global/id/ICTV19952298","ICTV19952298@prod")</f>
        <v/>
      </c>
    </row>
    <row r="1927">
      <c r="A1927" t="n">
        <v>27</v>
      </c>
      <c r="B1927" t="n">
        <v>20125159</v>
      </c>
      <c r="C1927" t="n">
        <v>19952299</v>
      </c>
      <c r="D1927" t="inlineStr">
        <is>
          <t>species</t>
        </is>
      </c>
      <c r="E1927" t="inlineStr">
        <is>
          <t>Leishmania RNA virus 1 - 8</t>
        </is>
      </c>
      <c r="G1927" t="inlineStr">
        <is>
          <t>Abolished,</t>
        </is>
      </c>
      <c r="L1927" s="8">
        <f>HYPERLINK("https://test.ictv.global/id/TN20125159","TN20125159@TEST")</f>
        <v/>
      </c>
      <c r="M1927" s="8">
        <f>HYPERLINK("https://test.ictv.global/id/ICTV19952299","ICTV19952299@TEST")</f>
        <v/>
      </c>
      <c r="N1927" s="8">
        <f>HYPERLINK("https://ictv.global/id/TN20125159","TN20125159@prod")</f>
        <v/>
      </c>
      <c r="O1927" s="8">
        <f>HYPERLINK("https://ictv.global/id/ICTV19952299","ICTV19952299@prod")</f>
        <v/>
      </c>
    </row>
    <row r="1928">
      <c r="A1928" t="n">
        <v>27</v>
      </c>
      <c r="B1928" t="n">
        <v>20125160</v>
      </c>
      <c r="C1928" t="n">
        <v>19952300</v>
      </c>
      <c r="D1928" t="inlineStr">
        <is>
          <t>species</t>
        </is>
      </c>
      <c r="E1928" t="inlineStr">
        <is>
          <t>Leishmania RNA virus 1 - 9</t>
        </is>
      </c>
      <c r="G1928" t="inlineStr">
        <is>
          <t>Merged,Assigned as Type Species,</t>
        </is>
      </c>
      <c r="H1928" t="inlineStr">
        <is>
          <t>Leishmania RNA virus 1</t>
        </is>
      </c>
      <c r="I1928" t="inlineStr">
        <is>
          <t>species</t>
        </is>
      </c>
      <c r="J1928" t="n">
        <v>19931791</v>
      </c>
      <c r="K1928" t="n">
        <v>20133402</v>
      </c>
      <c r="L1928" s="8">
        <f>HYPERLINK("https://test.ictv.global/id/TN20125160","TN20125160@TEST")</f>
        <v/>
      </c>
      <c r="M1928" s="8">
        <f>HYPERLINK("https://test.ictv.global/id/ICTV19952300","ICTV19952300@TEST")</f>
        <v/>
      </c>
      <c r="N1928" s="8">
        <f>HYPERLINK("https://ictv.global/id/TN20125160","TN20125160@prod")</f>
        <v/>
      </c>
      <c r="O1928" s="8">
        <f>HYPERLINK("https://ictv.global/id/ICTV19952300","ICTV19952300@prod")</f>
        <v/>
      </c>
    </row>
    <row r="1929">
      <c r="A1929" t="n">
        <v>28</v>
      </c>
      <c r="B1929" t="n">
        <v>20131238</v>
      </c>
      <c r="C1929" t="n">
        <v>20020613</v>
      </c>
      <c r="D1929" t="inlineStr">
        <is>
          <t>species</t>
        </is>
      </c>
      <c r="E1929" t="inlineStr">
        <is>
          <t>Helicoverpa armigera nucleopolyhedrovirus</t>
        </is>
      </c>
      <c r="F1929" t="inlineStr"/>
      <c r="G1929" t="inlineStr">
        <is>
          <t>Merged,</t>
        </is>
      </c>
      <c r="H1929" t="inlineStr">
        <is>
          <t>Helicoverpa armigera nucleopolyhedrovirus</t>
        </is>
      </c>
      <c r="I1929" t="inlineStr">
        <is>
          <t>species</t>
        </is>
      </c>
      <c r="J1929" t="n">
        <v>20020613</v>
      </c>
      <c r="K1929" t="n">
        <v>20141600</v>
      </c>
      <c r="L1929" s="8">
        <f>HYPERLINK("https://test.ictv.global/id/TN20131238","TN20131238@TEST")</f>
        <v/>
      </c>
      <c r="M1929" s="8">
        <f>HYPERLINK("https://test.ictv.global/id/ICTV20020613","ICTV20020613@TEST")</f>
        <v/>
      </c>
      <c r="N1929" s="8">
        <f>HYPERLINK("https://ictv.global/id/TN20131238","TN20131238@prod")</f>
        <v/>
      </c>
      <c r="O1929" s="8">
        <f>HYPERLINK("https://ictv.global/id/ICTV20020613","ICTV20020613@prod")</f>
        <v/>
      </c>
    </row>
    <row r="1930">
      <c r="A1930" t="n">
        <v>28</v>
      </c>
      <c r="B1930" t="n">
        <v>20131239</v>
      </c>
      <c r="C1930" t="n">
        <v>19910428</v>
      </c>
      <c r="D1930" t="inlineStr">
        <is>
          <t>species</t>
        </is>
      </c>
      <c r="E1930" t="inlineStr">
        <is>
          <t>Helicoverpa zea single nucleopolyhedrovirus</t>
        </is>
      </c>
      <c r="G1930" t="inlineStr">
        <is>
          <t>Merged,</t>
        </is>
      </c>
      <c r="H1930" t="inlineStr">
        <is>
          <t>Helicoverpa armigera nucleopolyhedrovirus</t>
        </is>
      </c>
      <c r="I1930" t="inlineStr">
        <is>
          <t>species</t>
        </is>
      </c>
      <c r="J1930" t="n">
        <v>20020613</v>
      </c>
      <c r="K1930" t="n">
        <v>20141600</v>
      </c>
      <c r="L1930" s="8">
        <f>HYPERLINK("https://test.ictv.global/id/TN20131239","TN20131239@TEST")</f>
        <v/>
      </c>
      <c r="M1930" s="8">
        <f>HYPERLINK("https://test.ictv.global/id/ICTV19910428","ICTV19910428@TEST")</f>
        <v/>
      </c>
      <c r="N1930" s="8">
        <f>HYPERLINK("https://ictv.global/id/TN20131239","TN20131239@prod")</f>
        <v/>
      </c>
      <c r="O1930" s="8">
        <f>HYPERLINK("https://ictv.global/id/ICTV19910428","ICTV19910428@prod")</f>
        <v/>
      </c>
    </row>
    <row r="1931">
      <c r="A1931" t="n">
        <v>28</v>
      </c>
      <c r="B1931" t="n">
        <v>20132792</v>
      </c>
      <c r="C1931" t="n">
        <v>19982227</v>
      </c>
      <c r="D1931" t="inlineStr">
        <is>
          <t>species</t>
        </is>
      </c>
      <c r="E1931" t="inlineStr">
        <is>
          <t>Mexican papita viroid</t>
        </is>
      </c>
      <c r="G1931" t="inlineStr">
        <is>
          <t>Merged,</t>
        </is>
      </c>
      <c r="H1931" t="inlineStr">
        <is>
          <t>Tomato planta macho viroid</t>
        </is>
      </c>
      <c r="I1931" t="inlineStr">
        <is>
          <t>species</t>
        </is>
      </c>
      <c r="J1931" t="n">
        <v>19911908</v>
      </c>
      <c r="K1931" t="n">
        <v>20143155</v>
      </c>
      <c r="L1931" s="8">
        <f>HYPERLINK("https://test.ictv.global/id/TN20132792","TN20132792@TEST")</f>
        <v/>
      </c>
      <c r="M1931" s="8">
        <f>HYPERLINK("https://test.ictv.global/id/ICTV19982227","ICTV19982227@TEST")</f>
        <v/>
      </c>
      <c r="N1931" s="8">
        <f>HYPERLINK("https://ictv.global/id/TN20132792","TN20132792@prod")</f>
        <v/>
      </c>
      <c r="O1931" s="8">
        <f>HYPERLINK("https://ictv.global/id/ICTV19982227","ICTV19982227@prod")</f>
        <v/>
      </c>
    </row>
    <row r="1932">
      <c r="A1932" t="n">
        <v>28</v>
      </c>
      <c r="B1932" t="n">
        <v>20132797</v>
      </c>
      <c r="C1932" t="n">
        <v>19911908</v>
      </c>
      <c r="D1932" t="inlineStr">
        <is>
          <t>species</t>
        </is>
      </c>
      <c r="E1932" t="inlineStr">
        <is>
          <t>Tomato planta macho viroid</t>
        </is>
      </c>
      <c r="F1932" t="inlineStr">
        <is>
          <t>K00817</t>
        </is>
      </c>
      <c r="G1932" t="inlineStr">
        <is>
          <t>Merged,</t>
        </is>
      </c>
      <c r="H1932" t="inlineStr">
        <is>
          <t>Tomato planta macho viroid</t>
        </is>
      </c>
      <c r="I1932" t="inlineStr">
        <is>
          <t>species</t>
        </is>
      </c>
      <c r="J1932" t="n">
        <v>19911908</v>
      </c>
      <c r="K1932" t="n">
        <v>20143155</v>
      </c>
      <c r="L1932" s="8">
        <f>HYPERLINK("https://test.ictv.global/id/TN20132797","TN20132797@TEST")</f>
        <v/>
      </c>
      <c r="M1932" s="8">
        <f>HYPERLINK("https://test.ictv.global/id/ICTV19911908","ICTV19911908@TEST")</f>
        <v/>
      </c>
      <c r="N1932" s="8">
        <f>HYPERLINK("https://ictv.global/id/TN20132797","TN20132797@prod")</f>
        <v/>
      </c>
      <c r="O1932" s="8">
        <f>HYPERLINK("https://ictv.global/id/ICTV19911908","ICTV19911908@prod")</f>
        <v/>
      </c>
    </row>
    <row r="1933">
      <c r="A1933" t="n">
        <v>29</v>
      </c>
      <c r="B1933" t="n">
        <v>20140217</v>
      </c>
      <c r="C1933" t="n">
        <v>19952172</v>
      </c>
      <c r="D1933" t="inlineStr">
        <is>
          <t>species</t>
        </is>
      </c>
      <c r="E1933" t="inlineStr">
        <is>
          <t>Enterobacteria phage T5</t>
        </is>
      </c>
      <c r="F1933" t="inlineStr"/>
      <c r="G1933" t="inlineStr">
        <is>
          <t>Merged,</t>
        </is>
      </c>
      <c r="H1933" t="inlineStr">
        <is>
          <t>Escherichia virus T5</t>
        </is>
      </c>
      <c r="I1933" t="inlineStr">
        <is>
          <t>species</t>
        </is>
      </c>
      <c r="J1933" t="n">
        <v>20125853</v>
      </c>
      <c r="K1933" t="n">
        <v>20150706</v>
      </c>
      <c r="L1933" s="8">
        <f>HYPERLINK("https://test.ictv.global/id/TN20140217","TN20140217@TEST")</f>
        <v/>
      </c>
      <c r="M1933" s="8">
        <f>HYPERLINK("https://test.ictv.global/id/ICTV19952172","ICTV19952172@TEST")</f>
        <v/>
      </c>
      <c r="N1933" s="8">
        <f>HYPERLINK("https://ictv.global/id/TN20140217","TN20140217@prod")</f>
        <v/>
      </c>
      <c r="O1933" s="8">
        <f>HYPERLINK("https://ictv.global/id/ICTV19952172","ICTV19952172@prod")</f>
        <v/>
      </c>
    </row>
    <row r="1934">
      <c r="A1934" t="n">
        <v>29</v>
      </c>
      <c r="B1934" t="n">
        <v>20140222</v>
      </c>
      <c r="C1934" t="n">
        <v>20125853</v>
      </c>
      <c r="D1934" t="inlineStr">
        <is>
          <t>species</t>
        </is>
      </c>
      <c r="E1934" t="inlineStr">
        <is>
          <t>Escherichia phage T5</t>
        </is>
      </c>
      <c r="F1934" t="inlineStr"/>
      <c r="G1934" t="inlineStr">
        <is>
          <t>Merged,</t>
        </is>
      </c>
      <c r="H1934" t="inlineStr">
        <is>
          <t>Escherichia virus T5</t>
        </is>
      </c>
      <c r="I1934" t="inlineStr">
        <is>
          <t>species</t>
        </is>
      </c>
      <c r="J1934" t="n">
        <v>20125853</v>
      </c>
      <c r="K1934" t="n">
        <v>20150706</v>
      </c>
      <c r="L1934" s="8">
        <f>HYPERLINK("https://test.ictv.global/id/TN20140222","TN20140222@TEST")</f>
        <v/>
      </c>
      <c r="M1934" s="8">
        <f>HYPERLINK("https://test.ictv.global/id/ICTV20125853","ICTV20125853@TEST")</f>
        <v/>
      </c>
      <c r="N1934" s="8">
        <f>HYPERLINK("https://ictv.global/id/TN20140222","TN20140222@prod")</f>
        <v/>
      </c>
      <c r="O1934" s="8">
        <f>HYPERLINK("https://ictv.global/id/ICTV20125853","ICTV20125853@prod")</f>
        <v/>
      </c>
    </row>
    <row r="1935">
      <c r="A1935" t="n">
        <v>29</v>
      </c>
      <c r="B1935" t="n">
        <v>20140224</v>
      </c>
      <c r="C1935" t="n">
        <v>19990407</v>
      </c>
      <c r="D1935" t="inlineStr">
        <is>
          <t>species</t>
        </is>
      </c>
      <c r="E1935" t="inlineStr">
        <is>
          <t>Vibrio phage 149 (type IV)</t>
        </is>
      </c>
      <c r="F1935" t="inlineStr"/>
      <c r="G1935" t="inlineStr">
        <is>
          <t>Abolished,</t>
        </is>
      </c>
      <c r="L1935" s="8">
        <f>HYPERLINK("https://test.ictv.global/id/TN20140224","TN20140224@TEST")</f>
        <v/>
      </c>
      <c r="M1935" s="8">
        <f>HYPERLINK("https://test.ictv.global/id/ICTV19990407","ICTV19990407@TEST")</f>
        <v/>
      </c>
      <c r="N1935" s="8">
        <f>HYPERLINK("https://ictv.global/id/TN20140224","TN20140224@prod")</f>
        <v/>
      </c>
      <c r="O1935" s="8">
        <f>HYPERLINK("https://ictv.global/id/ICTV19990407","ICTV19990407@prod")</f>
        <v/>
      </c>
    </row>
    <row r="1936">
      <c r="A1936" t="n">
        <v>29</v>
      </c>
      <c r="B1936" t="n">
        <v>20140743</v>
      </c>
      <c r="C1936" t="n">
        <v>19900045</v>
      </c>
      <c r="D1936" t="inlineStr">
        <is>
          <t>subfamily</t>
        </is>
      </c>
      <c r="E1936" t="inlineStr">
        <is>
          <t>Paramyxovirinae</t>
        </is>
      </c>
      <c r="G1936" t="inlineStr">
        <is>
          <t>Abolished,</t>
        </is>
      </c>
      <c r="L1936" s="8">
        <f>HYPERLINK("https://test.ictv.global/id/TN20140743","TN20140743@TEST")</f>
        <v/>
      </c>
      <c r="M1936" s="8">
        <f>HYPERLINK("https://test.ictv.global/id/ICTV19900045","ICTV19900045@TEST")</f>
        <v/>
      </c>
      <c r="N1936" s="8">
        <f>HYPERLINK("https://ictv.global/id/TN20140743","TN20140743@prod")</f>
        <v/>
      </c>
      <c r="O1936" s="8">
        <f>HYPERLINK("https://ictv.global/id/ICTV19900045","ICTV19900045@prod")</f>
        <v/>
      </c>
    </row>
    <row r="1937">
      <c r="A1937" t="n">
        <v>29</v>
      </c>
      <c r="B1937" t="n">
        <v>20140773</v>
      </c>
      <c r="C1937" t="n">
        <v>19950300</v>
      </c>
      <c r="D1937" t="inlineStr">
        <is>
          <t>species</t>
        </is>
      </c>
      <c r="E1937" t="inlineStr">
        <is>
          <t>Simian virus 10</t>
        </is>
      </c>
      <c r="F1937" t="inlineStr"/>
      <c r="G1937" t="inlineStr">
        <is>
          <t>Abolished,</t>
        </is>
      </c>
      <c r="L1937" s="8">
        <f>HYPERLINK("https://test.ictv.global/id/TN20140773","TN20140773@TEST")</f>
        <v/>
      </c>
      <c r="M1937" s="8">
        <f>HYPERLINK("https://test.ictv.global/id/ICTV19950300","ICTV19950300@TEST")</f>
        <v/>
      </c>
      <c r="N1937" s="8">
        <f>HYPERLINK("https://ictv.global/id/TN20140773","TN20140773@prod")</f>
        <v/>
      </c>
      <c r="O1937" s="8">
        <f>HYPERLINK("https://ictv.global/id/ICTV19950300","ICTV19950300@prod")</f>
        <v/>
      </c>
    </row>
    <row r="1938">
      <c r="A1938" t="n">
        <v>29</v>
      </c>
      <c r="B1938" t="n">
        <v>20140782</v>
      </c>
      <c r="C1938" t="n">
        <v>19900046</v>
      </c>
      <c r="D1938" t="inlineStr">
        <is>
          <t>subfamily</t>
        </is>
      </c>
      <c r="E1938" t="inlineStr">
        <is>
          <t>Pneumovirinae</t>
        </is>
      </c>
      <c r="G1938" t="inlineStr">
        <is>
          <t>Renamed,Promoted,</t>
        </is>
      </c>
      <c r="H1938" t="inlineStr">
        <is>
          <t>Pneumoviridae</t>
        </is>
      </c>
      <c r="I1938" t="inlineStr">
        <is>
          <t>family</t>
        </is>
      </c>
      <c r="J1938" t="n">
        <v>19900046</v>
      </c>
      <c r="K1938" t="n">
        <v>20151064</v>
      </c>
      <c r="L1938" s="8">
        <f>HYPERLINK("https://test.ictv.global/id/TN20140782","TN20140782@TEST")</f>
        <v/>
      </c>
      <c r="M1938" s="8">
        <f>HYPERLINK("https://test.ictv.global/id/ICTV19900046","ICTV19900046@TEST")</f>
        <v/>
      </c>
      <c r="N1938" s="8">
        <f>HYPERLINK("https://ictv.global/id/TN20140782","TN20140782@prod")</f>
        <v/>
      </c>
      <c r="O1938" s="8">
        <f>HYPERLINK("https://ictv.global/id/ICTV19900046","ICTV19900046@prod")</f>
        <v/>
      </c>
    </row>
    <row r="1939">
      <c r="A1939" t="n">
        <v>29</v>
      </c>
      <c r="B1939" t="n">
        <v>20141164</v>
      </c>
      <c r="C1939" t="n">
        <v>19821276</v>
      </c>
      <c r="D1939" t="inlineStr">
        <is>
          <t>species</t>
        </is>
      </c>
      <c r="E1939" t="inlineStr">
        <is>
          <t>Commelina virus X</t>
        </is>
      </c>
      <c r="F1939" t="inlineStr"/>
      <c r="G1939" t="inlineStr">
        <is>
          <t>Abolished,</t>
        </is>
      </c>
      <c r="L1939" s="8">
        <f>HYPERLINK("https://test.ictv.global/id/TN20141164","TN20141164@TEST")</f>
        <v/>
      </c>
      <c r="M1939" s="8">
        <f>HYPERLINK("https://test.ictv.global/id/ICTV19821276","ICTV19821276@TEST")</f>
        <v/>
      </c>
      <c r="N1939" s="8">
        <f>HYPERLINK("https://ictv.global/id/TN20141164","TN20141164@prod")</f>
        <v/>
      </c>
      <c r="O1939" s="8">
        <f>HYPERLINK("https://ictv.global/id/ICTV19821276","ICTV19821276@prod")</f>
        <v/>
      </c>
    </row>
    <row r="1940">
      <c r="A1940" t="n">
        <v>29</v>
      </c>
      <c r="B1940" t="n">
        <v>20141166</v>
      </c>
      <c r="C1940" t="n">
        <v>19991838</v>
      </c>
      <c r="D1940" t="inlineStr">
        <is>
          <t>species</t>
        </is>
      </c>
      <c r="E1940" t="inlineStr">
        <is>
          <t>Daphne virus X</t>
        </is>
      </c>
      <c r="F1940" t="inlineStr"/>
      <c r="G1940" t="inlineStr">
        <is>
          <t>Abolished,</t>
        </is>
      </c>
      <c r="L1940" s="8">
        <f>HYPERLINK("https://test.ictv.global/id/TN20141166","TN20141166@TEST")</f>
        <v/>
      </c>
      <c r="M1940" s="8">
        <f>HYPERLINK("https://test.ictv.global/id/ICTV19991838","ICTV19991838@TEST")</f>
        <v/>
      </c>
      <c r="N1940" s="8">
        <f>HYPERLINK("https://ictv.global/id/TN20141166","TN20141166@prod")</f>
        <v/>
      </c>
      <c r="O1940" s="8">
        <f>HYPERLINK("https://ictv.global/id/ICTV19991838","ICTV19991838@prod")</f>
        <v/>
      </c>
    </row>
    <row r="1941">
      <c r="A1941" t="n">
        <v>29</v>
      </c>
      <c r="B1941" t="n">
        <v>20141182</v>
      </c>
      <c r="C1941" t="n">
        <v>19821285</v>
      </c>
      <c r="D1941" t="inlineStr">
        <is>
          <t>species</t>
        </is>
      </c>
      <c r="E1941" t="inlineStr">
        <is>
          <t>Plantago severe mottle virus</t>
        </is>
      </c>
      <c r="F1941" t="inlineStr"/>
      <c r="G1941" t="inlineStr">
        <is>
          <t>Abolished,</t>
        </is>
      </c>
      <c r="L1941" s="8">
        <f>HYPERLINK("https://test.ictv.global/id/TN20141182","TN20141182@TEST")</f>
        <v/>
      </c>
      <c r="M1941" s="8">
        <f>HYPERLINK("https://test.ictv.global/id/ICTV19821285","ICTV19821285@TEST")</f>
        <v/>
      </c>
      <c r="N1941" s="8">
        <f>HYPERLINK("https://ictv.global/id/TN20141182","TN20141182@prod")</f>
        <v/>
      </c>
      <c r="O1941" s="8">
        <f>HYPERLINK("https://ictv.global/id/ICTV19821285","ICTV19821285@prod")</f>
        <v/>
      </c>
    </row>
    <row r="1942">
      <c r="A1942" t="n">
        <v>29</v>
      </c>
      <c r="B1942" t="n">
        <v>20141214</v>
      </c>
      <c r="C1942" t="n">
        <v>19911527</v>
      </c>
      <c r="D1942" t="inlineStr">
        <is>
          <t>species</t>
        </is>
      </c>
      <c r="E1942" t="inlineStr">
        <is>
          <t>Dandelion latent virus</t>
        </is>
      </c>
      <c r="F1942" t="inlineStr"/>
      <c r="G1942" t="inlineStr">
        <is>
          <t>Abolished,</t>
        </is>
      </c>
      <c r="L1942" s="8">
        <f>HYPERLINK("https://test.ictv.global/id/TN20141214","TN20141214@TEST")</f>
        <v/>
      </c>
      <c r="M1942" s="8">
        <f>HYPERLINK("https://test.ictv.global/id/ICTV19911527","ICTV19911527@TEST")</f>
        <v/>
      </c>
      <c r="N1942" s="8">
        <f>HYPERLINK("https://ictv.global/id/TN20141214","TN20141214@prod")</f>
        <v/>
      </c>
      <c r="O1942" s="8">
        <f>HYPERLINK("https://ictv.global/id/ICTV19911527","ICTV19911527@prod")</f>
        <v/>
      </c>
    </row>
    <row r="1943">
      <c r="A1943" t="n">
        <v>29</v>
      </c>
      <c r="B1943" t="n">
        <v>20141216</v>
      </c>
      <c r="C1943" t="n">
        <v>19821151</v>
      </c>
      <c r="D1943" t="inlineStr">
        <is>
          <t>species</t>
        </is>
      </c>
      <c r="E1943" t="inlineStr">
        <is>
          <t>Elderberry symptomless virus</t>
        </is>
      </c>
      <c r="F1943" t="inlineStr"/>
      <c r="G1943" t="inlineStr">
        <is>
          <t>Abolished,</t>
        </is>
      </c>
      <c r="L1943" s="8">
        <f>HYPERLINK("https://test.ictv.global/id/TN20141216","TN20141216@TEST")</f>
        <v/>
      </c>
      <c r="M1943" s="8">
        <f>HYPERLINK("https://test.ictv.global/id/ICTV19821151","ICTV19821151@TEST")</f>
        <v/>
      </c>
      <c r="N1943" s="8">
        <f>HYPERLINK("https://ictv.global/id/TN20141216","TN20141216@prod")</f>
        <v/>
      </c>
      <c r="O1943" s="8">
        <f>HYPERLINK("https://ictv.global/id/ICTV19821151","ICTV19821151@prod")</f>
        <v/>
      </c>
    </row>
    <row r="1944">
      <c r="A1944" t="n">
        <v>29</v>
      </c>
      <c r="B1944" t="n">
        <v>20141222</v>
      </c>
      <c r="C1944" t="n">
        <v>19911530</v>
      </c>
      <c r="D1944" t="inlineStr">
        <is>
          <t>species</t>
        </is>
      </c>
      <c r="E1944" t="inlineStr">
        <is>
          <t>Honeysuckle latent virus</t>
        </is>
      </c>
      <c r="F1944" t="inlineStr"/>
      <c r="G1944" t="inlineStr">
        <is>
          <t>Abolished,</t>
        </is>
      </c>
      <c r="L1944" s="8">
        <f>HYPERLINK("https://test.ictv.global/id/TN20141222","TN20141222@TEST")</f>
        <v/>
      </c>
      <c r="M1944" s="8">
        <f>HYPERLINK("https://test.ictv.global/id/ICTV19911530","ICTV19911530@TEST")</f>
        <v/>
      </c>
      <c r="N1944" s="8">
        <f>HYPERLINK("https://ictv.global/id/TN20141222","TN20141222@prod")</f>
        <v/>
      </c>
      <c r="O1944" s="8">
        <f>HYPERLINK("https://ictv.global/id/ICTV19911530","ICTV19911530@prod")</f>
        <v/>
      </c>
    </row>
    <row r="1945">
      <c r="A1945" t="n">
        <v>29</v>
      </c>
      <c r="B1945" t="n">
        <v>20141226</v>
      </c>
      <c r="C1945" t="n">
        <v>19911534</v>
      </c>
      <c r="D1945" t="inlineStr">
        <is>
          <t>species</t>
        </is>
      </c>
      <c r="E1945" t="inlineStr">
        <is>
          <t>Hydrangea latent virus</t>
        </is>
      </c>
      <c r="F1945" t="inlineStr"/>
      <c r="G1945" t="inlineStr">
        <is>
          <t>Abolished,</t>
        </is>
      </c>
      <c r="L1945" s="8">
        <f>HYPERLINK("https://test.ictv.global/id/TN20141226","TN20141226@TEST")</f>
        <v/>
      </c>
      <c r="M1945" s="8">
        <f>HYPERLINK("https://test.ictv.global/id/ICTV19911534","ICTV19911534@TEST")</f>
        <v/>
      </c>
      <c r="N1945" s="8">
        <f>HYPERLINK("https://ictv.global/id/TN20141226","TN20141226@prod")</f>
        <v/>
      </c>
      <c r="O1945" s="8">
        <f>HYPERLINK("https://ictv.global/id/ICTV19911534","ICTV19911534@prod")</f>
        <v/>
      </c>
    </row>
    <row r="1946">
      <c r="A1946" t="n">
        <v>29</v>
      </c>
      <c r="B1946" t="n">
        <v>20141229</v>
      </c>
      <c r="C1946" t="n">
        <v>19821155</v>
      </c>
      <c r="D1946" t="inlineStr">
        <is>
          <t>species</t>
        </is>
      </c>
      <c r="E1946" t="inlineStr">
        <is>
          <t>Lilac mottle virus</t>
        </is>
      </c>
      <c r="F1946" t="inlineStr"/>
      <c r="G1946" t="inlineStr">
        <is>
          <t>Abolished,</t>
        </is>
      </c>
      <c r="L1946" s="8">
        <f>HYPERLINK("https://test.ictv.global/id/TN20141229","TN20141229@TEST")</f>
        <v/>
      </c>
      <c r="M1946" s="8">
        <f>HYPERLINK("https://test.ictv.global/id/ICTV19821155","ICTV19821155@TEST")</f>
        <v/>
      </c>
      <c r="N1946" s="8">
        <f>HYPERLINK("https://ictv.global/id/TN20141229","TN20141229@prod")</f>
        <v/>
      </c>
      <c r="O1946" s="8">
        <f>HYPERLINK("https://ictv.global/id/ICTV19821155","ICTV19821155@prod")</f>
        <v/>
      </c>
    </row>
    <row r="1947">
      <c r="A1947" t="n">
        <v>29</v>
      </c>
      <c r="B1947" t="n">
        <v>20141233</v>
      </c>
      <c r="C1947" t="n">
        <v>19790960</v>
      </c>
      <c r="D1947" t="inlineStr">
        <is>
          <t>species</t>
        </is>
      </c>
      <c r="E1947" t="inlineStr">
        <is>
          <t>Mulberry latent virus</t>
        </is>
      </c>
      <c r="F1947" t="inlineStr"/>
      <c r="G1947" t="inlineStr">
        <is>
          <t>Abolished,</t>
        </is>
      </c>
      <c r="L1947" s="8">
        <f>HYPERLINK("https://test.ictv.global/id/TN20141233","TN20141233@TEST")</f>
        <v/>
      </c>
      <c r="M1947" s="8">
        <f>HYPERLINK("https://test.ictv.global/id/ICTV19790960","ICTV19790960@TEST")</f>
        <v/>
      </c>
      <c r="N1947" s="8">
        <f>HYPERLINK("https://ictv.global/id/TN20141233","TN20141233@prod")</f>
        <v/>
      </c>
      <c r="O1947" s="8">
        <f>HYPERLINK("https://ictv.global/id/ICTV19790960","ICTV19790960@prod")</f>
        <v/>
      </c>
    </row>
    <row r="1948">
      <c r="A1948" t="n">
        <v>29</v>
      </c>
      <c r="B1948" t="n">
        <v>20141234</v>
      </c>
      <c r="C1948" t="n">
        <v>19821158</v>
      </c>
      <c r="D1948" t="inlineStr">
        <is>
          <t>species</t>
        </is>
      </c>
      <c r="E1948" t="inlineStr">
        <is>
          <t>Muskmelon vein necrosis virus</t>
        </is>
      </c>
      <c r="F1948" t="inlineStr"/>
      <c r="G1948" t="inlineStr">
        <is>
          <t>Abolished,</t>
        </is>
      </c>
      <c r="L1948" s="8">
        <f>HYPERLINK("https://test.ictv.global/id/TN20141234","TN20141234@TEST")</f>
        <v/>
      </c>
      <c r="M1948" s="8">
        <f>HYPERLINK("https://test.ictv.global/id/ICTV19821158","ICTV19821158@TEST")</f>
        <v/>
      </c>
      <c r="N1948" s="8">
        <f>HYPERLINK("https://ictv.global/id/TN20141234","TN20141234@prod")</f>
        <v/>
      </c>
      <c r="O1948" s="8">
        <f>HYPERLINK("https://ictv.global/id/ICTV19821158","ICTV19821158@prod")</f>
        <v/>
      </c>
    </row>
    <row r="1949">
      <c r="A1949" t="n">
        <v>29</v>
      </c>
      <c r="B1949" t="n">
        <v>20142079</v>
      </c>
      <c r="C1949" t="n">
        <v>20131889</v>
      </c>
      <c r="D1949" t="inlineStr">
        <is>
          <t>species</t>
        </is>
      </c>
      <c r="E1949" t="inlineStr">
        <is>
          <t>Abutilon Brazil virus</t>
        </is>
      </c>
      <c r="F1949" t="inlineStr"/>
      <c r="G1949" t="inlineStr">
        <is>
          <t>Abolished,</t>
        </is>
      </c>
      <c r="L1949" s="8">
        <f>HYPERLINK("https://test.ictv.global/id/TN20142079","TN20142079@TEST")</f>
        <v/>
      </c>
      <c r="M1949" s="8">
        <f>HYPERLINK("https://test.ictv.global/id/ICTV20131889","ICTV20131889@TEST")</f>
        <v/>
      </c>
      <c r="N1949" s="8">
        <f>HYPERLINK("https://ictv.global/id/TN20142079","TN20142079@prod")</f>
        <v/>
      </c>
      <c r="O1949" s="8">
        <f>HYPERLINK("https://ictv.global/id/ICTV20131889","ICTV20131889@prod")</f>
        <v/>
      </c>
    </row>
    <row r="1950">
      <c r="A1950" t="n">
        <v>29</v>
      </c>
      <c r="B1950" t="n">
        <v>20142085</v>
      </c>
      <c r="C1950" t="n">
        <v>20131891</v>
      </c>
      <c r="D1950" t="inlineStr">
        <is>
          <t>species</t>
        </is>
      </c>
      <c r="E1950" t="inlineStr">
        <is>
          <t>Ageratum leaf curl Cameroon virus</t>
        </is>
      </c>
      <c r="F1950" t="inlineStr"/>
      <c r="G1950" t="inlineStr">
        <is>
          <t>Abolished,</t>
        </is>
      </c>
      <c r="L1950" s="8">
        <f>HYPERLINK("https://test.ictv.global/id/TN20142085","TN20142085@TEST")</f>
        <v/>
      </c>
      <c r="M1950" s="8">
        <f>HYPERLINK("https://test.ictv.global/id/ICTV20131891","ICTV20131891@TEST")</f>
        <v/>
      </c>
      <c r="N1950" s="8">
        <f>HYPERLINK("https://ictv.global/id/TN20142085","TN20142085@prod")</f>
        <v/>
      </c>
      <c r="O1950" s="8">
        <f>HYPERLINK("https://ictv.global/id/ICTV20131891","ICTV20131891@prod")</f>
        <v/>
      </c>
    </row>
    <row r="1951">
      <c r="A1951" t="n">
        <v>29</v>
      </c>
      <c r="B1951" t="n">
        <v>20142100</v>
      </c>
      <c r="C1951" t="n">
        <v>20131897</v>
      </c>
      <c r="D1951" t="inlineStr">
        <is>
          <t>species</t>
        </is>
      </c>
      <c r="E1951" t="inlineStr">
        <is>
          <t>Bhendi yellow vein India virus</t>
        </is>
      </c>
      <c r="F1951" t="inlineStr"/>
      <c r="G1951" t="inlineStr">
        <is>
          <t>Abolished,</t>
        </is>
      </c>
      <c r="L1951" s="8">
        <f>HYPERLINK("https://test.ictv.global/id/TN20142100","TN20142100@TEST")</f>
        <v/>
      </c>
      <c r="M1951" s="8">
        <f>HYPERLINK("https://test.ictv.global/id/ICTV20131897","ICTV20131897@TEST")</f>
        <v/>
      </c>
      <c r="N1951" s="8">
        <f>HYPERLINK("https://ictv.global/id/TN20142100","TN20142100@prod")</f>
        <v/>
      </c>
      <c r="O1951" s="8">
        <f>HYPERLINK("https://ictv.global/id/ICTV20131897","ICTV20131897@prod")</f>
        <v/>
      </c>
    </row>
    <row r="1952">
      <c r="A1952" t="n">
        <v>29</v>
      </c>
      <c r="B1952" t="n">
        <v>20142102</v>
      </c>
      <c r="C1952" t="n">
        <v>20083836</v>
      </c>
      <c r="D1952" t="inlineStr">
        <is>
          <t>species</t>
        </is>
      </c>
      <c r="E1952" t="inlineStr">
        <is>
          <t>Bitter gourd yellow vein virus</t>
        </is>
      </c>
      <c r="F1952" t="inlineStr"/>
      <c r="G1952" t="inlineStr">
        <is>
          <t>Abolished,</t>
        </is>
      </c>
      <c r="L1952" s="8">
        <f>HYPERLINK("https://test.ictv.global/id/TN20142102","TN20142102@TEST")</f>
        <v/>
      </c>
      <c r="M1952" s="8">
        <f>HYPERLINK("https://test.ictv.global/id/ICTV20083836","ICTV20083836@TEST")</f>
        <v/>
      </c>
      <c r="N1952" s="8">
        <f>HYPERLINK("https://ictv.global/id/TN20142102","TN20142102@prod")</f>
        <v/>
      </c>
      <c r="O1952" s="8">
        <f>HYPERLINK("https://ictv.global/id/ICTV20083836","ICTV20083836@prod")</f>
        <v/>
      </c>
    </row>
    <row r="1953">
      <c r="A1953" t="n">
        <v>29</v>
      </c>
      <c r="B1953" t="n">
        <v>20142139</v>
      </c>
      <c r="C1953" t="n">
        <v>20131907</v>
      </c>
      <c r="D1953" t="inlineStr">
        <is>
          <t>species</t>
        </is>
      </c>
      <c r="E1953" t="inlineStr">
        <is>
          <t>Eclipta yellow vein virus</t>
        </is>
      </c>
      <c r="F1953" t="inlineStr"/>
      <c r="G1953" t="inlineStr">
        <is>
          <t>Abolished,</t>
        </is>
      </c>
      <c r="L1953" s="8">
        <f>HYPERLINK("https://test.ictv.global/id/TN20142139","TN20142139@TEST")</f>
        <v/>
      </c>
      <c r="M1953" s="8">
        <f>HYPERLINK("https://test.ictv.global/id/ICTV20131907","ICTV20131907@TEST")</f>
        <v/>
      </c>
      <c r="N1953" s="8">
        <f>HYPERLINK("https://ictv.global/id/TN20142139","TN20142139@prod")</f>
        <v/>
      </c>
      <c r="O1953" s="8">
        <f>HYPERLINK("https://ictv.global/id/ICTV20131907","ICTV20131907@prod")</f>
        <v/>
      </c>
    </row>
    <row r="1954">
      <c r="A1954" t="n">
        <v>29</v>
      </c>
      <c r="B1954" t="n">
        <v>20142147</v>
      </c>
      <c r="C1954" t="n">
        <v>19981376</v>
      </c>
      <c r="D1954" t="inlineStr">
        <is>
          <t>species</t>
        </is>
      </c>
      <c r="E1954" t="inlineStr">
        <is>
          <t>Hollyhock leaf crumple virus</t>
        </is>
      </c>
      <c r="F1954" t="inlineStr"/>
      <c r="G1954" t="inlineStr">
        <is>
          <t>Abolished,</t>
        </is>
      </c>
      <c r="L1954" s="8">
        <f>HYPERLINK("https://test.ictv.global/id/TN20142147","TN20142147@TEST")</f>
        <v/>
      </c>
      <c r="M1954" s="8">
        <f>HYPERLINK("https://test.ictv.global/id/ICTV19981376","ICTV19981376@TEST")</f>
        <v/>
      </c>
      <c r="N1954" s="8">
        <f>HYPERLINK("https://ictv.global/id/TN20142147","TN20142147@prod")</f>
        <v/>
      </c>
      <c r="O1954" s="8">
        <f>HYPERLINK("https://ictv.global/id/ICTV19981376","ICTV19981376@prod")</f>
        <v/>
      </c>
    </row>
    <row r="1955">
      <c r="A1955" t="n">
        <v>29</v>
      </c>
      <c r="B1955" t="n">
        <v>20142149</v>
      </c>
      <c r="C1955" t="n">
        <v>20083872</v>
      </c>
      <c r="D1955" t="inlineStr">
        <is>
          <t>species</t>
        </is>
      </c>
      <c r="E1955" t="inlineStr">
        <is>
          <t>Honeysuckle yellow vein Kagoshima virus</t>
        </is>
      </c>
      <c r="F1955" t="inlineStr"/>
      <c r="G1955" t="inlineStr">
        <is>
          <t>Abolished,</t>
        </is>
      </c>
      <c r="L1955" s="8">
        <f>HYPERLINK("https://test.ictv.global/id/TN20142149","TN20142149@TEST")</f>
        <v/>
      </c>
      <c r="M1955" s="8">
        <f>HYPERLINK("https://test.ictv.global/id/ICTV20083872","ICTV20083872@TEST")</f>
        <v/>
      </c>
      <c r="N1955" s="8">
        <f>HYPERLINK("https://ictv.global/id/TN20142149","TN20142149@prod")</f>
        <v/>
      </c>
      <c r="O1955" s="8">
        <f>HYPERLINK("https://ictv.global/id/ICTV20083872","ICTV20083872@prod")</f>
        <v/>
      </c>
    </row>
    <row r="1956">
      <c r="A1956" t="n">
        <v>29</v>
      </c>
      <c r="B1956" t="n">
        <v>20142156</v>
      </c>
      <c r="C1956" t="n">
        <v>20131912</v>
      </c>
      <c r="D1956" t="inlineStr">
        <is>
          <t>species</t>
        </is>
      </c>
      <c r="E1956" t="inlineStr">
        <is>
          <t>Kenaf leaf curl virus</t>
        </is>
      </c>
      <c r="F1956" t="inlineStr"/>
      <c r="G1956" t="inlineStr">
        <is>
          <t>Abolished,</t>
        </is>
      </c>
      <c r="L1956" s="8">
        <f>HYPERLINK("https://test.ictv.global/id/TN20142156","TN20142156@TEST")</f>
        <v/>
      </c>
      <c r="M1956" s="8">
        <f>HYPERLINK("https://test.ictv.global/id/ICTV20131912","ICTV20131912@TEST")</f>
        <v/>
      </c>
      <c r="N1956" s="8">
        <f>HYPERLINK("https://ictv.global/id/TN20142156","TN20142156@prod")</f>
        <v/>
      </c>
      <c r="O1956" s="8">
        <f>HYPERLINK("https://ictv.global/id/ICTV20131912","ICTV20131912@prod")</f>
        <v/>
      </c>
    </row>
    <row r="1957">
      <c r="A1957" t="n">
        <v>29</v>
      </c>
      <c r="B1957" t="n">
        <v>20142167</v>
      </c>
      <c r="C1957" t="n">
        <v>20131915</v>
      </c>
      <c r="D1957" t="inlineStr">
        <is>
          <t>species</t>
        </is>
      </c>
      <c r="E1957" t="inlineStr">
        <is>
          <t>Macroptilium yellow net virus</t>
        </is>
      </c>
      <c r="F1957" t="inlineStr"/>
      <c r="G1957" t="inlineStr">
        <is>
          <t>Abolished,</t>
        </is>
      </c>
      <c r="L1957" s="8">
        <f>HYPERLINK("https://test.ictv.global/id/TN20142167","TN20142167@TEST")</f>
        <v/>
      </c>
      <c r="M1957" s="8">
        <f>HYPERLINK("https://test.ictv.global/id/ICTV20131915","ICTV20131915@TEST")</f>
        <v/>
      </c>
      <c r="N1957" s="8">
        <f>HYPERLINK("https://ictv.global/id/TN20142167","TN20142167@prod")</f>
        <v/>
      </c>
      <c r="O1957" s="8">
        <f>HYPERLINK("https://ictv.global/id/ICTV20131915","ICTV20131915@prod")</f>
        <v/>
      </c>
    </row>
    <row r="1958">
      <c r="A1958" t="n">
        <v>29</v>
      </c>
      <c r="B1958" t="n">
        <v>20142170</v>
      </c>
      <c r="C1958" t="n">
        <v>20083886</v>
      </c>
      <c r="D1958" t="inlineStr">
        <is>
          <t>species</t>
        </is>
      </c>
      <c r="E1958" t="inlineStr">
        <is>
          <t>Malvastrum leaf curl Guangdong virus</t>
        </is>
      </c>
      <c r="F1958" t="inlineStr"/>
      <c r="G1958" t="inlineStr">
        <is>
          <t>Abolished,</t>
        </is>
      </c>
      <c r="L1958" s="8">
        <f>HYPERLINK("https://test.ictv.global/id/TN20142170","TN20142170@TEST")</f>
        <v/>
      </c>
      <c r="M1958" s="8">
        <f>HYPERLINK("https://test.ictv.global/id/ICTV20083886","ICTV20083886@TEST")</f>
        <v/>
      </c>
      <c r="N1958" s="8">
        <f>HYPERLINK("https://ictv.global/id/TN20142170","TN20142170@prod")</f>
        <v/>
      </c>
      <c r="O1958" s="8">
        <f>HYPERLINK("https://ictv.global/id/ICTV20083886","ICTV20083886@prod")</f>
        <v/>
      </c>
    </row>
    <row r="1959">
      <c r="A1959" t="n">
        <v>29</v>
      </c>
      <c r="B1959" t="n">
        <v>20142172</v>
      </c>
      <c r="C1959" t="n">
        <v>20083888</v>
      </c>
      <c r="D1959" t="inlineStr">
        <is>
          <t>species</t>
        </is>
      </c>
      <c r="E1959" t="inlineStr">
        <is>
          <t>Malvastrum yellow leaf curl virus</t>
        </is>
      </c>
      <c r="F1959" t="inlineStr"/>
      <c r="G1959" t="inlineStr">
        <is>
          <t>Abolished,</t>
        </is>
      </c>
      <c r="L1959" s="8">
        <f>HYPERLINK("https://test.ictv.global/id/TN20142172","TN20142172@TEST")</f>
        <v/>
      </c>
      <c r="M1959" s="8">
        <f>HYPERLINK("https://test.ictv.global/id/ICTV20083888","ICTV20083888@TEST")</f>
        <v/>
      </c>
      <c r="N1959" s="8">
        <f>HYPERLINK("https://ictv.global/id/TN20142172","TN20142172@prod")</f>
        <v/>
      </c>
      <c r="O1959" s="8">
        <f>HYPERLINK("https://ictv.global/id/ICTV20083888","ICTV20083888@prod")</f>
        <v/>
      </c>
    </row>
    <row r="1960">
      <c r="A1960" t="n">
        <v>29</v>
      </c>
      <c r="B1960" t="n">
        <v>20142176</v>
      </c>
      <c r="C1960" t="n">
        <v>20131920</v>
      </c>
      <c r="D1960" t="inlineStr">
        <is>
          <t>species</t>
        </is>
      </c>
      <c r="E1960" t="inlineStr">
        <is>
          <t>Malvastrum yellow vein Changa Manga virus</t>
        </is>
      </c>
      <c r="F1960" t="inlineStr"/>
      <c r="G1960" t="inlineStr">
        <is>
          <t>Abolished,</t>
        </is>
      </c>
      <c r="L1960" s="8">
        <f>HYPERLINK("https://test.ictv.global/id/TN20142176","TN20142176@TEST")</f>
        <v/>
      </c>
      <c r="M1960" s="8">
        <f>HYPERLINK("https://test.ictv.global/id/ICTV20131920","ICTV20131920@TEST")</f>
        <v/>
      </c>
      <c r="N1960" s="8">
        <f>HYPERLINK("https://ictv.global/id/TN20142176","TN20142176@prod")</f>
        <v/>
      </c>
      <c r="O1960" s="8">
        <f>HYPERLINK("https://ictv.global/id/ICTV20131920","ICTV20131920@prod")</f>
        <v/>
      </c>
    </row>
    <row r="1961">
      <c r="A1961" t="n">
        <v>29</v>
      </c>
      <c r="B1961" t="n">
        <v>20142189</v>
      </c>
      <c r="C1961" t="n">
        <v>20131925</v>
      </c>
      <c r="D1961" t="inlineStr">
        <is>
          <t>species</t>
        </is>
      </c>
      <c r="E1961" t="inlineStr">
        <is>
          <t>Okra leaf curl Cameroon virus</t>
        </is>
      </c>
      <c r="F1961" t="inlineStr"/>
      <c r="G1961" t="inlineStr">
        <is>
          <t>Abolished,</t>
        </is>
      </c>
      <c r="L1961" s="8">
        <f>HYPERLINK("https://test.ictv.global/id/TN20142189","TN20142189@TEST")</f>
        <v/>
      </c>
      <c r="M1961" s="8">
        <f>HYPERLINK("https://test.ictv.global/id/ICTV20131925","ICTV20131925@TEST")</f>
        <v/>
      </c>
      <c r="N1961" s="8">
        <f>HYPERLINK("https://ictv.global/id/TN20142189","TN20142189@prod")</f>
        <v/>
      </c>
      <c r="O1961" s="8">
        <f>HYPERLINK("https://ictv.global/id/ICTV20131925","ICTV20131925@prod")</f>
        <v/>
      </c>
    </row>
    <row r="1962">
      <c r="A1962" t="n">
        <v>29</v>
      </c>
      <c r="B1962" t="n">
        <v>20142193</v>
      </c>
      <c r="C1962" t="n">
        <v>20083899</v>
      </c>
      <c r="D1962" t="inlineStr">
        <is>
          <t>species</t>
        </is>
      </c>
      <c r="E1962" t="inlineStr">
        <is>
          <t>Okra yellow mottle Iguala virus</t>
        </is>
      </c>
      <c r="F1962" t="inlineStr"/>
      <c r="G1962" t="inlineStr">
        <is>
          <t>Abolished,</t>
        </is>
      </c>
      <c r="L1962" s="8">
        <f>HYPERLINK("https://test.ictv.global/id/TN20142193","TN20142193@TEST")</f>
        <v/>
      </c>
      <c r="M1962" s="8">
        <f>HYPERLINK("https://test.ictv.global/id/ICTV20083899","ICTV20083899@TEST")</f>
        <v/>
      </c>
      <c r="N1962" s="8">
        <f>HYPERLINK("https://ictv.global/id/TN20142193","TN20142193@prod")</f>
        <v/>
      </c>
      <c r="O1962" s="8">
        <f>HYPERLINK("https://ictv.global/id/ICTV20083899","ICTV20083899@prod")</f>
        <v/>
      </c>
    </row>
    <row r="1963">
      <c r="A1963" t="n">
        <v>29</v>
      </c>
      <c r="B1963" t="n">
        <v>20142194</v>
      </c>
      <c r="C1963" t="n">
        <v>20041153</v>
      </c>
      <c r="D1963" t="inlineStr">
        <is>
          <t>species</t>
        </is>
      </c>
      <c r="E1963" t="inlineStr">
        <is>
          <t>Okra yellow vein mosaic virus</t>
        </is>
      </c>
      <c r="F1963" t="inlineStr"/>
      <c r="G1963" t="inlineStr">
        <is>
          <t>Abolished,</t>
        </is>
      </c>
      <c r="L1963" s="8">
        <f>HYPERLINK("https://test.ictv.global/id/TN20142194","TN20142194@TEST")</f>
        <v/>
      </c>
      <c r="M1963" s="8">
        <f>HYPERLINK("https://test.ictv.global/id/ICTV20041153","ICTV20041153@TEST")</f>
        <v/>
      </c>
      <c r="N1963" s="8">
        <f>HYPERLINK("https://ictv.global/id/TN20142194","TN20142194@prod")</f>
        <v/>
      </c>
      <c r="O1963" s="8">
        <f>HYPERLINK("https://ictv.global/id/ICTV20041153","ICTV20041153@prod")</f>
        <v/>
      </c>
    </row>
    <row r="1964">
      <c r="A1964" t="n">
        <v>29</v>
      </c>
      <c r="B1964" t="n">
        <v>20142226</v>
      </c>
      <c r="C1964" t="n">
        <v>20041168</v>
      </c>
      <c r="D1964" t="inlineStr">
        <is>
          <t>species</t>
        </is>
      </c>
      <c r="E1964" t="inlineStr">
        <is>
          <t>Sida golden mosaic Honduras virus</t>
        </is>
      </c>
      <c r="F1964" t="inlineStr"/>
      <c r="G1964" t="inlineStr">
        <is>
          <t>Abolished,</t>
        </is>
      </c>
      <c r="L1964" s="8">
        <f>HYPERLINK("https://test.ictv.global/id/TN20142226","TN20142226@TEST")</f>
        <v/>
      </c>
      <c r="M1964" s="8">
        <f>HYPERLINK("https://test.ictv.global/id/ICTV20041168","ICTV20041168@TEST")</f>
        <v/>
      </c>
      <c r="N1964" s="8">
        <f>HYPERLINK("https://ictv.global/id/TN20142226","TN20142226@prod")</f>
        <v/>
      </c>
      <c r="O1964" s="8">
        <f>HYPERLINK("https://ictv.global/id/ICTV20041168","ICTV20041168@prod")</f>
        <v/>
      </c>
    </row>
    <row r="1965">
      <c r="A1965" t="n">
        <v>29</v>
      </c>
      <c r="B1965" t="n">
        <v>20142227</v>
      </c>
      <c r="C1965" t="n">
        <v>20131938</v>
      </c>
      <c r="D1965" t="inlineStr">
        <is>
          <t>species</t>
        </is>
      </c>
      <c r="E1965" t="inlineStr">
        <is>
          <t>Sida golden mosaic Liguanea virus</t>
        </is>
      </c>
      <c r="F1965" t="inlineStr"/>
      <c r="G1965" t="inlineStr">
        <is>
          <t>Abolished,</t>
        </is>
      </c>
      <c r="L1965" s="8">
        <f>HYPERLINK("https://test.ictv.global/id/TN20142227","TN20142227@TEST")</f>
        <v/>
      </c>
      <c r="M1965" s="8">
        <f>HYPERLINK("https://test.ictv.global/id/ICTV20131938","ICTV20131938@TEST")</f>
        <v/>
      </c>
      <c r="N1965" s="8">
        <f>HYPERLINK("https://ictv.global/id/TN20142227","TN20142227@prod")</f>
        <v/>
      </c>
      <c r="O1965" s="8">
        <f>HYPERLINK("https://ictv.global/id/ICTV20131938","ICTV20131938@prod")</f>
        <v/>
      </c>
    </row>
    <row r="1966">
      <c r="A1966" t="n">
        <v>29</v>
      </c>
      <c r="B1966" t="n">
        <v>20142246</v>
      </c>
      <c r="C1966" t="n">
        <v>20083931</v>
      </c>
      <c r="D1966" t="inlineStr">
        <is>
          <t>species</t>
        </is>
      </c>
      <c r="E1966" t="inlineStr">
        <is>
          <t>Sida yellow vein Madurai virus</t>
        </is>
      </c>
      <c r="F1966" t="inlineStr"/>
      <c r="G1966" t="inlineStr">
        <is>
          <t>Abolished,</t>
        </is>
      </c>
      <c r="L1966" s="8">
        <f>HYPERLINK("https://test.ictv.global/id/TN20142246","TN20142246@TEST")</f>
        <v/>
      </c>
      <c r="M1966" s="8">
        <f>HYPERLINK("https://test.ictv.global/id/ICTV20083931","ICTV20083931@TEST")</f>
        <v/>
      </c>
      <c r="N1966" s="8">
        <f>HYPERLINK("https://ictv.global/id/TN20142246","TN20142246@prod")</f>
        <v/>
      </c>
      <c r="O1966" s="8">
        <f>HYPERLINK("https://ictv.global/id/ICTV20083931","ICTV20083931@prod")</f>
        <v/>
      </c>
    </row>
    <row r="1967">
      <c r="A1967" t="n">
        <v>29</v>
      </c>
      <c r="B1967" t="n">
        <v>20142253</v>
      </c>
      <c r="C1967" t="n">
        <v>20131949</v>
      </c>
      <c r="D1967" t="inlineStr">
        <is>
          <t>species</t>
        </is>
      </c>
      <c r="E1967" t="inlineStr">
        <is>
          <t>Soybean chlorotic spot virus</t>
        </is>
      </c>
      <c r="F1967" t="inlineStr"/>
      <c r="G1967" t="inlineStr">
        <is>
          <t>Abolished,</t>
        </is>
      </c>
      <c r="L1967" s="8">
        <f>HYPERLINK("https://test.ictv.global/id/TN20142253","TN20142253@TEST")</f>
        <v/>
      </c>
      <c r="M1967" s="8">
        <f>HYPERLINK("https://test.ictv.global/id/ICTV20131949","ICTV20131949@TEST")</f>
        <v/>
      </c>
      <c r="N1967" s="8">
        <f>HYPERLINK("https://ictv.global/id/TN20142253","TN20142253@prod")</f>
        <v/>
      </c>
      <c r="O1967" s="8">
        <f>HYPERLINK("https://ictv.global/id/ICTV20131949","ICTV20131949@prod")</f>
        <v/>
      </c>
    </row>
    <row r="1968">
      <c r="A1968" t="n">
        <v>29</v>
      </c>
      <c r="B1968" t="n">
        <v>20142254</v>
      </c>
      <c r="C1968" t="n">
        <v>20041177</v>
      </c>
      <c r="D1968" t="inlineStr">
        <is>
          <t>species</t>
        </is>
      </c>
      <c r="E1968" t="inlineStr">
        <is>
          <t>Soybean crinkle leaf virus</t>
        </is>
      </c>
      <c r="F1968" t="inlineStr"/>
      <c r="G1968" t="inlineStr">
        <is>
          <t>Abolished,</t>
        </is>
      </c>
      <c r="L1968" s="8">
        <f>HYPERLINK("https://test.ictv.global/id/TN20142254","TN20142254@TEST")</f>
        <v/>
      </c>
      <c r="M1968" s="8">
        <f>HYPERLINK("https://test.ictv.global/id/ICTV20041177","ICTV20041177@TEST")</f>
        <v/>
      </c>
      <c r="N1968" s="8">
        <f>HYPERLINK("https://ictv.global/id/TN20142254","TN20142254@prod")</f>
        <v/>
      </c>
      <c r="O1968" s="8">
        <f>HYPERLINK("https://ictv.global/id/ICTV20041177","ICTV20041177@prod")</f>
        <v/>
      </c>
    </row>
    <row r="1969">
      <c r="A1969" t="n">
        <v>29</v>
      </c>
      <c r="B1969" t="n">
        <v>20142311</v>
      </c>
      <c r="C1969" t="n">
        <v>20131971</v>
      </c>
      <c r="D1969" t="inlineStr">
        <is>
          <t>species</t>
        </is>
      </c>
      <c r="E1969" t="inlineStr">
        <is>
          <t>Tomato leaf curl Kumasi virus</t>
        </is>
      </c>
      <c r="F1969" t="inlineStr"/>
      <c r="G1969" t="inlineStr">
        <is>
          <t>Abolished,</t>
        </is>
      </c>
      <c r="L1969" s="8">
        <f>HYPERLINK("https://test.ictv.global/id/TN20142311","TN20142311@TEST")</f>
        <v/>
      </c>
      <c r="M1969" s="8">
        <f>HYPERLINK("https://test.ictv.global/id/ICTV20131971","ICTV20131971@TEST")</f>
        <v/>
      </c>
      <c r="N1969" s="8">
        <f>HYPERLINK("https://ictv.global/id/TN20142311","TN20142311@prod")</f>
        <v/>
      </c>
      <c r="O1969" s="8">
        <f>HYPERLINK("https://ictv.global/id/ICTV20131971","ICTV20131971@prod")</f>
        <v/>
      </c>
    </row>
    <row r="1970">
      <c r="A1970" t="n">
        <v>29</v>
      </c>
      <c r="B1970" t="n">
        <v>20142338</v>
      </c>
      <c r="C1970" t="n">
        <v>20131981</v>
      </c>
      <c r="D1970" t="inlineStr">
        <is>
          <t>species</t>
        </is>
      </c>
      <c r="E1970" t="inlineStr">
        <is>
          <t>Tomato mosaic leaf curl virus</t>
        </is>
      </c>
      <c r="F1970" t="inlineStr"/>
      <c r="G1970" t="inlineStr">
        <is>
          <t>Abolished,</t>
        </is>
      </c>
      <c r="L1970" s="8">
        <f>HYPERLINK("https://test.ictv.global/id/TN20142338","TN20142338@TEST")</f>
        <v/>
      </c>
      <c r="M1970" s="8">
        <f>HYPERLINK("https://test.ictv.global/id/ICTV20131981","ICTV20131981@TEST")</f>
        <v/>
      </c>
      <c r="N1970" s="8">
        <f>HYPERLINK("https://ictv.global/id/TN20142338","TN20142338@prod")</f>
        <v/>
      </c>
      <c r="O1970" s="8">
        <f>HYPERLINK("https://ictv.global/id/ICTV20131981","ICTV20131981@prod")</f>
        <v/>
      </c>
    </row>
    <row r="1971">
      <c r="A1971" t="n">
        <v>29</v>
      </c>
      <c r="B1971" t="n">
        <v>20142633</v>
      </c>
      <c r="C1971" t="n">
        <v>19710037</v>
      </c>
      <c r="D1971" t="inlineStr">
        <is>
          <t>genus</t>
        </is>
      </c>
      <c r="E1971" t="inlineStr">
        <is>
          <t>Microvirus</t>
        </is>
      </c>
      <c r="G1971" t="inlineStr">
        <is>
          <t>Abolished,</t>
        </is>
      </c>
      <c r="L1971" s="8">
        <f>HYPERLINK("https://test.ictv.global/id/TN20142633","TN20142633@TEST")</f>
        <v/>
      </c>
      <c r="M1971" s="8">
        <f>HYPERLINK("https://test.ictv.global/id/ICTV19710037","ICTV19710037@TEST")</f>
        <v/>
      </c>
      <c r="N1971" s="8">
        <f>HYPERLINK("https://ictv.global/id/TN20142633","TN20142633@prod")</f>
        <v/>
      </c>
      <c r="O1971" s="8">
        <f>HYPERLINK("https://ictv.global/id/ICTV19710037","ICTV19710037@prod")</f>
        <v/>
      </c>
    </row>
    <row r="1972">
      <c r="A1972" t="n">
        <v>29</v>
      </c>
      <c r="B1972" t="n">
        <v>20143106</v>
      </c>
      <c r="C1972" t="n">
        <v>19710009</v>
      </c>
      <c r="D1972" t="inlineStr">
        <is>
          <t>genus</t>
        </is>
      </c>
      <c r="E1972" t="inlineStr">
        <is>
          <t>Polyomavirus</t>
        </is>
      </c>
      <c r="G1972" t="inlineStr">
        <is>
          <t>Abolished,</t>
        </is>
      </c>
      <c r="L1972" s="8">
        <f>HYPERLINK("https://test.ictv.global/id/TN20143106","TN20143106@TEST")</f>
        <v/>
      </c>
      <c r="M1972" s="8">
        <f>HYPERLINK("https://test.ictv.global/id/ICTV19710009","ICTV19710009@TEST")</f>
        <v/>
      </c>
      <c r="N1972" s="8">
        <f>HYPERLINK("https://ictv.global/id/TN20143106","TN20143106@prod")</f>
        <v/>
      </c>
      <c r="O1972" s="8">
        <f>HYPERLINK("https://ictv.global/id/ICTV19710009","ICTV19710009@prod")</f>
        <v/>
      </c>
    </row>
    <row r="1973">
      <c r="A1973" t="n">
        <v>29</v>
      </c>
      <c r="B1973" t="n">
        <v>20143107</v>
      </c>
      <c r="C1973" t="n">
        <v>19911008</v>
      </c>
      <c r="D1973" t="inlineStr">
        <is>
          <t>species</t>
        </is>
      </c>
      <c r="E1973" t="inlineStr">
        <is>
          <t>African green monkey polyomavirus</t>
        </is>
      </c>
      <c r="F1973" t="inlineStr"/>
      <c r="G1973" t="inlineStr">
        <is>
          <t>Abolished,</t>
        </is>
      </c>
      <c r="L1973" s="8">
        <f>HYPERLINK("https://test.ictv.global/id/TN20143107","TN20143107@TEST")</f>
        <v/>
      </c>
      <c r="M1973" s="8">
        <f>HYPERLINK("https://test.ictv.global/id/ICTV19911008","ICTV19911008@TEST")</f>
        <v/>
      </c>
      <c r="N1973" s="8">
        <f>HYPERLINK("https://ictv.global/id/TN20143107","TN20143107@prod")</f>
        <v/>
      </c>
      <c r="O1973" s="8">
        <f>HYPERLINK("https://ictv.global/id/ICTV19911008","ICTV19911008@prod")</f>
        <v/>
      </c>
    </row>
    <row r="1974">
      <c r="A1974" t="n">
        <v>29</v>
      </c>
      <c r="B1974" t="n">
        <v>20143108</v>
      </c>
      <c r="C1974" t="n">
        <v>19911003</v>
      </c>
      <c r="D1974" t="inlineStr">
        <is>
          <t>species</t>
        </is>
      </c>
      <c r="E1974" t="inlineStr">
        <is>
          <t>Baboon polyomavirus 2</t>
        </is>
      </c>
      <c r="F1974" t="inlineStr"/>
      <c r="G1974" t="inlineStr">
        <is>
          <t>Abolished,</t>
        </is>
      </c>
      <c r="L1974" s="8">
        <f>HYPERLINK("https://test.ictv.global/id/TN20143108","TN20143108@TEST")</f>
        <v/>
      </c>
      <c r="M1974" s="8">
        <f>HYPERLINK("https://test.ictv.global/id/ICTV19911003","ICTV19911003@TEST")</f>
        <v/>
      </c>
      <c r="N1974" s="8">
        <f>HYPERLINK("https://ictv.global/id/TN20143108","TN20143108@prod")</f>
        <v/>
      </c>
      <c r="O1974" s="8">
        <f>HYPERLINK("https://ictv.global/id/ICTV19911003","ICTV19911003@prod")</f>
        <v/>
      </c>
    </row>
    <row r="1975">
      <c r="A1975" t="n">
        <v>29</v>
      </c>
      <c r="B1975" t="n">
        <v>20143113</v>
      </c>
      <c r="C1975" t="n">
        <v>20074274</v>
      </c>
      <c r="D1975" t="inlineStr">
        <is>
          <t>species</t>
        </is>
      </c>
      <c r="E1975" t="inlineStr">
        <is>
          <t>Human polyomavirus</t>
        </is>
      </c>
      <c r="F1975" t="inlineStr"/>
      <c r="G1975" t="inlineStr">
        <is>
          <t>Abolished,</t>
        </is>
      </c>
      <c r="L1975" s="8">
        <f>HYPERLINK("https://test.ictv.global/id/TN20143113","TN20143113@TEST")</f>
        <v/>
      </c>
      <c r="M1975" s="8">
        <f>HYPERLINK("https://test.ictv.global/id/ICTV20074274","ICTV20074274@TEST")</f>
        <v/>
      </c>
      <c r="N1975" s="8">
        <f>HYPERLINK("https://ictv.global/id/TN20143113","TN20143113@prod")</f>
        <v/>
      </c>
      <c r="O1975" s="8">
        <f>HYPERLINK("https://ictv.global/id/ICTV20074274","ICTV20074274@prod")</f>
        <v/>
      </c>
    </row>
    <row r="1976">
      <c r="A1976" t="n">
        <v>29</v>
      </c>
      <c r="B1976" t="n">
        <v>20143117</v>
      </c>
      <c r="C1976" t="n">
        <v>19710059</v>
      </c>
      <c r="D1976" t="inlineStr">
        <is>
          <t>species</t>
        </is>
      </c>
      <c r="E1976" t="inlineStr">
        <is>
          <t>Rabbit kidney vacuolating virus</t>
        </is>
      </c>
      <c r="F1976" t="inlineStr"/>
      <c r="G1976" t="inlineStr">
        <is>
          <t>Abolished,</t>
        </is>
      </c>
      <c r="L1976" s="8">
        <f>HYPERLINK("https://test.ictv.global/id/TN20143117","TN20143117@TEST")</f>
        <v/>
      </c>
      <c r="M1976" s="8">
        <f>HYPERLINK("https://test.ictv.global/id/ICTV19710059","ICTV19710059@TEST")</f>
        <v/>
      </c>
      <c r="N1976" s="8">
        <f>HYPERLINK("https://ictv.global/id/TN20143117","TN20143117@prod")</f>
        <v/>
      </c>
      <c r="O1976" s="8">
        <f>HYPERLINK("https://ictv.global/id/ICTV19710059","ICTV19710059@prod")</f>
        <v/>
      </c>
    </row>
    <row r="1977">
      <c r="A1977" t="n">
        <v>29</v>
      </c>
      <c r="B1977" t="n">
        <v>20143118</v>
      </c>
      <c r="C1977" t="n">
        <v>19790442</v>
      </c>
      <c r="D1977" t="inlineStr">
        <is>
          <t>species</t>
        </is>
      </c>
      <c r="E1977" t="inlineStr">
        <is>
          <t>Simian virus 12</t>
        </is>
      </c>
      <c r="F1977" t="inlineStr"/>
      <c r="G1977" t="inlineStr">
        <is>
          <t>Abolished,</t>
        </is>
      </c>
      <c r="L1977" s="8">
        <f>HYPERLINK("https://test.ictv.global/id/TN20143118","TN20143118@TEST")</f>
        <v/>
      </c>
      <c r="M1977" s="8">
        <f>HYPERLINK("https://test.ictv.global/id/ICTV19790442","ICTV19790442@TEST")</f>
        <v/>
      </c>
      <c r="N1977" s="8">
        <f>HYPERLINK("https://ictv.global/id/TN20143118","TN20143118@prod")</f>
        <v/>
      </c>
      <c r="O1977" s="8">
        <f>HYPERLINK("https://ictv.global/id/ICTV19790442","ICTV19790442@prod")</f>
        <v/>
      </c>
    </row>
    <row r="1978">
      <c r="A1978" t="n">
        <v>29</v>
      </c>
      <c r="B1978" t="n">
        <v>20143180</v>
      </c>
      <c r="C1978" t="n">
        <v>20084482</v>
      </c>
      <c r="D1978" t="inlineStr">
        <is>
          <t>species</t>
        </is>
      </c>
      <c r="E1978" t="inlineStr">
        <is>
          <t>Ranunculus latent virus</t>
        </is>
      </c>
      <c r="F1978" t="inlineStr"/>
      <c r="G1978" t="inlineStr">
        <is>
          <t>Abolished,</t>
        </is>
      </c>
      <c r="L1978" s="8">
        <f>HYPERLINK("https://test.ictv.global/id/TN20143180","TN20143180@TEST")</f>
        <v/>
      </c>
      <c r="M1978" s="8">
        <f>HYPERLINK("https://test.ictv.global/id/ICTV20084482","ICTV20084482@TEST")</f>
        <v/>
      </c>
      <c r="N1978" s="8">
        <f>HYPERLINK("https://ictv.global/id/TN20143180","TN20143180@prod")</f>
        <v/>
      </c>
      <c r="O1978" s="8">
        <f>HYPERLINK("https://ictv.global/id/ICTV20084482","ICTV20084482@prod")</f>
        <v/>
      </c>
    </row>
    <row r="1979">
      <c r="A1979" t="n">
        <v>29</v>
      </c>
      <c r="B1979" t="n">
        <v>20143733</v>
      </c>
      <c r="C1979" t="n">
        <v>19870172</v>
      </c>
      <c r="D1979" t="inlineStr">
        <is>
          <t>genus</t>
        </is>
      </c>
      <c r="E1979" t="inlineStr">
        <is>
          <t>Carmovirus</t>
        </is>
      </c>
      <c r="G1979" t="inlineStr">
        <is>
          <t>Abolished,</t>
        </is>
      </c>
      <c r="L1979" s="8">
        <f>HYPERLINK("https://test.ictv.global/id/TN20143733","TN20143733@TEST")</f>
        <v/>
      </c>
      <c r="M1979" s="8">
        <f>HYPERLINK("https://test.ictv.global/id/ICTV19870172","ICTV19870172@TEST")</f>
        <v/>
      </c>
      <c r="N1979" s="8">
        <f>HYPERLINK("https://ictv.global/id/TN20143733","TN20143733@prod")</f>
        <v/>
      </c>
      <c r="O1979" s="8">
        <f>HYPERLINK("https://ictv.global/id/ICTV19870172","ICTV19870172@prod")</f>
        <v/>
      </c>
    </row>
    <row r="1980">
      <c r="A1980" t="n">
        <v>30</v>
      </c>
      <c r="B1980" t="n">
        <v>20150061</v>
      </c>
      <c r="C1980" t="n">
        <v>19990389</v>
      </c>
      <c r="D1980" t="inlineStr">
        <is>
          <t>species</t>
        </is>
      </c>
      <c r="E1980" t="inlineStr">
        <is>
          <t>Enterobacteria virus SV14</t>
        </is>
      </c>
      <c r="G1980" t="inlineStr">
        <is>
          <t>Abolished,</t>
        </is>
      </c>
      <c r="L1980" s="8">
        <f>HYPERLINK("https://test.ictv.global/id/TN20150061","TN20150061@TEST")</f>
        <v/>
      </c>
      <c r="M1980" s="8">
        <f>HYPERLINK("https://test.ictv.global/id/ICTV19990389","ICTV19990389@TEST")</f>
        <v/>
      </c>
      <c r="N1980" s="8">
        <f>HYPERLINK("https://ictv.global/id/TN20150061","TN20150061@prod")</f>
        <v/>
      </c>
      <c r="O1980" s="8">
        <f>HYPERLINK("https://ictv.global/id/ICTV19990389","ICTV19990389@prod")</f>
        <v/>
      </c>
    </row>
    <row r="1981">
      <c r="A1981" t="n">
        <v>30</v>
      </c>
      <c r="B1981" t="n">
        <v>20150152</v>
      </c>
      <c r="C1981" t="n">
        <v>20094098</v>
      </c>
      <c r="D1981" t="inlineStr">
        <is>
          <t>species</t>
        </is>
      </c>
      <c r="E1981" t="inlineStr">
        <is>
          <t>Pseudomonas virus Lin68</t>
        </is>
      </c>
      <c r="G1981" t="inlineStr">
        <is>
          <t>Abolished,</t>
        </is>
      </c>
      <c r="L1981" s="8">
        <f>HYPERLINK("https://test.ictv.global/id/TN20150152","TN20150152@TEST")</f>
        <v/>
      </c>
      <c r="M1981" s="8">
        <f>HYPERLINK("https://test.ictv.global/id/ICTV20094098","ICTV20094098@TEST")</f>
        <v/>
      </c>
      <c r="N1981" s="8">
        <f>HYPERLINK("https://ictv.global/id/TN20150152","TN20150152@prod")</f>
        <v/>
      </c>
      <c r="O1981" s="8">
        <f>HYPERLINK("https://ictv.global/id/ICTV20094098","ICTV20094098@prod")</f>
        <v/>
      </c>
    </row>
    <row r="1982">
      <c r="A1982" t="n">
        <v>30</v>
      </c>
      <c r="B1982" t="n">
        <v>20150964</v>
      </c>
      <c r="C1982" t="n">
        <v>19870166</v>
      </c>
      <c r="D1982" t="inlineStr">
        <is>
          <t>genus</t>
        </is>
      </c>
      <c r="E1982" t="inlineStr">
        <is>
          <t>Alphalipothrixvirus</t>
        </is>
      </c>
      <c r="G1982" t="inlineStr">
        <is>
          <t>Abolished,</t>
        </is>
      </c>
      <c r="L1982" s="8">
        <f>HYPERLINK("https://test.ictv.global/id/TN20150964","TN20150964@TEST")</f>
        <v/>
      </c>
      <c r="M1982" s="8">
        <f>HYPERLINK("https://test.ictv.global/id/ICTV19870166","ICTV19870166@TEST")</f>
        <v/>
      </c>
      <c r="N1982" s="8">
        <f>HYPERLINK("https://ictv.global/id/TN20150964","TN20150964@prod")</f>
        <v/>
      </c>
      <c r="O1982" s="8">
        <f>HYPERLINK("https://ictv.global/id/ICTV19870166","ICTV19870166@prod")</f>
        <v/>
      </c>
    </row>
    <row r="1983">
      <c r="A1983" t="n">
        <v>30</v>
      </c>
      <c r="B1983" t="n">
        <v>20151185</v>
      </c>
      <c r="C1983" t="n">
        <v>19840156</v>
      </c>
      <c r="D1983" t="inlineStr">
        <is>
          <t>genus</t>
        </is>
      </c>
      <c r="E1983" t="inlineStr">
        <is>
          <t>Arterivirus</t>
        </is>
      </c>
      <c r="G1983" t="inlineStr">
        <is>
          <t>Abolished,</t>
        </is>
      </c>
      <c r="L1983" s="8">
        <f>HYPERLINK("https://test.ictv.global/id/TN20151185","TN20151185@TEST")</f>
        <v/>
      </c>
      <c r="M1983" s="8">
        <f>HYPERLINK("https://test.ictv.global/id/ICTV19840156","ICTV19840156@TEST")</f>
        <v/>
      </c>
      <c r="N1983" s="8">
        <f>HYPERLINK("https://ictv.global/id/TN20151185","TN20151185@prod")</f>
        <v/>
      </c>
      <c r="O1983" s="8">
        <f>HYPERLINK("https://ictv.global/id/ICTV19840156","ICTV19840156@prod")</f>
        <v/>
      </c>
    </row>
    <row r="1984">
      <c r="A1984" t="n">
        <v>30</v>
      </c>
      <c r="B1984" t="n">
        <v>20152109</v>
      </c>
      <c r="C1984" t="n">
        <v>19990665</v>
      </c>
      <c r="D1984" t="inlineStr">
        <is>
          <t>species</t>
        </is>
      </c>
      <c r="E1984" t="inlineStr">
        <is>
          <t>Isla Vista hantavirus</t>
        </is>
      </c>
      <c r="G1984" t="inlineStr">
        <is>
          <t>Abolished,</t>
        </is>
      </c>
      <c r="L1984" s="8">
        <f>HYPERLINK("https://test.ictv.global/id/TN20152109","TN20152109@TEST")</f>
        <v/>
      </c>
      <c r="M1984" s="8">
        <f>HYPERLINK("https://test.ictv.global/id/ICTV19990665","ICTV19990665@TEST")</f>
        <v/>
      </c>
      <c r="N1984" s="8">
        <f>HYPERLINK("https://ictv.global/id/TN20152109","TN20152109@prod")</f>
        <v/>
      </c>
      <c r="O1984" s="8">
        <f>HYPERLINK("https://ictv.global/id/ICTV19990665","ICTV19990665@prod")</f>
        <v/>
      </c>
    </row>
    <row r="1985">
      <c r="A1985" t="n">
        <v>30</v>
      </c>
      <c r="B1985" t="n">
        <v>20152112</v>
      </c>
      <c r="C1985" t="n">
        <v>19990668</v>
      </c>
      <c r="D1985" t="inlineStr">
        <is>
          <t>species</t>
        </is>
      </c>
      <c r="E1985" t="inlineStr">
        <is>
          <t>Muleshoe hantavirus</t>
        </is>
      </c>
      <c r="G1985" t="inlineStr">
        <is>
          <t>Abolished,</t>
        </is>
      </c>
      <c r="L1985" s="8">
        <f>HYPERLINK("https://test.ictv.global/id/TN20152112","TN20152112@TEST")</f>
        <v/>
      </c>
      <c r="M1985" s="8">
        <f>HYPERLINK("https://test.ictv.global/id/ICTV19990668","ICTV19990668@TEST")</f>
        <v/>
      </c>
      <c r="N1985" s="8">
        <f>HYPERLINK("https://ictv.global/id/TN20152112","TN20152112@prod")</f>
        <v/>
      </c>
      <c r="O1985" s="8">
        <f>HYPERLINK("https://ictv.global/id/ICTV19990668","ICTV19990668@prod")</f>
        <v/>
      </c>
    </row>
    <row r="1986">
      <c r="A1986" t="n">
        <v>30</v>
      </c>
      <c r="B1986" t="n">
        <v>20152113</v>
      </c>
      <c r="C1986" t="n">
        <v>19990669</v>
      </c>
      <c r="D1986" t="inlineStr">
        <is>
          <t>species</t>
        </is>
      </c>
      <c r="E1986" t="inlineStr">
        <is>
          <t>New York hantavirus</t>
        </is>
      </c>
      <c r="G1986" t="inlineStr">
        <is>
          <t>Abolished,</t>
        </is>
      </c>
      <c r="L1986" s="8">
        <f>HYPERLINK("https://test.ictv.global/id/TN20152113","TN20152113@TEST")</f>
        <v/>
      </c>
      <c r="M1986" s="8">
        <f>HYPERLINK("https://test.ictv.global/id/ICTV19990669","ICTV19990669@TEST")</f>
        <v/>
      </c>
      <c r="N1986" s="8">
        <f>HYPERLINK("https://ictv.global/id/TN20152113","TN20152113@prod")</f>
        <v/>
      </c>
      <c r="O1986" s="8">
        <f>HYPERLINK("https://ictv.global/id/ICTV19990669","ICTV19990669@prod")</f>
        <v/>
      </c>
    </row>
    <row r="1987">
      <c r="A1987" t="n">
        <v>30</v>
      </c>
      <c r="B1987" t="n">
        <v>20152116</v>
      </c>
      <c r="C1987" t="n">
        <v>19990672</v>
      </c>
      <c r="D1987" t="inlineStr">
        <is>
          <t>species</t>
        </is>
      </c>
      <c r="E1987" t="inlineStr">
        <is>
          <t>Rio Mamore hantavirus</t>
        </is>
      </c>
      <c r="G1987" t="inlineStr">
        <is>
          <t>Abolished,</t>
        </is>
      </c>
      <c r="L1987" s="8">
        <f>HYPERLINK("https://test.ictv.global/id/TN20152116","TN20152116@TEST")</f>
        <v/>
      </c>
      <c r="M1987" s="8">
        <f>HYPERLINK("https://test.ictv.global/id/ICTV19990672","ICTV19990672@TEST")</f>
        <v/>
      </c>
      <c r="N1987" s="8">
        <f>HYPERLINK("https://ictv.global/id/TN20152116","TN20152116@prod")</f>
        <v/>
      </c>
      <c r="O1987" s="8">
        <f>HYPERLINK("https://ictv.global/id/ICTV19990672","ICTV19990672@prod")</f>
        <v/>
      </c>
    </row>
    <row r="1988">
      <c r="A1988" t="n">
        <v>30</v>
      </c>
      <c r="B1988" t="n">
        <v>20152117</v>
      </c>
      <c r="C1988" t="n">
        <v>19990673</v>
      </c>
      <c r="D1988" t="inlineStr">
        <is>
          <t>species</t>
        </is>
      </c>
      <c r="E1988" t="inlineStr">
        <is>
          <t>Rio Segundo hantavirus</t>
        </is>
      </c>
      <c r="G1988" t="inlineStr">
        <is>
          <t>Abolished,</t>
        </is>
      </c>
      <c r="L1988" s="8">
        <f>HYPERLINK("https://test.ictv.global/id/TN20152117","TN20152117@TEST")</f>
        <v/>
      </c>
      <c r="M1988" s="8">
        <f>HYPERLINK("https://test.ictv.global/id/ICTV19990673","ICTV19990673@TEST")</f>
        <v/>
      </c>
      <c r="N1988" s="8">
        <f>HYPERLINK("https://ictv.global/id/TN20152117","TN20152117@prod")</f>
        <v/>
      </c>
      <c r="O1988" s="8">
        <f>HYPERLINK("https://ictv.global/id/ICTV19990673","ICTV19990673@prod")</f>
        <v/>
      </c>
    </row>
    <row r="1989">
      <c r="A1989" t="n">
        <v>30</v>
      </c>
      <c r="B1989" t="n">
        <v>20152118</v>
      </c>
      <c r="C1989" t="n">
        <v>20083497</v>
      </c>
      <c r="D1989" t="inlineStr">
        <is>
          <t>species</t>
        </is>
      </c>
      <c r="E1989" t="inlineStr">
        <is>
          <t>Saaremaa hantavirus</t>
        </is>
      </c>
      <c r="G1989" t="inlineStr">
        <is>
          <t>Abolished,</t>
        </is>
      </c>
      <c r="L1989" s="8">
        <f>HYPERLINK("https://test.ictv.global/id/TN20152118","TN20152118@TEST")</f>
        <v/>
      </c>
      <c r="M1989" s="8">
        <f>HYPERLINK("https://test.ictv.global/id/ICTV20083497","ICTV20083497@TEST")</f>
        <v/>
      </c>
      <c r="N1989" s="8">
        <f>HYPERLINK("https://ictv.global/id/TN20152118","TN20152118@prod")</f>
        <v/>
      </c>
      <c r="O1989" s="8">
        <f>HYPERLINK("https://ictv.global/id/ICTV20083497","ICTV20083497@prod")</f>
        <v/>
      </c>
    </row>
    <row r="1990">
      <c r="A1990" t="n">
        <v>30</v>
      </c>
      <c r="B1990" t="n">
        <v>20152124</v>
      </c>
      <c r="C1990" t="n">
        <v>19990678</v>
      </c>
      <c r="D1990" t="inlineStr">
        <is>
          <t>species</t>
        </is>
      </c>
      <c r="E1990" t="inlineStr">
        <is>
          <t>Topografov hantavirus</t>
        </is>
      </c>
      <c r="G1990" t="inlineStr">
        <is>
          <t>Abolished,</t>
        </is>
      </c>
      <c r="L1990" s="8">
        <f>HYPERLINK("https://test.ictv.global/id/TN20152124","TN20152124@TEST")</f>
        <v/>
      </c>
      <c r="M1990" s="8">
        <f>HYPERLINK("https://test.ictv.global/id/ICTV19990678","ICTV19990678@TEST")</f>
        <v/>
      </c>
      <c r="N1990" s="8">
        <f>HYPERLINK("https://ictv.global/id/TN20152124","TN20152124@prod")</f>
        <v/>
      </c>
      <c r="O1990" s="8">
        <f>HYPERLINK("https://ictv.global/id/ICTV19990678","ICTV19990678@prod")</f>
        <v/>
      </c>
    </row>
    <row r="1991">
      <c r="A1991" t="n">
        <v>30</v>
      </c>
      <c r="B1991" t="n">
        <v>20152959</v>
      </c>
      <c r="C1991" t="n">
        <v>20073875</v>
      </c>
      <c r="D1991" t="inlineStr">
        <is>
          <t>species</t>
        </is>
      </c>
      <c r="E1991" t="inlineStr">
        <is>
          <t>Escherichia virus AE2</t>
        </is>
      </c>
      <c r="G1991" t="inlineStr">
        <is>
          <t>Abolished,</t>
        </is>
      </c>
      <c r="L1991" s="8">
        <f>HYPERLINK("https://test.ictv.global/id/TN20152959","TN20152959@TEST")</f>
        <v/>
      </c>
      <c r="M1991" s="8">
        <f>HYPERLINK("https://test.ictv.global/id/ICTV20073875","ICTV20073875@TEST")</f>
        <v/>
      </c>
      <c r="N1991" s="8">
        <f>HYPERLINK("https://ictv.global/id/TN20152959","TN20152959@prod")</f>
        <v/>
      </c>
      <c r="O1991" s="8">
        <f>HYPERLINK("https://ictv.global/id/ICTV20073875","ICTV20073875@prod")</f>
        <v/>
      </c>
    </row>
    <row r="1992">
      <c r="A1992" t="n">
        <v>30</v>
      </c>
      <c r="B1992" t="n">
        <v>20152960</v>
      </c>
      <c r="C1992" t="n">
        <v>19910807</v>
      </c>
      <c r="D1992" t="inlineStr">
        <is>
          <t>species</t>
        </is>
      </c>
      <c r="E1992" t="inlineStr">
        <is>
          <t>Salmonella virus C2</t>
        </is>
      </c>
      <c r="G1992" t="inlineStr">
        <is>
          <t>Abolished,</t>
        </is>
      </c>
      <c r="L1992" s="8">
        <f>HYPERLINK("https://test.ictv.global/id/TN20152960","TN20152960@TEST")</f>
        <v/>
      </c>
      <c r="M1992" s="8">
        <f>HYPERLINK("https://test.ictv.global/id/ICTV19910807","ICTV19910807@TEST")</f>
        <v/>
      </c>
      <c r="N1992" s="8">
        <f>HYPERLINK("https://ictv.global/id/TN20152960","TN20152960@prod")</f>
        <v/>
      </c>
      <c r="O1992" s="8">
        <f>HYPERLINK("https://ictv.global/id/ICTV19910807","ICTV19910807@prod")</f>
        <v/>
      </c>
    </row>
    <row r="1993">
      <c r="A1993" t="n">
        <v>30</v>
      </c>
      <c r="B1993" t="n">
        <v>20152961</v>
      </c>
      <c r="C1993" t="n">
        <v>20073877</v>
      </c>
      <c r="D1993" t="inlineStr">
        <is>
          <t>species</t>
        </is>
      </c>
      <c r="E1993" t="inlineStr">
        <is>
          <t>Escherichia virus DeltaA</t>
        </is>
      </c>
      <c r="G1993" t="inlineStr">
        <is>
          <t>Abolished,</t>
        </is>
      </c>
      <c r="L1993" s="8">
        <f>HYPERLINK("https://test.ictv.global/id/TN20152961","TN20152961@TEST")</f>
        <v/>
      </c>
      <c r="M1993" s="8">
        <f>HYPERLINK("https://test.ictv.global/id/ICTV20073877","ICTV20073877@TEST")</f>
        <v/>
      </c>
      <c r="N1993" s="8">
        <f>HYPERLINK("https://ictv.global/id/TN20152961","TN20152961@prod")</f>
        <v/>
      </c>
      <c r="O1993" s="8">
        <f>HYPERLINK("https://ictv.global/id/ICTV20073877","ICTV20073877@prod")</f>
        <v/>
      </c>
    </row>
    <row r="1994">
      <c r="A1994" t="n">
        <v>30</v>
      </c>
      <c r="B1994" t="n">
        <v>20152962</v>
      </c>
      <c r="C1994" t="n">
        <v>20073878</v>
      </c>
      <c r="D1994" t="inlineStr">
        <is>
          <t>species</t>
        </is>
      </c>
      <c r="E1994" t="inlineStr">
        <is>
          <t>Escherichia virus Ec9</t>
        </is>
      </c>
      <c r="G1994" t="inlineStr">
        <is>
          <t>Abolished,</t>
        </is>
      </c>
      <c r="L1994" s="8">
        <f>HYPERLINK("https://test.ictv.global/id/TN20152962","TN20152962@TEST")</f>
        <v/>
      </c>
      <c r="M1994" s="8">
        <f>HYPERLINK("https://test.ictv.global/id/ICTV20073878","ICTV20073878@TEST")</f>
        <v/>
      </c>
      <c r="N1994" s="8">
        <f>HYPERLINK("https://ictv.global/id/TN20152962","TN20152962@prod")</f>
        <v/>
      </c>
      <c r="O1994" s="8">
        <f>HYPERLINK("https://ictv.global/id/ICTV20073878","ICTV20073878@prod")</f>
        <v/>
      </c>
    </row>
    <row r="1995">
      <c r="A1995" t="n">
        <v>30</v>
      </c>
      <c r="B1995" t="n">
        <v>20152963</v>
      </c>
      <c r="C1995" t="n">
        <v>20073879</v>
      </c>
      <c r="D1995" t="inlineStr">
        <is>
          <t>species</t>
        </is>
      </c>
      <c r="E1995" t="inlineStr">
        <is>
          <t>Escherichia virus f1</t>
        </is>
      </c>
      <c r="G1995" t="inlineStr">
        <is>
          <t>Abolished,</t>
        </is>
      </c>
      <c r="L1995" s="8">
        <f>HYPERLINK("https://test.ictv.global/id/TN20152963","TN20152963@TEST")</f>
        <v/>
      </c>
      <c r="M1995" s="8">
        <f>HYPERLINK("https://test.ictv.global/id/ICTV20073879","ICTV20073879@TEST")</f>
        <v/>
      </c>
      <c r="N1995" s="8">
        <f>HYPERLINK("https://ictv.global/id/TN20152963","TN20152963@prod")</f>
        <v/>
      </c>
      <c r="O1995" s="8">
        <f>HYPERLINK("https://ictv.global/id/ICTV20073879","ICTV20073879@prod")</f>
        <v/>
      </c>
    </row>
    <row r="1996">
      <c r="A1996" t="n">
        <v>30</v>
      </c>
      <c r="B1996" t="n">
        <v>20152964</v>
      </c>
      <c r="C1996" t="n">
        <v>20073880</v>
      </c>
      <c r="D1996" t="inlineStr">
        <is>
          <t>species</t>
        </is>
      </c>
      <c r="E1996" t="inlineStr">
        <is>
          <t>Escherichia virus fd</t>
        </is>
      </c>
      <c r="G1996" t="inlineStr">
        <is>
          <t>Abolished,</t>
        </is>
      </c>
      <c r="L1996" s="8">
        <f>HYPERLINK("https://test.ictv.global/id/TN20152964","TN20152964@TEST")</f>
        <v/>
      </c>
      <c r="M1996" s="8">
        <f>HYPERLINK("https://test.ictv.global/id/ICTV20073880","ICTV20073880@TEST")</f>
        <v/>
      </c>
      <c r="N1996" s="8">
        <f>HYPERLINK("https://ictv.global/id/TN20152964","TN20152964@prod")</f>
        <v/>
      </c>
      <c r="O1996" s="8">
        <f>HYPERLINK("https://ictv.global/id/ICTV20073880","ICTV20073880@prod")</f>
        <v/>
      </c>
    </row>
    <row r="1997">
      <c r="A1997" t="n">
        <v>30</v>
      </c>
      <c r="B1997" t="n">
        <v>20152965</v>
      </c>
      <c r="C1997" t="n">
        <v>20073881</v>
      </c>
      <c r="D1997" t="inlineStr">
        <is>
          <t>species</t>
        </is>
      </c>
      <c r="E1997" t="inlineStr">
        <is>
          <t>Escherichia virus HR</t>
        </is>
      </c>
      <c r="G1997" t="inlineStr">
        <is>
          <t>Abolished,</t>
        </is>
      </c>
      <c r="L1997" s="8">
        <f>HYPERLINK("https://test.ictv.global/id/TN20152965","TN20152965@TEST")</f>
        <v/>
      </c>
      <c r="M1997" s="8">
        <f>HYPERLINK("https://test.ictv.global/id/ICTV20073881","ICTV20073881@TEST")</f>
        <v/>
      </c>
      <c r="N1997" s="8">
        <f>HYPERLINK("https://ictv.global/id/TN20152965","TN20152965@prod")</f>
        <v/>
      </c>
      <c r="O1997" s="8">
        <f>HYPERLINK("https://ictv.global/id/ICTV20073881","ICTV20073881@prod")</f>
        <v/>
      </c>
    </row>
    <row r="1998">
      <c r="A1998" t="n">
        <v>30</v>
      </c>
      <c r="B1998" t="n">
        <v>20152970</v>
      </c>
      <c r="C1998" t="n">
        <v>19910812</v>
      </c>
      <c r="D1998" t="inlineStr">
        <is>
          <t>species</t>
        </is>
      </c>
      <c r="E1998" t="inlineStr">
        <is>
          <t>Escherichia virus PR64FS</t>
        </is>
      </c>
      <c r="G1998" t="inlineStr">
        <is>
          <t>Abolished,</t>
        </is>
      </c>
      <c r="L1998" s="8">
        <f>HYPERLINK("https://test.ictv.global/id/TN20152970","TN20152970@TEST")</f>
        <v/>
      </c>
      <c r="M1998" s="8">
        <f>HYPERLINK("https://test.ictv.global/id/ICTV19910812","ICTV19910812@TEST")</f>
        <v/>
      </c>
      <c r="N1998" s="8">
        <f>HYPERLINK("https://ictv.global/id/TN20152970","TN20152970@prod")</f>
        <v/>
      </c>
      <c r="O1998" s="8">
        <f>HYPERLINK("https://ictv.global/id/ICTV19910812","ICTV19910812@prod")</f>
        <v/>
      </c>
    </row>
    <row r="1999">
      <c r="A1999" t="n">
        <v>30</v>
      </c>
      <c r="B1999" t="n">
        <v>20152971</v>
      </c>
      <c r="C1999" t="n">
        <v>19910813</v>
      </c>
      <c r="D1999" t="inlineStr">
        <is>
          <t>species</t>
        </is>
      </c>
      <c r="E1999" t="inlineStr">
        <is>
          <t>Escherichia virus SF</t>
        </is>
      </c>
      <c r="G1999" t="inlineStr">
        <is>
          <t>Abolished,</t>
        </is>
      </c>
      <c r="L1999" s="8">
        <f>HYPERLINK("https://test.ictv.global/id/TN20152971","TN20152971@TEST")</f>
        <v/>
      </c>
      <c r="M1999" s="8">
        <f>HYPERLINK("https://test.ictv.global/id/ICTV19910813","ICTV19910813@TEST")</f>
        <v/>
      </c>
      <c r="N1999" s="8">
        <f>HYPERLINK("https://ictv.global/id/TN20152971","TN20152971@prod")</f>
        <v/>
      </c>
      <c r="O1999" s="8">
        <f>HYPERLINK("https://ictv.global/id/ICTV19910813","ICTV19910813@prod")</f>
        <v/>
      </c>
    </row>
    <row r="2000">
      <c r="A2000" t="n">
        <v>30</v>
      </c>
      <c r="B2000" t="n">
        <v>20152972</v>
      </c>
      <c r="C2000" t="n">
        <v>19910814</v>
      </c>
      <c r="D2000" t="inlineStr">
        <is>
          <t>species</t>
        </is>
      </c>
      <c r="E2000" t="inlineStr">
        <is>
          <t>Escherichia virus tf1</t>
        </is>
      </c>
      <c r="G2000" t="inlineStr">
        <is>
          <t>Abolished,</t>
        </is>
      </c>
      <c r="L2000" s="8">
        <f>HYPERLINK("https://test.ictv.global/id/TN20152972","TN20152972@TEST")</f>
        <v/>
      </c>
      <c r="M2000" s="8">
        <f>HYPERLINK("https://test.ictv.global/id/ICTV19910814","ICTV19910814@TEST")</f>
        <v/>
      </c>
      <c r="N2000" s="8">
        <f>HYPERLINK("https://ictv.global/id/TN20152972","TN20152972@prod")</f>
        <v/>
      </c>
      <c r="O2000" s="8">
        <f>HYPERLINK("https://ictv.global/id/ICTV19910814","ICTV19910814@prod")</f>
        <v/>
      </c>
    </row>
    <row r="2001">
      <c r="A2001" t="n">
        <v>30</v>
      </c>
      <c r="B2001" t="n">
        <v>20152973</v>
      </c>
      <c r="C2001" t="n">
        <v>19910815</v>
      </c>
      <c r="D2001" t="inlineStr">
        <is>
          <t>species</t>
        </is>
      </c>
      <c r="E2001" t="inlineStr">
        <is>
          <t>Escherichia virus X</t>
        </is>
      </c>
      <c r="G2001" t="inlineStr">
        <is>
          <t>Abolished,</t>
        </is>
      </c>
      <c r="L2001" s="8">
        <f>HYPERLINK("https://test.ictv.global/id/TN20152973","TN20152973@TEST")</f>
        <v/>
      </c>
      <c r="M2001" s="8">
        <f>HYPERLINK("https://test.ictv.global/id/ICTV19910815","ICTV19910815@TEST")</f>
        <v/>
      </c>
      <c r="N2001" s="8">
        <f>HYPERLINK("https://ictv.global/id/TN20152973","TN20152973@prod")</f>
        <v/>
      </c>
      <c r="O2001" s="8">
        <f>HYPERLINK("https://ictv.global/id/ICTV19910815","ICTV19910815@prod")</f>
        <v/>
      </c>
    </row>
    <row r="2002">
      <c r="A2002" t="n">
        <v>30</v>
      </c>
      <c r="B2002" t="n">
        <v>20152974</v>
      </c>
      <c r="C2002" t="n">
        <v>19991035</v>
      </c>
      <c r="D2002" t="inlineStr">
        <is>
          <t>species</t>
        </is>
      </c>
      <c r="E2002" t="inlineStr">
        <is>
          <t>Escherichia virus X2</t>
        </is>
      </c>
      <c r="G2002" t="inlineStr">
        <is>
          <t>Abolished,</t>
        </is>
      </c>
      <c r="L2002" s="8">
        <f>HYPERLINK("https://test.ictv.global/id/TN20152974","TN20152974@TEST")</f>
        <v/>
      </c>
      <c r="M2002" s="8">
        <f>HYPERLINK("https://test.ictv.global/id/ICTV19991035","ICTV19991035@TEST")</f>
        <v/>
      </c>
      <c r="N2002" s="8">
        <f>HYPERLINK("https://ictv.global/id/TN20152974","TN20152974@prod")</f>
        <v/>
      </c>
      <c r="O2002" s="8">
        <f>HYPERLINK("https://ictv.global/id/ICTV19991035","ICTV19991035@prod")</f>
        <v/>
      </c>
    </row>
    <row r="2003">
      <c r="A2003" t="n">
        <v>30</v>
      </c>
      <c r="B2003" t="n">
        <v>20152975</v>
      </c>
      <c r="C2003" t="n">
        <v>20073891</v>
      </c>
      <c r="D2003" t="inlineStr">
        <is>
          <t>species</t>
        </is>
      </c>
      <c r="E2003" t="inlineStr">
        <is>
          <t>Escherichia virus ZJ2</t>
        </is>
      </c>
      <c r="G2003" t="inlineStr">
        <is>
          <t>Abolished,</t>
        </is>
      </c>
      <c r="L2003" s="8">
        <f>HYPERLINK("https://test.ictv.global/id/TN20152975","TN20152975@TEST")</f>
        <v/>
      </c>
      <c r="M2003" s="8">
        <f>HYPERLINK("https://test.ictv.global/id/ICTV20073891","ICTV20073891@TEST")</f>
        <v/>
      </c>
      <c r="N2003" s="8">
        <f>HYPERLINK("https://ictv.global/id/TN20152975","TN20152975@prod")</f>
        <v/>
      </c>
      <c r="O2003" s="8">
        <f>HYPERLINK("https://ictv.global/id/ICTV20073891","ICTV20073891@prod")</f>
        <v/>
      </c>
    </row>
    <row r="2004">
      <c r="A2004" t="n">
        <v>30</v>
      </c>
      <c r="B2004" t="n">
        <v>20152977</v>
      </c>
      <c r="C2004" t="n">
        <v>19910817</v>
      </c>
      <c r="D2004" t="inlineStr">
        <is>
          <t>species</t>
        </is>
      </c>
      <c r="E2004" t="inlineStr">
        <is>
          <t>Pseudomonas virus Pf2</t>
        </is>
      </c>
      <c r="G2004" t="inlineStr">
        <is>
          <t>Abolished,</t>
        </is>
      </c>
      <c r="L2004" s="8">
        <f>HYPERLINK("https://test.ictv.global/id/TN20152977","TN20152977@TEST")</f>
        <v/>
      </c>
      <c r="M2004" s="8">
        <f>HYPERLINK("https://test.ictv.global/id/ICTV19910817","ICTV19910817@TEST")</f>
        <v/>
      </c>
      <c r="N2004" s="8">
        <f>HYPERLINK("https://ictv.global/id/TN20152977","TN20152977@prod")</f>
        <v/>
      </c>
      <c r="O2004" s="8">
        <f>HYPERLINK("https://ictv.global/id/ICTV19910817","ICTV19910817@prod")</f>
        <v/>
      </c>
    </row>
    <row r="2005">
      <c r="A2005" t="n">
        <v>30</v>
      </c>
      <c r="B2005" t="n">
        <v>20152979</v>
      </c>
      <c r="C2005" t="n">
        <v>19991039</v>
      </c>
      <c r="D2005" t="inlineStr">
        <is>
          <t>species</t>
        </is>
      </c>
      <c r="E2005" t="inlineStr">
        <is>
          <t>Vibrio virus 493</t>
        </is>
      </c>
      <c r="G2005" t="inlineStr">
        <is>
          <t>Abolished,</t>
        </is>
      </c>
      <c r="L2005" s="8">
        <f>HYPERLINK("https://test.ictv.global/id/TN20152979","TN20152979@TEST")</f>
        <v/>
      </c>
      <c r="M2005" s="8">
        <f>HYPERLINK("https://test.ictv.global/id/ICTV19991039","ICTV19991039@TEST")</f>
        <v/>
      </c>
      <c r="N2005" s="8">
        <f>HYPERLINK("https://ictv.global/id/TN20152979","TN20152979@prod")</f>
        <v/>
      </c>
      <c r="O2005" s="8">
        <f>HYPERLINK("https://ictv.global/id/ICTV19991039","ICTV19991039@prod")</f>
        <v/>
      </c>
    </row>
    <row r="2006">
      <c r="A2006" t="n">
        <v>30</v>
      </c>
      <c r="B2006" t="n">
        <v>20152983</v>
      </c>
      <c r="C2006" t="n">
        <v>19910819</v>
      </c>
      <c r="D2006" t="inlineStr">
        <is>
          <t>species</t>
        </is>
      </c>
      <c r="E2006" t="inlineStr">
        <is>
          <t>Vibrio virus v6</t>
        </is>
      </c>
      <c r="G2006" t="inlineStr">
        <is>
          <t>Abolished,</t>
        </is>
      </c>
      <c r="L2006" s="8">
        <f>HYPERLINK("https://test.ictv.global/id/TN20152983","TN20152983@TEST")</f>
        <v/>
      </c>
      <c r="M2006" s="8">
        <f>HYPERLINK("https://test.ictv.global/id/ICTV19910819","ICTV19910819@TEST")</f>
        <v/>
      </c>
      <c r="N2006" s="8">
        <f>HYPERLINK("https://ictv.global/id/TN20152983","TN20152983@prod")</f>
        <v/>
      </c>
      <c r="O2006" s="8">
        <f>HYPERLINK("https://ictv.global/id/ICTV19910819","ICTV19910819@prod")</f>
        <v/>
      </c>
    </row>
    <row r="2007">
      <c r="A2007" t="n">
        <v>30</v>
      </c>
      <c r="B2007" t="n">
        <v>20152984</v>
      </c>
      <c r="C2007" t="n">
        <v>19910820</v>
      </c>
      <c r="D2007" t="inlineStr">
        <is>
          <t>species</t>
        </is>
      </c>
      <c r="E2007" t="inlineStr">
        <is>
          <t>Vibrio virus Vf12</t>
        </is>
      </c>
      <c r="G2007" t="inlineStr">
        <is>
          <t>Abolished,</t>
        </is>
      </c>
      <c r="L2007" s="8">
        <f>HYPERLINK("https://test.ictv.global/id/TN20152984","TN20152984@TEST")</f>
        <v/>
      </c>
      <c r="M2007" s="8">
        <f>HYPERLINK("https://test.ictv.global/id/ICTV19910820","ICTV19910820@TEST")</f>
        <v/>
      </c>
      <c r="N2007" s="8">
        <f>HYPERLINK("https://ictv.global/id/TN20152984","TN20152984@prod")</f>
        <v/>
      </c>
      <c r="O2007" s="8">
        <f>HYPERLINK("https://ictv.global/id/ICTV19910820","ICTV19910820@prod")</f>
        <v/>
      </c>
    </row>
    <row r="2008">
      <c r="A2008" t="n">
        <v>30</v>
      </c>
      <c r="B2008" t="n">
        <v>20152986</v>
      </c>
      <c r="C2008" t="n">
        <v>19991046</v>
      </c>
      <c r="D2008" t="inlineStr">
        <is>
          <t>species</t>
        </is>
      </c>
      <c r="E2008" t="inlineStr">
        <is>
          <t>Vibrio virus VSK</t>
        </is>
      </c>
      <c r="G2008" t="inlineStr">
        <is>
          <t>Abolished,</t>
        </is>
      </c>
      <c r="L2008" s="8">
        <f>HYPERLINK("https://test.ictv.global/id/TN20152986","TN20152986@TEST")</f>
        <v/>
      </c>
      <c r="M2008" s="8">
        <f>HYPERLINK("https://test.ictv.global/id/ICTV19991046","ICTV19991046@TEST")</f>
        <v/>
      </c>
      <c r="N2008" s="8">
        <f>HYPERLINK("https://ictv.global/id/TN20152986","TN20152986@prod")</f>
        <v/>
      </c>
      <c r="O2008" s="8">
        <f>HYPERLINK("https://ictv.global/id/ICTV19991046","ICTV19991046@prod")</f>
        <v/>
      </c>
    </row>
    <row r="2009">
      <c r="A2009" t="n">
        <v>30</v>
      </c>
      <c r="B2009" t="n">
        <v>20152987</v>
      </c>
      <c r="C2009" t="n">
        <v>19991047</v>
      </c>
      <c r="D2009" t="inlineStr">
        <is>
          <t>species</t>
        </is>
      </c>
      <c r="E2009" t="inlineStr">
        <is>
          <t>Xanthomonas virus Cf16</t>
        </is>
      </c>
      <c r="G2009" t="inlineStr">
        <is>
          <t>Abolished,</t>
        </is>
      </c>
      <c r="L2009" s="8">
        <f>HYPERLINK("https://test.ictv.global/id/TN20152987","TN20152987@TEST")</f>
        <v/>
      </c>
      <c r="M2009" s="8">
        <f>HYPERLINK("https://test.ictv.global/id/ICTV19991047","ICTV19991047@TEST")</f>
        <v/>
      </c>
      <c r="N2009" s="8">
        <f>HYPERLINK("https://ictv.global/id/TN20152987","TN20152987@prod")</f>
        <v/>
      </c>
      <c r="O2009" s="8">
        <f>HYPERLINK("https://ictv.global/id/ICTV19991047","ICTV19991047@prod")</f>
        <v/>
      </c>
    </row>
    <row r="2010">
      <c r="A2010" t="n">
        <v>30</v>
      </c>
      <c r="B2010" t="n">
        <v>20152989</v>
      </c>
      <c r="C2010" t="n">
        <v>19910823</v>
      </c>
      <c r="D2010" t="inlineStr">
        <is>
          <t>species</t>
        </is>
      </c>
      <c r="E2010" t="inlineStr">
        <is>
          <t>Xanthomonas virus Cf1t</t>
        </is>
      </c>
      <c r="G2010" t="inlineStr">
        <is>
          <t>Abolished,</t>
        </is>
      </c>
      <c r="L2010" s="8">
        <f>HYPERLINK("https://test.ictv.global/id/TN20152989","TN20152989@TEST")</f>
        <v/>
      </c>
      <c r="M2010" s="8">
        <f>HYPERLINK("https://test.ictv.global/id/ICTV19910823","ICTV19910823@TEST")</f>
        <v/>
      </c>
      <c r="N2010" s="8">
        <f>HYPERLINK("https://ictv.global/id/TN20152989","TN20152989@prod")</f>
        <v/>
      </c>
      <c r="O2010" s="8">
        <f>HYPERLINK("https://ictv.global/id/ICTV19910823","ICTV19910823@prod")</f>
        <v/>
      </c>
    </row>
    <row r="2011">
      <c r="A2011" t="n">
        <v>30</v>
      </c>
      <c r="B2011" t="n">
        <v>20152990</v>
      </c>
      <c r="C2011" t="n">
        <v>19991050</v>
      </c>
      <c r="D2011" t="inlineStr">
        <is>
          <t>species</t>
        </is>
      </c>
      <c r="E2011" t="inlineStr">
        <is>
          <t>Xanthomonas virus Cf1tv</t>
        </is>
      </c>
      <c r="G2011" t="inlineStr">
        <is>
          <t>Abolished,</t>
        </is>
      </c>
      <c r="L2011" s="8">
        <f>HYPERLINK("https://test.ictv.global/id/TN20152990","TN20152990@TEST")</f>
        <v/>
      </c>
      <c r="M2011" s="8">
        <f>HYPERLINK("https://test.ictv.global/id/ICTV19991050","ICTV19991050@TEST")</f>
        <v/>
      </c>
      <c r="N2011" s="8">
        <f>HYPERLINK("https://ictv.global/id/TN20152990","TN20152990@prod")</f>
        <v/>
      </c>
      <c r="O2011" s="8">
        <f>HYPERLINK("https://ictv.global/id/ICTV19991050","ICTV19991050@prod")</f>
        <v/>
      </c>
    </row>
    <row r="2012">
      <c r="A2012" t="n">
        <v>30</v>
      </c>
      <c r="B2012" t="n">
        <v>20152991</v>
      </c>
      <c r="C2012" t="n">
        <v>19991051</v>
      </c>
      <c r="D2012" t="inlineStr">
        <is>
          <t>species</t>
        </is>
      </c>
      <c r="E2012" t="inlineStr">
        <is>
          <t>Xanthomonas virus Lf</t>
        </is>
      </c>
      <c r="G2012" t="inlineStr">
        <is>
          <t>Abolished,</t>
        </is>
      </c>
      <c r="L2012" s="8">
        <f>HYPERLINK("https://test.ictv.global/id/TN20152991","TN20152991@TEST")</f>
        <v/>
      </c>
      <c r="M2012" s="8">
        <f>HYPERLINK("https://test.ictv.global/id/ICTV19991051","ICTV19991051@TEST")</f>
        <v/>
      </c>
      <c r="N2012" s="8">
        <f>HYPERLINK("https://ictv.global/id/TN20152991","TN20152991@prod")</f>
        <v/>
      </c>
      <c r="O2012" s="8">
        <f>HYPERLINK("https://ictv.global/id/ICTV19991051","ICTV19991051@prod")</f>
        <v/>
      </c>
    </row>
    <row r="2013">
      <c r="A2013" t="n">
        <v>30</v>
      </c>
      <c r="B2013" t="n">
        <v>20152992</v>
      </c>
      <c r="C2013" t="n">
        <v>19910824</v>
      </c>
      <c r="D2013" t="inlineStr">
        <is>
          <t>species</t>
        </is>
      </c>
      <c r="E2013" t="inlineStr">
        <is>
          <t>Xanthomonas virus Xf</t>
        </is>
      </c>
      <c r="G2013" t="inlineStr">
        <is>
          <t>Abolished,</t>
        </is>
      </c>
      <c r="L2013" s="8">
        <f>HYPERLINK("https://test.ictv.global/id/TN20152992","TN20152992@TEST")</f>
        <v/>
      </c>
      <c r="M2013" s="8">
        <f>HYPERLINK("https://test.ictv.global/id/ICTV19910824","ICTV19910824@TEST")</f>
        <v/>
      </c>
      <c r="N2013" s="8">
        <f>HYPERLINK("https://ictv.global/id/TN20152992","TN20152992@prod")</f>
        <v/>
      </c>
      <c r="O2013" s="8">
        <f>HYPERLINK("https://ictv.global/id/ICTV19910824","ICTV19910824@prod")</f>
        <v/>
      </c>
    </row>
    <row r="2014">
      <c r="A2014" t="n">
        <v>30</v>
      </c>
      <c r="B2014" t="n">
        <v>20152993</v>
      </c>
      <c r="C2014" t="n">
        <v>19991053</v>
      </c>
      <c r="D2014" t="inlineStr">
        <is>
          <t>species</t>
        </is>
      </c>
      <c r="E2014" t="inlineStr">
        <is>
          <t>Xanthomonas virus Xfo</t>
        </is>
      </c>
      <c r="G2014" t="inlineStr">
        <is>
          <t>Abolished,</t>
        </is>
      </c>
      <c r="L2014" s="8">
        <f>HYPERLINK("https://test.ictv.global/id/TN20152993","TN20152993@TEST")</f>
        <v/>
      </c>
      <c r="M2014" s="8">
        <f>HYPERLINK("https://test.ictv.global/id/ICTV19991053","ICTV19991053@TEST")</f>
        <v/>
      </c>
      <c r="N2014" s="8">
        <f>HYPERLINK("https://ictv.global/id/TN20152993","TN20152993@prod")</f>
        <v/>
      </c>
      <c r="O2014" s="8">
        <f>HYPERLINK("https://ictv.global/id/ICTV19991053","ICTV19991053@prod")</f>
        <v/>
      </c>
    </row>
    <row r="2015">
      <c r="A2015" t="n">
        <v>30</v>
      </c>
      <c r="B2015" t="n">
        <v>20152994</v>
      </c>
      <c r="C2015" t="n">
        <v>19991054</v>
      </c>
      <c r="D2015" t="inlineStr">
        <is>
          <t>species</t>
        </is>
      </c>
      <c r="E2015" t="inlineStr">
        <is>
          <t>Xanthomonas virus Xfv</t>
        </is>
      </c>
      <c r="G2015" t="inlineStr">
        <is>
          <t>Abolished,</t>
        </is>
      </c>
      <c r="L2015" s="8">
        <f>HYPERLINK("https://test.ictv.global/id/TN20152994","TN20152994@TEST")</f>
        <v/>
      </c>
      <c r="M2015" s="8">
        <f>HYPERLINK("https://test.ictv.global/id/ICTV19991054","ICTV19991054@TEST")</f>
        <v/>
      </c>
      <c r="N2015" s="8">
        <f>HYPERLINK("https://ictv.global/id/TN20152994","TN20152994@prod")</f>
        <v/>
      </c>
      <c r="O2015" s="8">
        <f>HYPERLINK("https://ictv.global/id/ICTV19991054","ICTV19991054@prod")</f>
        <v/>
      </c>
    </row>
    <row r="2016">
      <c r="A2016" t="n">
        <v>30</v>
      </c>
      <c r="B2016" t="n">
        <v>20152997</v>
      </c>
      <c r="C2016" t="n">
        <v>19951117</v>
      </c>
      <c r="D2016" t="inlineStr">
        <is>
          <t>species</t>
        </is>
      </c>
      <c r="E2016" t="inlineStr">
        <is>
          <t>Spiroplasma virus 1aa</t>
        </is>
      </c>
      <c r="G2016" t="inlineStr">
        <is>
          <t>Abolished,</t>
        </is>
      </c>
      <c r="L2016" s="8">
        <f>HYPERLINK("https://test.ictv.global/id/TN20152997","TN20152997@TEST")</f>
        <v/>
      </c>
      <c r="M2016" s="8">
        <f>HYPERLINK("https://test.ictv.global/id/ICTV19951117","ICTV19951117@TEST")</f>
        <v/>
      </c>
      <c r="N2016" s="8">
        <f>HYPERLINK("https://ictv.global/id/TN20152997","TN20152997@prod")</f>
        <v/>
      </c>
      <c r="O2016" s="8">
        <f>HYPERLINK("https://ictv.global/id/ICTV19951117","ICTV19951117@prod")</f>
        <v/>
      </c>
    </row>
    <row r="2017">
      <c r="A2017" t="n">
        <v>30</v>
      </c>
      <c r="B2017" t="n">
        <v>20152999</v>
      </c>
      <c r="C2017" t="n">
        <v>19991058</v>
      </c>
      <c r="D2017" t="inlineStr">
        <is>
          <t>species</t>
        </is>
      </c>
      <c r="E2017" t="inlineStr">
        <is>
          <t>Spiroplasma virus KC3</t>
        </is>
      </c>
      <c r="G2017" t="inlineStr">
        <is>
          <t>Abolished,</t>
        </is>
      </c>
      <c r="L2017" s="8">
        <f>HYPERLINK("https://test.ictv.global/id/TN20152999","TN20152999@TEST")</f>
        <v/>
      </c>
      <c r="M2017" s="8">
        <f>HYPERLINK("https://test.ictv.global/id/ICTV19991058","ICTV19991058@TEST")</f>
        <v/>
      </c>
      <c r="N2017" s="8">
        <f>HYPERLINK("https://ictv.global/id/TN20152999","TN20152999@prod")</f>
        <v/>
      </c>
      <c r="O2017" s="8">
        <f>HYPERLINK("https://ictv.global/id/ICTV19991058","ICTV19991058@prod")</f>
        <v/>
      </c>
    </row>
    <row r="2018">
      <c r="A2018" t="n">
        <v>30</v>
      </c>
      <c r="B2018" t="n">
        <v>20153001</v>
      </c>
      <c r="C2018" t="n">
        <v>19991060</v>
      </c>
      <c r="D2018" t="inlineStr">
        <is>
          <t>species</t>
        </is>
      </c>
      <c r="E2018" t="inlineStr">
        <is>
          <t>Spiroplasma virus S102</t>
        </is>
      </c>
      <c r="G2018" t="inlineStr">
        <is>
          <t>Abolished,</t>
        </is>
      </c>
      <c r="L2018" s="8">
        <f>HYPERLINK("https://test.ictv.global/id/TN20153001","TN20153001@TEST")</f>
        <v/>
      </c>
      <c r="M2018" s="8">
        <f>HYPERLINK("https://test.ictv.global/id/ICTV19991060","ICTV19991060@TEST")</f>
        <v/>
      </c>
      <c r="N2018" s="8">
        <f>HYPERLINK("https://ictv.global/id/TN20153001","TN20153001@prod")</f>
        <v/>
      </c>
      <c r="O2018" s="8">
        <f>HYPERLINK("https://ictv.global/id/ICTV19991060","ICTV19991060@prod")</f>
        <v/>
      </c>
    </row>
    <row r="2019">
      <c r="A2019" t="n">
        <v>30</v>
      </c>
      <c r="B2019" t="n">
        <v>20153002</v>
      </c>
      <c r="C2019" t="n">
        <v>19991061</v>
      </c>
      <c r="D2019" t="inlineStr">
        <is>
          <t>species</t>
        </is>
      </c>
      <c r="E2019" t="inlineStr">
        <is>
          <t>Spiroplasma virus T78</t>
        </is>
      </c>
      <c r="G2019" t="inlineStr">
        <is>
          <t>Abolished,</t>
        </is>
      </c>
      <c r="L2019" s="8">
        <f>HYPERLINK("https://test.ictv.global/id/TN20153002","TN20153002@TEST")</f>
        <v/>
      </c>
      <c r="M2019" s="8">
        <f>HYPERLINK("https://test.ictv.global/id/ICTV19991061","ICTV19991061@TEST")</f>
        <v/>
      </c>
      <c r="N2019" s="8">
        <f>HYPERLINK("https://ictv.global/id/TN20153002","TN20153002@prod")</f>
        <v/>
      </c>
      <c r="O2019" s="8">
        <f>HYPERLINK("https://ictv.global/id/ICTV19991061","ICTV19991061@prod")</f>
        <v/>
      </c>
    </row>
    <row r="2020">
      <c r="A2020" t="n">
        <v>30</v>
      </c>
      <c r="B2020" t="n">
        <v>20153855</v>
      </c>
      <c r="C2020" t="n">
        <v>19911772</v>
      </c>
      <c r="D2020" t="inlineStr">
        <is>
          <t>species</t>
        </is>
      </c>
      <c r="E2020" t="inlineStr">
        <is>
          <t>Cowpea green vein banding virus</t>
        </is>
      </c>
      <c r="G2020" t="inlineStr">
        <is>
          <t>Abolished,</t>
        </is>
      </c>
      <c r="L2020" s="8">
        <f>HYPERLINK("https://test.ictv.global/id/TN20153855","TN20153855@TEST")</f>
        <v/>
      </c>
      <c r="M2020" s="8">
        <f>HYPERLINK("https://test.ictv.global/id/ICTV19911772","ICTV19911772@TEST")</f>
        <v/>
      </c>
      <c r="N2020" s="8">
        <f>HYPERLINK("https://ictv.global/id/TN20153855","TN20153855@prod")</f>
        <v/>
      </c>
      <c r="O2020" s="8">
        <f>HYPERLINK("https://ictv.global/id/ICTV19911772","ICTV19911772@prod")</f>
        <v/>
      </c>
    </row>
    <row r="2021">
      <c r="A2021" t="n">
        <v>30</v>
      </c>
      <c r="B2021" t="n">
        <v>20153868</v>
      </c>
      <c r="C2021" t="n">
        <v>19911778</v>
      </c>
      <c r="D2021" t="inlineStr">
        <is>
          <t>species</t>
        </is>
      </c>
      <c r="E2021" t="inlineStr">
        <is>
          <t>Groundnut eyespot virus</t>
        </is>
      </c>
      <c r="G2021" t="inlineStr">
        <is>
          <t>Abolished,</t>
        </is>
      </c>
      <c r="L2021" s="8">
        <f>HYPERLINK("https://test.ictv.global/id/TN20153868","TN20153868@TEST")</f>
        <v/>
      </c>
      <c r="M2021" s="8">
        <f>HYPERLINK("https://test.ictv.global/id/ICTV19911778","ICTV19911778@TEST")</f>
        <v/>
      </c>
      <c r="N2021" s="8">
        <f>HYPERLINK("https://ictv.global/id/TN20153868","TN20153868@prod")</f>
        <v/>
      </c>
      <c r="O2021" s="8">
        <f>HYPERLINK("https://ictv.global/id/ICTV19911778","ICTV19911778@prod")</f>
        <v/>
      </c>
    </row>
    <row r="2022">
      <c r="A2022" t="n">
        <v>30</v>
      </c>
      <c r="B2022" t="n">
        <v>20153869</v>
      </c>
      <c r="C2022" t="n">
        <v>19821306</v>
      </c>
      <c r="D2022" t="inlineStr">
        <is>
          <t>species</t>
        </is>
      </c>
      <c r="E2022" t="inlineStr">
        <is>
          <t>Guinea grass mosaic virus</t>
        </is>
      </c>
      <c r="G2022" t="inlineStr">
        <is>
          <t>Abolished,</t>
        </is>
      </c>
      <c r="L2022" s="8">
        <f>HYPERLINK("https://test.ictv.global/id/TN20153869","TN20153869@TEST")</f>
        <v/>
      </c>
      <c r="M2022" s="8">
        <f>HYPERLINK("https://test.ictv.global/id/ICTV19821306","ICTV19821306@TEST")</f>
        <v/>
      </c>
      <c r="N2022" s="8">
        <f>HYPERLINK("https://ictv.global/id/TN20153869","TN20153869@prod")</f>
        <v/>
      </c>
      <c r="O2022" s="8">
        <f>HYPERLINK("https://ictv.global/id/ICTV19821306","ICTV19821306@prod")</f>
        <v/>
      </c>
    </row>
    <row r="2023">
      <c r="A2023" t="n">
        <v>30</v>
      </c>
      <c r="B2023" t="n">
        <v>20153872</v>
      </c>
      <c r="C2023" t="n">
        <v>19911780</v>
      </c>
      <c r="D2023" t="inlineStr">
        <is>
          <t>species</t>
        </is>
      </c>
      <c r="E2023" t="inlineStr">
        <is>
          <t>Helenium virus Y</t>
        </is>
      </c>
      <c r="G2023" t="inlineStr">
        <is>
          <t>Abolished,</t>
        </is>
      </c>
      <c r="L2023" s="8">
        <f>HYPERLINK("https://test.ictv.global/id/TN20153872","TN20153872@TEST")</f>
        <v/>
      </c>
      <c r="M2023" s="8">
        <f>HYPERLINK("https://test.ictv.global/id/ICTV19911780","ICTV19911780@TEST")</f>
        <v/>
      </c>
      <c r="N2023" s="8">
        <f>HYPERLINK("https://ictv.global/id/TN20153872","TN20153872@prod")</f>
        <v/>
      </c>
      <c r="O2023" s="8">
        <f>HYPERLINK("https://ictv.global/id/ICTV19911780","ICTV19911780@prod")</f>
        <v/>
      </c>
    </row>
    <row r="2024">
      <c r="A2024" t="n">
        <v>30</v>
      </c>
      <c r="B2024" t="n">
        <v>20153951</v>
      </c>
      <c r="C2024" t="n">
        <v>19991441</v>
      </c>
      <c r="D2024" t="inlineStr">
        <is>
          <t>species</t>
        </is>
      </c>
      <c r="E2024" t="inlineStr">
        <is>
          <t>Tropaeolum mosaic virus</t>
        </is>
      </c>
      <c r="G2024" t="inlineStr">
        <is>
          <t>Abolished,</t>
        </is>
      </c>
      <c r="L2024" s="8">
        <f>HYPERLINK("https://test.ictv.global/id/TN20153951","TN20153951@TEST")</f>
        <v/>
      </c>
      <c r="M2024" s="8">
        <f>HYPERLINK("https://test.ictv.global/id/ICTV19991441","ICTV19991441@TEST")</f>
        <v/>
      </c>
      <c r="N2024" s="8">
        <f>HYPERLINK("https://ictv.global/id/TN20153951","TN20153951@prod")</f>
        <v/>
      </c>
      <c r="O2024" s="8">
        <f>HYPERLINK("https://ictv.global/id/ICTV19991441","ICTV19991441@prod")</f>
        <v/>
      </c>
    </row>
    <row r="2025">
      <c r="A2025" t="n">
        <v>31</v>
      </c>
      <c r="B2025" t="n">
        <v>20164290</v>
      </c>
      <c r="C2025" t="n">
        <v>19780108</v>
      </c>
      <c r="D2025" t="inlineStr">
        <is>
          <t>genus</t>
        </is>
      </c>
      <c r="E2025" t="inlineStr">
        <is>
          <t>Tectivirus</t>
        </is>
      </c>
      <c r="G2025" t="inlineStr">
        <is>
          <t>Split,</t>
        </is>
      </c>
      <c r="H2025" t="inlineStr">
        <is>
          <t>Alphatectivirus</t>
        </is>
      </c>
      <c r="I2025" t="inlineStr">
        <is>
          <t>genus</t>
        </is>
      </c>
      <c r="J2025" t="n">
        <v>20175072</v>
      </c>
      <c r="K2025" t="n">
        <v>20175072</v>
      </c>
      <c r="L2025" s="8">
        <f>HYPERLINK("https://test.ictv.global/id/TN20164290","TN20164290@TEST")</f>
        <v/>
      </c>
      <c r="M2025" s="8">
        <f>HYPERLINK("https://test.ictv.global/id/ICTV19780108","ICTV19780108@TEST")</f>
        <v/>
      </c>
      <c r="N2025" s="8">
        <f>HYPERLINK("https://ictv.global/id/TN20164290","TN20164290@prod")</f>
        <v/>
      </c>
      <c r="O2025" s="8">
        <f>HYPERLINK("https://ictv.global/id/ICTV19780108","ICTV19780108@prod")</f>
        <v/>
      </c>
    </row>
    <row r="2026">
      <c r="A2026" t="n">
        <v>31</v>
      </c>
      <c r="B2026" t="n">
        <v>20164290</v>
      </c>
      <c r="C2026" t="n">
        <v>19780108</v>
      </c>
      <c r="D2026" t="inlineStr">
        <is>
          <t>genus</t>
        </is>
      </c>
      <c r="E2026" t="inlineStr">
        <is>
          <t>Tectivirus</t>
        </is>
      </c>
      <c r="G2026" t="inlineStr">
        <is>
          <t>Split,</t>
        </is>
      </c>
      <c r="H2026" t="inlineStr">
        <is>
          <t>Betatectivirus</t>
        </is>
      </c>
      <c r="I2026" t="inlineStr">
        <is>
          <t>genus</t>
        </is>
      </c>
      <c r="J2026" t="n">
        <v>20175073</v>
      </c>
      <c r="K2026" t="n">
        <v>20175073</v>
      </c>
      <c r="L2026" s="8">
        <f>HYPERLINK("https://test.ictv.global/id/TN20164290","TN20164290@TEST")</f>
        <v/>
      </c>
      <c r="M2026" s="8">
        <f>HYPERLINK("https://test.ictv.global/id/ICTV19780108","ICTV19780108@TEST")</f>
        <v/>
      </c>
      <c r="N2026" s="8">
        <f>HYPERLINK("https://ictv.global/id/TN20164290","TN20164290@prod")</f>
        <v/>
      </c>
      <c r="O2026" s="8">
        <f>HYPERLINK("https://ictv.global/id/ICTV19780108","ICTV19780108@prod")</f>
        <v/>
      </c>
    </row>
    <row r="2027">
      <c r="A2027" t="n">
        <v>31</v>
      </c>
      <c r="B2027" t="n">
        <v>20164294</v>
      </c>
      <c r="C2027" t="n">
        <v>19991662</v>
      </c>
      <c r="D2027" t="inlineStr">
        <is>
          <t>species</t>
        </is>
      </c>
      <c r="E2027" t="inlineStr">
        <is>
          <t>Thermus virus P37-14</t>
        </is>
      </c>
      <c r="G2027" t="inlineStr">
        <is>
          <t>Abolished,</t>
        </is>
      </c>
      <c r="L2027" s="8">
        <f>HYPERLINK("https://test.ictv.global/id/TN20164294","TN20164294@TEST")</f>
        <v/>
      </c>
      <c r="M2027" s="8">
        <f>HYPERLINK("https://test.ictv.global/id/ICTV19991662","ICTV19991662@TEST")</f>
        <v/>
      </c>
      <c r="N2027" s="8">
        <f>HYPERLINK("https://ictv.global/id/TN20164294","TN20164294@prod")</f>
        <v/>
      </c>
      <c r="O2027" s="8">
        <f>HYPERLINK("https://ictv.global/id/ICTV19991662","ICTV19991662@prod")</f>
        <v/>
      </c>
    </row>
    <row r="2028">
      <c r="A2028" t="n">
        <v>31</v>
      </c>
      <c r="B2028" t="n">
        <v>20164296</v>
      </c>
      <c r="C2028" t="n">
        <v>19790858</v>
      </c>
      <c r="D2028" t="inlineStr">
        <is>
          <t>species</t>
        </is>
      </c>
      <c r="E2028" t="inlineStr">
        <is>
          <t>Alicyclobacillus virus NS11</t>
        </is>
      </c>
      <c r="G2028" t="inlineStr">
        <is>
          <t>Abolished,</t>
        </is>
      </c>
      <c r="L2028" s="8">
        <f>HYPERLINK("https://test.ictv.global/id/TN20164296","TN20164296@TEST")</f>
        <v/>
      </c>
      <c r="M2028" s="8">
        <f>HYPERLINK("https://test.ictv.global/id/ICTV19790858","ICTV19790858@TEST")</f>
        <v/>
      </c>
      <c r="N2028" s="8">
        <f>HYPERLINK("https://ictv.global/id/TN20164296","TN20164296@prod")</f>
        <v/>
      </c>
      <c r="O2028" s="8">
        <f>HYPERLINK("https://ictv.global/id/ICTV19790858","ICTV19790858@prod")</f>
        <v/>
      </c>
    </row>
    <row r="2029">
      <c r="A2029" t="n">
        <v>32</v>
      </c>
      <c r="B2029" t="n">
        <v>20170002</v>
      </c>
      <c r="C2029" t="n">
        <v>20164604</v>
      </c>
      <c r="D2029" t="inlineStr">
        <is>
          <t>family</t>
        </is>
      </c>
      <c r="E2029" t="inlineStr">
        <is>
          <t>Feraviridae</t>
        </is>
      </c>
      <c r="G2029" t="inlineStr">
        <is>
          <t>Abolished,</t>
        </is>
      </c>
      <c r="L2029" s="8">
        <f>HYPERLINK("https://test.ictv.global/id/TN20170002","TN20170002@TEST")</f>
        <v/>
      </c>
      <c r="M2029" s="8">
        <f>HYPERLINK("https://test.ictv.global/id/ICTV20164604","ICTV20164604@TEST")</f>
        <v/>
      </c>
      <c r="N2029" s="8">
        <f>HYPERLINK("https://ictv.global/id/TN20170002","TN20170002@prod")</f>
        <v/>
      </c>
      <c r="O2029" s="8">
        <f>HYPERLINK("https://ictv.global/id/ICTV20164604","ICTV20164604@prod")</f>
        <v/>
      </c>
    </row>
    <row r="2030">
      <c r="A2030" t="n">
        <v>32</v>
      </c>
      <c r="B2030" t="n">
        <v>20170062</v>
      </c>
      <c r="C2030" t="n">
        <v>20164608</v>
      </c>
      <c r="D2030" t="inlineStr">
        <is>
          <t>family</t>
        </is>
      </c>
      <c r="E2030" t="inlineStr">
        <is>
          <t>Jonviridae</t>
        </is>
      </c>
      <c r="G2030" t="inlineStr">
        <is>
          <t>Abolished,</t>
        </is>
      </c>
      <c r="L2030" s="8">
        <f>HYPERLINK("https://test.ictv.global/id/TN20170062","TN20170062@TEST")</f>
        <v/>
      </c>
      <c r="M2030" s="8">
        <f>HYPERLINK("https://test.ictv.global/id/ICTV20164608","ICTV20164608@TEST")</f>
        <v/>
      </c>
      <c r="N2030" s="8">
        <f>HYPERLINK("https://ictv.global/id/TN20170062","TN20170062@prod")</f>
        <v/>
      </c>
      <c r="O2030" s="8">
        <f>HYPERLINK("https://ictv.global/id/ICTV20164608","ICTV20164608@prod")</f>
        <v/>
      </c>
    </row>
    <row r="2031">
      <c r="A2031" t="n">
        <v>32</v>
      </c>
      <c r="B2031" t="n">
        <v>20170176</v>
      </c>
      <c r="C2031" t="n">
        <v>20164612</v>
      </c>
      <c r="D2031" t="inlineStr">
        <is>
          <t>family</t>
        </is>
      </c>
      <c r="E2031" t="inlineStr">
        <is>
          <t>Tospoviridae</t>
        </is>
      </c>
      <c r="G2031" t="inlineStr">
        <is>
          <t>Abolished,</t>
        </is>
      </c>
      <c r="L2031" s="8">
        <f>HYPERLINK("https://test.ictv.global/id/TN20170176","TN20170176@TEST")</f>
        <v/>
      </c>
      <c r="M2031" s="8">
        <f>HYPERLINK("https://test.ictv.global/id/ICTV20164612","ICTV20164612@TEST")</f>
        <v/>
      </c>
      <c r="N2031" s="8">
        <f>HYPERLINK("https://ictv.global/id/TN20170176","TN20170176@prod")</f>
        <v/>
      </c>
      <c r="O2031" s="8">
        <f>HYPERLINK("https://ictv.global/id/ICTV20164612","ICTV20164612@prod")</f>
        <v/>
      </c>
    </row>
    <row r="2032">
      <c r="A2032" t="n">
        <v>32</v>
      </c>
      <c r="B2032" t="n">
        <v>20171815</v>
      </c>
      <c r="C2032" t="n">
        <v>20151180</v>
      </c>
      <c r="D2032" t="inlineStr">
        <is>
          <t>genus</t>
        </is>
      </c>
      <c r="E2032" t="inlineStr">
        <is>
          <t>Chengtivirus</t>
        </is>
      </c>
      <c r="G2032" t="inlineStr">
        <is>
          <t>Abolished,</t>
        </is>
      </c>
      <c r="L2032" s="8">
        <f>HYPERLINK("https://test.ictv.global/id/TN20171815","TN20171815@TEST")</f>
        <v/>
      </c>
      <c r="M2032" s="8">
        <f>HYPERLINK("https://test.ictv.global/id/ICTV20151180","ICTV20151180@TEST")</f>
        <v/>
      </c>
      <c r="N2032" s="8">
        <f>HYPERLINK("https://ictv.global/id/TN20171815","TN20171815@prod")</f>
        <v/>
      </c>
      <c r="O2032" s="8">
        <f>HYPERLINK("https://ictv.global/id/ICTV20151180","ICTV20151180@prod")</f>
        <v/>
      </c>
    </row>
    <row r="2033">
      <c r="A2033" t="n">
        <v>32</v>
      </c>
      <c r="B2033" t="n">
        <v>20171819</v>
      </c>
      <c r="C2033" t="n">
        <v>20151178</v>
      </c>
      <c r="D2033" t="inlineStr">
        <is>
          <t>genus</t>
        </is>
      </c>
      <c r="E2033" t="inlineStr">
        <is>
          <t>Wastrivirus</t>
        </is>
      </c>
      <c r="G2033" t="inlineStr">
        <is>
          <t>Abolished,</t>
        </is>
      </c>
      <c r="L2033" s="8">
        <f>HYPERLINK("https://test.ictv.global/id/TN20171819","TN20171819@TEST")</f>
        <v/>
      </c>
      <c r="M2033" s="8">
        <f>HYPERLINK("https://test.ictv.global/id/ICTV20151178","ICTV20151178@TEST")</f>
        <v/>
      </c>
      <c r="N2033" s="8">
        <f>HYPERLINK("https://ictv.global/id/TN20171819","TN20171819@prod")</f>
        <v/>
      </c>
      <c r="O2033" s="8">
        <f>HYPERLINK("https://ictv.global/id/ICTV20151178","ICTV20151178@prod")</f>
        <v/>
      </c>
    </row>
    <row r="2034">
      <c r="A2034" t="n">
        <v>32</v>
      </c>
      <c r="B2034" t="n">
        <v>20171824</v>
      </c>
      <c r="C2034" t="n">
        <v>20164728</v>
      </c>
      <c r="D2034" t="inlineStr">
        <is>
          <t>genus</t>
        </is>
      </c>
      <c r="E2034" t="inlineStr">
        <is>
          <t>Dipartevirus</t>
        </is>
      </c>
      <c r="G2034" t="inlineStr">
        <is>
          <t>Abolished,</t>
        </is>
      </c>
      <c r="L2034" s="8">
        <f>HYPERLINK("https://test.ictv.global/id/TN20171824","TN20171824@TEST")</f>
        <v/>
      </c>
      <c r="M2034" s="8">
        <f>HYPERLINK("https://test.ictv.global/id/ICTV20164728","ICTV20164728@TEST")</f>
        <v/>
      </c>
      <c r="N2034" s="8">
        <f>HYPERLINK("https://ictv.global/id/TN20171824","TN20171824@prod")</f>
        <v/>
      </c>
      <c r="O2034" s="8">
        <f>HYPERLINK("https://ictv.global/id/ICTV20164728","ICTV20164728@prod")</f>
        <v/>
      </c>
    </row>
    <row r="2035">
      <c r="A2035" t="n">
        <v>32</v>
      </c>
      <c r="B2035" t="n">
        <v>20171826</v>
      </c>
      <c r="C2035" t="n">
        <v>20164729</v>
      </c>
      <c r="D2035" t="inlineStr">
        <is>
          <t>genus</t>
        </is>
      </c>
      <c r="E2035" t="inlineStr">
        <is>
          <t>Equartevirus</t>
        </is>
      </c>
      <c r="G2035" t="inlineStr">
        <is>
          <t>Abolished,</t>
        </is>
      </c>
      <c r="L2035" s="8">
        <f>HYPERLINK("https://test.ictv.global/id/TN20171826","TN20171826@TEST")</f>
        <v/>
      </c>
      <c r="M2035" s="8">
        <f>HYPERLINK("https://test.ictv.global/id/ICTV20164729","ICTV20164729@TEST")</f>
        <v/>
      </c>
      <c r="N2035" s="8">
        <f>HYPERLINK("https://ictv.global/id/TN20171826","TN20171826@prod")</f>
        <v/>
      </c>
      <c r="O2035" s="8">
        <f>HYPERLINK("https://ictv.global/id/ICTV20164729","ICTV20164729@prod")</f>
        <v/>
      </c>
    </row>
    <row r="2036">
      <c r="A2036" t="n">
        <v>32</v>
      </c>
      <c r="B2036" t="n">
        <v>20171828</v>
      </c>
      <c r="C2036" t="n">
        <v>20164730</v>
      </c>
      <c r="D2036" t="inlineStr">
        <is>
          <t>genus</t>
        </is>
      </c>
      <c r="E2036" t="inlineStr">
        <is>
          <t>Nesartevirus</t>
        </is>
      </c>
      <c r="G2036" t="inlineStr">
        <is>
          <t>Abolished,</t>
        </is>
      </c>
      <c r="L2036" s="8">
        <f>HYPERLINK("https://test.ictv.global/id/TN20171828","TN20171828@TEST")</f>
        <v/>
      </c>
      <c r="M2036" s="8">
        <f>HYPERLINK("https://test.ictv.global/id/ICTV20164730","ICTV20164730@TEST")</f>
        <v/>
      </c>
      <c r="N2036" s="8">
        <f>HYPERLINK("https://ictv.global/id/TN20171828","TN20171828@prod")</f>
        <v/>
      </c>
      <c r="O2036" s="8">
        <f>HYPERLINK("https://ictv.global/id/ICTV20164730","ICTV20164730@prod")</f>
        <v/>
      </c>
    </row>
    <row r="2037">
      <c r="A2037" t="n">
        <v>32</v>
      </c>
      <c r="B2037" t="n">
        <v>20171830</v>
      </c>
      <c r="C2037" t="n">
        <v>20164731</v>
      </c>
      <c r="D2037" t="inlineStr">
        <is>
          <t>genus</t>
        </is>
      </c>
      <c r="E2037" t="inlineStr">
        <is>
          <t>Porartevirus</t>
        </is>
      </c>
      <c r="G2037" t="inlineStr">
        <is>
          <t>Abolished,</t>
        </is>
      </c>
      <c r="L2037" s="8">
        <f>HYPERLINK("https://test.ictv.global/id/TN20171830","TN20171830@TEST")</f>
        <v/>
      </c>
      <c r="M2037" s="8">
        <f>HYPERLINK("https://test.ictv.global/id/ICTV20164731","ICTV20164731@TEST")</f>
        <v/>
      </c>
      <c r="N2037" s="8">
        <f>HYPERLINK("https://ictv.global/id/TN20171830","TN20171830@prod")</f>
        <v/>
      </c>
      <c r="O2037" s="8">
        <f>HYPERLINK("https://ictv.global/id/ICTV20164731","ICTV20164731@prod")</f>
        <v/>
      </c>
    </row>
    <row r="2038">
      <c r="A2038" t="n">
        <v>32</v>
      </c>
      <c r="B2038" t="n">
        <v>20171835</v>
      </c>
      <c r="C2038" t="n">
        <v>20164732</v>
      </c>
      <c r="D2038" t="inlineStr">
        <is>
          <t>genus</t>
        </is>
      </c>
      <c r="E2038" t="inlineStr">
        <is>
          <t>Simartevirus</t>
        </is>
      </c>
      <c r="G2038" t="inlineStr">
        <is>
          <t>Abolished,</t>
        </is>
      </c>
      <c r="L2038" s="8">
        <f>HYPERLINK("https://test.ictv.global/id/TN20171835","TN20171835@TEST")</f>
        <v/>
      </c>
      <c r="M2038" s="8">
        <f>HYPERLINK("https://test.ictv.global/id/ICTV20164732","ICTV20164732@TEST")</f>
        <v/>
      </c>
      <c r="N2038" s="8">
        <f>HYPERLINK("https://ictv.global/id/TN20171835","TN20171835@prod")</f>
        <v/>
      </c>
      <c r="O2038" s="8">
        <f>HYPERLINK("https://ictv.global/id/ICTV20164732","ICTV20164732@prod")</f>
        <v/>
      </c>
    </row>
    <row r="2039">
      <c r="A2039" t="n">
        <v>32</v>
      </c>
      <c r="B2039" t="n">
        <v>20171876</v>
      </c>
      <c r="C2039" t="n">
        <v>20115672</v>
      </c>
      <c r="D2039" t="inlineStr">
        <is>
          <t>species</t>
        </is>
      </c>
      <c r="E2039" t="inlineStr">
        <is>
          <t>Thrush coronavirus HKU12</t>
        </is>
      </c>
      <c r="G2039" t="inlineStr">
        <is>
          <t>Abolished,</t>
        </is>
      </c>
      <c r="L2039" s="8">
        <f>HYPERLINK("https://test.ictv.global/id/TN20171876","TN20171876@TEST")</f>
        <v/>
      </c>
      <c r="M2039" s="8">
        <f>HYPERLINK("https://test.ictv.global/id/ICTV20115672","ICTV20115672@TEST")</f>
        <v/>
      </c>
      <c r="N2039" s="8">
        <f>HYPERLINK("https://ictv.global/id/TN20171876","TN20171876@prod")</f>
        <v/>
      </c>
      <c r="O2039" s="8">
        <f>HYPERLINK("https://ictv.global/id/ICTV20115672","ICTV20115672@prod")</f>
        <v/>
      </c>
    </row>
    <row r="2040">
      <c r="A2040" t="n">
        <v>32</v>
      </c>
      <c r="B2040" t="n">
        <v>20171889</v>
      </c>
      <c r="C2040" t="n">
        <v>19990500</v>
      </c>
      <c r="D2040" t="inlineStr">
        <is>
          <t>species</t>
        </is>
      </c>
      <c r="E2040" t="inlineStr">
        <is>
          <t>Human torovirus</t>
        </is>
      </c>
      <c r="G2040" t="inlineStr">
        <is>
          <t>Abolished,</t>
        </is>
      </c>
      <c r="L2040" s="8">
        <f>HYPERLINK("https://test.ictv.global/id/TN20171889","TN20171889@TEST")</f>
        <v/>
      </c>
      <c r="M2040" s="8">
        <f>HYPERLINK("https://test.ictv.global/id/ICTV19990500","ICTV19990500@TEST")</f>
        <v/>
      </c>
      <c r="N2040" s="8">
        <f>HYPERLINK("https://ictv.global/id/TN20171889","TN20171889@prod")</f>
        <v/>
      </c>
      <c r="O2040" s="8">
        <f>HYPERLINK("https://ictv.global/id/ICTV19990500","ICTV19990500@prod")</f>
        <v/>
      </c>
    </row>
    <row r="2041">
      <c r="A2041" t="n">
        <v>33</v>
      </c>
      <c r="B2041" t="n">
        <v>20180126</v>
      </c>
      <c r="C2041" t="n">
        <v>19990647</v>
      </c>
      <c r="D2041" t="inlineStr">
        <is>
          <t>species</t>
        </is>
      </c>
      <c r="E2041" t="inlineStr">
        <is>
          <t>Sathuperi orthobunyavirus</t>
        </is>
      </c>
      <c r="G2041" t="inlineStr">
        <is>
          <t>Merged,</t>
        </is>
      </c>
      <c r="H2041" t="inlineStr">
        <is>
          <t>Schmallenberg orthobunyavirus</t>
        </is>
      </c>
      <c r="I2041" t="inlineStr">
        <is>
          <t>species</t>
        </is>
      </c>
      <c r="J2041" t="n">
        <v>19990647</v>
      </c>
      <c r="K2041" t="n">
        <v>201850126</v>
      </c>
      <c r="L2041" s="8">
        <f>HYPERLINK("https://test.ictv.global/id/TN20180126","TN20180126@TEST")</f>
        <v/>
      </c>
      <c r="M2041" s="8">
        <f>HYPERLINK("https://test.ictv.global/id/ICTV19990647","ICTV19990647@TEST")</f>
        <v/>
      </c>
      <c r="N2041" s="8">
        <f>HYPERLINK("https://ictv.global/id/TN20180126","TN20180126@prod")</f>
        <v/>
      </c>
      <c r="O2041" s="8">
        <f>HYPERLINK("https://ictv.global/id/ICTV19990647","ICTV19990647@prod")</f>
        <v/>
      </c>
    </row>
    <row r="2042">
      <c r="A2042" t="n">
        <v>33</v>
      </c>
      <c r="B2042" t="n">
        <v>20180127</v>
      </c>
      <c r="C2042" t="n">
        <v>19990648</v>
      </c>
      <c r="D2042" t="inlineStr">
        <is>
          <t>species</t>
        </is>
      </c>
      <c r="E2042" t="inlineStr">
        <is>
          <t>Shamonda orthobunyavirus</t>
        </is>
      </c>
      <c r="G2042" t="inlineStr">
        <is>
          <t>Merged,</t>
        </is>
      </c>
      <c r="H2042" t="inlineStr">
        <is>
          <t>Schmallenberg orthobunyavirus</t>
        </is>
      </c>
      <c r="I2042" t="inlineStr">
        <is>
          <t>species</t>
        </is>
      </c>
      <c r="J2042" t="n">
        <v>19990647</v>
      </c>
      <c r="K2042" t="n">
        <v>201850126</v>
      </c>
      <c r="L2042" s="8">
        <f>HYPERLINK("https://test.ictv.global/id/TN20180127","TN20180127@TEST")</f>
        <v/>
      </c>
      <c r="M2042" s="8">
        <f>HYPERLINK("https://test.ictv.global/id/ICTV19990648","ICTV19990648@TEST")</f>
        <v/>
      </c>
      <c r="N2042" s="8">
        <f>HYPERLINK("https://ictv.global/id/TN20180127","TN20180127@prod")</f>
        <v/>
      </c>
      <c r="O2042" s="8">
        <f>HYPERLINK("https://ictv.global/id/ICTV19990648","ICTV19990648@prod")</f>
        <v/>
      </c>
    </row>
    <row r="2043">
      <c r="A2043" t="n">
        <v>33</v>
      </c>
      <c r="B2043" t="n">
        <v>20180155</v>
      </c>
      <c r="C2043" t="n">
        <v>20164818</v>
      </c>
      <c r="D2043" t="inlineStr">
        <is>
          <t>species</t>
        </is>
      </c>
      <c r="E2043" t="inlineStr">
        <is>
          <t>Wuhan fly phasivirus</t>
        </is>
      </c>
      <c r="F2043" t="inlineStr">
        <is>
          <t>L:KM817689,M:KM817722,S:KM817749</t>
        </is>
      </c>
      <c r="G2043" t="inlineStr">
        <is>
          <t>Abolished,</t>
        </is>
      </c>
      <c r="L2043" s="8">
        <f>HYPERLINK("https://test.ictv.global/id/TN20180155","TN20180155@TEST")</f>
        <v/>
      </c>
      <c r="M2043" s="8">
        <f>HYPERLINK("https://test.ictv.global/id/ICTV20164818","ICTV20164818@TEST")</f>
        <v/>
      </c>
      <c r="N2043" s="8">
        <f>HYPERLINK("https://ictv.global/id/TN20180155","TN20180155@prod")</f>
        <v/>
      </c>
      <c r="O2043" s="8">
        <f>HYPERLINK("https://ictv.global/id/ICTV20164818","ICTV20164818@prod")</f>
        <v/>
      </c>
    </row>
    <row r="2044">
      <c r="A2044" t="n">
        <v>33</v>
      </c>
      <c r="B2044" t="n">
        <v>20180499</v>
      </c>
      <c r="C2044" t="n">
        <v>20115485</v>
      </c>
      <c r="D2044" t="inlineStr">
        <is>
          <t>species</t>
        </is>
      </c>
      <c r="E2044" t="inlineStr">
        <is>
          <t>Aeromonas virus 31</t>
        </is>
      </c>
      <c r="G2044" t="inlineStr">
        <is>
          <t>Abolished,</t>
        </is>
      </c>
      <c r="L2044" s="8">
        <f>HYPERLINK("https://test.ictv.global/id/TN20180499","TN20180499@TEST")</f>
        <v/>
      </c>
      <c r="M2044" s="8">
        <f>HYPERLINK("https://test.ictv.global/id/ICTV20115485","ICTV20115485@TEST")</f>
        <v/>
      </c>
      <c r="N2044" s="8">
        <f>HYPERLINK("https://ictv.global/id/TN20180499","TN20180499@prod")</f>
        <v/>
      </c>
      <c r="O2044" s="8">
        <f>HYPERLINK("https://ictv.global/id/ICTV20115485","ICTV20115485@prod")</f>
        <v/>
      </c>
    </row>
    <row r="2045">
      <c r="A2045" t="n">
        <v>33</v>
      </c>
      <c r="B2045" t="n">
        <v>20181590</v>
      </c>
      <c r="C2045" t="n">
        <v>20020172</v>
      </c>
      <c r="D2045" t="inlineStr">
        <is>
          <t>genus</t>
        </is>
      </c>
      <c r="E2045" t="inlineStr">
        <is>
          <t>Avulavirus</t>
        </is>
      </c>
      <c r="G2045" t="inlineStr">
        <is>
          <t>Split,Moved,</t>
        </is>
      </c>
      <c r="H2045" t="inlineStr">
        <is>
          <t>Metaavulavirus</t>
        </is>
      </c>
      <c r="I2045" t="inlineStr">
        <is>
          <t>genus</t>
        </is>
      </c>
      <c r="J2045" t="n">
        <v>201856447</v>
      </c>
      <c r="K2045" t="n">
        <v>201856447</v>
      </c>
      <c r="L2045" s="8">
        <f>HYPERLINK("https://test.ictv.global/id/TN20181590","TN20181590@TEST")</f>
        <v/>
      </c>
      <c r="M2045" s="8">
        <f>HYPERLINK("https://test.ictv.global/id/ICTV20020172","ICTV20020172@TEST")</f>
        <v/>
      </c>
      <c r="N2045" s="8">
        <f>HYPERLINK("https://ictv.global/id/TN20181590","TN20181590@prod")</f>
        <v/>
      </c>
      <c r="O2045" s="8">
        <f>HYPERLINK("https://ictv.global/id/ICTV20020172","ICTV20020172@prod")</f>
        <v/>
      </c>
    </row>
    <row r="2046">
      <c r="A2046" t="n">
        <v>33</v>
      </c>
      <c r="B2046" t="n">
        <v>20181590</v>
      </c>
      <c r="C2046" t="n">
        <v>20020172</v>
      </c>
      <c r="D2046" t="inlineStr">
        <is>
          <t>genus</t>
        </is>
      </c>
      <c r="E2046" t="inlineStr">
        <is>
          <t>Avulavirus</t>
        </is>
      </c>
      <c r="G2046" t="inlineStr">
        <is>
          <t>Split,Moved,</t>
        </is>
      </c>
      <c r="H2046" t="inlineStr">
        <is>
          <t>Orthoavulavirus</t>
        </is>
      </c>
      <c r="I2046" t="inlineStr">
        <is>
          <t>genus</t>
        </is>
      </c>
      <c r="J2046" t="n">
        <v>201856449</v>
      </c>
      <c r="K2046" t="n">
        <v>201856449</v>
      </c>
      <c r="L2046" s="8">
        <f>HYPERLINK("https://test.ictv.global/id/TN20181590","TN20181590@TEST")</f>
        <v/>
      </c>
      <c r="M2046" s="8">
        <f>HYPERLINK("https://test.ictv.global/id/ICTV20020172","ICTV20020172@TEST")</f>
        <v/>
      </c>
      <c r="N2046" s="8">
        <f>HYPERLINK("https://ictv.global/id/TN20181590","TN20181590@prod")</f>
        <v/>
      </c>
      <c r="O2046" s="8">
        <f>HYPERLINK("https://ictv.global/id/ICTV20020172","ICTV20020172@prod")</f>
        <v/>
      </c>
    </row>
    <row r="2047">
      <c r="A2047" t="n">
        <v>33</v>
      </c>
      <c r="B2047" t="n">
        <v>20181590</v>
      </c>
      <c r="C2047" t="n">
        <v>20020172</v>
      </c>
      <c r="D2047" t="inlineStr">
        <is>
          <t>genus</t>
        </is>
      </c>
      <c r="E2047" t="inlineStr">
        <is>
          <t>Avulavirus</t>
        </is>
      </c>
      <c r="G2047" t="inlineStr">
        <is>
          <t>Split,Moved,</t>
        </is>
      </c>
      <c r="H2047" t="inlineStr">
        <is>
          <t>Paraavulavirus</t>
        </is>
      </c>
      <c r="I2047" t="inlineStr">
        <is>
          <t>genus</t>
        </is>
      </c>
      <c r="J2047" t="n">
        <v>201856450</v>
      </c>
      <c r="K2047" t="n">
        <v>201856450</v>
      </c>
      <c r="L2047" s="8">
        <f>HYPERLINK("https://test.ictv.global/id/TN20181590","TN20181590@TEST")</f>
        <v/>
      </c>
      <c r="M2047" s="8">
        <f>HYPERLINK("https://test.ictv.global/id/ICTV20020172","ICTV20020172@TEST")</f>
        <v/>
      </c>
      <c r="N2047" s="8">
        <f>HYPERLINK("https://ictv.global/id/TN20181590","TN20181590@prod")</f>
        <v/>
      </c>
      <c r="O2047" s="8">
        <f>HYPERLINK("https://ictv.global/id/ICTV20020172","ICTV20020172@prod")</f>
        <v/>
      </c>
    </row>
    <row r="2048">
      <c r="A2048" t="n">
        <v>33</v>
      </c>
      <c r="B2048" t="n">
        <v>20181626</v>
      </c>
      <c r="C2048" t="n">
        <v>19950113</v>
      </c>
      <c r="D2048" t="inlineStr">
        <is>
          <t>genus</t>
        </is>
      </c>
      <c r="E2048" t="inlineStr">
        <is>
          <t>Rubulavirus</t>
        </is>
      </c>
      <c r="G2048" t="inlineStr">
        <is>
          <t>Split,Moved,</t>
        </is>
      </c>
      <c r="H2048" t="inlineStr">
        <is>
          <t>Orthorubulavirus</t>
        </is>
      </c>
      <c r="I2048" t="inlineStr">
        <is>
          <t>genus</t>
        </is>
      </c>
      <c r="J2048" t="n">
        <v>201856468</v>
      </c>
      <c r="K2048" t="n">
        <v>201856468</v>
      </c>
      <c r="L2048" s="8">
        <f>HYPERLINK("https://test.ictv.global/id/TN20181626","TN20181626@TEST")</f>
        <v/>
      </c>
      <c r="M2048" s="8">
        <f>HYPERLINK("https://test.ictv.global/id/ICTV19950113","ICTV19950113@TEST")</f>
        <v/>
      </c>
      <c r="N2048" s="8">
        <f>HYPERLINK("https://ictv.global/id/TN20181626","TN20181626@prod")</f>
        <v/>
      </c>
      <c r="O2048" s="8">
        <f>HYPERLINK("https://ictv.global/id/ICTV19950113","ICTV19950113@prod")</f>
        <v/>
      </c>
    </row>
    <row r="2049">
      <c r="A2049" t="n">
        <v>33</v>
      </c>
      <c r="B2049" t="n">
        <v>20181626</v>
      </c>
      <c r="C2049" t="n">
        <v>19950113</v>
      </c>
      <c r="D2049" t="inlineStr">
        <is>
          <t>genus</t>
        </is>
      </c>
      <c r="E2049" t="inlineStr">
        <is>
          <t>Rubulavirus</t>
        </is>
      </c>
      <c r="G2049" t="inlineStr">
        <is>
          <t>Split,Moved,</t>
        </is>
      </c>
      <c r="H2049" t="inlineStr">
        <is>
          <t>Pararubulavirus</t>
        </is>
      </c>
      <c r="I2049" t="inlineStr">
        <is>
          <t>genus</t>
        </is>
      </c>
      <c r="J2049" t="n">
        <v>201856469</v>
      </c>
      <c r="K2049" t="n">
        <v>201856469</v>
      </c>
      <c r="L2049" s="8">
        <f>HYPERLINK("https://test.ictv.global/id/TN20181626","TN20181626@TEST")</f>
        <v/>
      </c>
      <c r="M2049" s="8">
        <f>HYPERLINK("https://test.ictv.global/id/ICTV19950113","ICTV19950113@TEST")</f>
        <v/>
      </c>
      <c r="N2049" s="8">
        <f>HYPERLINK("https://ictv.global/id/TN20181626","TN20181626@prod")</f>
        <v/>
      </c>
      <c r="O2049" s="8">
        <f>HYPERLINK("https://ictv.global/id/ICTV19950113","ICTV19950113@prod")</f>
        <v/>
      </c>
    </row>
    <row r="2050">
      <c r="A2050" t="n">
        <v>33</v>
      </c>
      <c r="B2050" t="n">
        <v>20183257</v>
      </c>
      <c r="C2050" t="n">
        <v>19911644</v>
      </c>
      <c r="D2050" t="inlineStr">
        <is>
          <t>species</t>
        </is>
      </c>
      <c r="E2050" t="inlineStr">
        <is>
          <t>Honeysuckle yellow vein mosaic virus</t>
        </is>
      </c>
      <c r="G2050" t="inlineStr">
        <is>
          <t>Abolished,</t>
        </is>
      </c>
      <c r="L2050" s="8">
        <f>HYPERLINK("https://test.ictv.global/id/TN20183257","TN20183257@TEST")</f>
        <v/>
      </c>
      <c r="M2050" s="8">
        <f>HYPERLINK("https://test.ictv.global/id/ICTV19911644","ICTV19911644@TEST")</f>
        <v/>
      </c>
      <c r="N2050" s="8">
        <f>HYPERLINK("https://ictv.global/id/TN20183257","TN20183257@prod")</f>
        <v/>
      </c>
      <c r="O2050" s="8">
        <f>HYPERLINK("https://ictv.global/id/ICTV19911644","ICTV19911644@prod")</f>
        <v/>
      </c>
    </row>
    <row r="2051">
      <c r="A2051" t="n">
        <v>33</v>
      </c>
      <c r="B2051" t="n">
        <v>20183325</v>
      </c>
      <c r="C2051" t="n">
        <v>20131931</v>
      </c>
      <c r="D2051" t="inlineStr">
        <is>
          <t>species</t>
        </is>
      </c>
      <c r="E2051" t="inlineStr">
        <is>
          <t>Rhynchosia golden mosaic Yucatan virus</t>
        </is>
      </c>
      <c r="G2051" t="inlineStr">
        <is>
          <t>Abolished,</t>
        </is>
      </c>
      <c r="L2051" s="8">
        <f>HYPERLINK("https://test.ictv.global/id/TN20183325","TN20183325@TEST")</f>
        <v/>
      </c>
      <c r="M2051" s="8">
        <f>HYPERLINK("https://test.ictv.global/id/ICTV20131931","ICTV20131931@TEST")</f>
        <v/>
      </c>
      <c r="N2051" s="8">
        <f>HYPERLINK("https://ictv.global/id/TN20183325","TN20183325@prod")</f>
        <v/>
      </c>
      <c r="O2051" s="8">
        <f>HYPERLINK("https://ictv.global/id/ICTV20131931","ICTV20131931@prod")</f>
        <v/>
      </c>
    </row>
    <row r="2052">
      <c r="A2052" t="n">
        <v>33</v>
      </c>
      <c r="B2052" t="n">
        <v>20183387</v>
      </c>
      <c r="C2052" t="n">
        <v>20131953</v>
      </c>
      <c r="D2052" t="inlineStr">
        <is>
          <t>species</t>
        </is>
      </c>
      <c r="E2052" t="inlineStr">
        <is>
          <t>Sweet potato leaf curl Uganda virus</t>
        </is>
      </c>
      <c r="G2052" t="inlineStr">
        <is>
          <t>Abolished,</t>
        </is>
      </c>
      <c r="L2052" s="8">
        <f>HYPERLINK("https://test.ictv.global/id/TN20183387","TN20183387@TEST")</f>
        <v/>
      </c>
      <c r="M2052" s="8">
        <f>HYPERLINK("https://test.ictv.global/id/ICTV20131953","ICTV20131953@TEST")</f>
        <v/>
      </c>
      <c r="N2052" s="8">
        <f>HYPERLINK("https://ictv.global/id/TN20183387","TN20183387@prod")</f>
        <v/>
      </c>
      <c r="O2052" s="8">
        <f>HYPERLINK("https://ictv.global/id/ICTV20131953","ICTV20131953@prod")</f>
        <v/>
      </c>
    </row>
    <row r="2053">
      <c r="A2053" t="n">
        <v>33</v>
      </c>
      <c r="B2053" t="n">
        <v>20183393</v>
      </c>
      <c r="C2053" t="n">
        <v>20041188</v>
      </c>
      <c r="D2053" t="inlineStr">
        <is>
          <t>species</t>
        </is>
      </c>
      <c r="E2053" t="inlineStr">
        <is>
          <t>Tobacco leaf curl Japan virus</t>
        </is>
      </c>
      <c r="G2053" t="inlineStr">
        <is>
          <t>Abolished,</t>
        </is>
      </c>
      <c r="L2053" s="8">
        <f>HYPERLINK("https://test.ictv.global/id/TN20183393","TN20183393@TEST")</f>
        <v/>
      </c>
      <c r="M2053" s="8">
        <f>HYPERLINK("https://test.ictv.global/id/ICTV20041188","ICTV20041188@TEST")</f>
        <v/>
      </c>
      <c r="N2053" s="8">
        <f>HYPERLINK("https://ictv.global/id/TN20183393","TN20183393@prod")</f>
        <v/>
      </c>
      <c r="O2053" s="8">
        <f>HYPERLINK("https://ictv.global/id/ICTV20041188","ICTV20041188@prod")</f>
        <v/>
      </c>
    </row>
    <row r="2054">
      <c r="A2054" t="n">
        <v>33</v>
      </c>
      <c r="B2054" t="n">
        <v>20183446</v>
      </c>
      <c r="C2054" t="n">
        <v>20131976</v>
      </c>
      <c r="D2054" t="inlineStr">
        <is>
          <t>species</t>
        </is>
      </c>
      <c r="E2054" t="inlineStr">
        <is>
          <t>Tomato leaf curl Oman virus</t>
        </is>
      </c>
      <c r="G2054" t="inlineStr">
        <is>
          <t>Abolished,</t>
        </is>
      </c>
      <c r="L2054" s="8">
        <f>HYPERLINK("https://test.ictv.global/id/TN20183446","TN20183446@TEST")</f>
        <v/>
      </c>
      <c r="M2054" s="8">
        <f>HYPERLINK("https://test.ictv.global/id/ICTV20131976","ICTV20131976@TEST")</f>
        <v/>
      </c>
      <c r="N2054" s="8">
        <f>HYPERLINK("https://ictv.global/id/TN20183446","TN20183446@prod")</f>
        <v/>
      </c>
      <c r="O2054" s="8">
        <f>HYPERLINK("https://ictv.global/id/ICTV20131976","ICTV20131976@prod")</f>
        <v/>
      </c>
    </row>
    <row r="2055">
      <c r="A2055" t="n">
        <v>33</v>
      </c>
      <c r="B2055" t="n">
        <v>20183733</v>
      </c>
      <c r="C2055" t="n">
        <v>20041354</v>
      </c>
      <c r="D2055" t="inlineStr">
        <is>
          <t>species</t>
        </is>
      </c>
      <c r="E2055" t="inlineStr">
        <is>
          <t>Bohle iridovirus</t>
        </is>
      </c>
      <c r="F2055" t="inlineStr">
        <is>
          <t>AF157650,AF157651</t>
        </is>
      </c>
      <c r="G2055" t="inlineStr">
        <is>
          <t>Abolished,</t>
        </is>
      </c>
      <c r="L2055" s="8">
        <f>HYPERLINK("https://test.ictv.global/id/TN20183733","TN20183733@TEST")</f>
        <v/>
      </c>
      <c r="M2055" s="8">
        <f>HYPERLINK("https://test.ictv.global/id/ICTV20041354","ICTV20041354@TEST")</f>
        <v/>
      </c>
      <c r="N2055" s="8">
        <f>HYPERLINK("https://ictv.global/id/TN20183733","TN20183733@prod")</f>
        <v/>
      </c>
      <c r="O2055" s="8">
        <f>HYPERLINK("https://ictv.global/id/ICTV20041354","ICTV20041354@prod")</f>
        <v/>
      </c>
    </row>
    <row r="2056">
      <c r="A2056" t="n">
        <v>33</v>
      </c>
      <c r="B2056" t="n">
        <v>20183735</v>
      </c>
      <c r="C2056" t="n">
        <v>20041356</v>
      </c>
      <c r="D2056" t="inlineStr">
        <is>
          <t>species</t>
        </is>
      </c>
      <c r="E2056" t="inlineStr">
        <is>
          <t>European catfish virus</t>
        </is>
      </c>
      <c r="F2056" t="inlineStr">
        <is>
          <t>JQ724856</t>
        </is>
      </c>
      <c r="G2056" t="inlineStr">
        <is>
          <t>Abolished,</t>
        </is>
      </c>
      <c r="L2056" s="8">
        <f>HYPERLINK("https://test.ictv.global/id/TN20183735","TN20183735@TEST")</f>
        <v/>
      </c>
      <c r="M2056" s="8">
        <f>HYPERLINK("https://test.ictv.global/id/ICTV20041356","ICTV20041356@TEST")</f>
        <v/>
      </c>
      <c r="N2056" s="8">
        <f>HYPERLINK("https://ictv.global/id/TN20183735","TN20183735@prod")</f>
        <v/>
      </c>
      <c r="O2056" s="8">
        <f>HYPERLINK("https://ictv.global/id/ICTV20041356","ICTV20041356@prod")</f>
        <v/>
      </c>
    </row>
    <row r="2057">
      <c r="A2057" t="n">
        <v>33</v>
      </c>
      <c r="B2057" t="n">
        <v>20183743</v>
      </c>
      <c r="C2057" t="n">
        <v>19710194</v>
      </c>
      <c r="D2057" t="inlineStr">
        <is>
          <t>species</t>
        </is>
      </c>
      <c r="E2057" t="inlineStr">
        <is>
          <t>Invertebrate iridescent virus 1</t>
        </is>
      </c>
      <c r="F2057" t="inlineStr">
        <is>
          <t>M33542,M62953</t>
        </is>
      </c>
      <c r="G2057" t="inlineStr">
        <is>
          <t>Abolished,</t>
        </is>
      </c>
      <c r="L2057" s="8">
        <f>HYPERLINK("https://test.ictv.global/id/TN20183743","TN20183743@TEST")</f>
        <v/>
      </c>
      <c r="M2057" s="8">
        <f>HYPERLINK("https://test.ictv.global/id/ICTV19710194","ICTV19710194@TEST")</f>
        <v/>
      </c>
      <c r="N2057" s="8">
        <f>HYPERLINK("https://ictv.global/id/TN20183743","TN20183743@prod")</f>
        <v/>
      </c>
      <c r="O2057" s="8">
        <f>HYPERLINK("https://ictv.global/id/ICTV19710194","ICTV19710194@prod")</f>
        <v/>
      </c>
    </row>
    <row r="2058">
      <c r="A2058" t="n">
        <v>33</v>
      </c>
      <c r="B2058" t="n">
        <v>20185930</v>
      </c>
      <c r="C2058" t="n">
        <v>20175930</v>
      </c>
      <c r="D2058" t="inlineStr">
        <is>
          <t>species</t>
        </is>
      </c>
      <c r="E2058" t="inlineStr">
        <is>
          <t>Puma feline foamy virus</t>
        </is>
      </c>
      <c r="G2058" t="inlineStr">
        <is>
          <t>Abolished,</t>
        </is>
      </c>
      <c r="L2058" s="8">
        <f>HYPERLINK("https://test.ictv.global/id/TN20185930","TN20185930@TEST")</f>
        <v/>
      </c>
      <c r="M2058" s="8">
        <f>HYPERLINK("https://test.ictv.global/id/ICTV20175930","ICTV20175930@TEST")</f>
        <v/>
      </c>
      <c r="N2058" s="8">
        <f>HYPERLINK("https://ictv.global/id/TN20185930","TN20185930@prod")</f>
        <v/>
      </c>
      <c r="O2058" s="8">
        <f>HYPERLINK("https://ictv.global/id/ICTV20175930","ICTV20175930@prod")</f>
        <v/>
      </c>
    </row>
    <row r="2059">
      <c r="A2059" t="n">
        <v>34</v>
      </c>
      <c r="B2059" t="n">
        <v>201850141</v>
      </c>
      <c r="C2059" t="n">
        <v>20164808</v>
      </c>
      <c r="D2059" t="inlineStr">
        <is>
          <t>species</t>
        </is>
      </c>
      <c r="E2059" t="inlineStr">
        <is>
          <t>Nome phantom orthophasmavirus</t>
        </is>
      </c>
      <c r="F2059" t="inlineStr">
        <is>
          <t>L:KJ434185,L:KJ434186,M:KJ434187</t>
        </is>
      </c>
      <c r="G2059" t="inlineStr">
        <is>
          <t>Abolished,</t>
        </is>
      </c>
      <c r="L2059" s="8">
        <f>HYPERLINK("https://test.ictv.global/id/TN201850141","TN201850141@TEST")</f>
        <v/>
      </c>
      <c r="M2059" s="8">
        <f>HYPERLINK("https://test.ictv.global/id/ICTV20164808","ICTV20164808@TEST")</f>
        <v/>
      </c>
      <c r="N2059" s="8">
        <f>HYPERLINK("https://ictv.global/id/TN201850141","TN201850141@prod")</f>
        <v/>
      </c>
      <c r="O2059" s="8">
        <f>HYPERLINK("https://ictv.global/id/ICTV20164808","ICTV20164808@prod")</f>
        <v/>
      </c>
    </row>
    <row r="2060">
      <c r="A2060" t="n">
        <v>34</v>
      </c>
      <c r="B2060" t="n">
        <v>201850142</v>
      </c>
      <c r="C2060" t="n">
        <v>20164809</v>
      </c>
      <c r="D2060" t="inlineStr">
        <is>
          <t>species</t>
        </is>
      </c>
      <c r="E2060" t="inlineStr">
        <is>
          <t>Insect inshuvirus</t>
        </is>
      </c>
      <c r="F2060" t="inlineStr">
        <is>
          <t>L: KM817680; M: KM817715; S1: KM817740; S2: KM817741</t>
        </is>
      </c>
      <c r="G2060" t="inlineStr">
        <is>
          <t>Abolished,</t>
        </is>
      </c>
      <c r="L2060" s="8">
        <f>HYPERLINK("https://test.ictv.global/id/TN201850142","TN201850142@TEST")</f>
        <v/>
      </c>
      <c r="M2060" s="8">
        <f>HYPERLINK("https://test.ictv.global/id/ICTV20164809","ICTV20164809@TEST")</f>
        <v/>
      </c>
      <c r="N2060" s="8">
        <f>HYPERLINK("https://ictv.global/id/TN201850142","TN201850142@prod")</f>
        <v/>
      </c>
      <c r="O2060" s="8">
        <f>HYPERLINK("https://ictv.global/id/ICTV20164809","ICTV20164809@prod")</f>
        <v/>
      </c>
    </row>
    <row r="2061">
      <c r="A2061" t="n">
        <v>34</v>
      </c>
      <c r="B2061" t="n">
        <v>201850216</v>
      </c>
      <c r="C2061" t="n">
        <v>20150127</v>
      </c>
      <c r="D2061" t="inlineStr">
        <is>
          <t>species</t>
        </is>
      </c>
      <c r="E2061" t="inlineStr">
        <is>
          <t>Salmonella virus HB2014</t>
        </is>
      </c>
      <c r="F2061" t="inlineStr">
        <is>
          <t>KP010413</t>
        </is>
      </c>
      <c r="G2061" t="inlineStr">
        <is>
          <t>Abolished,</t>
        </is>
      </c>
      <c r="L2061" s="8">
        <f>HYPERLINK("https://test.ictv.global/id/TN201850216","TN201850216@TEST")</f>
        <v/>
      </c>
      <c r="M2061" s="8">
        <f>HYPERLINK("https://test.ictv.global/id/ICTV20150127","ICTV20150127@TEST")</f>
        <v/>
      </c>
      <c r="N2061" s="8">
        <f>HYPERLINK("https://ictv.global/id/TN201850216","TN201850216@prod")</f>
        <v/>
      </c>
      <c r="O2061" s="8">
        <f>HYPERLINK("https://ictv.global/id/ICTV20150127","ICTV20150127@prod")</f>
        <v/>
      </c>
    </row>
    <row r="2062">
      <c r="A2062" t="n">
        <v>34</v>
      </c>
      <c r="B2062" t="n">
        <v>201850541</v>
      </c>
      <c r="C2062" t="n">
        <v>20090674</v>
      </c>
      <c r="D2062" t="inlineStr">
        <is>
          <t>subfamily</t>
        </is>
      </c>
      <c r="E2062" t="inlineStr">
        <is>
          <t>Autographivirinae</t>
        </is>
      </c>
      <c r="G2062" t="inlineStr">
        <is>
          <t>Renamed,Promoted,</t>
        </is>
      </c>
      <c r="H2062" t="inlineStr">
        <is>
          <t>Autographiviridae</t>
        </is>
      </c>
      <c r="I2062" t="inlineStr">
        <is>
          <t>family</t>
        </is>
      </c>
      <c r="J2062" t="n">
        <v>20090674</v>
      </c>
      <c r="K2062" t="n">
        <v>201908192</v>
      </c>
      <c r="L2062" s="8">
        <f>HYPERLINK("https://test.ictv.global/id/TN201850541","TN201850541@TEST")</f>
        <v/>
      </c>
      <c r="M2062" s="8">
        <f>HYPERLINK("https://test.ictv.global/id/ICTV20090674","ICTV20090674@TEST")</f>
        <v/>
      </c>
      <c r="N2062" s="8">
        <f>HYPERLINK("https://ictv.global/id/TN201850541","TN201850541@prod")</f>
        <v/>
      </c>
      <c r="O2062" s="8">
        <f>HYPERLINK("https://ictv.global/id/ICTV20090674","ICTV20090674@prod")</f>
        <v/>
      </c>
    </row>
    <row r="2063">
      <c r="A2063" t="n">
        <v>34</v>
      </c>
      <c r="B2063" t="n">
        <v>201850578</v>
      </c>
      <c r="C2063" t="n">
        <v>20094396</v>
      </c>
      <c r="D2063" t="inlineStr">
        <is>
          <t>species</t>
        </is>
      </c>
      <c r="E2063" t="inlineStr">
        <is>
          <t>Escherichia virus K5</t>
        </is>
      </c>
      <c r="G2063" t="inlineStr">
        <is>
          <t>Abolished,</t>
        </is>
      </c>
      <c r="L2063" s="8">
        <f>HYPERLINK("https://test.ictv.global/id/TN201850578","TN201850578@TEST")</f>
        <v/>
      </c>
      <c r="M2063" s="8">
        <f>HYPERLINK("https://test.ictv.global/id/ICTV20094396","ICTV20094396@TEST")</f>
        <v/>
      </c>
      <c r="N2063" s="8">
        <f>HYPERLINK("https://ictv.global/id/TN201850578","TN201850578@prod")</f>
        <v/>
      </c>
      <c r="O2063" s="8">
        <f>HYPERLINK("https://ictv.global/id/ICTV20094396","ICTV20094396@prod")</f>
        <v/>
      </c>
    </row>
    <row r="2064">
      <c r="A2064" t="n">
        <v>34</v>
      </c>
      <c r="B2064" t="n">
        <v>201851189</v>
      </c>
      <c r="C2064" t="n">
        <v>20140432</v>
      </c>
      <c r="D2064" t="inlineStr">
        <is>
          <t>species</t>
        </is>
      </c>
      <c r="E2064" t="inlineStr">
        <is>
          <t>Caulobacter virus Karma</t>
        </is>
      </c>
      <c r="F2064" t="inlineStr">
        <is>
          <t>JX100811</t>
        </is>
      </c>
      <c r="G2064" t="inlineStr">
        <is>
          <t>Abolished,</t>
        </is>
      </c>
      <c r="L2064" s="8">
        <f>HYPERLINK("https://test.ictv.global/id/TN201851189","TN201851189@TEST")</f>
        <v/>
      </c>
      <c r="M2064" s="8">
        <f>HYPERLINK("https://test.ictv.global/id/ICTV20140432","ICTV20140432@TEST")</f>
        <v/>
      </c>
      <c r="N2064" s="8">
        <f>HYPERLINK("https://ictv.global/id/TN201851189","TN201851189@prod")</f>
        <v/>
      </c>
      <c r="O2064" s="8">
        <f>HYPERLINK("https://ictv.global/id/ICTV20140432","ICTV20140432@prod")</f>
        <v/>
      </c>
    </row>
    <row r="2065">
      <c r="A2065" t="n">
        <v>34</v>
      </c>
      <c r="B2065" t="n">
        <v>201851190</v>
      </c>
      <c r="C2065" t="n">
        <v>20140430</v>
      </c>
      <c r="D2065" t="inlineStr">
        <is>
          <t>species</t>
        </is>
      </c>
      <c r="E2065" t="inlineStr">
        <is>
          <t>Caulobacter virus Magneto</t>
        </is>
      </c>
      <c r="F2065" t="inlineStr">
        <is>
          <t>JX100812</t>
        </is>
      </c>
      <c r="G2065" t="inlineStr">
        <is>
          <t>Abolished,</t>
        </is>
      </c>
      <c r="L2065" s="8">
        <f>HYPERLINK("https://test.ictv.global/id/TN201851190","TN201851190@TEST")</f>
        <v/>
      </c>
      <c r="M2065" s="8">
        <f>HYPERLINK("https://test.ictv.global/id/ICTV20140430","ICTV20140430@TEST")</f>
        <v/>
      </c>
      <c r="N2065" s="8">
        <f>HYPERLINK("https://ictv.global/id/TN201851190","TN201851190@prod")</f>
        <v/>
      </c>
      <c r="O2065" s="8">
        <f>HYPERLINK("https://ictv.global/id/ICTV20140430","ICTV20140430@prod")</f>
        <v/>
      </c>
    </row>
    <row r="2066">
      <c r="A2066" t="n">
        <v>34</v>
      </c>
      <c r="B2066" t="n">
        <v>201851240</v>
      </c>
      <c r="C2066" t="n">
        <v>19972232</v>
      </c>
      <c r="D2066" t="inlineStr">
        <is>
          <t>species</t>
        </is>
      </c>
      <c r="E2066" t="inlineStr">
        <is>
          <t>Methanobacterium virus psiM1</t>
        </is>
      </c>
      <c r="G2066" t="inlineStr">
        <is>
          <t>Abolished,</t>
        </is>
      </c>
      <c r="L2066" s="8">
        <f>HYPERLINK("https://test.ictv.global/id/TN201851240","TN201851240@TEST")</f>
        <v/>
      </c>
      <c r="M2066" s="8">
        <f>HYPERLINK("https://test.ictv.global/id/ICTV19972232","ICTV19972232@TEST")</f>
        <v/>
      </c>
      <c r="N2066" s="8">
        <f>HYPERLINK("https://ictv.global/id/TN201851240","TN201851240@prod")</f>
        <v/>
      </c>
      <c r="O2066" s="8">
        <f>HYPERLINK("https://ictv.global/id/ICTV19972232","ICTV19972232@prod")</f>
        <v/>
      </c>
    </row>
    <row r="2067">
      <c r="A2067" t="n">
        <v>34</v>
      </c>
      <c r="B2067" t="n">
        <v>201851629</v>
      </c>
      <c r="C2067" t="n">
        <v>20165117</v>
      </c>
      <c r="D2067" t="inlineStr">
        <is>
          <t>species</t>
        </is>
      </c>
      <c r="E2067" t="inlineStr">
        <is>
          <t>Bat mumps orthorubulavirus</t>
        </is>
      </c>
      <c r="G2067" t="inlineStr">
        <is>
          <t>Abolished,</t>
        </is>
      </c>
      <c r="L2067" s="8">
        <f>HYPERLINK("https://test.ictv.global/id/TN201851629","TN201851629@TEST")</f>
        <v/>
      </c>
      <c r="M2067" s="8">
        <f>HYPERLINK("https://test.ictv.global/id/ICTV20165117","ICTV20165117@TEST")</f>
        <v/>
      </c>
      <c r="N2067" s="8">
        <f>HYPERLINK("https://ictv.global/id/TN201851629","TN201851629@prod")</f>
        <v/>
      </c>
      <c r="O2067" s="8">
        <f>HYPERLINK("https://ictv.global/id/ICTV20165117","ICTV20165117@prod")</f>
        <v/>
      </c>
    </row>
    <row r="2068">
      <c r="A2068" t="n">
        <v>34</v>
      </c>
      <c r="B2068" t="n">
        <v>201851741</v>
      </c>
      <c r="C2068" t="n">
        <v>19820134</v>
      </c>
      <c r="D2068" t="inlineStr">
        <is>
          <t>genus</t>
        </is>
      </c>
      <c r="E2068" t="inlineStr">
        <is>
          <t>Nucleorhabdovirus</t>
        </is>
      </c>
      <c r="G2068" t="inlineStr">
        <is>
          <t>Split,</t>
        </is>
      </c>
      <c r="H2068" t="inlineStr">
        <is>
          <t>Gammanucleorhabdovirus</t>
        </is>
      </c>
      <c r="I2068" t="inlineStr">
        <is>
          <t>genus</t>
        </is>
      </c>
      <c r="J2068" t="n">
        <v>201907680</v>
      </c>
      <c r="K2068" t="n">
        <v>201907680</v>
      </c>
      <c r="L2068" s="8">
        <f>HYPERLINK("https://test.ictv.global/id/TN201851741","TN201851741@TEST")</f>
        <v/>
      </c>
      <c r="M2068" s="8">
        <f>HYPERLINK("https://test.ictv.global/id/ICTV19820134","ICTV19820134@TEST")</f>
        <v/>
      </c>
      <c r="N2068" s="8">
        <f>HYPERLINK("https://ictv.global/id/TN201851741","TN201851741@prod")</f>
        <v/>
      </c>
      <c r="O2068" s="8">
        <f>HYPERLINK("https://ictv.global/id/ICTV19820134","ICTV19820134@prod")</f>
        <v/>
      </c>
    </row>
    <row r="2069">
      <c r="A2069" t="n">
        <v>34</v>
      </c>
      <c r="B2069" t="n">
        <v>201851741</v>
      </c>
      <c r="C2069" t="n">
        <v>19820134</v>
      </c>
      <c r="D2069" t="inlineStr">
        <is>
          <t>genus</t>
        </is>
      </c>
      <c r="E2069" t="inlineStr">
        <is>
          <t>Nucleorhabdovirus</t>
        </is>
      </c>
      <c r="G2069" t="inlineStr">
        <is>
          <t>Split,</t>
        </is>
      </c>
      <c r="H2069" t="inlineStr">
        <is>
          <t>Alphanucleorhabdovirus</t>
        </is>
      </c>
      <c r="I2069" t="inlineStr">
        <is>
          <t>genus</t>
        </is>
      </c>
      <c r="J2069" t="n">
        <v>201907681</v>
      </c>
      <c r="K2069" t="n">
        <v>201907681</v>
      </c>
      <c r="L2069" s="8">
        <f>HYPERLINK("https://test.ictv.global/id/TN201851741","TN201851741@TEST")</f>
        <v/>
      </c>
      <c r="M2069" s="8">
        <f>HYPERLINK("https://test.ictv.global/id/ICTV19820134","ICTV19820134@TEST")</f>
        <v/>
      </c>
      <c r="N2069" s="8">
        <f>HYPERLINK("https://ictv.global/id/TN201851741","TN201851741@prod")</f>
        <v/>
      </c>
      <c r="O2069" s="8">
        <f>HYPERLINK("https://ictv.global/id/ICTV19820134","ICTV19820134@prod")</f>
        <v/>
      </c>
    </row>
    <row r="2070">
      <c r="A2070" t="n">
        <v>34</v>
      </c>
      <c r="B2070" t="n">
        <v>201851741</v>
      </c>
      <c r="C2070" t="n">
        <v>19820134</v>
      </c>
      <c r="D2070" t="inlineStr">
        <is>
          <t>genus</t>
        </is>
      </c>
      <c r="E2070" t="inlineStr">
        <is>
          <t>Nucleorhabdovirus</t>
        </is>
      </c>
      <c r="G2070" t="inlineStr">
        <is>
          <t>Split,</t>
        </is>
      </c>
      <c r="H2070" t="inlineStr">
        <is>
          <t>Betanucleorhabdovirus</t>
        </is>
      </c>
      <c r="I2070" t="inlineStr">
        <is>
          <t>genus</t>
        </is>
      </c>
      <c r="J2070" t="n">
        <v>201907685</v>
      </c>
      <c r="K2070" t="n">
        <v>201907685</v>
      </c>
      <c r="L2070" s="8">
        <f>HYPERLINK("https://test.ictv.global/id/TN201851741","TN201851741@TEST")</f>
        <v/>
      </c>
      <c r="M2070" s="8">
        <f>HYPERLINK("https://test.ictv.global/id/ICTV19820134","ICTV19820134@TEST")</f>
        <v/>
      </c>
      <c r="N2070" s="8">
        <f>HYPERLINK("https://ictv.global/id/TN201851741","TN201851741@prod")</f>
        <v/>
      </c>
      <c r="O2070" s="8">
        <f>HYPERLINK("https://ictv.global/id/ICTV19820134","ICTV19820134@prod")</f>
        <v/>
      </c>
    </row>
    <row r="2071">
      <c r="A2071" t="n">
        <v>34</v>
      </c>
      <c r="B2071" t="n">
        <v>201851856</v>
      </c>
      <c r="C2071" t="n">
        <v>20151214</v>
      </c>
      <c r="D2071" t="inlineStr">
        <is>
          <t>species</t>
        </is>
      </c>
      <c r="E2071" t="inlineStr">
        <is>
          <t>Mink coronavirus 1</t>
        </is>
      </c>
      <c r="F2071" t="inlineStr">
        <is>
          <t>HM245925.1</t>
        </is>
      </c>
      <c r="G2071" t="inlineStr">
        <is>
          <t>Merged,</t>
        </is>
      </c>
      <c r="H2071" t="inlineStr">
        <is>
          <t>Mink coronavirus 1</t>
        </is>
      </c>
      <c r="I2071" t="inlineStr">
        <is>
          <t>species</t>
        </is>
      </c>
      <c r="J2071" t="n">
        <v>20151214</v>
      </c>
      <c r="K2071" t="n">
        <v>201901856</v>
      </c>
      <c r="L2071" s="8">
        <f>HYPERLINK("https://test.ictv.global/id/TN201851856","TN201851856@TEST")</f>
        <v/>
      </c>
      <c r="M2071" s="8">
        <f>HYPERLINK("https://test.ictv.global/id/ICTV20151214","ICTV20151214@TEST")</f>
        <v/>
      </c>
      <c r="N2071" s="8">
        <f>HYPERLINK("https://ictv.global/id/TN201851856","TN201851856@prod")</f>
        <v/>
      </c>
      <c r="O2071" s="8">
        <f>HYPERLINK("https://ictv.global/id/ICTV20151214","ICTV20151214@prod")</f>
        <v/>
      </c>
    </row>
    <row r="2072">
      <c r="A2072" t="n">
        <v>34</v>
      </c>
      <c r="B2072" t="n">
        <v>201853292</v>
      </c>
      <c r="C2072" t="n">
        <v>20083893</v>
      </c>
      <c r="D2072" t="inlineStr">
        <is>
          <t>species</t>
        </is>
      </c>
      <c r="E2072" t="inlineStr">
        <is>
          <t>Mesta yellow vein mosaic virus</t>
        </is>
      </c>
      <c r="G2072" t="inlineStr">
        <is>
          <t>Abolished,</t>
        </is>
      </c>
      <c r="L2072" s="8">
        <f>HYPERLINK("https://test.ictv.global/id/TN201853292","TN201853292@TEST")</f>
        <v/>
      </c>
      <c r="M2072" s="8">
        <f>HYPERLINK("https://test.ictv.global/id/ICTV20083893","ICTV20083893@TEST")</f>
        <v/>
      </c>
      <c r="N2072" s="8">
        <f>HYPERLINK("https://ictv.global/id/TN201853292","TN201853292@prod")</f>
        <v/>
      </c>
      <c r="O2072" s="8">
        <f>HYPERLINK("https://ictv.global/id/ICTV20083893","ICTV20083893@prod")</f>
        <v/>
      </c>
    </row>
    <row r="2073">
      <c r="A2073" t="n">
        <v>34</v>
      </c>
      <c r="B2073" t="n">
        <v>201854207</v>
      </c>
      <c r="C2073" t="n">
        <v>19930088</v>
      </c>
      <c r="D2073" t="inlineStr">
        <is>
          <t>subfamily</t>
        </is>
      </c>
      <c r="E2073" t="inlineStr">
        <is>
          <t>Densovirinae</t>
        </is>
      </c>
      <c r="G2073" t="inlineStr">
        <is>
          <t>Split,</t>
        </is>
      </c>
      <c r="H2073" t="inlineStr">
        <is>
          <t>Densovirinae</t>
        </is>
      </c>
      <c r="I2073" t="inlineStr">
        <is>
          <t>subfamily</t>
        </is>
      </c>
      <c r="J2073" t="n">
        <v>19930088</v>
      </c>
      <c r="K2073" t="n">
        <v>201904207</v>
      </c>
      <c r="L2073" s="8">
        <f>HYPERLINK("https://test.ictv.global/id/TN201854207","TN201854207@TEST")</f>
        <v/>
      </c>
      <c r="M2073" s="8">
        <f>HYPERLINK("https://test.ictv.global/id/ICTV19930088","ICTV19930088@TEST")</f>
        <v/>
      </c>
      <c r="N2073" s="8">
        <f>HYPERLINK("https://ictv.global/id/TN201854207","TN201854207@prod")</f>
        <v/>
      </c>
      <c r="O2073" s="8">
        <f>HYPERLINK("https://ictv.global/id/ICTV19930088","ICTV19930088@prod")</f>
        <v/>
      </c>
    </row>
    <row r="2074">
      <c r="A2074" t="n">
        <v>34</v>
      </c>
      <c r="B2074" t="n">
        <v>201854207</v>
      </c>
      <c r="C2074" t="n">
        <v>19930088</v>
      </c>
      <c r="D2074" t="inlineStr">
        <is>
          <t>subfamily</t>
        </is>
      </c>
      <c r="E2074" t="inlineStr">
        <is>
          <t>Densovirinae</t>
        </is>
      </c>
      <c r="G2074" t="inlineStr">
        <is>
          <t>Split,</t>
        </is>
      </c>
      <c r="H2074" t="inlineStr">
        <is>
          <t>Hamaparvovirinae</t>
        </is>
      </c>
      <c r="I2074" t="inlineStr">
        <is>
          <t>subfamily</t>
        </is>
      </c>
      <c r="J2074" t="n">
        <v>201907324</v>
      </c>
      <c r="K2074" t="n">
        <v>201907324</v>
      </c>
      <c r="L2074" s="8">
        <f>HYPERLINK("https://test.ictv.global/id/TN201854207","TN201854207@TEST")</f>
        <v/>
      </c>
      <c r="M2074" s="8">
        <f>HYPERLINK("https://test.ictv.global/id/ICTV19930088","ICTV19930088@TEST")</f>
        <v/>
      </c>
      <c r="N2074" s="8">
        <f>HYPERLINK("https://ictv.global/id/TN201854207","TN201854207@prod")</f>
        <v/>
      </c>
      <c r="O2074" s="8">
        <f>HYPERLINK("https://ictv.global/id/ICTV19930088","ICTV19930088@prod")</f>
        <v/>
      </c>
    </row>
    <row r="2075">
      <c r="A2075" t="n">
        <v>34</v>
      </c>
      <c r="B2075" t="n">
        <v>201854208</v>
      </c>
      <c r="C2075" t="n">
        <v>19750053</v>
      </c>
      <c r="D2075" t="inlineStr">
        <is>
          <t>genus</t>
        </is>
      </c>
      <c r="E2075" t="inlineStr">
        <is>
          <t>Ambidensovirus</t>
        </is>
      </c>
      <c r="G2075" t="inlineStr">
        <is>
          <t>Split,</t>
        </is>
      </c>
      <c r="H2075" t="inlineStr">
        <is>
          <t>Aquambidensovirus</t>
        </is>
      </c>
      <c r="I2075" t="inlineStr">
        <is>
          <t>genus</t>
        </is>
      </c>
      <c r="J2075" t="n">
        <v>201907317</v>
      </c>
      <c r="K2075" t="n">
        <v>201907317</v>
      </c>
      <c r="L2075" s="8">
        <f>HYPERLINK("https://test.ictv.global/id/TN201854208","TN201854208@TEST")</f>
        <v/>
      </c>
      <c r="M2075" s="8">
        <f>HYPERLINK("https://test.ictv.global/id/ICTV19750053","ICTV19750053@TEST")</f>
        <v/>
      </c>
      <c r="N2075" s="8">
        <f>HYPERLINK("https://ictv.global/id/TN201854208","TN201854208@prod")</f>
        <v/>
      </c>
      <c r="O2075" s="8">
        <f>HYPERLINK("https://ictv.global/id/ICTV19750053","ICTV19750053@prod")</f>
        <v/>
      </c>
    </row>
    <row r="2076">
      <c r="A2076" t="n">
        <v>34</v>
      </c>
      <c r="B2076" t="n">
        <v>201854208</v>
      </c>
      <c r="C2076" t="n">
        <v>19750053</v>
      </c>
      <c r="D2076" t="inlineStr">
        <is>
          <t>genus</t>
        </is>
      </c>
      <c r="E2076" t="inlineStr">
        <is>
          <t>Ambidensovirus</t>
        </is>
      </c>
      <c r="G2076" t="inlineStr">
        <is>
          <t>Split,</t>
        </is>
      </c>
      <c r="H2076" t="inlineStr">
        <is>
          <t>Scindoambidensovirus</t>
        </is>
      </c>
      <c r="I2076" t="inlineStr">
        <is>
          <t>genus</t>
        </is>
      </c>
      <c r="J2076" t="n">
        <v>201907318</v>
      </c>
      <c r="K2076" t="n">
        <v>201907318</v>
      </c>
      <c r="L2076" s="8">
        <f>HYPERLINK("https://test.ictv.global/id/TN201854208","TN201854208@TEST")</f>
        <v/>
      </c>
      <c r="M2076" s="8">
        <f>HYPERLINK("https://test.ictv.global/id/ICTV19750053","ICTV19750053@TEST")</f>
        <v/>
      </c>
      <c r="N2076" s="8">
        <f>HYPERLINK("https://ictv.global/id/TN201854208","TN201854208@prod")</f>
        <v/>
      </c>
      <c r="O2076" s="8">
        <f>HYPERLINK("https://ictv.global/id/ICTV19750053","ICTV19750053@prod")</f>
        <v/>
      </c>
    </row>
    <row r="2077">
      <c r="A2077" t="n">
        <v>34</v>
      </c>
      <c r="B2077" t="n">
        <v>201854208</v>
      </c>
      <c r="C2077" t="n">
        <v>19750053</v>
      </c>
      <c r="D2077" t="inlineStr">
        <is>
          <t>genus</t>
        </is>
      </c>
      <c r="E2077" t="inlineStr">
        <is>
          <t>Ambidensovirus</t>
        </is>
      </c>
      <c r="G2077" t="inlineStr">
        <is>
          <t>Split,</t>
        </is>
      </c>
      <c r="H2077" t="inlineStr">
        <is>
          <t>Protoambidensovirus</t>
        </is>
      </c>
      <c r="I2077" t="inlineStr">
        <is>
          <t>genus</t>
        </is>
      </c>
      <c r="J2077" t="n">
        <v>201907319</v>
      </c>
      <c r="K2077" t="n">
        <v>201907319</v>
      </c>
      <c r="L2077" s="8">
        <f>HYPERLINK("https://test.ictv.global/id/TN201854208","TN201854208@TEST")</f>
        <v/>
      </c>
      <c r="M2077" s="8">
        <f>HYPERLINK("https://test.ictv.global/id/ICTV19750053","ICTV19750053@TEST")</f>
        <v/>
      </c>
      <c r="N2077" s="8">
        <f>HYPERLINK("https://ictv.global/id/TN201854208","TN201854208@prod")</f>
        <v/>
      </c>
      <c r="O2077" s="8">
        <f>HYPERLINK("https://ictv.global/id/ICTV19750053","ICTV19750053@prod")</f>
        <v/>
      </c>
    </row>
    <row r="2078">
      <c r="A2078" t="n">
        <v>34</v>
      </c>
      <c r="B2078" t="n">
        <v>201854208</v>
      </c>
      <c r="C2078" t="n">
        <v>19750053</v>
      </c>
      <c r="D2078" t="inlineStr">
        <is>
          <t>genus</t>
        </is>
      </c>
      <c r="E2078" t="inlineStr">
        <is>
          <t>Ambidensovirus</t>
        </is>
      </c>
      <c r="G2078" t="inlineStr">
        <is>
          <t>Split,</t>
        </is>
      </c>
      <c r="H2078" t="inlineStr">
        <is>
          <t>Hemiambidensovirus</t>
        </is>
      </c>
      <c r="I2078" t="inlineStr">
        <is>
          <t>genus</t>
        </is>
      </c>
      <c r="J2078" t="n">
        <v>201907320</v>
      </c>
      <c r="K2078" t="n">
        <v>201907320</v>
      </c>
      <c r="L2078" s="8">
        <f>HYPERLINK("https://test.ictv.global/id/TN201854208","TN201854208@TEST")</f>
        <v/>
      </c>
      <c r="M2078" s="8">
        <f>HYPERLINK("https://test.ictv.global/id/ICTV19750053","ICTV19750053@TEST")</f>
        <v/>
      </c>
      <c r="N2078" s="8">
        <f>HYPERLINK("https://ictv.global/id/TN201854208","TN201854208@prod")</f>
        <v/>
      </c>
      <c r="O2078" s="8">
        <f>HYPERLINK("https://ictv.global/id/ICTV19750053","ICTV19750053@prod")</f>
        <v/>
      </c>
    </row>
    <row r="2079">
      <c r="A2079" t="n">
        <v>34</v>
      </c>
      <c r="B2079" t="n">
        <v>201854208</v>
      </c>
      <c r="C2079" t="n">
        <v>19750053</v>
      </c>
      <c r="D2079" t="inlineStr">
        <is>
          <t>genus</t>
        </is>
      </c>
      <c r="E2079" t="inlineStr">
        <is>
          <t>Ambidensovirus</t>
        </is>
      </c>
      <c r="G2079" t="inlineStr">
        <is>
          <t>Split,</t>
        </is>
      </c>
      <c r="H2079" t="inlineStr">
        <is>
          <t>Pefuambidensovirus</t>
        </is>
      </c>
      <c r="I2079" t="inlineStr">
        <is>
          <t>genus</t>
        </is>
      </c>
      <c r="J2079" t="n">
        <v>201907321</v>
      </c>
      <c r="K2079" t="n">
        <v>201907321</v>
      </c>
      <c r="L2079" s="8">
        <f>HYPERLINK("https://test.ictv.global/id/TN201854208","TN201854208@TEST")</f>
        <v/>
      </c>
      <c r="M2079" s="8">
        <f>HYPERLINK("https://test.ictv.global/id/ICTV19750053","ICTV19750053@TEST")</f>
        <v/>
      </c>
      <c r="N2079" s="8">
        <f>HYPERLINK("https://ictv.global/id/TN201854208","TN201854208@prod")</f>
        <v/>
      </c>
      <c r="O2079" s="8">
        <f>HYPERLINK("https://ictv.global/id/ICTV19750053","ICTV19750053@prod")</f>
        <v/>
      </c>
    </row>
    <row r="2080">
      <c r="A2080" t="n">
        <v>34</v>
      </c>
      <c r="B2080" t="n">
        <v>201854208</v>
      </c>
      <c r="C2080" t="n">
        <v>19750053</v>
      </c>
      <c r="D2080" t="inlineStr">
        <is>
          <t>genus</t>
        </is>
      </c>
      <c r="E2080" t="inlineStr">
        <is>
          <t>Ambidensovirus</t>
        </is>
      </c>
      <c r="G2080" t="inlineStr">
        <is>
          <t>Split,</t>
        </is>
      </c>
      <c r="H2080" t="inlineStr">
        <is>
          <t>Blattambidensovirus</t>
        </is>
      </c>
      <c r="I2080" t="inlineStr">
        <is>
          <t>genus</t>
        </is>
      </c>
      <c r="J2080" t="n">
        <v>201907322</v>
      </c>
      <c r="K2080" t="n">
        <v>201907322</v>
      </c>
      <c r="L2080" s="8">
        <f>HYPERLINK("https://test.ictv.global/id/TN201854208","TN201854208@TEST")</f>
        <v/>
      </c>
      <c r="M2080" s="8">
        <f>HYPERLINK("https://test.ictv.global/id/ICTV19750053","ICTV19750053@TEST")</f>
        <v/>
      </c>
      <c r="N2080" s="8">
        <f>HYPERLINK("https://ictv.global/id/TN201854208","TN201854208@prod")</f>
        <v/>
      </c>
      <c r="O2080" s="8">
        <f>HYPERLINK("https://ictv.global/id/ICTV19750053","ICTV19750053@prod")</f>
        <v/>
      </c>
    </row>
    <row r="2081">
      <c r="A2081" t="n">
        <v>34</v>
      </c>
      <c r="B2081" t="n">
        <v>201854335</v>
      </c>
      <c r="C2081" t="n">
        <v>20084374</v>
      </c>
      <c r="D2081" t="inlineStr">
        <is>
          <t>species</t>
        </is>
      </c>
      <c r="E2081" t="inlineStr">
        <is>
          <t>Rabbit picobirnavirus</t>
        </is>
      </c>
      <c r="G2081" t="inlineStr">
        <is>
          <t>Abolished,</t>
        </is>
      </c>
      <c r="L2081" s="8">
        <f>HYPERLINK("https://test.ictv.global/id/TN201854335","TN201854335@TEST")</f>
        <v/>
      </c>
      <c r="M2081" s="8">
        <f>HYPERLINK("https://test.ictv.global/id/ICTV20084374","ICTV20084374@TEST")</f>
        <v/>
      </c>
      <c r="N2081" s="8">
        <f>HYPERLINK("https://ictv.global/id/TN201854335","TN201854335@prod")</f>
        <v/>
      </c>
      <c r="O2081" s="8">
        <f>HYPERLINK("https://ictv.global/id/ICTV20084374","ICTV20084374@prod")</f>
        <v/>
      </c>
    </row>
    <row r="2082">
      <c r="A2082" t="n">
        <v>34</v>
      </c>
      <c r="B2082" t="n">
        <v>201854909</v>
      </c>
      <c r="C2082" t="n">
        <v>19911428</v>
      </c>
      <c r="D2082" t="inlineStr">
        <is>
          <t>species</t>
        </is>
      </c>
      <c r="E2082" t="inlineStr">
        <is>
          <t>Rotavirus E</t>
        </is>
      </c>
      <c r="G2082" t="inlineStr">
        <is>
          <t>Abolished,</t>
        </is>
      </c>
      <c r="L2082" s="8">
        <f>HYPERLINK("https://test.ictv.global/id/TN201854909","TN201854909@TEST")</f>
        <v/>
      </c>
      <c r="M2082" s="8">
        <f>HYPERLINK("https://test.ictv.global/id/ICTV19911428","ICTV19911428@TEST")</f>
        <v/>
      </c>
      <c r="N2082" s="8">
        <f>HYPERLINK("https://ictv.global/id/TN201854909","TN201854909@prod")</f>
        <v/>
      </c>
      <c r="O2082" s="8">
        <f>HYPERLINK("https://ictv.global/id/ICTV19911428","ICTV19911428@prod")</f>
        <v/>
      </c>
    </row>
    <row r="2083">
      <c r="A2083" t="n">
        <v>34</v>
      </c>
      <c r="B2083" t="n">
        <v>201856115</v>
      </c>
      <c r="C2083" t="n">
        <v>20186115</v>
      </c>
      <c r="D2083" t="inlineStr">
        <is>
          <t>species</t>
        </is>
      </c>
      <c r="E2083" t="inlineStr">
        <is>
          <t>Ferret coronavirus</t>
        </is>
      </c>
      <c r="F2083" t="inlineStr">
        <is>
          <t>LC119077.1</t>
        </is>
      </c>
      <c r="G2083" t="inlineStr">
        <is>
          <t>Merged,</t>
        </is>
      </c>
      <c r="H2083" t="inlineStr">
        <is>
          <t>Mink coronavirus 1</t>
        </is>
      </c>
      <c r="I2083" t="inlineStr">
        <is>
          <t>species</t>
        </is>
      </c>
      <c r="J2083" t="n">
        <v>20151214</v>
      </c>
      <c r="K2083" t="n">
        <v>201901856</v>
      </c>
      <c r="L2083" s="8">
        <f>HYPERLINK("https://test.ictv.global/id/TN201856115","TN201856115@TEST")</f>
        <v/>
      </c>
      <c r="M2083" s="8">
        <f>HYPERLINK("https://test.ictv.global/id/ICTV20186115","ICTV20186115@TEST")</f>
        <v/>
      </c>
      <c r="N2083" s="8">
        <f>HYPERLINK("https://ictv.global/id/TN201856115","TN201856115@prod")</f>
        <v/>
      </c>
      <c r="O2083" s="8">
        <f>HYPERLINK("https://ictv.global/id/ICTV20186115","ICTV20186115@prod")</f>
        <v/>
      </c>
    </row>
    <row r="2084">
      <c r="A2084" t="n">
        <v>34</v>
      </c>
      <c r="B2084" t="n">
        <v>201856132</v>
      </c>
      <c r="C2084" t="n">
        <v>20186132</v>
      </c>
      <c r="D2084" t="inlineStr">
        <is>
          <t>subgenus</t>
        </is>
      </c>
      <c r="E2084" t="inlineStr">
        <is>
          <t>Moordecovirus</t>
        </is>
      </c>
      <c r="G2084" t="inlineStr">
        <is>
          <t>Abolished,</t>
        </is>
      </c>
      <c r="L2084" s="8">
        <f>HYPERLINK("https://test.ictv.global/id/TN201856132","TN201856132@TEST")</f>
        <v/>
      </c>
      <c r="M2084" s="8">
        <f>HYPERLINK("https://test.ictv.global/id/ICTV20186132","ICTV20186132@TEST")</f>
        <v/>
      </c>
      <c r="N2084" s="8">
        <f>HYPERLINK("https://ictv.global/id/TN201856132","TN201856132@prod")</f>
        <v/>
      </c>
      <c r="O2084" s="8">
        <f>HYPERLINK("https://ictv.global/id/ICTV20186132","ICTV20186132@prod")</f>
        <v/>
      </c>
    </row>
    <row r="2085">
      <c r="A2085" t="n">
        <v>34</v>
      </c>
      <c r="B2085" t="n">
        <v>201856221</v>
      </c>
      <c r="C2085" t="n">
        <v>20186221</v>
      </c>
      <c r="D2085" t="inlineStr">
        <is>
          <t>genus</t>
        </is>
      </c>
      <c r="E2085" t="inlineStr">
        <is>
          <t>Inshuvirus</t>
        </is>
      </c>
      <c r="G2085" t="inlineStr">
        <is>
          <t>Abolished,</t>
        </is>
      </c>
      <c r="L2085" s="8">
        <f>HYPERLINK("https://test.ictv.global/id/TN201856221","TN201856221@TEST")</f>
        <v/>
      </c>
      <c r="M2085" s="8">
        <f>HYPERLINK("https://test.ictv.global/id/ICTV20186221","ICTV20186221@TEST")</f>
        <v/>
      </c>
      <c r="N2085" s="8">
        <f>HYPERLINK("https://ictv.global/id/TN201856221","TN201856221@prod")</f>
        <v/>
      </c>
      <c r="O2085" s="8">
        <f>HYPERLINK("https://ictv.global/id/ICTV20186221","ICTV20186221@prod")</f>
        <v/>
      </c>
    </row>
    <row r="2086">
      <c r="A2086" t="n">
        <v>34</v>
      </c>
      <c r="B2086" t="n">
        <v>201856237</v>
      </c>
      <c r="C2086" t="n">
        <v>20186237</v>
      </c>
      <c r="D2086" t="inlineStr">
        <is>
          <t>genus</t>
        </is>
      </c>
      <c r="E2086" t="inlineStr">
        <is>
          <t>Wubeivirus</t>
        </is>
      </c>
      <c r="G2086" t="inlineStr">
        <is>
          <t>Abolished,</t>
        </is>
      </c>
      <c r="L2086" s="8">
        <f>HYPERLINK("https://test.ictv.global/id/TN201856237","TN201856237@TEST")</f>
        <v/>
      </c>
      <c r="M2086" s="8">
        <f>HYPERLINK("https://test.ictv.global/id/ICTV20186237","ICTV20186237@TEST")</f>
        <v/>
      </c>
      <c r="N2086" s="8">
        <f>HYPERLINK("https://ictv.global/id/TN201856237","TN201856237@prod")</f>
        <v/>
      </c>
      <c r="O2086" s="8">
        <f>HYPERLINK("https://ictv.global/id/ICTV20186237","ICTV20186237@prod")</f>
        <v/>
      </c>
    </row>
    <row r="2087">
      <c r="A2087" t="n">
        <v>34</v>
      </c>
      <c r="B2087" t="n">
        <v>201856280</v>
      </c>
      <c r="C2087" t="n">
        <v>20186280</v>
      </c>
      <c r="D2087" t="inlineStr">
        <is>
          <t>genus</t>
        </is>
      </c>
      <c r="E2087" t="inlineStr">
        <is>
          <t>Tiruvirus</t>
        </is>
      </c>
      <c r="G2087" t="inlineStr">
        <is>
          <t>Abolished,</t>
        </is>
      </c>
      <c r="L2087" s="8">
        <f>HYPERLINK("https://test.ictv.global/id/TN201856280","TN201856280@TEST")</f>
        <v/>
      </c>
      <c r="M2087" s="8">
        <f>HYPERLINK("https://test.ictv.global/id/ICTV20186280","ICTV20186280@TEST")</f>
        <v/>
      </c>
      <c r="N2087" s="8">
        <f>HYPERLINK("https://ictv.global/id/TN201856280","TN201856280@prod")</f>
        <v/>
      </c>
      <c r="O2087" s="8">
        <f>HYPERLINK("https://ictv.global/id/ICTV20186280","ICTV20186280@prod")</f>
        <v/>
      </c>
    </row>
    <row r="2088">
      <c r="A2088" t="n">
        <v>34</v>
      </c>
      <c r="B2088" t="n">
        <v>201856417</v>
      </c>
      <c r="C2088" t="n">
        <v>201856417</v>
      </c>
      <c r="D2088" t="inlineStr">
        <is>
          <t>species</t>
        </is>
      </c>
      <c r="E2088" t="inlineStr">
        <is>
          <t>Seattle orthophasmavirus</t>
        </is>
      </c>
      <c r="F2088" t="inlineStr">
        <is>
          <t>L: KX272880.1, M: KX272881.1, S: KX272882.1</t>
        </is>
      </c>
      <c r="G2088" t="inlineStr">
        <is>
          <t>Abolished,</t>
        </is>
      </c>
      <c r="L2088" s="8">
        <f>HYPERLINK("https://test.ictv.global/id/TN201856417","TN201856417@TEST")</f>
        <v/>
      </c>
      <c r="M2088" s="8">
        <f>HYPERLINK("https://test.ictv.global/id/ICTV201856417","ICTV201856417@TEST")</f>
        <v/>
      </c>
      <c r="N2088" s="8">
        <f>HYPERLINK("https://ictv.global/id/TN201856417","TN201856417@prod")</f>
        <v/>
      </c>
      <c r="O2088" s="8">
        <f>HYPERLINK("https://ictv.global/id/ICTV201856417","ICTV201856417@prod")</f>
        <v/>
      </c>
    </row>
    <row r="2089">
      <c r="A2089" t="n">
        <v>34</v>
      </c>
      <c r="B2089" t="n">
        <v>201856815</v>
      </c>
      <c r="C2089" t="n">
        <v>201856815</v>
      </c>
      <c r="D2089" t="inlineStr">
        <is>
          <t>genus</t>
        </is>
      </c>
      <c r="E2089" t="inlineStr">
        <is>
          <t>Chungbukvirus</t>
        </is>
      </c>
      <c r="G2089" t="inlineStr">
        <is>
          <t>Abolished,</t>
        </is>
      </c>
      <c r="L2089" s="8">
        <f>HYPERLINK("https://test.ictv.global/id/TN201856815","TN201856815@TEST")</f>
        <v/>
      </c>
      <c r="M2089" s="8">
        <f>HYPERLINK("https://test.ictv.global/id/ICTV201856815","ICTV201856815@TEST")</f>
        <v/>
      </c>
      <c r="N2089" s="8">
        <f>HYPERLINK("https://ictv.global/id/TN201856815","TN201856815@prod")</f>
        <v/>
      </c>
      <c r="O2089" s="8">
        <f>HYPERLINK("https://ictv.global/id/ICTV201856815","ICTV201856815@prod")</f>
        <v/>
      </c>
    </row>
    <row r="2090">
      <c r="A2090" t="n">
        <v>34</v>
      </c>
      <c r="B2090" t="n">
        <v>201856816</v>
      </c>
      <c r="C2090" t="n">
        <v>201856816</v>
      </c>
      <c r="D2090" t="inlineStr">
        <is>
          <t>species</t>
        </is>
      </c>
      <c r="E2090" t="inlineStr">
        <is>
          <t>Pseudomonas virus Ptobp6g</t>
        </is>
      </c>
      <c r="F2090" t="inlineStr">
        <is>
          <t>JN175269</t>
        </is>
      </c>
      <c r="G2090" t="inlineStr">
        <is>
          <t>Abolished,</t>
        </is>
      </c>
      <c r="L2090" s="8">
        <f>HYPERLINK("https://test.ictv.global/id/TN201856816","TN201856816@TEST")</f>
        <v/>
      </c>
      <c r="M2090" s="8">
        <f>HYPERLINK("https://test.ictv.global/id/ICTV201856816","ICTV201856816@TEST")</f>
        <v/>
      </c>
      <c r="N2090" s="8">
        <f>HYPERLINK("https://ictv.global/id/TN201856816","TN201856816@prod")</f>
        <v/>
      </c>
      <c r="O2090" s="8">
        <f>HYPERLINK("https://ictv.global/id/ICTV201856816","ICTV201856816@prod")</f>
        <v/>
      </c>
    </row>
    <row r="2091">
      <c r="A2091" t="n">
        <v>35</v>
      </c>
      <c r="B2091" t="n">
        <v>201900136</v>
      </c>
      <c r="C2091" t="n">
        <v>19760224</v>
      </c>
      <c r="D2091" t="inlineStr">
        <is>
          <t>species</t>
        </is>
      </c>
      <c r="E2091" t="inlineStr">
        <is>
          <t>Zegla orthobunyavirus</t>
        </is>
      </c>
      <c r="G2091" t="inlineStr">
        <is>
          <t>Abolished,</t>
        </is>
      </c>
      <c r="L2091" s="8">
        <f>HYPERLINK("https://test.ictv.global/id/TN201900136","TN201900136@TEST")</f>
        <v/>
      </c>
      <c r="M2091" s="8">
        <f>HYPERLINK("https://test.ictv.global/id/ICTV19760224","ICTV19760224@TEST")</f>
        <v/>
      </c>
      <c r="N2091" s="8">
        <f>HYPERLINK("https://ictv.global/id/TN201900136","TN201900136@prod")</f>
        <v/>
      </c>
      <c r="O2091" s="8">
        <f>HYPERLINK("https://ictv.global/id/ICTV19760224","ICTV19760224@prod")</f>
        <v/>
      </c>
    </row>
    <row r="2092">
      <c r="A2092" t="n">
        <v>35</v>
      </c>
      <c r="B2092" t="n">
        <v>201900232</v>
      </c>
      <c r="C2092" t="n">
        <v>20115516</v>
      </c>
      <c r="D2092" t="inlineStr">
        <is>
          <t>species</t>
        </is>
      </c>
      <c r="E2092" t="inlineStr">
        <is>
          <t>Vibrio virus Kappa</t>
        </is>
      </c>
      <c r="G2092" t="inlineStr">
        <is>
          <t>Abolished,</t>
        </is>
      </c>
      <c r="L2092" s="8">
        <f>HYPERLINK("https://test.ictv.global/id/TN201900232","TN201900232@TEST")</f>
        <v/>
      </c>
      <c r="M2092" s="8">
        <f>HYPERLINK("https://test.ictv.global/id/ICTV20115516","ICTV20115516@TEST")</f>
        <v/>
      </c>
      <c r="N2092" s="8">
        <f>HYPERLINK("https://ictv.global/id/TN201900232","TN201900232@prod")</f>
        <v/>
      </c>
      <c r="O2092" s="8">
        <f>HYPERLINK("https://ictv.global/id/ICTV20115516","ICTV20115516@prod")</f>
        <v/>
      </c>
    </row>
    <row r="2093">
      <c r="A2093" t="n">
        <v>35</v>
      </c>
      <c r="B2093" t="n">
        <v>201900344</v>
      </c>
      <c r="C2093" t="n">
        <v>19990391</v>
      </c>
      <c r="D2093" t="inlineStr">
        <is>
          <t>species</t>
        </is>
      </c>
      <c r="E2093" t="inlineStr">
        <is>
          <t>Pseudomonas virus 42</t>
        </is>
      </c>
      <c r="G2093" t="inlineStr">
        <is>
          <t>Abolished,</t>
        </is>
      </c>
      <c r="L2093" s="8">
        <f>HYPERLINK("https://test.ictv.global/id/TN201900344","TN201900344@TEST")</f>
        <v/>
      </c>
      <c r="M2093" s="8">
        <f>HYPERLINK("https://test.ictv.global/id/ICTV19990391","ICTV19990391@TEST")</f>
        <v/>
      </c>
      <c r="N2093" s="8">
        <f>HYPERLINK("https://ictv.global/id/TN201900344","TN201900344@prod")</f>
        <v/>
      </c>
      <c r="O2093" s="8">
        <f>HYPERLINK("https://ictv.global/id/ICTV19990391","ICTV19990391@prod")</f>
        <v/>
      </c>
    </row>
    <row r="2094">
      <c r="A2094" t="n">
        <v>35</v>
      </c>
      <c r="B2094" t="n">
        <v>201900451</v>
      </c>
      <c r="C2094" t="n">
        <v>20164872</v>
      </c>
      <c r="D2094" t="inlineStr">
        <is>
          <t>species</t>
        </is>
      </c>
      <c r="E2094" t="inlineStr">
        <is>
          <t>Arthrobacter virus Sonny</t>
        </is>
      </c>
      <c r="F2094" t="inlineStr">
        <is>
          <t>KU160665</t>
        </is>
      </c>
      <c r="G2094" t="inlineStr">
        <is>
          <t>Merged,</t>
        </is>
      </c>
      <c r="H2094" t="inlineStr">
        <is>
          <t>Arthrobacter virus Shade</t>
        </is>
      </c>
      <c r="I2094" t="inlineStr">
        <is>
          <t>species</t>
        </is>
      </c>
      <c r="J2094" t="n">
        <v>201857005</v>
      </c>
      <c r="K2094" t="n">
        <v>202007005</v>
      </c>
      <c r="L2094" s="8">
        <f>HYPERLINK("https://test.ictv.global/id/TN201900451","TN201900451@TEST")</f>
        <v/>
      </c>
      <c r="M2094" s="8">
        <f>HYPERLINK("https://test.ictv.global/id/ICTV20164872","ICTV20164872@TEST")</f>
        <v/>
      </c>
      <c r="N2094" s="8">
        <f>HYPERLINK("https://ictv.global/id/TN201900451","TN201900451@prod")</f>
        <v/>
      </c>
      <c r="O2094" s="8">
        <f>HYPERLINK("https://ictv.global/id/ICTV20164872","ICTV20164872@prod")</f>
        <v/>
      </c>
    </row>
    <row r="2095">
      <c r="A2095" t="n">
        <v>35</v>
      </c>
      <c r="B2095" t="n">
        <v>201900520</v>
      </c>
      <c r="C2095" t="n">
        <v>20125861</v>
      </c>
      <c r="D2095" t="inlineStr">
        <is>
          <t>genus</t>
        </is>
      </c>
      <c r="E2095" t="inlineStr">
        <is>
          <t>Viunavirus</t>
        </is>
      </c>
      <c r="G2095" t="inlineStr">
        <is>
          <t>Merged,Moved,</t>
        </is>
      </c>
      <c r="H2095" t="inlineStr">
        <is>
          <t>Kuttervirus</t>
        </is>
      </c>
      <c r="I2095" t="inlineStr">
        <is>
          <t>genus</t>
        </is>
      </c>
      <c r="J2095" t="n">
        <v>20175473</v>
      </c>
      <c r="K2095" t="n">
        <v>202005473</v>
      </c>
      <c r="L2095" s="8">
        <f>HYPERLINK("https://test.ictv.global/id/TN201900520","TN201900520@TEST")</f>
        <v/>
      </c>
      <c r="M2095" s="8">
        <f>HYPERLINK("https://test.ictv.global/id/ICTV20125861","ICTV20125861@TEST")</f>
        <v/>
      </c>
      <c r="N2095" s="8">
        <f>HYPERLINK("https://ictv.global/id/TN201900520","TN201900520@prod")</f>
        <v/>
      </c>
      <c r="O2095" s="8">
        <f>HYPERLINK("https://ictv.global/id/ICTV20125861","ICTV20125861@prod")</f>
        <v/>
      </c>
    </row>
    <row r="2096">
      <c r="A2096" t="n">
        <v>35</v>
      </c>
      <c r="B2096" t="n">
        <v>201900601</v>
      </c>
      <c r="C2096" t="n">
        <v>19990396</v>
      </c>
      <c r="D2096" t="inlineStr">
        <is>
          <t>species</t>
        </is>
      </c>
      <c r="E2096" t="inlineStr">
        <is>
          <t>Kurthia virus 6</t>
        </is>
      </c>
      <c r="G2096" t="inlineStr">
        <is>
          <t>Abolished,</t>
        </is>
      </c>
      <c r="L2096" s="8">
        <f>HYPERLINK("https://test.ictv.global/id/TN201900601","TN201900601@TEST")</f>
        <v/>
      </c>
      <c r="M2096" s="8">
        <f>HYPERLINK("https://test.ictv.global/id/ICTV19990396","ICTV19990396@TEST")</f>
        <v/>
      </c>
      <c r="N2096" s="8">
        <f>HYPERLINK("https://ictv.global/id/TN201900601","TN201900601@prod")</f>
        <v/>
      </c>
      <c r="O2096" s="8">
        <f>HYPERLINK("https://ictv.global/id/ICTV19990396","ICTV19990396@prod")</f>
        <v/>
      </c>
    </row>
    <row r="2097">
      <c r="A2097" t="n">
        <v>35</v>
      </c>
      <c r="B2097" t="n">
        <v>201900817</v>
      </c>
      <c r="C2097" t="n">
        <v>20125847</v>
      </c>
      <c r="D2097" t="inlineStr">
        <is>
          <t>species</t>
        </is>
      </c>
      <c r="E2097" t="inlineStr">
        <is>
          <t>Escherichia virus Eb49</t>
        </is>
      </c>
      <c r="G2097" t="inlineStr">
        <is>
          <t>Abolished,</t>
        </is>
      </c>
      <c r="L2097" s="8">
        <f>HYPERLINK("https://test.ictv.global/id/TN201900817","TN201900817@TEST")</f>
        <v/>
      </c>
      <c r="M2097" s="8">
        <f>HYPERLINK("https://test.ictv.global/id/ICTV20125847","ICTV20125847@TEST")</f>
        <v/>
      </c>
      <c r="N2097" s="8">
        <f>HYPERLINK("https://ictv.global/id/TN201900817","TN201900817@prod")</f>
        <v/>
      </c>
      <c r="O2097" s="8">
        <f>HYPERLINK("https://ictv.global/id/ICTV20125847","ICTV20125847@prod")</f>
        <v/>
      </c>
    </row>
    <row r="2098">
      <c r="A2098" t="n">
        <v>35</v>
      </c>
      <c r="B2098" t="n">
        <v>201900961</v>
      </c>
      <c r="C2098" t="n">
        <v>20164986</v>
      </c>
      <c r="D2098" t="inlineStr">
        <is>
          <t>species</t>
        </is>
      </c>
      <c r="E2098" t="inlineStr">
        <is>
          <t>Gordonia virus Kvothe</t>
        </is>
      </c>
      <c r="F2098" t="inlineStr">
        <is>
          <t>KU998243</t>
        </is>
      </c>
      <c r="G2098" t="inlineStr">
        <is>
          <t>Abolished,</t>
        </is>
      </c>
      <c r="L2098" s="8">
        <f>HYPERLINK("https://test.ictv.global/id/TN201900961","TN201900961@TEST")</f>
        <v/>
      </c>
      <c r="M2098" s="8">
        <f>HYPERLINK("https://test.ictv.global/id/ICTV20164986","ICTV20164986@TEST")</f>
        <v/>
      </c>
      <c r="N2098" s="8">
        <f>HYPERLINK("https://ictv.global/id/TN201900961","TN201900961@prod")</f>
        <v/>
      </c>
      <c r="O2098" s="8">
        <f>HYPERLINK("https://ictv.global/id/ICTV20164986","ICTV20164986@prod")</f>
        <v/>
      </c>
    </row>
    <row r="2099">
      <c r="A2099" t="n">
        <v>35</v>
      </c>
      <c r="B2099" t="n">
        <v>201901179</v>
      </c>
      <c r="C2099" t="n">
        <v>20140394</v>
      </c>
      <c r="D2099" t="inlineStr">
        <is>
          <t>genus</t>
        </is>
      </c>
      <c r="E2099" t="inlineStr">
        <is>
          <t>Pbi1virus</t>
        </is>
      </c>
      <c r="G2099" t="inlineStr">
        <is>
          <t>Abolished,</t>
        </is>
      </c>
      <c r="L2099" s="8">
        <f>HYPERLINK("https://test.ictv.global/id/TN201901179","TN201901179@TEST")</f>
        <v/>
      </c>
      <c r="M2099" s="8">
        <f>HYPERLINK("https://test.ictv.global/id/ICTV20140394","ICTV20140394@TEST")</f>
        <v/>
      </c>
      <c r="N2099" s="8">
        <f>HYPERLINK("https://ictv.global/id/TN201901179","TN201901179@prod")</f>
        <v/>
      </c>
      <c r="O2099" s="8">
        <f>HYPERLINK("https://ictv.global/id/ICTV20140394","ICTV20140394@prod")</f>
        <v/>
      </c>
    </row>
    <row r="2100">
      <c r="A2100" t="n">
        <v>35</v>
      </c>
      <c r="B2100" t="n">
        <v>201901180</v>
      </c>
      <c r="C2100" t="n">
        <v>20140395</v>
      </c>
      <c r="D2100" t="inlineStr">
        <is>
          <t>species</t>
        </is>
      </c>
      <c r="E2100" t="inlineStr">
        <is>
          <t>Mycobacterium virus PBI1</t>
        </is>
      </c>
      <c r="F2100" t="inlineStr">
        <is>
          <t>DQ398047</t>
        </is>
      </c>
      <c r="G2100" t="inlineStr">
        <is>
          <t>Abolished,</t>
        </is>
      </c>
      <c r="L2100" s="8">
        <f>HYPERLINK("https://test.ictv.global/id/TN201901180","TN201901180@TEST")</f>
        <v/>
      </c>
      <c r="M2100" s="8">
        <f>HYPERLINK("https://test.ictv.global/id/ICTV20140395","ICTV20140395@TEST")</f>
        <v/>
      </c>
      <c r="N2100" s="8">
        <f>HYPERLINK("https://ictv.global/id/TN201901180","TN201901180@prod")</f>
        <v/>
      </c>
      <c r="O2100" s="8">
        <f>HYPERLINK("https://ictv.global/id/ICTV20140395","ICTV20140395@prod")</f>
        <v/>
      </c>
    </row>
    <row r="2101">
      <c r="A2101" t="n">
        <v>35</v>
      </c>
      <c r="B2101" t="n">
        <v>201901284</v>
      </c>
      <c r="C2101" t="n">
        <v>20165087</v>
      </c>
      <c r="D2101" t="inlineStr">
        <is>
          <t>species</t>
        </is>
      </c>
      <c r="E2101" t="inlineStr">
        <is>
          <t>Paenibacillus virus Willow</t>
        </is>
      </c>
      <c r="F2101" t="inlineStr">
        <is>
          <t>KT361650</t>
        </is>
      </c>
      <c r="G2101" t="inlineStr">
        <is>
          <t>Abolished,</t>
        </is>
      </c>
      <c r="L2101" s="8">
        <f>HYPERLINK("https://test.ictv.global/id/TN201901284","TN201901284@TEST")</f>
        <v/>
      </c>
      <c r="M2101" s="8">
        <f>HYPERLINK("https://test.ictv.global/id/ICTV20165087","ICTV20165087@TEST")</f>
        <v/>
      </c>
      <c r="N2101" s="8">
        <f>HYPERLINK("https://ictv.global/id/TN201901284","TN201901284@prod")</f>
        <v/>
      </c>
      <c r="O2101" s="8">
        <f>HYPERLINK("https://ictv.global/id/ICTV20165087","ICTV20165087@prod")</f>
        <v/>
      </c>
    </row>
    <row r="2102">
      <c r="A2102" t="n">
        <v>35</v>
      </c>
      <c r="B2102" t="n">
        <v>201901297</v>
      </c>
      <c r="C2102" t="n">
        <v>20140484</v>
      </c>
      <c r="D2102" t="inlineStr">
        <is>
          <t>species</t>
        </is>
      </c>
      <c r="E2102" t="inlineStr">
        <is>
          <t>Lactococcus virus CB20</t>
        </is>
      </c>
      <c r="F2102" t="inlineStr">
        <is>
          <t>FJ848885</t>
        </is>
      </c>
      <c r="G2102" t="inlineStr">
        <is>
          <t>Abolished,</t>
        </is>
      </c>
      <c r="L2102" s="8">
        <f>HYPERLINK("https://test.ictv.global/id/TN201901297","TN201901297@TEST")</f>
        <v/>
      </c>
      <c r="M2102" s="8">
        <f>HYPERLINK("https://test.ictv.global/id/ICTV20140484","ICTV20140484@TEST")</f>
        <v/>
      </c>
      <c r="N2102" s="8">
        <f>HYPERLINK("https://ictv.global/id/TN201901297","TN201901297@prod")</f>
        <v/>
      </c>
      <c r="O2102" s="8">
        <f>HYPERLINK("https://ictv.global/id/ICTV20140484","ICTV20140484@prod")</f>
        <v/>
      </c>
    </row>
    <row r="2103">
      <c r="A2103" t="n">
        <v>35</v>
      </c>
      <c r="B2103" t="n">
        <v>201901298</v>
      </c>
      <c r="C2103" t="n">
        <v>20140477</v>
      </c>
      <c r="D2103" t="inlineStr">
        <is>
          <t>species</t>
        </is>
      </c>
      <c r="E2103" t="inlineStr">
        <is>
          <t>Lactococcus virus jj50</t>
        </is>
      </c>
      <c r="F2103" t="inlineStr">
        <is>
          <t>DQ227764</t>
        </is>
      </c>
      <c r="G2103" t="inlineStr">
        <is>
          <t>Abolished,</t>
        </is>
      </c>
      <c r="L2103" s="8">
        <f>HYPERLINK("https://test.ictv.global/id/TN201901298","TN201901298@TEST")</f>
        <v/>
      </c>
      <c r="M2103" s="8">
        <f>HYPERLINK("https://test.ictv.global/id/ICTV20140477","ICTV20140477@TEST")</f>
        <v/>
      </c>
      <c r="N2103" s="8">
        <f>HYPERLINK("https://ictv.global/id/TN201901298","TN201901298@prod")</f>
        <v/>
      </c>
      <c r="O2103" s="8">
        <f>HYPERLINK("https://ictv.global/id/ICTV20140477","ICTV20140477@prod")</f>
        <v/>
      </c>
    </row>
    <row r="2104">
      <c r="A2104" t="n">
        <v>35</v>
      </c>
      <c r="B2104" t="n">
        <v>201901299</v>
      </c>
      <c r="C2104" t="n">
        <v>20140486</v>
      </c>
      <c r="D2104" t="inlineStr">
        <is>
          <t>species</t>
        </is>
      </c>
      <c r="E2104" t="inlineStr">
        <is>
          <t>Lactococcus virus P2</t>
        </is>
      </c>
      <c r="F2104" t="inlineStr">
        <is>
          <t>GQ979703</t>
        </is>
      </c>
      <c r="G2104" t="inlineStr">
        <is>
          <t>Abolished,</t>
        </is>
      </c>
      <c r="L2104" s="8">
        <f>HYPERLINK("https://test.ictv.global/id/TN201901299","TN201901299@TEST")</f>
        <v/>
      </c>
      <c r="M2104" s="8">
        <f>HYPERLINK("https://test.ictv.global/id/ICTV20140486","ICTV20140486@TEST")</f>
        <v/>
      </c>
      <c r="N2104" s="8">
        <f>HYPERLINK("https://ictv.global/id/TN201901299","TN201901299@prod")</f>
        <v/>
      </c>
      <c r="O2104" s="8">
        <f>HYPERLINK("https://ictv.global/id/ICTV20140486","ICTV20140486@prod")</f>
        <v/>
      </c>
    </row>
    <row r="2105">
      <c r="A2105" t="n">
        <v>35</v>
      </c>
      <c r="B2105" t="n">
        <v>201901338</v>
      </c>
      <c r="C2105" t="n">
        <v>20165098</v>
      </c>
      <c r="D2105" t="inlineStr">
        <is>
          <t>species</t>
        </is>
      </c>
      <c r="E2105" t="inlineStr">
        <is>
          <t>Tsukamurella virus TIN4</t>
        </is>
      </c>
      <c r="F2105" t="inlineStr">
        <is>
          <t>KR011063</t>
        </is>
      </c>
      <c r="G2105" t="inlineStr">
        <is>
          <t>Abolished,</t>
        </is>
      </c>
      <c r="L2105" s="8">
        <f>HYPERLINK("https://test.ictv.global/id/TN201901338","TN201901338@TEST")</f>
        <v/>
      </c>
      <c r="M2105" s="8">
        <f>HYPERLINK("https://test.ictv.global/id/ICTV20165098","ICTV20165098@TEST")</f>
        <v/>
      </c>
      <c r="N2105" s="8">
        <f>HYPERLINK("https://ictv.global/id/TN201901338","TN201901338@prod")</f>
        <v/>
      </c>
      <c r="O2105" s="8">
        <f>HYPERLINK("https://ictv.global/id/ICTV20165098","ICTV20165098@prod")</f>
        <v/>
      </c>
    </row>
    <row r="2106">
      <c r="A2106" t="n">
        <v>35</v>
      </c>
      <c r="B2106" t="n">
        <v>201901373</v>
      </c>
      <c r="C2106" t="n">
        <v>20165104</v>
      </c>
      <c r="D2106" t="inlineStr">
        <is>
          <t>species</t>
        </is>
      </c>
      <c r="E2106" t="inlineStr">
        <is>
          <t>Gordonia virus Hotorobo</t>
        </is>
      </c>
      <c r="F2106" t="inlineStr">
        <is>
          <t>KU963245</t>
        </is>
      </c>
      <c r="G2106" t="inlineStr">
        <is>
          <t>Abolished,</t>
        </is>
      </c>
      <c r="L2106" s="8">
        <f>HYPERLINK("https://test.ictv.global/id/TN201901373","TN201901373@TEST")</f>
        <v/>
      </c>
      <c r="M2106" s="8">
        <f>HYPERLINK("https://test.ictv.global/id/ICTV20165104","ICTV20165104@TEST")</f>
        <v/>
      </c>
      <c r="N2106" s="8">
        <f>HYPERLINK("https://ictv.global/id/TN201901373","TN201901373@prod")</f>
        <v/>
      </c>
      <c r="O2106" s="8">
        <f>HYPERLINK("https://ictv.global/id/ICTV20165104","ICTV20165104@prod")</f>
        <v/>
      </c>
    </row>
    <row r="2107">
      <c r="A2107" t="n">
        <v>35</v>
      </c>
      <c r="B2107" t="n">
        <v>201902187</v>
      </c>
      <c r="C2107" t="n">
        <v>20040260</v>
      </c>
      <c r="D2107" t="inlineStr">
        <is>
          <t>genus</t>
        </is>
      </c>
      <c r="E2107" t="inlineStr">
        <is>
          <t>Mandarivirus</t>
        </is>
      </c>
      <c r="G2107" t="inlineStr">
        <is>
          <t>Demoted,</t>
        </is>
      </c>
      <c r="H2107" t="inlineStr">
        <is>
          <t>Mandarivirus</t>
        </is>
      </c>
      <c r="I2107" t="inlineStr">
        <is>
          <t>subgenus</t>
        </is>
      </c>
      <c r="J2107" t="n">
        <v>20040260</v>
      </c>
      <c r="K2107" t="n">
        <v>202002187</v>
      </c>
      <c r="L2107" s="8">
        <f>HYPERLINK("https://test.ictv.global/id/TN201902187","TN201902187@TEST")</f>
        <v/>
      </c>
      <c r="M2107" s="8">
        <f>HYPERLINK("https://test.ictv.global/id/ICTV20040260","ICTV20040260@TEST")</f>
        <v/>
      </c>
      <c r="N2107" s="8">
        <f>HYPERLINK("https://ictv.global/id/TN201902187","TN201902187@prod")</f>
        <v/>
      </c>
      <c r="O2107" s="8">
        <f>HYPERLINK("https://ictv.global/id/ICTV20040260","ICTV20040260@prod")</f>
        <v/>
      </c>
    </row>
    <row r="2108">
      <c r="A2108" t="n">
        <v>35</v>
      </c>
      <c r="B2108" t="n">
        <v>201902218</v>
      </c>
      <c r="C2108" t="n">
        <v>19821286</v>
      </c>
      <c r="D2108" t="inlineStr">
        <is>
          <t>species</t>
        </is>
      </c>
      <c r="E2108" t="inlineStr">
        <is>
          <t>Plantain virus X</t>
        </is>
      </c>
      <c r="G2108" t="inlineStr">
        <is>
          <t>Merged,</t>
        </is>
      </c>
      <c r="H2108" t="inlineStr">
        <is>
          <t>Plantain virus X</t>
        </is>
      </c>
      <c r="I2108" t="inlineStr">
        <is>
          <t>species</t>
        </is>
      </c>
      <c r="J2108" t="n">
        <v>19821286</v>
      </c>
      <c r="K2108" t="n">
        <v>202002218</v>
      </c>
      <c r="L2108" s="8">
        <f>HYPERLINK("https://test.ictv.global/id/TN201902218","TN201902218@TEST")</f>
        <v/>
      </c>
      <c r="M2108" s="8">
        <f>HYPERLINK("https://test.ictv.global/id/ICTV19821286","ICTV19821286@TEST")</f>
        <v/>
      </c>
      <c r="N2108" s="8">
        <f>HYPERLINK("https://ictv.global/id/TN201902218","TN201902218@prod")</f>
        <v/>
      </c>
      <c r="O2108" s="8">
        <f>HYPERLINK("https://ictv.global/id/ICTV19821286","ICTV19821286@prod")</f>
        <v/>
      </c>
    </row>
    <row r="2109">
      <c r="A2109" t="n">
        <v>35</v>
      </c>
      <c r="B2109" t="n">
        <v>201902494</v>
      </c>
      <c r="C2109" t="n">
        <v>20093122</v>
      </c>
      <c r="D2109" t="inlineStr">
        <is>
          <t>species</t>
        </is>
      </c>
      <c r="E2109" t="inlineStr">
        <is>
          <t>Torque teno virus 7</t>
        </is>
      </c>
      <c r="G2109" t="inlineStr">
        <is>
          <t>Merged,</t>
        </is>
      </c>
      <c r="H2109" t="inlineStr">
        <is>
          <t>Torque teno virus 7</t>
        </is>
      </c>
      <c r="I2109" t="inlineStr">
        <is>
          <t>species</t>
        </is>
      </c>
      <c r="J2109" t="n">
        <v>20093122</v>
      </c>
      <c r="K2109" t="n">
        <v>202002494</v>
      </c>
      <c r="L2109" s="8">
        <f>HYPERLINK("https://test.ictv.global/id/TN201902494","TN201902494@TEST")</f>
        <v/>
      </c>
      <c r="M2109" s="8">
        <f>HYPERLINK("https://test.ictv.global/id/ICTV20093122","ICTV20093122@TEST")</f>
        <v/>
      </c>
      <c r="N2109" s="8">
        <f>HYPERLINK("https://ictv.global/id/TN201902494","TN201902494@prod")</f>
        <v/>
      </c>
      <c r="O2109" s="8">
        <f>HYPERLINK("https://ictv.global/id/ICTV20093122","ICTV20093122@prod")</f>
        <v/>
      </c>
    </row>
    <row r="2110">
      <c r="A2110" t="n">
        <v>35</v>
      </c>
      <c r="B2110" t="n">
        <v>201902495</v>
      </c>
      <c r="C2110" t="n">
        <v>20093123</v>
      </c>
      <c r="D2110" t="inlineStr">
        <is>
          <t>species</t>
        </is>
      </c>
      <c r="E2110" t="inlineStr">
        <is>
          <t>Torque teno virus 8</t>
        </is>
      </c>
      <c r="G2110" t="inlineStr">
        <is>
          <t>Merged,</t>
        </is>
      </c>
      <c r="H2110" t="inlineStr">
        <is>
          <t>Torque teno virus 7</t>
        </is>
      </c>
      <c r="I2110" t="inlineStr">
        <is>
          <t>species</t>
        </is>
      </c>
      <c r="J2110" t="n">
        <v>20093122</v>
      </c>
      <c r="K2110" t="n">
        <v>202002494</v>
      </c>
      <c r="L2110" s="8">
        <f>HYPERLINK("https://test.ictv.global/id/TN201902495","TN201902495@TEST")</f>
        <v/>
      </c>
      <c r="M2110" s="8">
        <f>HYPERLINK("https://test.ictv.global/id/ICTV20093123","ICTV20093123@TEST")</f>
        <v/>
      </c>
      <c r="N2110" s="8">
        <f>HYPERLINK("https://ictv.global/id/TN201902495","TN201902495@prod")</f>
        <v/>
      </c>
      <c r="O2110" s="8">
        <f>HYPERLINK("https://ictv.global/id/ICTV20093123","ICTV20093123@prod")</f>
        <v/>
      </c>
    </row>
    <row r="2111">
      <c r="A2111" t="n">
        <v>35</v>
      </c>
      <c r="B2111" t="n">
        <v>201902496</v>
      </c>
      <c r="C2111" t="n">
        <v>20093124</v>
      </c>
      <c r="D2111" t="inlineStr">
        <is>
          <t>species</t>
        </is>
      </c>
      <c r="E2111" t="inlineStr">
        <is>
          <t>Torque teno virus 9</t>
        </is>
      </c>
      <c r="G2111" t="inlineStr">
        <is>
          <t>Merged,</t>
        </is>
      </c>
      <c r="H2111" t="inlineStr">
        <is>
          <t>Torque teno virus 9</t>
        </is>
      </c>
      <c r="I2111" t="inlineStr">
        <is>
          <t>species</t>
        </is>
      </c>
      <c r="J2111" t="n">
        <v>20093124</v>
      </c>
      <c r="K2111" t="n">
        <v>202002496</v>
      </c>
      <c r="L2111" s="8">
        <f>HYPERLINK("https://test.ictv.global/id/TN201902496","TN201902496@TEST")</f>
        <v/>
      </c>
      <c r="M2111" s="8">
        <f>HYPERLINK("https://test.ictv.global/id/ICTV20093124","ICTV20093124@TEST")</f>
        <v/>
      </c>
      <c r="N2111" s="8">
        <f>HYPERLINK("https://ictv.global/id/TN201902496","TN201902496@prod")</f>
        <v/>
      </c>
      <c r="O2111" s="8">
        <f>HYPERLINK("https://ictv.global/id/ICTV20093124","ICTV20093124@prod")</f>
        <v/>
      </c>
    </row>
    <row r="2112">
      <c r="A2112" t="n">
        <v>35</v>
      </c>
      <c r="B2112" t="n">
        <v>201902498</v>
      </c>
      <c r="C2112" t="n">
        <v>20093098</v>
      </c>
      <c r="D2112" t="inlineStr">
        <is>
          <t>species</t>
        </is>
      </c>
      <c r="E2112" t="inlineStr">
        <is>
          <t>Torque teno virus 11</t>
        </is>
      </c>
      <c r="G2112" t="inlineStr">
        <is>
          <t>Merged,</t>
        </is>
      </c>
      <c r="H2112" t="inlineStr">
        <is>
          <t>Torque teno virus 9</t>
        </is>
      </c>
      <c r="I2112" t="inlineStr">
        <is>
          <t>species</t>
        </is>
      </c>
      <c r="J2112" t="n">
        <v>20093124</v>
      </c>
      <c r="K2112" t="n">
        <v>202002496</v>
      </c>
      <c r="L2112" s="8">
        <f>HYPERLINK("https://test.ictv.global/id/TN201902498","TN201902498@TEST")</f>
        <v/>
      </c>
      <c r="M2112" s="8">
        <f>HYPERLINK("https://test.ictv.global/id/ICTV20093098","ICTV20093098@TEST")</f>
        <v/>
      </c>
      <c r="N2112" s="8">
        <f>HYPERLINK("https://ictv.global/id/TN201902498","TN201902498@prod")</f>
        <v/>
      </c>
      <c r="O2112" s="8">
        <f>HYPERLINK("https://ictv.global/id/ICTV20093098","ICTV20093098@prod")</f>
        <v/>
      </c>
    </row>
    <row r="2113">
      <c r="A2113" t="n">
        <v>35</v>
      </c>
      <c r="B2113" t="n">
        <v>201902499</v>
      </c>
      <c r="C2113" t="n">
        <v>20093099</v>
      </c>
      <c r="D2113" t="inlineStr">
        <is>
          <t>species</t>
        </is>
      </c>
      <c r="E2113" t="inlineStr">
        <is>
          <t>Torque teno virus 12</t>
        </is>
      </c>
      <c r="G2113" t="inlineStr">
        <is>
          <t>Merged,</t>
        </is>
      </c>
      <c r="H2113" t="inlineStr">
        <is>
          <t>Torque teno virus 9</t>
        </is>
      </c>
      <c r="I2113" t="inlineStr">
        <is>
          <t>species</t>
        </is>
      </c>
      <c r="J2113" t="n">
        <v>20093124</v>
      </c>
      <c r="K2113" t="n">
        <v>202002496</v>
      </c>
      <c r="L2113" s="8">
        <f>HYPERLINK("https://test.ictv.global/id/TN201902499","TN201902499@TEST")</f>
        <v/>
      </c>
      <c r="M2113" s="8">
        <f>HYPERLINK("https://test.ictv.global/id/ICTV20093099","ICTV20093099@TEST")</f>
        <v/>
      </c>
      <c r="N2113" s="8">
        <f>HYPERLINK("https://ictv.global/id/TN201902499","TN201902499@prod")</f>
        <v/>
      </c>
      <c r="O2113" s="8">
        <f>HYPERLINK("https://ictv.global/id/ICTV20093099","ICTV20093099@prod")</f>
        <v/>
      </c>
    </row>
    <row r="2114">
      <c r="A2114" t="n">
        <v>35</v>
      </c>
      <c r="B2114" t="n">
        <v>201902502</v>
      </c>
      <c r="C2114" t="n">
        <v>20093102</v>
      </c>
      <c r="D2114" t="inlineStr">
        <is>
          <t>species</t>
        </is>
      </c>
      <c r="E2114" t="inlineStr">
        <is>
          <t>Torque teno virus 15</t>
        </is>
      </c>
      <c r="G2114" t="inlineStr">
        <is>
          <t>Merged,</t>
        </is>
      </c>
      <c r="H2114" t="inlineStr">
        <is>
          <t>Torque teno virus 15</t>
        </is>
      </c>
      <c r="I2114" t="inlineStr">
        <is>
          <t>species</t>
        </is>
      </c>
      <c r="J2114" t="n">
        <v>20093102</v>
      </c>
      <c r="K2114" t="n">
        <v>202002502</v>
      </c>
      <c r="L2114" s="8">
        <f>HYPERLINK("https://test.ictv.global/id/TN201902502","TN201902502@TEST")</f>
        <v/>
      </c>
      <c r="M2114" s="8">
        <f>HYPERLINK("https://test.ictv.global/id/ICTV20093102","ICTV20093102@TEST")</f>
        <v/>
      </c>
      <c r="N2114" s="8">
        <f>HYPERLINK("https://ictv.global/id/TN201902502","TN201902502@prod")</f>
        <v/>
      </c>
      <c r="O2114" s="8">
        <f>HYPERLINK("https://ictv.global/id/ICTV20093102","ICTV20093102@prod")</f>
        <v/>
      </c>
    </row>
    <row r="2115">
      <c r="A2115" t="n">
        <v>35</v>
      </c>
      <c r="B2115" t="n">
        <v>201902503</v>
      </c>
      <c r="C2115" t="n">
        <v>20093103</v>
      </c>
      <c r="D2115" t="inlineStr">
        <is>
          <t>species</t>
        </is>
      </c>
      <c r="E2115" t="inlineStr">
        <is>
          <t>Torque teno virus 16</t>
        </is>
      </c>
      <c r="G2115" t="inlineStr">
        <is>
          <t>Merged,</t>
        </is>
      </c>
      <c r="H2115" t="inlineStr">
        <is>
          <t>Torque teno virus 15</t>
        </is>
      </c>
      <c r="I2115" t="inlineStr">
        <is>
          <t>species</t>
        </is>
      </c>
      <c r="J2115" t="n">
        <v>20093102</v>
      </c>
      <c r="K2115" t="n">
        <v>202002502</v>
      </c>
      <c r="L2115" s="8">
        <f>HYPERLINK("https://test.ictv.global/id/TN201902503","TN201902503@TEST")</f>
        <v/>
      </c>
      <c r="M2115" s="8">
        <f>HYPERLINK("https://test.ictv.global/id/ICTV20093103","ICTV20093103@TEST")</f>
        <v/>
      </c>
      <c r="N2115" s="8">
        <f>HYPERLINK("https://ictv.global/id/TN201902503","TN201902503@prod")</f>
        <v/>
      </c>
      <c r="O2115" s="8">
        <f>HYPERLINK("https://ictv.global/id/ICTV20093103","ICTV20093103@prod")</f>
        <v/>
      </c>
    </row>
    <row r="2116">
      <c r="A2116" t="n">
        <v>35</v>
      </c>
      <c r="B2116" t="n">
        <v>201902509</v>
      </c>
      <c r="C2116" t="n">
        <v>20093110</v>
      </c>
      <c r="D2116" t="inlineStr">
        <is>
          <t>species</t>
        </is>
      </c>
      <c r="E2116" t="inlineStr">
        <is>
          <t>Torque teno virus 22</t>
        </is>
      </c>
      <c r="G2116" t="inlineStr">
        <is>
          <t>Merged,</t>
        </is>
      </c>
      <c r="H2116" t="inlineStr">
        <is>
          <t>Torque teno virus 24</t>
        </is>
      </c>
      <c r="I2116" t="inlineStr">
        <is>
          <t>species</t>
        </is>
      </c>
      <c r="J2116" t="n">
        <v>20093112</v>
      </c>
      <c r="K2116" t="n">
        <v>202002511</v>
      </c>
      <c r="L2116" s="8">
        <f>HYPERLINK("https://test.ictv.global/id/TN201902509","TN201902509@TEST")</f>
        <v/>
      </c>
      <c r="M2116" s="8">
        <f>HYPERLINK("https://test.ictv.global/id/ICTV20093110","ICTV20093110@TEST")</f>
        <v/>
      </c>
      <c r="N2116" s="8">
        <f>HYPERLINK("https://ictv.global/id/TN201902509","TN201902509@prod")</f>
        <v/>
      </c>
      <c r="O2116" s="8">
        <f>HYPERLINK("https://ictv.global/id/ICTV20093110","ICTV20093110@prod")</f>
        <v/>
      </c>
    </row>
    <row r="2117">
      <c r="A2117" t="n">
        <v>35</v>
      </c>
      <c r="B2117" t="n">
        <v>201902510</v>
      </c>
      <c r="C2117" t="n">
        <v>20093111</v>
      </c>
      <c r="D2117" t="inlineStr">
        <is>
          <t>species</t>
        </is>
      </c>
      <c r="E2117" t="inlineStr">
        <is>
          <t>Torque teno virus 23</t>
        </is>
      </c>
      <c r="G2117" t="inlineStr">
        <is>
          <t>Merged,</t>
        </is>
      </c>
      <c r="H2117" t="inlineStr">
        <is>
          <t>Torque teno virus 24</t>
        </is>
      </c>
      <c r="I2117" t="inlineStr">
        <is>
          <t>species</t>
        </is>
      </c>
      <c r="J2117" t="n">
        <v>20093112</v>
      </c>
      <c r="K2117" t="n">
        <v>202002511</v>
      </c>
      <c r="L2117" s="8">
        <f>HYPERLINK("https://test.ictv.global/id/TN201902510","TN201902510@TEST")</f>
        <v/>
      </c>
      <c r="M2117" s="8">
        <f>HYPERLINK("https://test.ictv.global/id/ICTV20093111","ICTV20093111@TEST")</f>
        <v/>
      </c>
      <c r="N2117" s="8">
        <f>HYPERLINK("https://ictv.global/id/TN201902510","TN201902510@prod")</f>
        <v/>
      </c>
      <c r="O2117" s="8">
        <f>HYPERLINK("https://ictv.global/id/ICTV20093111","ICTV20093111@prod")</f>
        <v/>
      </c>
    </row>
    <row r="2118">
      <c r="A2118" t="n">
        <v>35</v>
      </c>
      <c r="B2118" t="n">
        <v>201902511</v>
      </c>
      <c r="C2118" t="n">
        <v>20093112</v>
      </c>
      <c r="D2118" t="inlineStr">
        <is>
          <t>species</t>
        </is>
      </c>
      <c r="E2118" t="inlineStr">
        <is>
          <t>Torque teno virus 24</t>
        </is>
      </c>
      <c r="G2118" t="inlineStr">
        <is>
          <t>Merged,</t>
        </is>
      </c>
      <c r="H2118" t="inlineStr">
        <is>
          <t>Torque teno virus 24</t>
        </is>
      </c>
      <c r="I2118" t="inlineStr">
        <is>
          <t>species</t>
        </is>
      </c>
      <c r="J2118" t="n">
        <v>20093112</v>
      </c>
      <c r="K2118" t="n">
        <v>202002511</v>
      </c>
      <c r="L2118" s="8">
        <f>HYPERLINK("https://test.ictv.global/id/TN201902511","TN201902511@TEST")</f>
        <v/>
      </c>
      <c r="M2118" s="8">
        <f>HYPERLINK("https://test.ictv.global/id/ICTV20093112","ICTV20093112@TEST")</f>
        <v/>
      </c>
      <c r="N2118" s="8">
        <f>HYPERLINK("https://ictv.global/id/TN201902511","TN201902511@prod")</f>
        <v/>
      </c>
      <c r="O2118" s="8">
        <f>HYPERLINK("https://ictv.global/id/ICTV20093112","ICTV20093112@prod")</f>
        <v/>
      </c>
    </row>
    <row r="2119">
      <c r="A2119" t="n">
        <v>35</v>
      </c>
      <c r="B2119" t="n">
        <v>201902514</v>
      </c>
      <c r="C2119" t="n">
        <v>20093115</v>
      </c>
      <c r="D2119" t="inlineStr">
        <is>
          <t>species</t>
        </is>
      </c>
      <c r="E2119" t="inlineStr">
        <is>
          <t>Torque teno virus 27</t>
        </is>
      </c>
      <c r="G2119" t="inlineStr">
        <is>
          <t>Merged,</t>
        </is>
      </c>
      <c r="H2119" t="inlineStr">
        <is>
          <t>Torque teno virus 29</t>
        </is>
      </c>
      <c r="I2119" t="inlineStr">
        <is>
          <t>species</t>
        </is>
      </c>
      <c r="J2119" t="n">
        <v>20093117</v>
      </c>
      <c r="K2119" t="n">
        <v>202002516</v>
      </c>
      <c r="L2119" s="8">
        <f>HYPERLINK("https://test.ictv.global/id/TN201902514","TN201902514@TEST")</f>
        <v/>
      </c>
      <c r="M2119" s="8">
        <f>HYPERLINK("https://test.ictv.global/id/ICTV20093115","ICTV20093115@TEST")</f>
        <v/>
      </c>
      <c r="N2119" s="8">
        <f>HYPERLINK("https://ictv.global/id/TN201902514","TN201902514@prod")</f>
        <v/>
      </c>
      <c r="O2119" s="8">
        <f>HYPERLINK("https://ictv.global/id/ICTV20093115","ICTV20093115@prod")</f>
        <v/>
      </c>
    </row>
    <row r="2120">
      <c r="A2120" t="n">
        <v>35</v>
      </c>
      <c r="B2120" t="n">
        <v>201902515</v>
      </c>
      <c r="C2120" t="n">
        <v>20093116</v>
      </c>
      <c r="D2120" t="inlineStr">
        <is>
          <t>species</t>
        </is>
      </c>
      <c r="E2120" t="inlineStr">
        <is>
          <t>Torque teno virus 28</t>
        </is>
      </c>
      <c r="G2120" t="inlineStr">
        <is>
          <t>Merged,</t>
        </is>
      </c>
      <c r="H2120" t="inlineStr">
        <is>
          <t>Torque teno virus 29</t>
        </is>
      </c>
      <c r="I2120" t="inlineStr">
        <is>
          <t>species</t>
        </is>
      </c>
      <c r="J2120" t="n">
        <v>20093117</v>
      </c>
      <c r="K2120" t="n">
        <v>202002516</v>
      </c>
      <c r="L2120" s="8">
        <f>HYPERLINK("https://test.ictv.global/id/TN201902515","TN201902515@TEST")</f>
        <v/>
      </c>
      <c r="M2120" s="8">
        <f>HYPERLINK("https://test.ictv.global/id/ICTV20093116","ICTV20093116@TEST")</f>
        <v/>
      </c>
      <c r="N2120" s="8">
        <f>HYPERLINK("https://ictv.global/id/TN201902515","TN201902515@prod")</f>
        <v/>
      </c>
      <c r="O2120" s="8">
        <f>HYPERLINK("https://ictv.global/id/ICTV20093116","ICTV20093116@prod")</f>
        <v/>
      </c>
    </row>
    <row r="2121">
      <c r="A2121" t="n">
        <v>35</v>
      </c>
      <c r="B2121" t="n">
        <v>201902516</v>
      </c>
      <c r="C2121" t="n">
        <v>20093117</v>
      </c>
      <c r="D2121" t="inlineStr">
        <is>
          <t>species</t>
        </is>
      </c>
      <c r="E2121" t="inlineStr">
        <is>
          <t>Torque teno virus 29</t>
        </is>
      </c>
      <c r="G2121" t="inlineStr">
        <is>
          <t>Merged,</t>
        </is>
      </c>
      <c r="H2121" t="inlineStr">
        <is>
          <t>Torque teno virus 29</t>
        </is>
      </c>
      <c r="I2121" t="inlineStr">
        <is>
          <t>species</t>
        </is>
      </c>
      <c r="J2121" t="n">
        <v>20093117</v>
      </c>
      <c r="K2121" t="n">
        <v>202002516</v>
      </c>
      <c r="L2121" s="8">
        <f>HYPERLINK("https://test.ictv.global/id/TN201902516","TN201902516@TEST")</f>
        <v/>
      </c>
      <c r="M2121" s="8">
        <f>HYPERLINK("https://test.ictv.global/id/ICTV20093117","ICTV20093117@TEST")</f>
        <v/>
      </c>
      <c r="N2121" s="8">
        <f>HYPERLINK("https://ictv.global/id/TN201902516","TN201902516@prod")</f>
        <v/>
      </c>
      <c r="O2121" s="8">
        <f>HYPERLINK("https://ictv.global/id/ICTV20093117","ICTV20093117@prod")</f>
        <v/>
      </c>
    </row>
    <row r="2122">
      <c r="A2122" t="n">
        <v>35</v>
      </c>
      <c r="B2122" t="n">
        <v>201902556</v>
      </c>
      <c r="C2122" t="n">
        <v>20093139</v>
      </c>
      <c r="D2122" t="inlineStr">
        <is>
          <t>species</t>
        </is>
      </c>
      <c r="E2122" t="inlineStr">
        <is>
          <t>Torque teno sus virus 1a</t>
        </is>
      </c>
      <c r="G2122" t="inlineStr">
        <is>
          <t>Merged,Removed as Type Species,</t>
        </is>
      </c>
      <c r="H2122" t="inlineStr">
        <is>
          <t>Torque teno sus virus 1a</t>
        </is>
      </c>
      <c r="I2122" t="inlineStr">
        <is>
          <t>species</t>
        </is>
      </c>
      <c r="J2122" t="n">
        <v>20093139</v>
      </c>
      <c r="K2122" t="n">
        <v>202002556</v>
      </c>
      <c r="L2122" s="8">
        <f>HYPERLINK("https://test.ictv.global/id/TN201902556","TN201902556@TEST")</f>
        <v/>
      </c>
      <c r="M2122" s="8">
        <f>HYPERLINK("https://test.ictv.global/id/ICTV20093139","ICTV20093139@TEST")</f>
        <v/>
      </c>
      <c r="N2122" s="8">
        <f>HYPERLINK("https://ictv.global/id/TN201902556","TN201902556@prod")</f>
        <v/>
      </c>
      <c r="O2122" s="8">
        <f>HYPERLINK("https://ictv.global/id/ICTV20093139","ICTV20093139@prod")</f>
        <v/>
      </c>
    </row>
    <row r="2123">
      <c r="A2123" t="n">
        <v>35</v>
      </c>
      <c r="B2123" t="n">
        <v>201902557</v>
      </c>
      <c r="C2123" t="n">
        <v>20093140</v>
      </c>
      <c r="D2123" t="inlineStr">
        <is>
          <t>species</t>
        </is>
      </c>
      <c r="E2123" t="inlineStr">
        <is>
          <t>Torque teno sus virus 1b</t>
        </is>
      </c>
      <c r="G2123" t="inlineStr">
        <is>
          <t>Merged,</t>
        </is>
      </c>
      <c r="H2123" t="inlineStr">
        <is>
          <t>Torque teno sus virus 1a</t>
        </is>
      </c>
      <c r="I2123" t="inlineStr">
        <is>
          <t>species</t>
        </is>
      </c>
      <c r="J2123" t="n">
        <v>20093139</v>
      </c>
      <c r="K2123" t="n">
        <v>202002556</v>
      </c>
      <c r="L2123" s="8">
        <f>HYPERLINK("https://test.ictv.global/id/TN201902557","TN201902557@TEST")</f>
        <v/>
      </c>
      <c r="M2123" s="8">
        <f>HYPERLINK("https://test.ictv.global/id/ICTV20093140","ICTV20093140@TEST")</f>
        <v/>
      </c>
      <c r="N2123" s="8">
        <f>HYPERLINK("https://ictv.global/id/TN201902557","TN201902557@prod")</f>
        <v/>
      </c>
      <c r="O2123" s="8">
        <f>HYPERLINK("https://ictv.global/id/ICTV20093140","ICTV20093140@prod")</f>
        <v/>
      </c>
    </row>
    <row r="2124">
      <c r="A2124" t="n">
        <v>35</v>
      </c>
      <c r="B2124" t="n">
        <v>201903321</v>
      </c>
      <c r="C2124" t="n">
        <v>20083916</v>
      </c>
      <c r="D2124" t="inlineStr">
        <is>
          <t>species</t>
        </is>
      </c>
      <c r="E2124" t="inlineStr">
        <is>
          <t>Radish leaf curl virus</t>
        </is>
      </c>
      <c r="G2124" t="inlineStr">
        <is>
          <t>Abolished,</t>
        </is>
      </c>
      <c r="L2124" s="8">
        <f>HYPERLINK("https://test.ictv.global/id/TN201903321","TN201903321@TEST")</f>
        <v/>
      </c>
      <c r="M2124" s="8">
        <f>HYPERLINK("https://test.ictv.global/id/ICTV20083916","ICTV20083916@TEST")</f>
        <v/>
      </c>
      <c r="N2124" s="8">
        <f>HYPERLINK("https://ictv.global/id/TN201903321","TN201903321@prod")</f>
        <v/>
      </c>
      <c r="O2124" s="8">
        <f>HYPERLINK("https://ictv.global/id/ICTV20083916","ICTV20083916@prod")</f>
        <v/>
      </c>
    </row>
    <row r="2125">
      <c r="A2125" t="n">
        <v>35</v>
      </c>
      <c r="B2125" t="n">
        <v>201903549</v>
      </c>
      <c r="C2125" t="n">
        <v>20165311</v>
      </c>
      <c r="D2125" t="inlineStr">
        <is>
          <t>species</t>
        </is>
      </c>
      <c r="E2125" t="inlineStr">
        <is>
          <t>Mulberry mosaic dwarf associated virus</t>
        </is>
      </c>
      <c r="F2125" t="inlineStr">
        <is>
          <t>KP303687</t>
        </is>
      </c>
      <c r="G2125" t="inlineStr">
        <is>
          <t>Abolished,</t>
        </is>
      </c>
      <c r="L2125" s="8">
        <f>HYPERLINK("https://test.ictv.global/id/TN201903549","TN201903549@TEST")</f>
        <v/>
      </c>
      <c r="M2125" s="8">
        <f>HYPERLINK("https://test.ictv.global/id/ICTV20165311","ICTV20165311@TEST")</f>
        <v/>
      </c>
      <c r="N2125" s="8">
        <f>HYPERLINK("https://ictv.global/id/TN201903549","TN201903549@prod")</f>
        <v/>
      </c>
      <c r="O2125" s="8">
        <f>HYPERLINK("https://ictv.global/id/ICTV20165311","ICTV20165311@prod")</f>
        <v/>
      </c>
    </row>
    <row r="2126">
      <c r="A2126" t="n">
        <v>35</v>
      </c>
      <c r="B2126" t="n">
        <v>201903759</v>
      </c>
      <c r="C2126" t="n">
        <v>19980042</v>
      </c>
      <c r="D2126" t="inlineStr">
        <is>
          <t>family</t>
        </is>
      </c>
      <c r="E2126" t="inlineStr">
        <is>
          <t>Luteoviridae</t>
        </is>
      </c>
      <c r="G2126" t="inlineStr">
        <is>
          <t>Abolished,</t>
        </is>
      </c>
      <c r="L2126" s="8">
        <f>HYPERLINK("https://test.ictv.global/id/TN201903759","TN201903759@TEST")</f>
        <v/>
      </c>
      <c r="M2126" s="8">
        <f>HYPERLINK("https://test.ictv.global/id/ICTV19980042","ICTV19980042@TEST")</f>
        <v/>
      </c>
      <c r="N2126" s="8">
        <f>HYPERLINK("https://ictv.global/id/TN201903759","TN201903759@prod")</f>
        <v/>
      </c>
      <c r="O2126" s="8">
        <f>HYPERLINK("https://ictv.global/id/ICTV19980042","ICTV19980042@prod")</f>
        <v/>
      </c>
    </row>
    <row r="2127">
      <c r="A2127" t="n">
        <v>35</v>
      </c>
      <c r="B2127" t="n">
        <v>201905123</v>
      </c>
      <c r="C2127" t="n">
        <v>20165434</v>
      </c>
      <c r="D2127" t="inlineStr">
        <is>
          <t>species</t>
        </is>
      </c>
      <c r="E2127" t="inlineStr">
        <is>
          <t>Ageratum yellow vein India betasatellite</t>
        </is>
      </c>
      <c r="F2127" t="inlineStr">
        <is>
          <t>AJ557441</t>
        </is>
      </c>
      <c r="G2127" t="inlineStr">
        <is>
          <t>Abolished,</t>
        </is>
      </c>
      <c r="L2127" s="8">
        <f>HYPERLINK("https://test.ictv.global/id/TN201905123","TN201905123@TEST")</f>
        <v/>
      </c>
      <c r="M2127" s="8">
        <f>HYPERLINK("https://test.ictv.global/id/ICTV20165434","ICTV20165434@TEST")</f>
        <v/>
      </c>
      <c r="N2127" s="8">
        <f>HYPERLINK("https://ictv.global/id/TN201905123","TN201905123@prod")</f>
        <v/>
      </c>
      <c r="O2127" s="8">
        <f>HYPERLINK("https://ictv.global/id/ICTV20165434","ICTV20165434@prod")</f>
        <v/>
      </c>
    </row>
    <row r="2128">
      <c r="A2128" t="n">
        <v>35</v>
      </c>
      <c r="B2128" t="n">
        <v>201905142</v>
      </c>
      <c r="C2128" t="n">
        <v>20165453</v>
      </c>
      <c r="D2128" t="inlineStr">
        <is>
          <t>species</t>
        </is>
      </c>
      <c r="E2128" t="inlineStr">
        <is>
          <t>Malvastrum leaf curl Guangdong betasatellite</t>
        </is>
      </c>
      <c r="F2128" t="inlineStr">
        <is>
          <t>KF912951</t>
        </is>
      </c>
      <c r="G2128" t="inlineStr">
        <is>
          <t>Abolished,</t>
        </is>
      </c>
      <c r="L2128" s="8">
        <f>HYPERLINK("https://test.ictv.global/id/TN201905142","TN201905142@TEST")</f>
        <v/>
      </c>
      <c r="M2128" s="8">
        <f>HYPERLINK("https://test.ictv.global/id/ICTV20165453","ICTV20165453@TEST")</f>
        <v/>
      </c>
      <c r="N2128" s="8">
        <f>HYPERLINK("https://ictv.global/id/TN201905142","TN201905142@prod")</f>
        <v/>
      </c>
      <c r="O2128" s="8">
        <f>HYPERLINK("https://ictv.global/id/ICTV20165453","ICTV20165453@prod")</f>
        <v/>
      </c>
    </row>
    <row r="2129">
      <c r="A2129" t="n">
        <v>35</v>
      </c>
      <c r="B2129" t="n">
        <v>201905173</v>
      </c>
      <c r="C2129" t="n">
        <v>20165484</v>
      </c>
      <c r="D2129" t="inlineStr">
        <is>
          <t>species</t>
        </is>
      </c>
      <c r="E2129" t="inlineStr">
        <is>
          <t>Tomato yellow leaf curl Rajasthan betasatellite</t>
        </is>
      </c>
      <c r="F2129" t="inlineStr">
        <is>
          <t>AY438558</t>
        </is>
      </c>
      <c r="G2129" t="inlineStr">
        <is>
          <t>Abolished,</t>
        </is>
      </c>
      <c r="L2129" s="8">
        <f>HYPERLINK("https://test.ictv.global/id/TN201905173","TN201905173@TEST")</f>
        <v/>
      </c>
      <c r="M2129" s="8">
        <f>HYPERLINK("https://test.ictv.global/id/ICTV20165484","ICTV20165484@TEST")</f>
        <v/>
      </c>
      <c r="N2129" s="8">
        <f>HYPERLINK("https://ictv.global/id/TN201905173","TN201905173@prod")</f>
        <v/>
      </c>
      <c r="O2129" s="8">
        <f>HYPERLINK("https://ictv.global/id/ICTV20165484","ICTV20165484@prod")</f>
        <v/>
      </c>
    </row>
    <row r="2130">
      <c r="A2130" t="n">
        <v>35</v>
      </c>
      <c r="B2130" t="n">
        <v>201905473</v>
      </c>
      <c r="C2130" t="n">
        <v>20175473</v>
      </c>
      <c r="D2130" t="inlineStr">
        <is>
          <t>genus</t>
        </is>
      </c>
      <c r="E2130" t="inlineStr">
        <is>
          <t>Kuttervirus</t>
        </is>
      </c>
      <c r="G2130" t="inlineStr">
        <is>
          <t>Merged,</t>
        </is>
      </c>
      <c r="H2130" t="inlineStr">
        <is>
          <t>Kuttervirus</t>
        </is>
      </c>
      <c r="I2130" t="inlineStr">
        <is>
          <t>genus</t>
        </is>
      </c>
      <c r="J2130" t="n">
        <v>20175473</v>
      </c>
      <c r="K2130" t="n">
        <v>202005473</v>
      </c>
      <c r="L2130" s="8">
        <f>HYPERLINK("https://test.ictv.global/id/TN201905473","TN201905473@TEST")</f>
        <v/>
      </c>
      <c r="M2130" s="8">
        <f>HYPERLINK("https://test.ictv.global/id/ICTV20175473","ICTV20175473@TEST")</f>
        <v/>
      </c>
      <c r="N2130" s="8">
        <f>HYPERLINK("https://ictv.global/id/TN201905473","TN201905473@prod")</f>
        <v/>
      </c>
      <c r="O2130" s="8">
        <f>HYPERLINK("https://ictv.global/id/ICTV20175473","ICTV20175473@prod")</f>
        <v/>
      </c>
    </row>
    <row r="2131">
      <c r="A2131" t="n">
        <v>35</v>
      </c>
      <c r="B2131" t="n">
        <v>201905517</v>
      </c>
      <c r="C2131" t="n">
        <v>20175517</v>
      </c>
      <c r="D2131" t="inlineStr">
        <is>
          <t>species</t>
        </is>
      </c>
      <c r="E2131" t="inlineStr">
        <is>
          <t>Leuconostoc virus LN6B</t>
        </is>
      </c>
      <c r="G2131" t="inlineStr">
        <is>
          <t>Abolished,</t>
        </is>
      </c>
      <c r="L2131" s="8">
        <f>HYPERLINK("https://test.ictv.global/id/TN201905517","TN201905517@TEST")</f>
        <v/>
      </c>
      <c r="M2131" s="8">
        <f>HYPERLINK("https://test.ictv.global/id/ICTV20175517","ICTV20175517@TEST")</f>
        <v/>
      </c>
      <c r="N2131" s="8">
        <f>HYPERLINK("https://ictv.global/id/TN201905517","TN201905517@prod")</f>
        <v/>
      </c>
      <c r="O2131" s="8">
        <f>HYPERLINK("https://ictv.global/id/ICTV20175517","ICTV20175517@prod")</f>
        <v/>
      </c>
    </row>
    <row r="2132">
      <c r="A2132" t="n">
        <v>35</v>
      </c>
      <c r="B2132" t="n">
        <v>201905523</v>
      </c>
      <c r="C2132" t="n">
        <v>20175523</v>
      </c>
      <c r="D2132" t="inlineStr">
        <is>
          <t>species</t>
        </is>
      </c>
      <c r="E2132" t="inlineStr">
        <is>
          <t>Leuconostoc virus Ln8</t>
        </is>
      </c>
      <c r="G2132" t="inlineStr">
        <is>
          <t>Abolished,</t>
        </is>
      </c>
      <c r="L2132" s="8">
        <f>HYPERLINK("https://test.ictv.global/id/TN201905523","TN201905523@TEST")</f>
        <v/>
      </c>
      <c r="M2132" s="8">
        <f>HYPERLINK("https://test.ictv.global/id/ICTV20175523","ICTV20175523@TEST")</f>
        <v/>
      </c>
      <c r="N2132" s="8">
        <f>HYPERLINK("https://ictv.global/id/TN201905523","TN201905523@prod")</f>
        <v/>
      </c>
      <c r="O2132" s="8">
        <f>HYPERLINK("https://ictv.global/id/ICTV20175523","ICTV20175523@prod")</f>
        <v/>
      </c>
    </row>
    <row r="2133">
      <c r="A2133" t="n">
        <v>35</v>
      </c>
      <c r="B2133" t="n">
        <v>201905525</v>
      </c>
      <c r="C2133" t="n">
        <v>20175525</v>
      </c>
      <c r="D2133" t="inlineStr">
        <is>
          <t>species</t>
        </is>
      </c>
      <c r="E2133" t="inlineStr">
        <is>
          <t>Leuconostoc virus LNTR3</t>
        </is>
      </c>
      <c r="G2133" t="inlineStr">
        <is>
          <t>Abolished,</t>
        </is>
      </c>
      <c r="L2133" s="8">
        <f>HYPERLINK("https://test.ictv.global/id/TN201905525","TN201905525@TEST")</f>
        <v/>
      </c>
      <c r="M2133" s="8">
        <f>HYPERLINK("https://test.ictv.global/id/ICTV20175525","ICTV20175525@TEST")</f>
        <v/>
      </c>
      <c r="N2133" s="8">
        <f>HYPERLINK("https://ictv.global/id/TN201905525","TN201905525@prod")</f>
        <v/>
      </c>
      <c r="O2133" s="8">
        <f>HYPERLINK("https://ictv.global/id/ICTV20175525","ICTV20175525@prod")</f>
        <v/>
      </c>
    </row>
    <row r="2134">
      <c r="A2134" t="n">
        <v>35</v>
      </c>
      <c r="B2134" t="n">
        <v>201905557</v>
      </c>
      <c r="C2134" t="n">
        <v>20175557</v>
      </c>
      <c r="D2134" t="inlineStr">
        <is>
          <t>genus</t>
        </is>
      </c>
      <c r="E2134" t="inlineStr">
        <is>
          <t>Hendrixvirus</t>
        </is>
      </c>
      <c r="G2134" t="inlineStr">
        <is>
          <t>Renamed,Promoted,</t>
        </is>
      </c>
      <c r="H2134" t="inlineStr">
        <is>
          <t>Hendrixvirinae</t>
        </is>
      </c>
      <c r="I2134" t="inlineStr">
        <is>
          <t>subfamily</t>
        </is>
      </c>
      <c r="J2134" t="n">
        <v>20175557</v>
      </c>
      <c r="K2134" t="n">
        <v>202005557</v>
      </c>
      <c r="L2134" s="8">
        <f>HYPERLINK("https://test.ictv.global/id/TN201905557","TN201905557@TEST")</f>
        <v/>
      </c>
      <c r="M2134" s="8">
        <f>HYPERLINK("https://test.ictv.global/id/ICTV20175557","ICTV20175557@TEST")</f>
        <v/>
      </c>
      <c r="N2134" s="8">
        <f>HYPERLINK("https://ictv.global/id/TN201905557","TN201905557@prod")</f>
        <v/>
      </c>
      <c r="O2134" s="8">
        <f>HYPERLINK("https://ictv.global/id/ICTV20175557","ICTV20175557@prod")</f>
        <v/>
      </c>
    </row>
    <row r="2135">
      <c r="A2135" t="n">
        <v>35</v>
      </c>
      <c r="B2135" t="n">
        <v>201905634</v>
      </c>
      <c r="C2135" t="n">
        <v>20175634</v>
      </c>
      <c r="D2135" t="inlineStr">
        <is>
          <t>species</t>
        </is>
      </c>
      <c r="E2135" t="inlineStr">
        <is>
          <t>Actinidia virus X</t>
        </is>
      </c>
      <c r="G2135" t="inlineStr">
        <is>
          <t>Merged,</t>
        </is>
      </c>
      <c r="H2135" t="inlineStr">
        <is>
          <t>Plantain virus X</t>
        </is>
      </c>
      <c r="I2135" t="inlineStr">
        <is>
          <t>species</t>
        </is>
      </c>
      <c r="J2135" t="n">
        <v>19821286</v>
      </c>
      <c r="K2135" t="n">
        <v>202002218</v>
      </c>
      <c r="L2135" s="8">
        <f>HYPERLINK("https://test.ictv.global/id/TN201905634","TN201905634@TEST")</f>
        <v/>
      </c>
      <c r="M2135" s="8">
        <f>HYPERLINK("https://test.ictv.global/id/ICTV20175634","ICTV20175634@TEST")</f>
        <v/>
      </c>
      <c r="N2135" s="8">
        <f>HYPERLINK("https://ictv.global/id/TN201905634","TN201905634@prod")</f>
        <v/>
      </c>
      <c r="O2135" s="8">
        <f>HYPERLINK("https://ictv.global/id/ICTV20175634","ICTV20175634@prod")</f>
        <v/>
      </c>
    </row>
    <row r="2136">
      <c r="A2136" t="n">
        <v>35</v>
      </c>
      <c r="B2136" t="n">
        <v>201906050</v>
      </c>
      <c r="C2136" t="n">
        <v>20186050</v>
      </c>
      <c r="D2136" t="inlineStr">
        <is>
          <t>species</t>
        </is>
      </c>
      <c r="E2136" t="inlineStr">
        <is>
          <t>Crustacean mivirus</t>
        </is>
      </c>
      <c r="F2136" t="inlineStr">
        <is>
          <t>KX884453; KX884454</t>
        </is>
      </c>
      <c r="G2136" t="inlineStr">
        <is>
          <t>Abolished,</t>
        </is>
      </c>
      <c r="L2136" s="8">
        <f>HYPERLINK("https://test.ictv.global/id/TN201906050","TN201906050@TEST")</f>
        <v/>
      </c>
      <c r="M2136" s="8">
        <f>HYPERLINK("https://test.ictv.global/id/ICTV20186050","ICTV20186050@TEST")</f>
        <v/>
      </c>
      <c r="N2136" s="8">
        <f>HYPERLINK("https://ictv.global/id/TN201906050","TN201906050@prod")</f>
        <v/>
      </c>
      <c r="O2136" s="8">
        <f>HYPERLINK("https://ictv.global/id/ICTV20186050","ICTV20186050@prod")</f>
        <v/>
      </c>
    </row>
    <row r="2137">
      <c r="A2137" t="n">
        <v>35</v>
      </c>
      <c r="B2137" t="n">
        <v>201906053</v>
      </c>
      <c r="C2137" t="n">
        <v>20186053</v>
      </c>
      <c r="D2137" t="inlineStr">
        <is>
          <t>species</t>
        </is>
      </c>
      <c r="E2137" t="inlineStr">
        <is>
          <t>Hermit mivirus</t>
        </is>
      </c>
      <c r="F2137" t="inlineStr">
        <is>
          <t>KX884404</t>
        </is>
      </c>
      <c r="G2137" t="inlineStr">
        <is>
          <t>Abolished,</t>
        </is>
      </c>
      <c r="L2137" s="8">
        <f>HYPERLINK("https://test.ictv.global/id/TN201906053","TN201906053@TEST")</f>
        <v/>
      </c>
      <c r="M2137" s="8">
        <f>HYPERLINK("https://test.ictv.global/id/ICTV20186053","ICTV20186053@TEST")</f>
        <v/>
      </c>
      <c r="N2137" s="8">
        <f>HYPERLINK("https://ictv.global/id/TN201906053","TN201906053@prod")</f>
        <v/>
      </c>
      <c r="O2137" s="8">
        <f>HYPERLINK("https://ictv.global/id/ICTV20186053","ICTV20186053@prod")</f>
        <v/>
      </c>
    </row>
    <row r="2138">
      <c r="A2138" t="n">
        <v>35</v>
      </c>
      <c r="B2138" t="n">
        <v>201906058</v>
      </c>
      <c r="C2138" t="n">
        <v>20186058</v>
      </c>
      <c r="D2138" t="inlineStr">
        <is>
          <t>species</t>
        </is>
      </c>
      <c r="E2138" t="inlineStr">
        <is>
          <t>Lacewing mivirus</t>
        </is>
      </c>
      <c r="F2138" t="inlineStr">
        <is>
          <t>KM817613</t>
        </is>
      </c>
      <c r="G2138" t="inlineStr">
        <is>
          <t>Abolished,</t>
        </is>
      </c>
      <c r="L2138" s="8">
        <f>HYPERLINK("https://test.ictv.global/id/TN201906058","TN201906058@TEST")</f>
        <v/>
      </c>
      <c r="M2138" s="8">
        <f>HYPERLINK("https://test.ictv.global/id/ICTV20186058","ICTV20186058@TEST")</f>
        <v/>
      </c>
      <c r="N2138" s="8">
        <f>HYPERLINK("https://ictv.global/id/TN201906058","TN201906058@prod")</f>
        <v/>
      </c>
      <c r="O2138" s="8">
        <f>HYPERLINK("https://ictv.global/id/ICTV20186058","ICTV20186058@prod")</f>
        <v/>
      </c>
    </row>
    <row r="2139">
      <c r="A2139" t="n">
        <v>35</v>
      </c>
      <c r="B2139" t="n">
        <v>201906070</v>
      </c>
      <c r="C2139" t="n">
        <v>20186070</v>
      </c>
      <c r="D2139" t="inlineStr">
        <is>
          <t>species</t>
        </is>
      </c>
      <c r="E2139" t="inlineStr">
        <is>
          <t>Xinzhou mivirus</t>
        </is>
      </c>
      <c r="F2139" t="inlineStr">
        <is>
          <t>KX884461</t>
        </is>
      </c>
      <c r="G2139" t="inlineStr">
        <is>
          <t>Abolished,</t>
        </is>
      </c>
      <c r="L2139" s="8">
        <f>HYPERLINK("https://test.ictv.global/id/TN201906070","TN201906070@TEST")</f>
        <v/>
      </c>
      <c r="M2139" s="8">
        <f>HYPERLINK("https://test.ictv.global/id/ICTV20186070","ICTV20186070@TEST")</f>
        <v/>
      </c>
      <c r="N2139" s="8">
        <f>HYPERLINK("https://ictv.global/id/TN201906070","TN201906070@prod")</f>
        <v/>
      </c>
      <c r="O2139" s="8">
        <f>HYPERLINK("https://ictv.global/id/ICTV20186070","ICTV20186070@prod")</f>
        <v/>
      </c>
    </row>
    <row r="2140">
      <c r="A2140" t="n">
        <v>35</v>
      </c>
      <c r="B2140" t="n">
        <v>201906246</v>
      </c>
      <c r="C2140" t="n">
        <v>20186246</v>
      </c>
      <c r="D2140" t="inlineStr">
        <is>
          <t>species</t>
        </is>
      </c>
      <c r="E2140" t="inlineStr">
        <is>
          <t>Hubei sclerotimonavirus</t>
        </is>
      </c>
      <c r="F2140" t="inlineStr">
        <is>
          <t>KX884403</t>
        </is>
      </c>
      <c r="G2140" t="inlineStr">
        <is>
          <t>Abolished,</t>
        </is>
      </c>
      <c r="L2140" s="8">
        <f>HYPERLINK("https://test.ictv.global/id/TN201906246","TN201906246@TEST")</f>
        <v/>
      </c>
      <c r="M2140" s="8">
        <f>HYPERLINK("https://test.ictv.global/id/ICTV20186246","ICTV20186246@TEST")</f>
        <v/>
      </c>
      <c r="N2140" s="8">
        <f>HYPERLINK("https://ictv.global/id/TN201906246","TN201906246@prod")</f>
        <v/>
      </c>
      <c r="O2140" s="8">
        <f>HYPERLINK("https://ictv.global/id/ICTV20186246","ICTV20186246@prod")</f>
        <v/>
      </c>
    </row>
    <row r="2141">
      <c r="A2141" t="n">
        <v>35</v>
      </c>
      <c r="B2141" t="n">
        <v>201906516</v>
      </c>
      <c r="C2141" t="n">
        <v>201856516</v>
      </c>
      <c r="D2141" t="inlineStr">
        <is>
          <t>species</t>
        </is>
      </c>
      <c r="E2141" t="inlineStr">
        <is>
          <t>Torque teno seal virus 4</t>
        </is>
      </c>
      <c r="F2141" t="inlineStr">
        <is>
          <t>KM262783</t>
        </is>
      </c>
      <c r="G2141" t="inlineStr">
        <is>
          <t>Merged,Removed as Type Species,</t>
        </is>
      </c>
      <c r="H2141" t="inlineStr">
        <is>
          <t>Torque teno pinniped virus 4</t>
        </is>
      </c>
      <c r="I2141" t="inlineStr">
        <is>
          <t>species</t>
        </is>
      </c>
      <c r="J2141" t="n">
        <v>201856516</v>
      </c>
      <c r="K2141" t="n">
        <v>202006516</v>
      </c>
      <c r="L2141" s="8">
        <f>HYPERLINK("https://test.ictv.global/id/TN201906516","TN201906516@TEST")</f>
        <v/>
      </c>
      <c r="M2141" s="8">
        <f>HYPERLINK("https://test.ictv.global/id/ICTV201856516","ICTV201856516@TEST")</f>
        <v/>
      </c>
      <c r="N2141" s="8">
        <f>HYPERLINK("https://ictv.global/id/TN201906516","TN201906516@prod")</f>
        <v/>
      </c>
      <c r="O2141" s="8">
        <f>HYPERLINK("https://ictv.global/id/ICTV201856516","ICTV201856516@prod")</f>
        <v/>
      </c>
    </row>
    <row r="2142">
      <c r="A2142" t="n">
        <v>35</v>
      </c>
      <c r="B2142" t="n">
        <v>201906517</v>
      </c>
      <c r="C2142" t="n">
        <v>201856517</v>
      </c>
      <c r="D2142" t="inlineStr">
        <is>
          <t>species</t>
        </is>
      </c>
      <c r="E2142" t="inlineStr">
        <is>
          <t>Torque teno seal virus 5</t>
        </is>
      </c>
      <c r="F2142" t="inlineStr">
        <is>
          <t>KM262782</t>
        </is>
      </c>
      <c r="G2142" t="inlineStr">
        <is>
          <t>Merged,</t>
        </is>
      </c>
      <c r="H2142" t="inlineStr">
        <is>
          <t>Torque teno pinniped virus 4</t>
        </is>
      </c>
      <c r="I2142" t="inlineStr">
        <is>
          <t>species</t>
        </is>
      </c>
      <c r="J2142" t="n">
        <v>201856516</v>
      </c>
      <c r="K2142" t="n">
        <v>202006516</v>
      </c>
      <c r="L2142" s="8">
        <f>HYPERLINK("https://test.ictv.global/id/TN201906517","TN201906517@TEST")</f>
        <v/>
      </c>
      <c r="M2142" s="8">
        <f>HYPERLINK("https://test.ictv.global/id/ICTV201856517","ICTV201856517@TEST")</f>
        <v/>
      </c>
      <c r="N2142" s="8">
        <f>HYPERLINK("https://ictv.global/id/TN201906517","TN201906517@prod")</f>
        <v/>
      </c>
      <c r="O2142" s="8">
        <f>HYPERLINK("https://ictv.global/id/ICTV201856517","ICTV201856517@prod")</f>
        <v/>
      </c>
    </row>
    <row r="2143">
      <c r="A2143" t="n">
        <v>35</v>
      </c>
      <c r="B2143" t="n">
        <v>201907005</v>
      </c>
      <c r="C2143" t="n">
        <v>201857005</v>
      </c>
      <c r="D2143" t="inlineStr">
        <is>
          <t>species</t>
        </is>
      </c>
      <c r="E2143" t="inlineStr">
        <is>
          <t>Arthrobacter virus Shade</t>
        </is>
      </c>
      <c r="F2143" t="inlineStr">
        <is>
          <t>MF189178</t>
        </is>
      </c>
      <c r="G2143" t="inlineStr">
        <is>
          <t>Merged,</t>
        </is>
      </c>
      <c r="H2143" t="inlineStr">
        <is>
          <t>Arthrobacter virus Shade</t>
        </is>
      </c>
      <c r="I2143" t="inlineStr">
        <is>
          <t>species</t>
        </is>
      </c>
      <c r="J2143" t="n">
        <v>201857005</v>
      </c>
      <c r="K2143" t="n">
        <v>202007005</v>
      </c>
      <c r="L2143" s="8">
        <f>HYPERLINK("https://test.ictv.global/id/TN201907005","TN201907005@TEST")</f>
        <v/>
      </c>
      <c r="M2143" s="8">
        <f>HYPERLINK("https://test.ictv.global/id/ICTV201857005","ICTV201857005@TEST")</f>
        <v/>
      </c>
      <c r="N2143" s="8">
        <f>HYPERLINK("https://ictv.global/id/TN201907005","TN201907005@prod")</f>
        <v/>
      </c>
      <c r="O2143" s="8">
        <f>HYPERLINK("https://ictv.global/id/ICTV201857005","ICTV201857005@prod")</f>
        <v/>
      </c>
    </row>
    <row r="2144">
      <c r="A2144" t="n">
        <v>35</v>
      </c>
      <c r="B2144" t="n">
        <v>201907415</v>
      </c>
      <c r="C2144" t="n">
        <v>201907415</v>
      </c>
      <c r="D2144" t="inlineStr">
        <is>
          <t>species</t>
        </is>
      </c>
      <c r="E2144" t="inlineStr">
        <is>
          <t>Avian orthovulavirus 21</t>
        </is>
      </c>
      <c r="F2144" t="inlineStr">
        <is>
          <t>MF594598</t>
        </is>
      </c>
      <c r="G2144" t="inlineStr">
        <is>
          <t>Abolished,</t>
        </is>
      </c>
      <c r="L2144" s="8">
        <f>HYPERLINK("https://test.ictv.global/id/TN201907415","TN201907415@TEST")</f>
        <v/>
      </c>
      <c r="M2144" s="8">
        <f>HYPERLINK("https://test.ictv.global/id/ICTV201907415","ICTV201907415@TEST")</f>
        <v/>
      </c>
      <c r="N2144" s="8">
        <f>HYPERLINK("https://ictv.global/id/TN201907415","TN201907415@prod")</f>
        <v/>
      </c>
      <c r="O2144" s="8">
        <f>HYPERLINK("https://ictv.global/id/ICTV201907415","ICTV201907415@prod")</f>
        <v/>
      </c>
    </row>
    <row r="2145">
      <c r="A2145" t="n">
        <v>35</v>
      </c>
      <c r="B2145" t="n">
        <v>201908135</v>
      </c>
      <c r="C2145" t="n">
        <v>201908135</v>
      </c>
      <c r="D2145" t="inlineStr">
        <is>
          <t>species</t>
        </is>
      </c>
      <c r="E2145" t="inlineStr">
        <is>
          <t>Escherichia virus mar002J2</t>
        </is>
      </c>
      <c r="F2145" t="inlineStr">
        <is>
          <t>LR027385</t>
        </is>
      </c>
      <c r="G2145" t="inlineStr">
        <is>
          <t>Abolished,</t>
        </is>
      </c>
      <c r="L2145" s="8">
        <f>HYPERLINK("https://test.ictv.global/id/TN201908135","TN201908135@TEST")</f>
        <v/>
      </c>
      <c r="M2145" s="8">
        <f>HYPERLINK("https://test.ictv.global/id/ICTV201908135","ICTV201908135@TEST")</f>
        <v/>
      </c>
      <c r="N2145" s="8">
        <f>HYPERLINK("https://ictv.global/id/TN201908135","TN201908135@prod")</f>
        <v/>
      </c>
      <c r="O2145" s="8">
        <f>HYPERLINK("https://ictv.global/id/ICTV201908135","ICTV201908135@prod")</f>
        <v/>
      </c>
    </row>
    <row r="2146">
      <c r="A2146" t="n">
        <v>35</v>
      </c>
      <c r="B2146" t="n">
        <v>201908179</v>
      </c>
      <c r="C2146" t="n">
        <v>201908179</v>
      </c>
      <c r="D2146" t="inlineStr">
        <is>
          <t>species</t>
        </is>
      </c>
      <c r="E2146" t="inlineStr">
        <is>
          <t>Klebsiella virus NJS2</t>
        </is>
      </c>
      <c r="F2146" t="inlineStr">
        <is>
          <t>MH633485.1</t>
        </is>
      </c>
      <c r="G2146" t="inlineStr">
        <is>
          <t>Abolished,</t>
        </is>
      </c>
      <c r="L2146" s="8">
        <f>HYPERLINK("https://test.ictv.global/id/TN201908179","TN201908179@TEST")</f>
        <v/>
      </c>
      <c r="M2146" s="8">
        <f>HYPERLINK("https://test.ictv.global/id/ICTV201908179","ICTV201908179@TEST")</f>
        <v/>
      </c>
      <c r="N2146" s="8">
        <f>HYPERLINK("https://ictv.global/id/TN201908179","TN201908179@prod")</f>
        <v/>
      </c>
      <c r="O2146" s="8">
        <f>HYPERLINK("https://ictv.global/id/ICTV201908179","ICTV201908179@prod")</f>
        <v/>
      </c>
    </row>
    <row r="2147">
      <c r="A2147" t="n">
        <v>35</v>
      </c>
      <c r="B2147" t="n">
        <v>201908181</v>
      </c>
      <c r="C2147" t="n">
        <v>201908181</v>
      </c>
      <c r="D2147" t="inlineStr">
        <is>
          <t>species</t>
        </is>
      </c>
      <c r="E2147" t="inlineStr">
        <is>
          <t>Klebsiella virus NJR15</t>
        </is>
      </c>
      <c r="F2147" t="inlineStr">
        <is>
          <t>MH633487.1</t>
        </is>
      </c>
      <c r="G2147" t="inlineStr">
        <is>
          <t>Abolished,</t>
        </is>
      </c>
      <c r="L2147" s="8">
        <f>HYPERLINK("https://test.ictv.global/id/TN201908181","TN201908181@TEST")</f>
        <v/>
      </c>
      <c r="M2147" s="8">
        <f>HYPERLINK("https://test.ictv.global/id/ICTV201908181","ICTV201908181@TEST")</f>
        <v/>
      </c>
      <c r="N2147" s="8">
        <f>HYPERLINK("https://ictv.global/id/TN201908181","TN201908181@prod")</f>
        <v/>
      </c>
      <c r="O2147" s="8">
        <f>HYPERLINK("https://ictv.global/id/ICTV201908181","ICTV201908181@prod")</f>
        <v/>
      </c>
    </row>
    <row r="2148">
      <c r="A2148" t="n">
        <v>36</v>
      </c>
      <c r="B2148" t="n">
        <v>202000190</v>
      </c>
      <c r="C2148" t="n">
        <v>19980001</v>
      </c>
      <c r="D2148" t="inlineStr">
        <is>
          <t>order</t>
        </is>
      </c>
      <c r="E2148" t="inlineStr">
        <is>
          <t>Caudovirales</t>
        </is>
      </c>
      <c r="G2148" t="inlineStr">
        <is>
          <t>Abolished,</t>
        </is>
      </c>
      <c r="L2148" s="8">
        <f>HYPERLINK("https://test.ictv.global/id/TN202000190","TN202000190@TEST")</f>
        <v/>
      </c>
      <c r="M2148" s="8">
        <f>HYPERLINK("https://test.ictv.global/id/ICTV19980001","ICTV19980001@TEST")</f>
        <v/>
      </c>
      <c r="N2148" s="8">
        <f>HYPERLINK("https://ictv.global/id/TN202000190","TN202000190@prod")</f>
        <v/>
      </c>
      <c r="O2148" s="8">
        <f>HYPERLINK("https://ictv.global/id/ICTV19980001","ICTV19980001@prod")</f>
        <v/>
      </c>
    </row>
    <row r="2149">
      <c r="A2149" t="n">
        <v>36</v>
      </c>
      <c r="B2149" t="n">
        <v>202000191</v>
      </c>
      <c r="C2149" t="n">
        <v>19810015</v>
      </c>
      <c r="D2149" t="inlineStr">
        <is>
          <t>family</t>
        </is>
      </c>
      <c r="E2149" t="inlineStr">
        <is>
          <t>Myoviridae</t>
        </is>
      </c>
      <c r="G2149" t="inlineStr">
        <is>
          <t>Abolished,</t>
        </is>
      </c>
      <c r="L2149" s="8">
        <f>HYPERLINK("https://test.ictv.global/id/TN202000191","TN202000191@TEST")</f>
        <v/>
      </c>
      <c r="M2149" s="8">
        <f>HYPERLINK("https://test.ictv.global/id/ICTV19810015","ICTV19810015@TEST")</f>
        <v/>
      </c>
      <c r="N2149" s="8">
        <f>HYPERLINK("https://ictv.global/id/TN202000191","TN202000191@prod")</f>
        <v/>
      </c>
      <c r="O2149" s="8">
        <f>HYPERLINK("https://ictv.global/id/ICTV19810015","ICTV19810015@prod")</f>
        <v/>
      </c>
    </row>
    <row r="2150">
      <c r="A2150" t="n">
        <v>36</v>
      </c>
      <c r="B2150" t="n">
        <v>202000225</v>
      </c>
      <c r="C2150" t="n">
        <v>20115499</v>
      </c>
      <c r="D2150" t="inlineStr">
        <is>
          <t>subfamily</t>
        </is>
      </c>
      <c r="E2150" t="inlineStr">
        <is>
          <t>Peduovirinae</t>
        </is>
      </c>
      <c r="G2150" t="inlineStr">
        <is>
          <t>Renamed,Promoted,</t>
        </is>
      </c>
      <c r="H2150" t="inlineStr">
        <is>
          <t>Peduoviridae</t>
        </is>
      </c>
      <c r="I2150" t="inlineStr">
        <is>
          <t>family</t>
        </is>
      </c>
      <c r="J2150" t="n">
        <v>20115499</v>
      </c>
      <c r="K2150" t="n">
        <v>202100225</v>
      </c>
      <c r="L2150" s="8">
        <f>HYPERLINK("https://test.ictv.global/id/TN202000225","TN202000225@TEST")</f>
        <v/>
      </c>
      <c r="M2150" s="8">
        <f>HYPERLINK("https://test.ictv.global/id/ICTV20115499","ICTV20115499@TEST")</f>
        <v/>
      </c>
      <c r="N2150" s="8">
        <f>HYPERLINK("https://ictv.global/id/TN202000225","TN202000225@prod")</f>
        <v/>
      </c>
      <c r="O2150" s="8">
        <f>HYPERLINK("https://ictv.global/id/ICTV20115499","ICTV20115499@prod")</f>
        <v/>
      </c>
    </row>
    <row r="2151">
      <c r="A2151" t="n">
        <v>36</v>
      </c>
      <c r="B2151" t="n">
        <v>202000297</v>
      </c>
      <c r="C2151" t="n">
        <v>20164841</v>
      </c>
      <c r="D2151" t="inlineStr">
        <is>
          <t>species</t>
        </is>
      </c>
      <c r="E2151" t="inlineStr">
        <is>
          <t>Klebsiella virus Miro</t>
        </is>
      </c>
      <c r="F2151" t="inlineStr">
        <is>
          <t>KT001919</t>
        </is>
      </c>
      <c r="G2151" t="inlineStr">
        <is>
          <t>Abolished,</t>
        </is>
      </c>
      <c r="L2151" s="8">
        <f>HYPERLINK("https://test.ictv.global/id/TN202000297","TN202000297@TEST")</f>
        <v/>
      </c>
      <c r="M2151" s="8">
        <f>HYPERLINK("https://test.ictv.global/id/ICTV20164841","ICTV20164841@TEST")</f>
        <v/>
      </c>
      <c r="N2151" s="8">
        <f>HYPERLINK("https://ictv.global/id/TN202000297","TN202000297@prod")</f>
        <v/>
      </c>
      <c r="O2151" s="8">
        <f>HYPERLINK("https://ictv.global/id/ICTV20164841","ICTV20164841@prod")</f>
        <v/>
      </c>
    </row>
    <row r="2152">
      <c r="A2152" t="n">
        <v>36</v>
      </c>
      <c r="B2152" t="n">
        <v>202000540</v>
      </c>
      <c r="C2152" t="n">
        <v>19810024</v>
      </c>
      <c r="D2152" t="inlineStr">
        <is>
          <t>family</t>
        </is>
      </c>
      <c r="E2152" t="inlineStr">
        <is>
          <t>Podoviridae</t>
        </is>
      </c>
      <c r="G2152" t="inlineStr">
        <is>
          <t>Abolished,</t>
        </is>
      </c>
      <c r="L2152" s="8">
        <f>HYPERLINK("https://test.ictv.global/id/TN202000540","TN202000540@TEST")</f>
        <v/>
      </c>
      <c r="M2152" s="8">
        <f>HYPERLINK("https://test.ictv.global/id/ICTV19810024","ICTV19810024@TEST")</f>
        <v/>
      </c>
      <c r="N2152" s="8">
        <f>HYPERLINK("https://ictv.global/id/TN202000540","TN202000540@prod")</f>
        <v/>
      </c>
      <c r="O2152" s="8">
        <f>HYPERLINK("https://ictv.global/id/ICTV19810024","ICTV19810024@prod")</f>
        <v/>
      </c>
    </row>
    <row r="2153">
      <c r="A2153" t="n">
        <v>36</v>
      </c>
      <c r="B2153" t="n">
        <v>202000713</v>
      </c>
      <c r="C2153" t="n">
        <v>19840033</v>
      </c>
      <c r="D2153" t="inlineStr">
        <is>
          <t>family</t>
        </is>
      </c>
      <c r="E2153" t="inlineStr">
        <is>
          <t>Siphoviridae</t>
        </is>
      </c>
      <c r="G2153" t="inlineStr">
        <is>
          <t>Abolished,</t>
        </is>
      </c>
      <c r="L2153" s="8">
        <f>HYPERLINK("https://test.ictv.global/id/TN202000713","TN202000713@TEST")</f>
        <v/>
      </c>
      <c r="M2153" s="8">
        <f>HYPERLINK("https://test.ictv.global/id/ICTV19840033","ICTV19840033@TEST")</f>
        <v/>
      </c>
      <c r="N2153" s="8">
        <f>HYPERLINK("https://ictv.global/id/TN202000713","TN202000713@prod")</f>
        <v/>
      </c>
      <c r="O2153" s="8">
        <f>HYPERLINK("https://ictv.global/id/ICTV19840033","ICTV19840033@prod")</f>
        <v/>
      </c>
    </row>
    <row r="2154">
      <c r="A2154" t="n">
        <v>36</v>
      </c>
      <c r="B2154" t="n">
        <v>202001948</v>
      </c>
      <c r="C2154" t="n">
        <v>20083296</v>
      </c>
      <c r="D2154" t="inlineStr">
        <is>
          <t>species</t>
        </is>
      </c>
      <c r="E2154" t="inlineStr">
        <is>
          <t>Varroa destructor virus 1</t>
        </is>
      </c>
      <c r="G2154" t="inlineStr">
        <is>
          <t>Abolished,</t>
        </is>
      </c>
      <c r="L2154" s="8">
        <f>HYPERLINK("https://test.ictv.global/id/TN202001948","TN202001948@TEST")</f>
        <v/>
      </c>
      <c r="M2154" s="8">
        <f>HYPERLINK("https://test.ictv.global/id/ICTV20083296","ICTV20083296@TEST")</f>
        <v/>
      </c>
      <c r="N2154" s="8">
        <f>HYPERLINK("https://ictv.global/id/TN202001948","TN202001948@prod")</f>
        <v/>
      </c>
      <c r="O2154" s="8">
        <f>HYPERLINK("https://ictv.global/id/ICTV20083296","ICTV20083296@prod")</f>
        <v/>
      </c>
    </row>
    <row r="2155">
      <c r="A2155" t="n">
        <v>36</v>
      </c>
      <c r="B2155" t="n">
        <v>202002849</v>
      </c>
      <c r="C2155" t="n">
        <v>19952320</v>
      </c>
      <c r="D2155" t="inlineStr">
        <is>
          <t>species</t>
        </is>
      </c>
      <c r="E2155" t="inlineStr">
        <is>
          <t>Schefflera ringspot virus</t>
        </is>
      </c>
      <c r="G2155" t="inlineStr">
        <is>
          <t>Abolished,</t>
        </is>
      </c>
      <c r="L2155" s="8">
        <f>HYPERLINK("https://test.ictv.global/id/TN202002849","TN202002849@TEST")</f>
        <v/>
      </c>
      <c r="M2155" s="8">
        <f>HYPERLINK("https://test.ictv.global/id/ICTV19952320","ICTV19952320@TEST")</f>
        <v/>
      </c>
      <c r="N2155" s="8">
        <f>HYPERLINK("https://ictv.global/id/TN202002849","TN202002849@prod")</f>
        <v/>
      </c>
      <c r="O2155" s="8">
        <f>HYPERLINK("https://ictv.global/id/ICTV19952320","ICTV19952320@prod")</f>
        <v/>
      </c>
    </row>
    <row r="2156">
      <c r="A2156" t="n">
        <v>36</v>
      </c>
      <c r="B2156" t="n">
        <v>202003020</v>
      </c>
      <c r="C2156" t="n">
        <v>20020814</v>
      </c>
      <c r="D2156" t="inlineStr">
        <is>
          <t>species</t>
        </is>
      </c>
      <c r="E2156" t="inlineStr">
        <is>
          <t>Alligatorweed stunting virus</t>
        </is>
      </c>
      <c r="G2156" t="inlineStr">
        <is>
          <t>Abolished,</t>
        </is>
      </c>
      <c r="L2156" s="8">
        <f>HYPERLINK("https://test.ictv.global/id/TN202003020","TN202003020@TEST")</f>
        <v/>
      </c>
      <c r="M2156" s="8">
        <f>HYPERLINK("https://test.ictv.global/id/ICTV20020814","ICTV20020814@TEST")</f>
        <v/>
      </c>
      <c r="N2156" s="8">
        <f>HYPERLINK("https://ictv.global/id/TN202003020","TN202003020@prod")</f>
        <v/>
      </c>
      <c r="O2156" s="8">
        <f>HYPERLINK("https://ictv.global/id/ICTV20020814","ICTV20020814@prod")</f>
        <v/>
      </c>
    </row>
    <row r="2157">
      <c r="A2157" t="n">
        <v>36</v>
      </c>
      <c r="B2157" t="n">
        <v>202003022</v>
      </c>
      <c r="C2157" t="n">
        <v>20020817</v>
      </c>
      <c r="D2157" t="inlineStr">
        <is>
          <t>species</t>
        </is>
      </c>
      <c r="E2157" t="inlineStr">
        <is>
          <t>Megakepasma mosaic virus</t>
        </is>
      </c>
      <c r="G2157" t="inlineStr">
        <is>
          <t>Abolished,</t>
        </is>
      </c>
      <c r="L2157" s="8">
        <f>HYPERLINK("https://test.ictv.global/id/TN202003022","TN202003022@TEST")</f>
        <v/>
      </c>
      <c r="M2157" s="8">
        <f>HYPERLINK("https://test.ictv.global/id/ICTV20020817","ICTV20020817@TEST")</f>
        <v/>
      </c>
      <c r="N2157" s="8">
        <f>HYPERLINK("https://ictv.global/id/TN202003022","TN202003022@prod")</f>
        <v/>
      </c>
      <c r="O2157" s="8">
        <f>HYPERLINK("https://ictv.global/id/ICTV20020817","ICTV20020817@prod")</f>
        <v/>
      </c>
    </row>
    <row r="2158">
      <c r="A2158" t="n">
        <v>36</v>
      </c>
      <c r="B2158" t="n">
        <v>202003641</v>
      </c>
      <c r="C2158" t="n">
        <v>20040269</v>
      </c>
      <c r="D2158" t="inlineStr">
        <is>
          <t>genus</t>
        </is>
      </c>
      <c r="E2158" t="inlineStr">
        <is>
          <t>Alphaguttavirus</t>
        </is>
      </c>
      <c r="G2158" t="inlineStr">
        <is>
          <t>Abolished,</t>
        </is>
      </c>
      <c r="L2158" s="8">
        <f>HYPERLINK("https://test.ictv.global/id/TN202003641","TN202003641@TEST")</f>
        <v/>
      </c>
      <c r="M2158" s="8">
        <f>HYPERLINK("https://test.ictv.global/id/ICTV20040269","ICTV20040269@TEST")</f>
        <v/>
      </c>
      <c r="N2158" s="8">
        <f>HYPERLINK("https://ictv.global/id/TN202003641","TN202003641@prod")</f>
        <v/>
      </c>
      <c r="O2158" s="8">
        <f>HYPERLINK("https://ictv.global/id/ICTV20040269","ICTV20040269@prod")</f>
        <v/>
      </c>
    </row>
    <row r="2159">
      <c r="A2159" t="n">
        <v>36</v>
      </c>
      <c r="B2159" t="n">
        <v>202003642</v>
      </c>
      <c r="C2159" t="n">
        <v>19982697</v>
      </c>
      <c r="D2159" t="inlineStr">
        <is>
          <t>species</t>
        </is>
      </c>
      <c r="E2159" t="inlineStr">
        <is>
          <t>Sulfolobus newzealandicus droplet-shaped virus</t>
        </is>
      </c>
      <c r="G2159" t="inlineStr">
        <is>
          <t>Abolished,</t>
        </is>
      </c>
      <c r="L2159" s="8">
        <f>HYPERLINK("https://test.ictv.global/id/TN202003642","TN202003642@TEST")</f>
        <v/>
      </c>
      <c r="M2159" s="8">
        <f>HYPERLINK("https://test.ictv.global/id/ICTV19982697","ICTV19982697@TEST")</f>
        <v/>
      </c>
      <c r="N2159" s="8">
        <f>HYPERLINK("https://ictv.global/id/TN202003642","TN202003642@prod")</f>
        <v/>
      </c>
      <c r="O2159" s="8">
        <f>HYPERLINK("https://ictv.global/id/ICTV19982697","ICTV19982697@prod")</f>
        <v/>
      </c>
    </row>
    <row r="2160">
      <c r="A2160" t="n">
        <v>36</v>
      </c>
      <c r="B2160" t="n">
        <v>202003664</v>
      </c>
      <c r="C2160" t="n">
        <v>19980364</v>
      </c>
      <c r="D2160" t="inlineStr">
        <is>
          <t>genus</t>
        </is>
      </c>
      <c r="E2160" t="inlineStr">
        <is>
          <t>Orthohepevirus</t>
        </is>
      </c>
      <c r="G2160" t="inlineStr">
        <is>
          <t>Abolished,</t>
        </is>
      </c>
      <c r="L2160" s="8">
        <f>HYPERLINK("https://test.ictv.global/id/TN202003664","TN202003664@TEST")</f>
        <v/>
      </c>
      <c r="M2160" s="8">
        <f>HYPERLINK("https://test.ictv.global/id/ICTV19980364","ICTV19980364@TEST")</f>
        <v/>
      </c>
      <c r="N2160" s="8">
        <f>HYPERLINK("https://ictv.global/id/TN202003664","TN202003664@prod")</f>
        <v/>
      </c>
      <c r="O2160" s="8">
        <f>HYPERLINK("https://ictv.global/id/ICTV19980364","ICTV19980364@prod")</f>
        <v/>
      </c>
    </row>
    <row r="2161">
      <c r="A2161" t="n">
        <v>36</v>
      </c>
      <c r="B2161" t="n">
        <v>202003673</v>
      </c>
      <c r="C2161" t="n">
        <v>19930159</v>
      </c>
      <c r="D2161" t="inlineStr">
        <is>
          <t>genus</t>
        </is>
      </c>
      <c r="E2161" t="inlineStr">
        <is>
          <t>Hypovirus</t>
        </is>
      </c>
      <c r="G2161" t="inlineStr">
        <is>
          <t>Abolished,</t>
        </is>
      </c>
      <c r="L2161" s="8">
        <f>HYPERLINK("https://test.ictv.global/id/TN202003673","TN202003673@TEST")</f>
        <v/>
      </c>
      <c r="M2161" s="8">
        <f>HYPERLINK("https://test.ictv.global/id/ICTV19930159","ICTV19930159@TEST")</f>
        <v/>
      </c>
      <c r="N2161" s="8">
        <f>HYPERLINK("https://ictv.global/id/TN202003673","TN202003673@prod")</f>
        <v/>
      </c>
      <c r="O2161" s="8">
        <f>HYPERLINK("https://ictv.global/id/ICTV19930159","ICTV19930159@prod")</f>
        <v/>
      </c>
    </row>
    <row r="2162">
      <c r="A2162" t="n">
        <v>36</v>
      </c>
      <c r="B2162" t="n">
        <v>202003910</v>
      </c>
      <c r="C2162" t="n">
        <v>19980262</v>
      </c>
      <c r="D2162" t="inlineStr">
        <is>
          <t>genus</t>
        </is>
      </c>
      <c r="E2162" t="inlineStr">
        <is>
          <t>Mitovirus</t>
        </is>
      </c>
      <c r="G2162" t="inlineStr">
        <is>
          <t>Abolished,</t>
        </is>
      </c>
      <c r="L2162" s="8">
        <f>HYPERLINK("https://test.ictv.global/id/TN202003910","TN202003910@TEST")</f>
        <v/>
      </c>
      <c r="M2162" s="8">
        <f>HYPERLINK("https://test.ictv.global/id/ICTV19980262","ICTV19980262@TEST")</f>
        <v/>
      </c>
      <c r="N2162" s="8">
        <f>HYPERLINK("https://ictv.global/id/TN202003910","TN202003910@prod")</f>
        <v/>
      </c>
      <c r="O2162" s="8">
        <f>HYPERLINK("https://ictv.global/id/ICTV19980262","ICTV19980262@prod")</f>
        <v/>
      </c>
    </row>
    <row r="2163">
      <c r="A2163" t="n">
        <v>36</v>
      </c>
      <c r="B2163" t="n">
        <v>202004736</v>
      </c>
      <c r="C2163" t="n">
        <v>20041835</v>
      </c>
      <c r="D2163" t="inlineStr">
        <is>
          <t>species</t>
        </is>
      </c>
      <c r="E2163" t="inlineStr">
        <is>
          <t>Spartina mottle virus</t>
        </is>
      </c>
      <c r="G2163" t="inlineStr">
        <is>
          <t>Abolished,</t>
        </is>
      </c>
      <c r="L2163" s="8">
        <f>HYPERLINK("https://test.ictv.global/id/TN202004736","TN202004736@TEST")</f>
        <v/>
      </c>
      <c r="M2163" s="8">
        <f>HYPERLINK("https://test.ictv.global/id/ICTV20041835","ICTV20041835@TEST")</f>
        <v/>
      </c>
      <c r="N2163" s="8">
        <f>HYPERLINK("https://ictv.global/id/TN202004736","TN202004736@prod")</f>
        <v/>
      </c>
      <c r="O2163" s="8">
        <f>HYPERLINK("https://ictv.global/id/ICTV20041835","ICTV20041835@prod")</f>
        <v/>
      </c>
    </row>
    <row r="2164">
      <c r="A2164" t="n">
        <v>36</v>
      </c>
      <c r="B2164" t="n">
        <v>202004871</v>
      </c>
      <c r="C2164" t="n">
        <v>19740005</v>
      </c>
      <c r="D2164" t="inlineStr">
        <is>
          <t>family</t>
        </is>
      </c>
      <c r="E2164" t="inlineStr">
        <is>
          <t>Reoviridae</t>
        </is>
      </c>
      <c r="G2164" t="inlineStr">
        <is>
          <t>Abolished,</t>
        </is>
      </c>
      <c r="L2164" s="8">
        <f>HYPERLINK("https://test.ictv.global/id/TN202004871","TN202004871@TEST")</f>
        <v/>
      </c>
      <c r="M2164" s="8">
        <f>HYPERLINK("https://test.ictv.global/id/ICTV19740005","ICTV19740005@TEST")</f>
        <v/>
      </c>
      <c r="N2164" s="8">
        <f>HYPERLINK("https://ictv.global/id/TN202004871","TN202004871@prod")</f>
        <v/>
      </c>
      <c r="O2164" s="8">
        <f>HYPERLINK("https://ictv.global/id/ICTV19740005","ICTV19740005@prod")</f>
        <v/>
      </c>
    </row>
    <row r="2165">
      <c r="A2165" t="n">
        <v>36</v>
      </c>
      <c r="B2165" t="n">
        <v>202004872</v>
      </c>
      <c r="C2165" t="n">
        <v>20090683</v>
      </c>
      <c r="D2165" t="inlineStr">
        <is>
          <t>subfamily</t>
        </is>
      </c>
      <c r="E2165" t="inlineStr">
        <is>
          <t>Sedoreovirinae</t>
        </is>
      </c>
      <c r="G2165" t="inlineStr">
        <is>
          <t>Renamed,Promoted,</t>
        </is>
      </c>
      <c r="H2165" t="inlineStr">
        <is>
          <t>Sedoreoviridae</t>
        </is>
      </c>
      <c r="I2165" t="inlineStr">
        <is>
          <t>family</t>
        </is>
      </c>
      <c r="J2165" t="n">
        <v>20090683</v>
      </c>
      <c r="K2165" t="n">
        <v>202104872</v>
      </c>
      <c r="L2165" s="8">
        <f>HYPERLINK("https://test.ictv.global/id/TN202004872","TN202004872@TEST")</f>
        <v/>
      </c>
      <c r="M2165" s="8">
        <f>HYPERLINK("https://test.ictv.global/id/ICTV20090683","ICTV20090683@TEST")</f>
        <v/>
      </c>
      <c r="N2165" s="8">
        <f>HYPERLINK("https://ictv.global/id/TN202004872","TN202004872@prod")</f>
        <v/>
      </c>
      <c r="O2165" s="8">
        <f>HYPERLINK("https://ictv.global/id/ICTV20090683","ICTV20090683@prod")</f>
        <v/>
      </c>
    </row>
    <row r="2166">
      <c r="A2166" t="n">
        <v>36</v>
      </c>
      <c r="B2166" t="n">
        <v>202004918</v>
      </c>
      <c r="C2166" t="n">
        <v>20090684</v>
      </c>
      <c r="D2166" t="inlineStr">
        <is>
          <t>subfamily</t>
        </is>
      </c>
      <c r="E2166" t="inlineStr">
        <is>
          <t>Spinareovirinae</t>
        </is>
      </c>
      <c r="G2166" t="inlineStr">
        <is>
          <t>Renamed,Promoted,</t>
        </is>
      </c>
      <c r="H2166" t="inlineStr">
        <is>
          <t>Spinareoviridae</t>
        </is>
      </c>
      <c r="I2166" t="inlineStr">
        <is>
          <t>family</t>
        </is>
      </c>
      <c r="J2166" t="n">
        <v>20090684</v>
      </c>
      <c r="K2166" t="n">
        <v>202104918</v>
      </c>
      <c r="L2166" s="8">
        <f>HYPERLINK("https://test.ictv.global/id/TN202004918","TN202004918@TEST")</f>
        <v/>
      </c>
      <c r="M2166" s="8">
        <f>HYPERLINK("https://test.ictv.global/id/ICTV20090684","ICTV20090684@TEST")</f>
        <v/>
      </c>
      <c r="N2166" s="8">
        <f>HYPERLINK("https://ictv.global/id/TN202004918","TN202004918@prod")</f>
        <v/>
      </c>
      <c r="O2166" s="8">
        <f>HYPERLINK("https://ictv.global/id/ICTV20090684","ICTV20090684@prod")</f>
        <v/>
      </c>
    </row>
    <row r="2167">
      <c r="A2167" t="n">
        <v>36</v>
      </c>
      <c r="B2167" t="n">
        <v>202005490</v>
      </c>
      <c r="C2167" t="n">
        <v>20175490</v>
      </c>
      <c r="D2167" t="inlineStr">
        <is>
          <t>species</t>
        </is>
      </c>
      <c r="E2167" t="inlineStr">
        <is>
          <t>Achromobacter virus Axp3</t>
        </is>
      </c>
      <c r="G2167" t="inlineStr">
        <is>
          <t>Abolished,</t>
        </is>
      </c>
      <c r="L2167" s="8">
        <f>HYPERLINK("https://test.ictv.global/id/TN202005490","TN202005490@TEST")</f>
        <v/>
      </c>
      <c r="M2167" s="8">
        <f>HYPERLINK("https://test.ictv.global/id/ICTV20175490","ICTV20175490@TEST")</f>
        <v/>
      </c>
      <c r="N2167" s="8">
        <f>HYPERLINK("https://ictv.global/id/TN202005490","TN202005490@prod")</f>
        <v/>
      </c>
      <c r="O2167" s="8">
        <f>HYPERLINK("https://ictv.global/id/ICTV20175490","ICTV20175490@prod")</f>
        <v/>
      </c>
    </row>
    <row r="2168">
      <c r="A2168" t="n">
        <v>36</v>
      </c>
      <c r="B2168" t="n">
        <v>202005530</v>
      </c>
      <c r="C2168" t="n">
        <v>20175530</v>
      </c>
      <c r="D2168" t="inlineStr">
        <is>
          <t>genus</t>
        </is>
      </c>
      <c r="E2168" t="inlineStr">
        <is>
          <t>Buttersvirus</t>
        </is>
      </c>
      <c r="G2168" t="inlineStr">
        <is>
          <t>Abolished,</t>
        </is>
      </c>
      <c r="L2168" s="8">
        <f>HYPERLINK("https://test.ictv.global/id/TN202005530","TN202005530@TEST")</f>
        <v/>
      </c>
      <c r="M2168" s="8">
        <f>HYPERLINK("https://test.ictv.global/id/ICTV20175530","ICTV20175530@TEST")</f>
        <v/>
      </c>
      <c r="N2168" s="8">
        <f>HYPERLINK("https://ictv.global/id/TN202005530","TN202005530@prod")</f>
        <v/>
      </c>
      <c r="O2168" s="8">
        <f>HYPERLINK("https://ictv.global/id/ICTV20175530","ICTV20175530@prod")</f>
        <v/>
      </c>
    </row>
    <row r="2169">
      <c r="A2169" t="n">
        <v>36</v>
      </c>
      <c r="B2169" t="n">
        <v>202005536</v>
      </c>
      <c r="C2169" t="n">
        <v>20175536</v>
      </c>
      <c r="D2169" t="inlineStr">
        <is>
          <t>genus</t>
        </is>
      </c>
      <c r="E2169" t="inlineStr">
        <is>
          <t>Redivirus</t>
        </is>
      </c>
      <c r="G2169" t="inlineStr">
        <is>
          <t>Abolished,</t>
        </is>
      </c>
      <c r="L2169" s="8">
        <f>HYPERLINK("https://test.ictv.global/id/TN202005536","TN202005536@TEST")</f>
        <v/>
      </c>
      <c r="M2169" s="8">
        <f>HYPERLINK("https://test.ictv.global/id/ICTV20175536","ICTV20175536@TEST")</f>
        <v/>
      </c>
      <c r="N2169" s="8">
        <f>HYPERLINK("https://ictv.global/id/TN202005536","TN202005536@prod")</f>
        <v/>
      </c>
      <c r="O2169" s="8">
        <f>HYPERLINK("https://ictv.global/id/ICTV20175536","ICTV20175536@prod")</f>
        <v/>
      </c>
    </row>
    <row r="2170">
      <c r="A2170" t="n">
        <v>36</v>
      </c>
      <c r="B2170" t="n">
        <v>202006176</v>
      </c>
      <c r="C2170" t="n">
        <v>20186176</v>
      </c>
      <c r="D2170" t="inlineStr">
        <is>
          <t>subfamily</t>
        </is>
      </c>
      <c r="E2170" t="inlineStr">
        <is>
          <t>Tunicanivirinae</t>
        </is>
      </c>
      <c r="G2170" t="inlineStr">
        <is>
          <t>Abolished,</t>
        </is>
      </c>
      <c r="L2170" s="8">
        <f>HYPERLINK("https://test.ictv.global/id/TN202006176","TN202006176@TEST")</f>
        <v/>
      </c>
      <c r="M2170" s="8">
        <f>HYPERLINK("https://test.ictv.global/id/ICTV20186176","ICTV20186176@TEST")</f>
        <v/>
      </c>
      <c r="N2170" s="8">
        <f>HYPERLINK("https://ictv.global/id/TN202006176","TN202006176@prod")</f>
        <v/>
      </c>
      <c r="O2170" s="8">
        <f>HYPERLINK("https://ictv.global/id/ICTV20186176","ICTV20186176@prod")</f>
        <v/>
      </c>
    </row>
    <row r="2171">
      <c r="A2171" t="n">
        <v>36</v>
      </c>
      <c r="B2171" t="n">
        <v>202006191</v>
      </c>
      <c r="C2171" t="n">
        <v>20186191</v>
      </c>
      <c r="D2171" t="inlineStr">
        <is>
          <t>subfamily</t>
        </is>
      </c>
      <c r="E2171" t="inlineStr">
        <is>
          <t>Crustonivirinae</t>
        </is>
      </c>
      <c r="G2171" t="inlineStr">
        <is>
          <t>Abolished,</t>
        </is>
      </c>
      <c r="L2171" s="8">
        <f>HYPERLINK("https://test.ictv.global/id/TN202006191","TN202006191@TEST")</f>
        <v/>
      </c>
      <c r="M2171" s="8">
        <f>HYPERLINK("https://test.ictv.global/id/ICTV20186191","ICTV20186191@TEST")</f>
        <v/>
      </c>
      <c r="N2171" s="8">
        <f>HYPERLINK("https://ictv.global/id/TN202006191","TN202006191@prod")</f>
        <v/>
      </c>
      <c r="O2171" s="8">
        <f>HYPERLINK("https://ictv.global/id/ICTV20186191","ICTV20186191@prod")</f>
        <v/>
      </c>
    </row>
    <row r="2172">
      <c r="A2172" t="n">
        <v>36</v>
      </c>
      <c r="B2172" t="n">
        <v>202006264</v>
      </c>
      <c r="C2172" t="n">
        <v>20186264</v>
      </c>
      <c r="D2172" t="inlineStr">
        <is>
          <t>species</t>
        </is>
      </c>
      <c r="E2172" t="inlineStr">
        <is>
          <t>Shuangao anphevirus</t>
        </is>
      </c>
      <c r="F2172" t="inlineStr">
        <is>
          <t>KM817638</t>
        </is>
      </c>
      <c r="G2172" t="inlineStr">
        <is>
          <t>Abolished,</t>
        </is>
      </c>
      <c r="L2172" s="8">
        <f>HYPERLINK("https://test.ictv.global/id/TN202006264","TN202006264@TEST")</f>
        <v/>
      </c>
      <c r="M2172" s="8">
        <f>HYPERLINK("https://test.ictv.global/id/ICTV20186264","ICTV20186264@TEST")</f>
        <v/>
      </c>
      <c r="N2172" s="8">
        <f>HYPERLINK("https://ictv.global/id/TN202006264","TN202006264@prod")</f>
        <v/>
      </c>
      <c r="O2172" s="8">
        <f>HYPERLINK("https://ictv.global/id/ICTV20186264","ICTV20186264@prod")</f>
        <v/>
      </c>
    </row>
    <row r="2173">
      <c r="A2173" t="n">
        <v>36</v>
      </c>
      <c r="B2173" t="n">
        <v>202006681</v>
      </c>
      <c r="C2173" t="n">
        <v>201856681</v>
      </c>
      <c r="D2173" t="inlineStr">
        <is>
          <t>species</t>
        </is>
      </c>
      <c r="E2173" t="inlineStr">
        <is>
          <t>Common reed chlorotic stripe virus</t>
        </is>
      </c>
      <c r="F2173" t="inlineStr">
        <is>
          <t>KY612317</t>
        </is>
      </c>
      <c r="G2173" t="inlineStr">
        <is>
          <t>Abolished,</t>
        </is>
      </c>
      <c r="L2173" s="8">
        <f>HYPERLINK("https://test.ictv.global/id/TN202006681","TN202006681@TEST")</f>
        <v/>
      </c>
      <c r="M2173" s="8">
        <f>HYPERLINK("https://test.ictv.global/id/ICTV201856681","ICTV201856681@TEST")</f>
        <v/>
      </c>
      <c r="N2173" s="8">
        <f>HYPERLINK("https://ictv.global/id/TN202006681","TN202006681@prod")</f>
        <v/>
      </c>
      <c r="O2173" s="8">
        <f>HYPERLINK("https://ictv.global/id/ICTV201856681","ICTV201856681@prod")</f>
        <v/>
      </c>
    </row>
    <row r="2174">
      <c r="A2174" t="n">
        <v>36</v>
      </c>
      <c r="B2174" t="n">
        <v>202006682</v>
      </c>
      <c r="C2174" t="n">
        <v>201856682</v>
      </c>
      <c r="D2174" t="inlineStr">
        <is>
          <t>species</t>
        </is>
      </c>
      <c r="E2174" t="inlineStr">
        <is>
          <t>Longan witches broom-associated virus</t>
        </is>
      </c>
      <c r="F2174" t="inlineStr">
        <is>
          <t>KY649478</t>
        </is>
      </c>
      <c r="G2174" t="inlineStr">
        <is>
          <t>Abolished,</t>
        </is>
      </c>
      <c r="L2174" s="8">
        <f>HYPERLINK("https://test.ictv.global/id/TN202006682","TN202006682@TEST")</f>
        <v/>
      </c>
      <c r="M2174" s="8">
        <f>HYPERLINK("https://test.ictv.global/id/ICTV201856682","ICTV201856682@TEST")</f>
        <v/>
      </c>
      <c r="N2174" s="8">
        <f>HYPERLINK("https://ictv.global/id/TN202006682","TN202006682@prod")</f>
        <v/>
      </c>
      <c r="O2174" s="8">
        <f>HYPERLINK("https://ictv.global/id/ICTV201856682","ICTV201856682@prod")</f>
        <v/>
      </c>
    </row>
    <row r="2175">
      <c r="A2175" t="n">
        <v>36</v>
      </c>
      <c r="B2175" t="n">
        <v>202007036</v>
      </c>
      <c r="C2175" t="n">
        <v>201857036</v>
      </c>
      <c r="D2175" t="inlineStr">
        <is>
          <t>species</t>
        </is>
      </c>
      <c r="E2175" t="inlineStr">
        <is>
          <t>Klebsiella virus PMBT1</t>
        </is>
      </c>
      <c r="F2175" t="inlineStr">
        <is>
          <t>LT607758</t>
        </is>
      </c>
      <c r="G2175" t="inlineStr">
        <is>
          <t>Abolished,</t>
        </is>
      </c>
      <c r="L2175" s="8">
        <f>HYPERLINK("https://test.ictv.global/id/TN202007036","TN202007036@TEST")</f>
        <v/>
      </c>
      <c r="M2175" s="8">
        <f>HYPERLINK("https://test.ictv.global/id/ICTV201857036","ICTV201857036@TEST")</f>
        <v/>
      </c>
      <c r="N2175" s="8">
        <f>HYPERLINK("https://ictv.global/id/TN202007036","TN202007036@prod")</f>
        <v/>
      </c>
      <c r="O2175" s="8">
        <f>HYPERLINK("https://ictv.global/id/ICTV201857036","ICTV201857036@prod")</f>
        <v/>
      </c>
    </row>
    <row r="2176">
      <c r="A2176" t="n">
        <v>36</v>
      </c>
      <c r="B2176" t="n">
        <v>202007043</v>
      </c>
      <c r="C2176" t="n">
        <v>201857043</v>
      </c>
      <c r="D2176" t="inlineStr">
        <is>
          <t>species</t>
        </is>
      </c>
      <c r="E2176" t="inlineStr">
        <is>
          <t>Escherichia virus ST0</t>
        </is>
      </c>
      <c r="F2176" t="inlineStr">
        <is>
          <t>MF044457</t>
        </is>
      </c>
      <c r="G2176" t="inlineStr">
        <is>
          <t>Abolished,</t>
        </is>
      </c>
      <c r="L2176" s="8">
        <f>HYPERLINK("https://test.ictv.global/id/TN202007043","TN202007043@TEST")</f>
        <v/>
      </c>
      <c r="M2176" s="8">
        <f>HYPERLINK("https://test.ictv.global/id/ICTV201857043","ICTV201857043@TEST")</f>
        <v/>
      </c>
      <c r="N2176" s="8">
        <f>HYPERLINK("https://ictv.global/id/TN202007043","TN202007043@prod")</f>
        <v/>
      </c>
      <c r="O2176" s="8">
        <f>HYPERLINK("https://ictv.global/id/ICTV201857043","ICTV201857043@prod")</f>
        <v/>
      </c>
    </row>
    <row r="2177">
      <c r="A2177" t="n">
        <v>36</v>
      </c>
      <c r="B2177" t="n">
        <v>202007046</v>
      </c>
      <c r="C2177" t="n">
        <v>201857046</v>
      </c>
      <c r="D2177" t="inlineStr">
        <is>
          <t>species</t>
        </is>
      </c>
      <c r="E2177" t="inlineStr">
        <is>
          <t>Escherichia virus O157tp6</t>
        </is>
      </c>
      <c r="F2177" t="inlineStr">
        <is>
          <t>KP869104</t>
        </is>
      </c>
      <c r="G2177" t="inlineStr">
        <is>
          <t>Abolished,</t>
        </is>
      </c>
      <c r="L2177" s="8">
        <f>HYPERLINK("https://test.ictv.global/id/TN202007046","TN202007046@TEST")</f>
        <v/>
      </c>
      <c r="M2177" s="8">
        <f>HYPERLINK("https://test.ictv.global/id/ICTV201857046","ICTV201857046@TEST")</f>
        <v/>
      </c>
      <c r="N2177" s="8">
        <f>HYPERLINK("https://ictv.global/id/TN202007046","TN202007046@prod")</f>
        <v/>
      </c>
      <c r="O2177" s="8">
        <f>HYPERLINK("https://ictv.global/id/ICTV201857046","ICTV201857046@prod")</f>
        <v/>
      </c>
    </row>
    <row r="2178">
      <c r="A2178" t="n">
        <v>36</v>
      </c>
      <c r="B2178" t="n">
        <v>202007794</v>
      </c>
      <c r="C2178" t="n">
        <v>201907794</v>
      </c>
      <c r="D2178" t="inlineStr">
        <is>
          <t>species</t>
        </is>
      </c>
      <c r="E2178" t="inlineStr">
        <is>
          <t>Synechococcus virus SRIM12-08</t>
        </is>
      </c>
      <c r="F2178" t="inlineStr">
        <is>
          <t>KX349323</t>
        </is>
      </c>
      <c r="G2178" t="inlineStr">
        <is>
          <t>Abolished,</t>
        </is>
      </c>
      <c r="L2178" s="8">
        <f>HYPERLINK("https://test.ictv.global/id/TN202007794","TN202007794@TEST")</f>
        <v/>
      </c>
      <c r="M2178" s="8">
        <f>HYPERLINK("https://test.ictv.global/id/ICTV201907794","ICTV201907794@TEST")</f>
        <v/>
      </c>
      <c r="N2178" s="8">
        <f>HYPERLINK("https://ictv.global/id/TN202007794","TN202007794@prod")</f>
        <v/>
      </c>
      <c r="O2178" s="8">
        <f>HYPERLINK("https://ictv.global/id/ICTV201907794","ICTV201907794@prod")</f>
        <v/>
      </c>
    </row>
    <row r="2179">
      <c r="A2179" t="n">
        <v>36</v>
      </c>
      <c r="B2179" t="n">
        <v>202008168</v>
      </c>
      <c r="C2179" t="n">
        <v>201908168</v>
      </c>
      <c r="D2179" t="inlineStr">
        <is>
          <t>genus</t>
        </is>
      </c>
      <c r="E2179" t="inlineStr">
        <is>
          <t>Gyeonggidovirus</t>
        </is>
      </c>
      <c r="G2179" t="inlineStr">
        <is>
          <t>Abolished,</t>
        </is>
      </c>
      <c r="L2179" s="8">
        <f>HYPERLINK("https://test.ictv.global/id/TN202008168","TN202008168@TEST")</f>
        <v/>
      </c>
      <c r="M2179" s="8">
        <f>HYPERLINK("https://test.ictv.global/id/ICTV201908168","ICTV201908168@TEST")</f>
        <v/>
      </c>
      <c r="N2179" s="8">
        <f>HYPERLINK("https://ictv.global/id/TN202008168","TN202008168@prod")</f>
        <v/>
      </c>
      <c r="O2179" s="8">
        <f>HYPERLINK("https://ictv.global/id/ICTV201908168","ICTV201908168@prod")</f>
        <v/>
      </c>
    </row>
    <row r="2180">
      <c r="A2180" t="n">
        <v>36</v>
      </c>
      <c r="B2180" t="n">
        <v>202008169</v>
      </c>
      <c r="C2180" t="n">
        <v>201908169</v>
      </c>
      <c r="D2180" t="inlineStr">
        <is>
          <t>species</t>
        </is>
      </c>
      <c r="E2180" t="inlineStr">
        <is>
          <t>Cronobacter virus PhiCS01</t>
        </is>
      </c>
      <c r="F2180" t="inlineStr">
        <is>
          <t>MH845412.1</t>
        </is>
      </c>
      <c r="G2180" t="inlineStr">
        <is>
          <t>Abolished,</t>
        </is>
      </c>
      <c r="L2180" s="8">
        <f>HYPERLINK("https://test.ictv.global/id/TN202008169","TN202008169@TEST")</f>
        <v/>
      </c>
      <c r="M2180" s="8">
        <f>HYPERLINK("https://test.ictv.global/id/ICTV201908169","ICTV201908169@TEST")</f>
        <v/>
      </c>
      <c r="N2180" s="8">
        <f>HYPERLINK("https://ictv.global/id/TN202008169","TN202008169@prod")</f>
        <v/>
      </c>
      <c r="O2180" s="8">
        <f>HYPERLINK("https://ictv.global/id/ICTV201908169","ICTV201908169@prod")</f>
        <v/>
      </c>
    </row>
    <row r="2181">
      <c r="A2181" t="n">
        <v>36</v>
      </c>
      <c r="B2181" t="n">
        <v>202008775</v>
      </c>
      <c r="C2181" t="n">
        <v>202008775</v>
      </c>
      <c r="D2181" t="inlineStr">
        <is>
          <t>species</t>
        </is>
      </c>
      <c r="E2181" t="inlineStr">
        <is>
          <t>Halorubrum virus HF2</t>
        </is>
      </c>
      <c r="F2181" t="inlineStr">
        <is>
          <t>AF222060</t>
        </is>
      </c>
      <c r="G2181" t="inlineStr">
        <is>
          <t>Abolished,</t>
        </is>
      </c>
      <c r="L2181" s="8">
        <f>HYPERLINK("https://test.ictv.global/id/TN202008775","TN202008775@TEST")</f>
        <v/>
      </c>
      <c r="M2181" s="8">
        <f>HYPERLINK("https://test.ictv.global/id/ICTV202008775","ICTV202008775@TEST")</f>
        <v/>
      </c>
      <c r="N2181" s="8">
        <f>HYPERLINK("https://ictv.global/id/TN202008775","TN202008775@prod")</f>
        <v/>
      </c>
      <c r="O2181" s="8">
        <f>HYPERLINK("https://ictv.global/id/ICTV202008775","ICTV202008775@prod")</f>
        <v/>
      </c>
    </row>
    <row r="2182">
      <c r="A2182" t="n">
        <v>36</v>
      </c>
      <c r="B2182" t="n">
        <v>202008778</v>
      </c>
      <c r="C2182" t="n">
        <v>202008778</v>
      </c>
      <c r="D2182" t="inlineStr">
        <is>
          <t>species</t>
        </is>
      </c>
      <c r="E2182" t="inlineStr">
        <is>
          <t>Halorubrum Tailed Virus 7</t>
        </is>
      </c>
      <c r="F2182" t="inlineStr">
        <is>
          <t>KC292021</t>
        </is>
      </c>
      <c r="G2182" t="inlineStr">
        <is>
          <t>Abolished,</t>
        </is>
      </c>
      <c r="L2182" s="8">
        <f>HYPERLINK("https://test.ictv.global/id/TN202008778","TN202008778@TEST")</f>
        <v/>
      </c>
      <c r="M2182" s="8">
        <f>HYPERLINK("https://test.ictv.global/id/ICTV202008778","ICTV202008778@TEST")</f>
        <v/>
      </c>
      <c r="N2182" s="8">
        <f>HYPERLINK("https://ictv.global/id/TN202008778","TN202008778@prod")</f>
        <v/>
      </c>
      <c r="O2182" s="8">
        <f>HYPERLINK("https://ictv.global/id/ICTV202008778","ICTV202008778@prod")</f>
        <v/>
      </c>
    </row>
    <row r="2183">
      <c r="A2183" t="n">
        <v>36</v>
      </c>
      <c r="B2183" t="n">
        <v>202009455</v>
      </c>
      <c r="C2183" t="n">
        <v>202009455</v>
      </c>
      <c r="D2183" t="inlineStr">
        <is>
          <t>genus</t>
        </is>
      </c>
      <c r="E2183" t="inlineStr">
        <is>
          <t>Tautorquevirus</t>
        </is>
      </c>
      <c r="G2183" t="inlineStr">
        <is>
          <t>Abolished,</t>
        </is>
      </c>
      <c r="L2183" s="8">
        <f>HYPERLINK("https://test.ictv.global/id/TN202009455","TN202009455@TEST")</f>
        <v/>
      </c>
      <c r="M2183" s="8">
        <f>HYPERLINK("https://test.ictv.global/id/ICTV202009455","ICTV202009455@TEST")</f>
        <v/>
      </c>
      <c r="N2183" s="8">
        <f>HYPERLINK("https://ictv.global/id/TN202009455","TN202009455@prod")</f>
        <v/>
      </c>
      <c r="O2183" s="8">
        <f>HYPERLINK("https://ictv.global/id/ICTV202009455","ICTV202009455@prod")</f>
        <v/>
      </c>
    </row>
    <row r="2184">
      <c r="A2184" t="n">
        <v>37</v>
      </c>
      <c r="B2184" t="n">
        <v>202100091</v>
      </c>
      <c r="C2184" t="n">
        <v>19990613</v>
      </c>
      <c r="D2184" t="inlineStr">
        <is>
          <t>species</t>
        </is>
      </c>
      <c r="E2184" t="inlineStr">
        <is>
          <t>Alajuela orthobunyavirus</t>
        </is>
      </c>
      <c r="G2184" t="inlineStr">
        <is>
          <t>Abolished,</t>
        </is>
      </c>
      <c r="L2184" s="8">
        <f>HYPERLINK("https://test.ictv.global/id/TN202100091","TN202100091@TEST")</f>
        <v/>
      </c>
      <c r="M2184" s="8">
        <f>HYPERLINK("https://test.ictv.global/id/ICTV19990613","ICTV19990613@TEST")</f>
        <v/>
      </c>
      <c r="N2184" s="8">
        <f>HYPERLINK("https://ictv.global/id/TN202100091","TN202100091@prod")</f>
        <v/>
      </c>
      <c r="O2184" s="8">
        <f>HYPERLINK("https://ictv.global/id/ICTV19990613","ICTV19990613@prod")</f>
        <v/>
      </c>
    </row>
    <row r="2185">
      <c r="A2185" t="n">
        <v>37</v>
      </c>
      <c r="B2185" t="n">
        <v>202100096</v>
      </c>
      <c r="C2185" t="n">
        <v>19820270</v>
      </c>
      <c r="D2185" t="inlineStr">
        <is>
          <t>species</t>
        </is>
      </c>
      <c r="E2185" t="inlineStr">
        <is>
          <t>Benevides orthobunyavirus</t>
        </is>
      </c>
      <c r="G2185" t="inlineStr">
        <is>
          <t>Abolished,</t>
        </is>
      </c>
      <c r="L2185" s="8">
        <f>HYPERLINK("https://test.ictv.global/id/TN202100096","TN202100096@TEST")</f>
        <v/>
      </c>
      <c r="M2185" s="8">
        <f>HYPERLINK("https://test.ictv.global/id/ICTV19820270","ICTV19820270@TEST")</f>
        <v/>
      </c>
      <c r="N2185" s="8">
        <f>HYPERLINK("https://ictv.global/id/TN202100096","TN202100096@prod")</f>
        <v/>
      </c>
      <c r="O2185" s="8">
        <f>HYPERLINK("https://ictv.global/id/ICTV19820270","ICTV19820270@prod")</f>
        <v/>
      </c>
    </row>
    <row r="2186">
      <c r="A2186" t="n">
        <v>37</v>
      </c>
      <c r="B2186" t="n">
        <v>202100098</v>
      </c>
      <c r="C2186" t="n">
        <v>19760146</v>
      </c>
      <c r="D2186" t="inlineStr">
        <is>
          <t>species</t>
        </is>
      </c>
      <c r="E2186" t="inlineStr">
        <is>
          <t>Bimiti orthobunyavirus</t>
        </is>
      </c>
      <c r="G2186" t="inlineStr">
        <is>
          <t>Abolished,</t>
        </is>
      </c>
      <c r="L2186" s="8">
        <f>HYPERLINK("https://test.ictv.global/id/TN202100098","TN202100098@TEST")</f>
        <v/>
      </c>
      <c r="M2186" s="8">
        <f>HYPERLINK("https://test.ictv.global/id/ICTV19760146","ICTV19760146@TEST")</f>
        <v/>
      </c>
      <c r="N2186" s="8">
        <f>HYPERLINK("https://ictv.global/id/TN202100098","TN202100098@prod")</f>
        <v/>
      </c>
      <c r="O2186" s="8">
        <f>HYPERLINK("https://ictv.global/id/ICTV19760146","ICTV19760146@prod")</f>
        <v/>
      </c>
    </row>
    <row r="2187">
      <c r="A2187" t="n">
        <v>37</v>
      </c>
      <c r="B2187" t="n">
        <v>202101346</v>
      </c>
      <c r="C2187" t="n">
        <v>20140421</v>
      </c>
      <c r="D2187" t="inlineStr">
        <is>
          <t>species</t>
        </is>
      </c>
      <c r="E2187" t="inlineStr">
        <is>
          <t>Mycobacterium virus Fionnbharth</t>
        </is>
      </c>
      <c r="G2187" t="inlineStr">
        <is>
          <t>Abolished,</t>
        </is>
      </c>
      <c r="L2187" s="8">
        <f>HYPERLINK("https://test.ictv.global/id/TN202101346","TN202101346@TEST")</f>
        <v/>
      </c>
      <c r="M2187" s="8">
        <f>HYPERLINK("https://test.ictv.global/id/ICTV20140421","ICTV20140421@TEST")</f>
        <v/>
      </c>
      <c r="N2187" s="8">
        <f>HYPERLINK("https://ictv.global/id/TN202101346","TN202101346@prod")</f>
        <v/>
      </c>
      <c r="O2187" s="8">
        <f>HYPERLINK("https://ictv.global/id/ICTV20140421","ICTV20140421@prod")</f>
        <v/>
      </c>
    </row>
    <row r="2188">
      <c r="A2188" t="n">
        <v>37</v>
      </c>
      <c r="B2188" t="n">
        <v>202101438</v>
      </c>
      <c r="C2188" t="n">
        <v>20083055</v>
      </c>
      <c r="D2188" t="inlineStr">
        <is>
          <t>species</t>
        </is>
      </c>
      <c r="E2188" t="inlineStr">
        <is>
          <t>Chelonid alphaherpesvirus 6</t>
        </is>
      </c>
      <c r="G2188" t="inlineStr">
        <is>
          <t>Abolished,</t>
        </is>
      </c>
      <c r="L2188" s="8">
        <f>HYPERLINK("https://test.ictv.global/id/TN202101438","TN202101438@TEST")</f>
        <v/>
      </c>
      <c r="M2188" s="8">
        <f>HYPERLINK("https://test.ictv.global/id/ICTV20083055","ICTV20083055@TEST")</f>
        <v/>
      </c>
      <c r="N2188" s="8">
        <f>HYPERLINK("https://ictv.global/id/TN202101438","TN202101438@prod")</f>
        <v/>
      </c>
      <c r="O2188" s="8">
        <f>HYPERLINK("https://ictv.global/id/ICTV20083055","ICTV20083055@prod")</f>
        <v/>
      </c>
    </row>
    <row r="2189">
      <c r="A2189" t="n">
        <v>37</v>
      </c>
      <c r="B2189" t="n">
        <v>202101484</v>
      </c>
      <c r="C2189" t="n">
        <v>19951063</v>
      </c>
      <c r="D2189" t="inlineStr">
        <is>
          <t>species</t>
        </is>
      </c>
      <c r="E2189" t="inlineStr">
        <is>
          <t>Cercopithecine gammaherpesvirus 14</t>
        </is>
      </c>
      <c r="G2189" t="inlineStr">
        <is>
          <t>Abolished,</t>
        </is>
      </c>
      <c r="L2189" s="8">
        <f>HYPERLINK("https://test.ictv.global/id/TN202101484","TN202101484@TEST")</f>
        <v/>
      </c>
      <c r="M2189" s="8">
        <f>HYPERLINK("https://test.ictv.global/id/ICTV19951063","ICTV19951063@TEST")</f>
        <v/>
      </c>
      <c r="N2189" s="8">
        <f>HYPERLINK("https://ictv.global/id/TN202101484","TN202101484@prod")</f>
        <v/>
      </c>
      <c r="O2189" s="8">
        <f>HYPERLINK("https://ictv.global/id/ICTV19951063","ICTV19951063@prod")</f>
        <v/>
      </c>
    </row>
    <row r="2190">
      <c r="A2190" t="n">
        <v>37</v>
      </c>
      <c r="B2190" t="n">
        <v>202101516</v>
      </c>
      <c r="C2190" t="n">
        <v>19951058</v>
      </c>
      <c r="D2190" t="inlineStr">
        <is>
          <t>species</t>
        </is>
      </c>
      <c r="E2190" t="inlineStr">
        <is>
          <t>Equid gammaherpesvirus 7</t>
        </is>
      </c>
      <c r="G2190" t="inlineStr">
        <is>
          <t>Abolished,</t>
        </is>
      </c>
      <c r="L2190" s="8">
        <f>HYPERLINK("https://test.ictv.global/id/TN202101516","TN202101516@TEST")</f>
        <v/>
      </c>
      <c r="M2190" s="8">
        <f>HYPERLINK("https://test.ictv.global/id/ICTV19951058","ICTV19951058@TEST")</f>
        <v/>
      </c>
      <c r="N2190" s="8">
        <f>HYPERLINK("https://ictv.global/id/TN202101516","TN202101516@prod")</f>
        <v/>
      </c>
      <c r="O2190" s="8">
        <f>HYPERLINK("https://ictv.global/id/ICTV19951058","ICTV19951058@prod")</f>
        <v/>
      </c>
    </row>
    <row r="2191">
      <c r="A2191" t="n">
        <v>37</v>
      </c>
      <c r="B2191" t="n">
        <v>202101517</v>
      </c>
      <c r="C2191" t="n">
        <v>20083113</v>
      </c>
      <c r="D2191" t="inlineStr">
        <is>
          <t>species</t>
        </is>
      </c>
      <c r="E2191" t="inlineStr">
        <is>
          <t>Phocid gammaherpesvirus 2</t>
        </is>
      </c>
      <c r="G2191" t="inlineStr">
        <is>
          <t>Abolished,</t>
        </is>
      </c>
      <c r="L2191" s="8">
        <f>HYPERLINK("https://test.ictv.global/id/TN202101517","TN202101517@TEST")</f>
        <v/>
      </c>
      <c r="M2191" s="8">
        <f>HYPERLINK("https://test.ictv.global/id/ICTV20083113","ICTV20083113@TEST")</f>
        <v/>
      </c>
      <c r="N2191" s="8">
        <f>HYPERLINK("https://ictv.global/id/TN202101517","TN202101517@prod")</f>
        <v/>
      </c>
      <c r="O2191" s="8">
        <f>HYPERLINK("https://ictv.global/id/ICTV20083113","ICTV20083113@prod")</f>
        <v/>
      </c>
    </row>
    <row r="2192">
      <c r="A2192" t="n">
        <v>37</v>
      </c>
      <c r="B2192" t="n">
        <v>202101518</v>
      </c>
      <c r="C2192" t="n">
        <v>20073869</v>
      </c>
      <c r="D2192" t="inlineStr">
        <is>
          <t>species</t>
        </is>
      </c>
      <c r="E2192" t="inlineStr">
        <is>
          <t>Saguinine gammaherpesvirus 1</t>
        </is>
      </c>
      <c r="G2192" t="inlineStr">
        <is>
          <t>Abolished,</t>
        </is>
      </c>
      <c r="L2192" s="8">
        <f>HYPERLINK("https://test.ictv.global/id/TN202101518","TN202101518@TEST")</f>
        <v/>
      </c>
      <c r="M2192" s="8">
        <f>HYPERLINK("https://test.ictv.global/id/ICTV20073869","ICTV20073869@TEST")</f>
        <v/>
      </c>
      <c r="N2192" s="8">
        <f>HYPERLINK("https://ictv.global/id/TN202101518","TN202101518@prod")</f>
        <v/>
      </c>
      <c r="O2192" s="8">
        <f>HYPERLINK("https://ictv.global/id/ICTV20073869","ICTV20073869@prod")</f>
        <v/>
      </c>
    </row>
    <row r="2193">
      <c r="A2193" t="n">
        <v>37</v>
      </c>
      <c r="B2193" t="n">
        <v>202101521</v>
      </c>
      <c r="C2193" t="n">
        <v>20083115</v>
      </c>
      <c r="D2193" t="inlineStr">
        <is>
          <t>species</t>
        </is>
      </c>
      <c r="E2193" t="inlineStr">
        <is>
          <t>Iguanid herpesvirus 2</t>
        </is>
      </c>
      <c r="G2193" t="inlineStr">
        <is>
          <t>Abolished,</t>
        </is>
      </c>
      <c r="L2193" s="8">
        <f>HYPERLINK("https://test.ictv.global/id/TN202101521","TN202101521@TEST")</f>
        <v/>
      </c>
      <c r="M2193" s="8">
        <f>HYPERLINK("https://test.ictv.global/id/ICTV20083115","ICTV20083115@TEST")</f>
        <v/>
      </c>
      <c r="N2193" s="8">
        <f>HYPERLINK("https://ictv.global/id/TN202101521","TN202101521@prod")</f>
        <v/>
      </c>
      <c r="O2193" s="8">
        <f>HYPERLINK("https://ictv.global/id/ICTV20083115","ICTV20083115@prod")</f>
        <v/>
      </c>
    </row>
    <row r="2194">
      <c r="A2194" t="n">
        <v>37</v>
      </c>
      <c r="B2194" t="n">
        <v>202103887</v>
      </c>
      <c r="C2194" t="n">
        <v>20125704</v>
      </c>
      <c r="D2194" t="inlineStr">
        <is>
          <t>genus</t>
        </is>
      </c>
      <c r="E2194" t="inlineStr">
        <is>
          <t>Cafeteriavirus</t>
        </is>
      </c>
      <c r="G2194" t="inlineStr">
        <is>
          <t>Abolished,</t>
        </is>
      </c>
      <c r="L2194" s="8">
        <f>HYPERLINK("https://test.ictv.global/id/TN202103887","TN202103887@TEST")</f>
        <v/>
      </c>
      <c r="M2194" s="8">
        <f>HYPERLINK("https://test.ictv.global/id/ICTV20125704","ICTV20125704@TEST")</f>
        <v/>
      </c>
      <c r="N2194" s="8">
        <f>HYPERLINK("https://ictv.global/id/TN202103887","TN202103887@prod")</f>
        <v/>
      </c>
      <c r="O2194" s="8">
        <f>HYPERLINK("https://ictv.global/id/ICTV20125704","ICTV20125704@prod")</f>
        <v/>
      </c>
    </row>
    <row r="2195">
      <c r="A2195" t="n">
        <v>37</v>
      </c>
      <c r="B2195" t="n">
        <v>202107041</v>
      </c>
      <c r="C2195" t="n">
        <v>201857041</v>
      </c>
      <c r="D2195" t="inlineStr">
        <is>
          <t>species</t>
        </is>
      </c>
      <c r="E2195" t="inlineStr">
        <is>
          <t>Mosigvirus hp3</t>
        </is>
      </c>
      <c r="F2195" t="inlineStr">
        <is>
          <t>KY608965</t>
        </is>
      </c>
      <c r="G2195" t="inlineStr">
        <is>
          <t>Abolished,</t>
        </is>
      </c>
      <c r="L2195" s="8">
        <f>HYPERLINK("https://test.ictv.global/id/TN202107041","TN202107041@TEST")</f>
        <v/>
      </c>
      <c r="M2195" s="8">
        <f>HYPERLINK("https://test.ictv.global/id/ICTV201857041","ICTV201857041@TEST")</f>
        <v/>
      </c>
      <c r="N2195" s="8">
        <f>HYPERLINK("https://ictv.global/id/TN202107041","TN202107041@prod")</f>
        <v/>
      </c>
      <c r="O2195" s="8">
        <f>HYPERLINK("https://ictv.global/id/ICTV201857041","ICTV201857041@prod")</f>
        <v/>
      </c>
    </row>
    <row r="2196">
      <c r="A2196" t="n">
        <v>37</v>
      </c>
      <c r="B2196" t="n">
        <v>202107056</v>
      </c>
      <c r="C2196" t="n">
        <v>201857056</v>
      </c>
      <c r="D2196" t="inlineStr">
        <is>
          <t>species</t>
        </is>
      </c>
      <c r="E2196" t="inlineStr">
        <is>
          <t>Escherichia virus slur04</t>
        </is>
      </c>
      <c r="F2196" t="inlineStr">
        <is>
          <t>LN881729</t>
        </is>
      </c>
      <c r="G2196" t="inlineStr">
        <is>
          <t>Abolished,</t>
        </is>
      </c>
      <c r="L2196" s="8">
        <f>HYPERLINK("https://test.ictv.global/id/TN202107056","TN202107056@TEST")</f>
        <v/>
      </c>
      <c r="M2196" s="8">
        <f>HYPERLINK("https://test.ictv.global/id/ICTV201857056","ICTV201857056@TEST")</f>
        <v/>
      </c>
      <c r="N2196" s="8">
        <f>HYPERLINK("https://ictv.global/id/TN202107056","TN202107056@prod")</f>
        <v/>
      </c>
      <c r="O2196" s="8">
        <f>HYPERLINK("https://ictv.global/id/ICTV201857056","ICTV201857056@prod")</f>
        <v/>
      </c>
    </row>
    <row r="2197">
      <c r="A2197" t="n">
        <v>37</v>
      </c>
      <c r="B2197" t="n">
        <v>202108105</v>
      </c>
      <c r="C2197" t="n">
        <v>201908105</v>
      </c>
      <c r="D2197" t="inlineStr">
        <is>
          <t>species</t>
        </is>
      </c>
      <c r="E2197" t="inlineStr">
        <is>
          <t>Salmonella virus 329</t>
        </is>
      </c>
      <c r="F2197" t="inlineStr">
        <is>
          <t>MK393882.1</t>
        </is>
      </c>
      <c r="G2197" t="inlineStr">
        <is>
          <t>Abolished,</t>
        </is>
      </c>
      <c r="L2197" s="8">
        <f>HYPERLINK("https://test.ictv.global/id/TN202108105","TN202108105@TEST")</f>
        <v/>
      </c>
      <c r="M2197" s="8">
        <f>HYPERLINK("https://test.ictv.global/id/ICTV201908105","ICTV201908105@TEST")</f>
        <v/>
      </c>
      <c r="N2197" s="8">
        <f>HYPERLINK("https://ictv.global/id/TN202108105","TN202108105@prod")</f>
        <v/>
      </c>
      <c r="O2197" s="8">
        <f>HYPERLINK("https://ictv.global/id/ICTV201908105","ICTV201908105@prod")</f>
        <v/>
      </c>
    </row>
    <row r="2198">
      <c r="A2198" t="n">
        <v>37</v>
      </c>
      <c r="B2198" t="n">
        <v>202108113</v>
      </c>
      <c r="C2198" t="n">
        <v>201908113</v>
      </c>
      <c r="D2198" t="inlineStr">
        <is>
          <t>genus</t>
        </is>
      </c>
      <c r="E2198" t="inlineStr">
        <is>
          <t>Haartmanvirus</t>
        </is>
      </c>
      <c r="G2198" t="inlineStr">
        <is>
          <t>Abolished,</t>
        </is>
      </c>
      <c r="L2198" s="8">
        <f>HYPERLINK("https://test.ictv.global/id/TN202108113","TN202108113@TEST")</f>
        <v/>
      </c>
      <c r="M2198" s="8">
        <f>HYPERLINK("https://test.ictv.global/id/ICTV201908113","ICTV201908113@TEST")</f>
        <v/>
      </c>
      <c r="N2198" s="8">
        <f>HYPERLINK("https://ictv.global/id/TN202108113","TN202108113@prod")</f>
        <v/>
      </c>
      <c r="O2198" s="8">
        <f>HYPERLINK("https://ictv.global/id/ICTV201908113","ICTV201908113@prod")</f>
        <v/>
      </c>
    </row>
    <row r="2199">
      <c r="A2199" t="n">
        <v>37</v>
      </c>
      <c r="B2199" t="n">
        <v>202109326</v>
      </c>
      <c r="C2199" t="n">
        <v>202009326</v>
      </c>
      <c r="D2199" t="inlineStr">
        <is>
          <t>species</t>
        </is>
      </c>
      <c r="E2199" t="inlineStr">
        <is>
          <t>Moju orthobunyavirus</t>
        </is>
      </c>
      <c r="F2199" t="inlineStr">
        <is>
          <t>L: KP792675, M: KP792674, S: KP792673</t>
        </is>
      </c>
      <c r="G2199" t="inlineStr">
        <is>
          <t>Abolished,</t>
        </is>
      </c>
      <c r="L2199" s="8">
        <f>HYPERLINK("https://test.ictv.global/id/TN202109326","TN202109326@TEST")</f>
        <v/>
      </c>
      <c r="M2199" s="8">
        <f>HYPERLINK("https://test.ictv.global/id/ICTV202009326","ICTV202009326@TEST")</f>
        <v/>
      </c>
      <c r="N2199" s="8">
        <f>HYPERLINK("https://ictv.global/id/TN202109326","TN202109326@prod")</f>
        <v/>
      </c>
      <c r="O2199" s="8">
        <f>HYPERLINK("https://ictv.global/id/ICTV202009326","ICTV202009326@prod")</f>
        <v/>
      </c>
    </row>
    <row r="2200">
      <c r="A2200" t="n">
        <v>37</v>
      </c>
      <c r="B2200" t="n">
        <v>202111672</v>
      </c>
      <c r="C2200" t="n">
        <v>202011672</v>
      </c>
      <c r="D2200" t="inlineStr">
        <is>
          <t>species</t>
        </is>
      </c>
      <c r="E2200" t="inlineStr">
        <is>
          <t>Rhodococcus virus Takoda</t>
        </is>
      </c>
      <c r="F2200" t="inlineStr">
        <is>
          <t>MH271315.1</t>
        </is>
      </c>
      <c r="G2200" t="inlineStr">
        <is>
          <t>Abolished,</t>
        </is>
      </c>
      <c r="L2200" s="8">
        <f>HYPERLINK("https://test.ictv.global/id/TN202111672","TN202111672@TEST")</f>
        <v/>
      </c>
      <c r="M2200" s="8">
        <f>HYPERLINK("https://test.ictv.global/id/ICTV202011672","ICTV202011672@TEST")</f>
        <v/>
      </c>
      <c r="N2200" s="8">
        <f>HYPERLINK("https://ictv.global/id/TN202111672","TN202111672@prod")</f>
        <v/>
      </c>
      <c r="O2200" s="8">
        <f>HYPERLINK("https://ictv.global/id/ICTV202011672","ICTV202011672@prod")</f>
        <v/>
      </c>
    </row>
    <row r="2201">
      <c r="A2201" t="n">
        <v>37</v>
      </c>
      <c r="B2201" t="n">
        <v>202111673</v>
      </c>
      <c r="C2201" t="n">
        <v>202011673</v>
      </c>
      <c r="D2201" t="inlineStr">
        <is>
          <t>species</t>
        </is>
      </c>
      <c r="E2201" t="inlineStr">
        <is>
          <t>Rhodococcus virus Hiro</t>
        </is>
      </c>
      <c r="F2201" t="inlineStr">
        <is>
          <t>MF324898.1</t>
        </is>
      </c>
      <c r="G2201" t="inlineStr">
        <is>
          <t>Abolished,</t>
        </is>
      </c>
      <c r="L2201" s="8">
        <f>HYPERLINK("https://test.ictv.global/id/TN202111673","TN202111673@TEST")</f>
        <v/>
      </c>
      <c r="M2201" s="8">
        <f>HYPERLINK("https://test.ictv.global/id/ICTV202011673","ICTV202011673@TEST")</f>
        <v/>
      </c>
      <c r="N2201" s="8">
        <f>HYPERLINK("https://ictv.global/id/TN202111673","TN202111673@prod")</f>
        <v/>
      </c>
      <c r="O2201" s="8">
        <f>HYPERLINK("https://ictv.global/id/ICTV202011673","ICTV202011673@prod")</f>
        <v/>
      </c>
    </row>
    <row r="2202">
      <c r="A2202" t="n">
        <v>37</v>
      </c>
      <c r="B2202" t="n">
        <v>202112004</v>
      </c>
      <c r="C2202" t="n">
        <v>202012004</v>
      </c>
      <c r="D2202" t="inlineStr">
        <is>
          <t>species</t>
        </is>
      </c>
      <c r="E2202" t="inlineStr">
        <is>
          <t>Tequatrovirus cf2</t>
        </is>
      </c>
      <c r="F2202" t="inlineStr">
        <is>
          <t>KY608967</t>
        </is>
      </c>
      <c r="G2202" t="inlineStr">
        <is>
          <t>Abolished,</t>
        </is>
      </c>
      <c r="L2202" s="8">
        <f>HYPERLINK("https://test.ictv.global/id/TN202112004","TN202112004@TEST")</f>
        <v/>
      </c>
      <c r="M2202" s="8">
        <f>HYPERLINK("https://test.ictv.global/id/ICTV202012004","ICTV202012004@TEST")</f>
        <v/>
      </c>
      <c r="N2202" s="8">
        <f>HYPERLINK("https://ictv.global/id/TN202112004","TN202112004@prod")</f>
        <v/>
      </c>
      <c r="O2202" s="8">
        <f>HYPERLINK("https://ictv.global/id/ICTV202012004","ICTV202012004@prod")</f>
        <v/>
      </c>
    </row>
    <row r="2203">
      <c r="A2203" t="n">
        <v>37</v>
      </c>
      <c r="B2203" t="n">
        <v>202112013</v>
      </c>
      <c r="C2203" t="n">
        <v>202012013</v>
      </c>
      <c r="D2203" t="inlineStr">
        <is>
          <t>species</t>
        </is>
      </c>
      <c r="E2203" t="inlineStr">
        <is>
          <t>Shigella virus SHBML-50-1</t>
        </is>
      </c>
      <c r="F2203" t="inlineStr">
        <is>
          <t>KX130864.1</t>
        </is>
      </c>
      <c r="G2203" t="inlineStr">
        <is>
          <t>Abolished,</t>
        </is>
      </c>
      <c r="L2203" s="8">
        <f>HYPERLINK("https://test.ictv.global/id/TN202112013","TN202112013@TEST")</f>
        <v/>
      </c>
      <c r="M2203" s="8">
        <f>HYPERLINK("https://test.ictv.global/id/ICTV202012013","ICTV202012013@TEST")</f>
        <v/>
      </c>
      <c r="N2203" s="8">
        <f>HYPERLINK("https://ictv.global/id/TN202112013","TN202112013@prod")</f>
        <v/>
      </c>
      <c r="O2203" s="8">
        <f>HYPERLINK("https://ictv.global/id/ICTV202012013","ICTV202012013@prod")</f>
        <v/>
      </c>
    </row>
    <row r="2204">
      <c r="A2204" t="n">
        <v>37</v>
      </c>
      <c r="B2204" t="n">
        <v>202112815</v>
      </c>
      <c r="C2204" t="n">
        <v>202112815</v>
      </c>
      <c r="D2204" t="inlineStr">
        <is>
          <t>species</t>
        </is>
      </c>
      <c r="E2204" t="inlineStr">
        <is>
          <t>Pbunavirus SCUTS1</t>
        </is>
      </c>
      <c r="F2204" t="inlineStr">
        <is>
          <t>MK340760.1</t>
        </is>
      </c>
      <c r="G2204" t="inlineStr">
        <is>
          <t>Abolished,</t>
        </is>
      </c>
      <c r="L2204" s="8">
        <f>HYPERLINK("https://test.ictv.global/id/TN202112815","TN202112815@TEST")</f>
        <v/>
      </c>
      <c r="M2204" s="8">
        <f>HYPERLINK("https://test.ictv.global/id/ICTV202112815","ICTV202112815@TEST")</f>
        <v/>
      </c>
      <c r="N2204" s="8">
        <f>HYPERLINK("https://ictv.global/id/TN202112815","TN202112815@prod")</f>
        <v/>
      </c>
      <c r="O2204" s="8">
        <f>HYPERLINK("https://ictv.global/id/ICTV202112815","ICTV202112815@prod")</f>
        <v/>
      </c>
    </row>
    <row r="2205">
      <c r="A2205" t="n">
        <v>38</v>
      </c>
      <c r="B2205" t="n">
        <v>202200021</v>
      </c>
      <c r="C2205" t="n">
        <v>20164773</v>
      </c>
      <c r="D2205" t="inlineStr">
        <is>
          <t>species</t>
        </is>
      </c>
      <c r="E2205" t="inlineStr">
        <is>
          <t>Orthohantavirus seewisense</t>
        </is>
      </c>
      <c r="F2205" t="inlineStr">
        <is>
          <t>KY651020</t>
        </is>
      </c>
      <c r="G2205" t="inlineStr">
        <is>
          <t>Abolished,</t>
        </is>
      </c>
      <c r="L2205" s="8">
        <f>HYPERLINK("https://test.ictv.global/id/TN202200021","TN202200021@TEST")</f>
        <v/>
      </c>
      <c r="M2205" s="8">
        <f>HYPERLINK("https://test.ictv.global/id/ICTV20164773","ICTV20164773@TEST")</f>
        <v/>
      </c>
      <c r="N2205" s="8">
        <f>HYPERLINK("https://ictv.global/id/TN202200021","TN202200021@prod")</f>
        <v/>
      </c>
      <c r="O2205" s="8">
        <f>HYPERLINK("https://ictv.global/id/ICTV20164773","ICTV20164773@prod")</f>
        <v/>
      </c>
    </row>
    <row r="2206">
      <c r="A2206" t="n">
        <v>38</v>
      </c>
      <c r="B2206" t="n">
        <v>202200036</v>
      </c>
      <c r="C2206" t="n">
        <v>20164782</v>
      </c>
      <c r="D2206" t="inlineStr">
        <is>
          <t>species</t>
        </is>
      </c>
      <c r="E2206" t="inlineStr">
        <is>
          <t>Orthohantavirus fusongense</t>
        </is>
      </c>
      <c r="F2206" t="inlineStr">
        <is>
          <t>M:EU072488,S:EU072480</t>
        </is>
      </c>
      <c r="G2206" t="inlineStr">
        <is>
          <t>Abolished,</t>
        </is>
      </c>
      <c r="L2206" s="8">
        <f>HYPERLINK("https://test.ictv.global/id/TN202200036","TN202200036@TEST")</f>
        <v/>
      </c>
      <c r="M2206" s="8">
        <f>HYPERLINK("https://test.ictv.global/id/ICTV20164782","ICTV20164782@TEST")</f>
        <v/>
      </c>
      <c r="N2206" s="8">
        <f>HYPERLINK("https://ictv.global/id/TN202200036","TN202200036@prod")</f>
        <v/>
      </c>
      <c r="O2206" s="8">
        <f>HYPERLINK("https://ictv.global/id/ICTV20164782","ICTV20164782@prod")</f>
        <v/>
      </c>
    </row>
    <row r="2207">
      <c r="A2207" t="n">
        <v>38</v>
      </c>
      <c r="B2207" t="n">
        <v>202200048</v>
      </c>
      <c r="C2207" t="n">
        <v>20164791</v>
      </c>
      <c r="D2207" t="inlineStr">
        <is>
          <t>species</t>
        </is>
      </c>
      <c r="E2207" t="inlineStr">
        <is>
          <t>Orthohantavirus necocliense</t>
        </is>
      </c>
      <c r="F2207" t="inlineStr">
        <is>
          <t>M:KF494345,S:KF481954</t>
        </is>
      </c>
      <c r="G2207" t="inlineStr">
        <is>
          <t>Abolished,</t>
        </is>
      </c>
      <c r="L2207" s="8">
        <f>HYPERLINK("https://test.ictv.global/id/TN202200048","TN202200048@TEST")</f>
        <v/>
      </c>
      <c r="M2207" s="8">
        <f>HYPERLINK("https://test.ictv.global/id/ICTV20164791","ICTV20164791@TEST")</f>
        <v/>
      </c>
      <c r="N2207" s="8">
        <f>HYPERLINK("https://ictv.global/id/TN202200048","TN202200048@prod")</f>
        <v/>
      </c>
      <c r="O2207" s="8">
        <f>HYPERLINK("https://ictv.global/id/ICTV20164791","ICTV20164791@prod")</f>
        <v/>
      </c>
    </row>
    <row r="2208">
      <c r="A2208" t="n">
        <v>38</v>
      </c>
      <c r="B2208" t="n">
        <v>202200050</v>
      </c>
      <c r="C2208" t="n">
        <v>20164793</v>
      </c>
      <c r="D2208" t="inlineStr">
        <is>
          <t>species</t>
        </is>
      </c>
      <c r="E2208" t="inlineStr">
        <is>
          <t>Orthohantavirus oxbowense</t>
        </is>
      </c>
      <c r="F2208" t="inlineStr">
        <is>
          <t>M:FJ539167,S:FJ539166</t>
        </is>
      </c>
      <c r="G2208" t="inlineStr">
        <is>
          <t>Abolished,</t>
        </is>
      </c>
      <c r="L2208" s="8">
        <f>HYPERLINK("https://test.ictv.global/id/TN202200050","TN202200050@TEST")</f>
        <v/>
      </c>
      <c r="M2208" s="8">
        <f>HYPERLINK("https://test.ictv.global/id/ICTV20164793","ICTV20164793@TEST")</f>
        <v/>
      </c>
      <c r="N2208" s="8">
        <f>HYPERLINK("https://ictv.global/id/TN202200050","TN202200050@prod")</f>
        <v/>
      </c>
      <c r="O2208" s="8">
        <f>HYPERLINK("https://ictv.global/id/ICTV20164793","ICTV20164793@prod")</f>
        <v/>
      </c>
    </row>
    <row r="2209">
      <c r="A2209" t="n">
        <v>38</v>
      </c>
      <c r="B2209" t="n">
        <v>202200061</v>
      </c>
      <c r="C2209" t="n">
        <v>20164796</v>
      </c>
      <c r="D2209" t="inlineStr">
        <is>
          <t>species</t>
        </is>
      </c>
      <c r="E2209" t="inlineStr">
        <is>
          <t>Orthohantavirus yakeshiense</t>
        </is>
      </c>
      <c r="F2209" t="inlineStr">
        <is>
          <t>M:JX465403,S:JX465423</t>
        </is>
      </c>
      <c r="G2209" t="inlineStr">
        <is>
          <t>Abolished,</t>
        </is>
      </c>
      <c r="L2209" s="8">
        <f>HYPERLINK("https://test.ictv.global/id/TN202200061","TN202200061@TEST")</f>
        <v/>
      </c>
      <c r="M2209" s="8">
        <f>HYPERLINK("https://test.ictv.global/id/ICTV20164796","ICTV20164796@TEST")</f>
        <v/>
      </c>
      <c r="N2209" s="8">
        <f>HYPERLINK("https://ictv.global/id/TN202200061","TN202200061@prod")</f>
        <v/>
      </c>
      <c r="O2209" s="8">
        <f>HYPERLINK("https://ictv.global/id/ICTV20164796","ICTV20164796@prod")</f>
        <v/>
      </c>
    </row>
    <row r="2210">
      <c r="A2210" t="n">
        <v>38</v>
      </c>
      <c r="B2210" t="n">
        <v>202200771</v>
      </c>
      <c r="C2210" t="n">
        <v>20150778</v>
      </c>
      <c r="D2210" t="inlineStr">
        <is>
          <t>species</t>
        </is>
      </c>
      <c r="E2210" t="inlineStr">
        <is>
          <t>Jerseyvirus L13</t>
        </is>
      </c>
      <c r="G2210" t="inlineStr">
        <is>
          <t>Abolished,</t>
        </is>
      </c>
      <c r="L2210" s="8">
        <f>HYPERLINK("https://test.ictv.global/id/TN202200771","TN202200771@TEST")</f>
        <v/>
      </c>
      <c r="M2210" s="8">
        <f>HYPERLINK("https://test.ictv.global/id/ICTV20150778","ICTV20150778@TEST")</f>
        <v/>
      </c>
      <c r="N2210" s="8">
        <f>HYPERLINK("https://ictv.global/id/TN202200771","TN202200771@prod")</f>
        <v/>
      </c>
      <c r="O2210" s="8">
        <f>HYPERLINK("https://ictv.global/id/ICTV20150778","ICTV20150778@prod")</f>
        <v/>
      </c>
    </row>
    <row r="2211">
      <c r="A2211" t="n">
        <v>38</v>
      </c>
      <c r="B2211" t="n">
        <v>202202801</v>
      </c>
      <c r="C2211" t="n">
        <v>19960858</v>
      </c>
      <c r="D2211" t="inlineStr">
        <is>
          <t>species</t>
        </is>
      </c>
      <c r="E2211" t="inlineStr">
        <is>
          <t>European brown hare syndrome virus</t>
        </is>
      </c>
      <c r="G2211" t="inlineStr">
        <is>
          <t>Merged,</t>
        </is>
      </c>
      <c r="H2211" t="inlineStr">
        <is>
          <t>Lagovirus europaeus</t>
        </is>
      </c>
      <c r="I2211" t="inlineStr">
        <is>
          <t>species</t>
        </is>
      </c>
      <c r="J2211" t="n">
        <v>19950818</v>
      </c>
      <c r="K2211" t="n">
        <v>202302802</v>
      </c>
      <c r="L2211" s="8">
        <f>HYPERLINK("https://test.ictv.global/id/TN202202801","TN202202801@TEST")</f>
        <v/>
      </c>
      <c r="M2211" s="8">
        <f>HYPERLINK("https://test.ictv.global/id/ICTV19960858","ICTV19960858@TEST")</f>
        <v/>
      </c>
      <c r="N2211" s="8">
        <f>HYPERLINK("https://ictv.global/id/TN202202801","TN202202801@prod")</f>
        <v/>
      </c>
      <c r="O2211" s="8">
        <f>HYPERLINK("https://ictv.global/id/ICTV19960858","ICTV19960858@prod")</f>
        <v/>
      </c>
    </row>
    <row r="2212">
      <c r="A2212" t="n">
        <v>38</v>
      </c>
      <c r="B2212" t="n">
        <v>202202802</v>
      </c>
      <c r="C2212" t="n">
        <v>19950818</v>
      </c>
      <c r="D2212" t="inlineStr">
        <is>
          <t>species</t>
        </is>
      </c>
      <c r="E2212" t="inlineStr">
        <is>
          <t>Rabbit hemorrhagic disease virus</t>
        </is>
      </c>
      <c r="G2212" t="inlineStr">
        <is>
          <t>Merged,</t>
        </is>
      </c>
      <c r="H2212" t="inlineStr">
        <is>
          <t>Lagovirus europaeus</t>
        </is>
      </c>
      <c r="I2212" t="inlineStr">
        <is>
          <t>species</t>
        </is>
      </c>
      <c r="J2212" t="n">
        <v>19950818</v>
      </c>
      <c r="K2212" t="n">
        <v>202302802</v>
      </c>
      <c r="L2212" s="8">
        <f>HYPERLINK("https://test.ictv.global/id/TN202202802","TN202202802@TEST")</f>
        <v/>
      </c>
      <c r="M2212" s="8">
        <f>HYPERLINK("https://test.ictv.global/id/ICTV19950818","ICTV19950818@TEST")</f>
        <v/>
      </c>
      <c r="N2212" s="8">
        <f>HYPERLINK("https://ictv.global/id/TN202202802","TN202202802@prod")</f>
        <v/>
      </c>
      <c r="O2212" s="8">
        <f>HYPERLINK("https://ictv.global/id/ICTV19950818","ICTV19950818@prod")</f>
        <v/>
      </c>
    </row>
    <row r="2213">
      <c r="A2213" t="n">
        <v>38</v>
      </c>
      <c r="B2213" t="n">
        <v>202203745</v>
      </c>
      <c r="C2213" t="n">
        <v>20154632</v>
      </c>
      <c r="D2213" t="inlineStr">
        <is>
          <t>family</t>
        </is>
      </c>
      <c r="E2213" t="inlineStr">
        <is>
          <t>Lavidaviridae</t>
        </is>
      </c>
      <c r="G2213" t="inlineStr">
        <is>
          <t>Renamed,Promoted,</t>
        </is>
      </c>
      <c r="H2213" t="inlineStr">
        <is>
          <t>Lavidavirales</t>
        </is>
      </c>
      <c r="I2213" t="inlineStr">
        <is>
          <t>order</t>
        </is>
      </c>
      <c r="J2213" t="n">
        <v>20154632</v>
      </c>
      <c r="K2213" t="n">
        <v>202303745</v>
      </c>
      <c r="L2213" s="8">
        <f>HYPERLINK("https://test.ictv.global/id/TN202203745","TN202203745@TEST")</f>
        <v/>
      </c>
      <c r="M2213" s="8">
        <f>HYPERLINK("https://test.ictv.global/id/ICTV20154632","ICTV20154632@TEST")</f>
        <v/>
      </c>
      <c r="N2213" s="8">
        <f>HYPERLINK("https://ictv.global/id/TN202203745","TN202203745@prod")</f>
        <v/>
      </c>
      <c r="O2213" s="8">
        <f>HYPERLINK("https://ictv.global/id/ICTV20154632","ICTV20154632@prod")</f>
        <v/>
      </c>
    </row>
    <row r="2214">
      <c r="A2214" t="n">
        <v>38</v>
      </c>
      <c r="B2214" t="n">
        <v>202203781</v>
      </c>
      <c r="C2214" t="n">
        <v>20132169</v>
      </c>
      <c r="D2214" t="inlineStr">
        <is>
          <t>species</t>
        </is>
      </c>
      <c r="E2214" t="inlineStr">
        <is>
          <t>Cotton leafroll dwarf virus</t>
        </is>
      </c>
      <c r="F2214" t="inlineStr">
        <is>
          <t>GU167940</t>
        </is>
      </c>
      <c r="G2214" t="inlineStr">
        <is>
          <t>Merged,</t>
        </is>
      </c>
      <c r="H2214" t="inlineStr">
        <is>
          <t>Polerovirus CLDV</t>
        </is>
      </c>
      <c r="I2214" t="inlineStr">
        <is>
          <t>species</t>
        </is>
      </c>
      <c r="J2214" t="n">
        <v>20132169</v>
      </c>
      <c r="K2214" t="n">
        <v>202303781</v>
      </c>
      <c r="L2214" s="8">
        <f>HYPERLINK("https://test.ictv.global/id/TN202203781","TN202203781@TEST")</f>
        <v/>
      </c>
      <c r="M2214" s="8">
        <f>HYPERLINK("https://test.ictv.global/id/ICTV20132169","ICTV20132169@TEST")</f>
        <v/>
      </c>
      <c r="N2214" s="8">
        <f>HYPERLINK("https://ictv.global/id/TN202203781","TN202203781@prod")</f>
        <v/>
      </c>
      <c r="O2214" s="8">
        <f>HYPERLINK("https://ictv.global/id/ICTV20132169","ICTV20132169@prod")</f>
        <v/>
      </c>
    </row>
    <row r="2215">
      <c r="A2215" t="n">
        <v>38</v>
      </c>
      <c r="B2215" t="n">
        <v>202203794</v>
      </c>
      <c r="C2215" t="n">
        <v>19981716</v>
      </c>
      <c r="D2215" t="inlineStr">
        <is>
          <t>species</t>
        </is>
      </c>
      <c r="E2215" t="inlineStr">
        <is>
          <t>Chickpea stunt disease associated virus</t>
        </is>
      </c>
      <c r="F2215" t="inlineStr">
        <is>
          <t>Y11530</t>
        </is>
      </c>
      <c r="G2215" t="inlineStr">
        <is>
          <t>Merged,Moved,</t>
        </is>
      </c>
      <c r="H2215" t="inlineStr">
        <is>
          <t>Polerovirus CLDV</t>
        </is>
      </c>
      <c r="I2215" t="inlineStr">
        <is>
          <t>species</t>
        </is>
      </c>
      <c r="J2215" t="n">
        <v>20132169</v>
      </c>
      <c r="K2215" t="n">
        <v>202303781</v>
      </c>
      <c r="L2215" s="8">
        <f>HYPERLINK("https://test.ictv.global/id/TN202203794","TN202203794@TEST")</f>
        <v/>
      </c>
      <c r="M2215" s="8">
        <f>HYPERLINK("https://test.ictv.global/id/ICTV19981716","ICTV19981716@TEST")</f>
        <v/>
      </c>
      <c r="N2215" s="8">
        <f>HYPERLINK("https://ictv.global/id/TN202203794","TN202203794@prod")</f>
        <v/>
      </c>
      <c r="O2215" s="8">
        <f>HYPERLINK("https://ictv.global/id/ICTV19981716","ICTV19981716@prod")</f>
        <v/>
      </c>
    </row>
    <row r="2216">
      <c r="A2216" t="n">
        <v>38</v>
      </c>
      <c r="B2216" t="n">
        <v>202203796</v>
      </c>
      <c r="C2216" t="n">
        <v>19821233</v>
      </c>
      <c r="D2216" t="inlineStr">
        <is>
          <t>species</t>
        </is>
      </c>
      <c r="E2216" t="inlineStr">
        <is>
          <t>Indonesian soybean dwarf virus</t>
        </is>
      </c>
      <c r="G2216" t="inlineStr">
        <is>
          <t>Abolished,</t>
        </is>
      </c>
      <c r="L2216" s="8">
        <f>HYPERLINK("https://test.ictv.global/id/TN202203796","TN202203796@TEST")</f>
        <v/>
      </c>
      <c r="M2216" s="8">
        <f>HYPERLINK("https://test.ictv.global/id/ICTV19821233","ICTV19821233@TEST")</f>
        <v/>
      </c>
      <c r="N2216" s="8">
        <f>HYPERLINK("https://ictv.global/id/TN202203796","TN202203796@prod")</f>
        <v/>
      </c>
      <c r="O2216" s="8">
        <f>HYPERLINK("https://ictv.global/id/ICTV19821233","ICTV19821233@prod")</f>
        <v/>
      </c>
    </row>
    <row r="2217">
      <c r="A2217" t="n">
        <v>38</v>
      </c>
      <c r="B2217" t="n">
        <v>202204191</v>
      </c>
      <c r="C2217" t="n">
        <v>19911013</v>
      </c>
      <c r="D2217" t="inlineStr">
        <is>
          <t>species</t>
        </is>
      </c>
      <c r="E2217" t="inlineStr">
        <is>
          <t>Agaricus bisporus virus 4</t>
        </is>
      </c>
      <c r="G2217" t="inlineStr">
        <is>
          <t>Abolished,</t>
        </is>
      </c>
      <c r="L2217" s="8">
        <f>HYPERLINK("https://test.ictv.global/id/TN202204191","TN202204191@TEST")</f>
        <v/>
      </c>
      <c r="M2217" s="8">
        <f>HYPERLINK("https://test.ictv.global/id/ICTV19911013","ICTV19911013@TEST")</f>
        <v/>
      </c>
      <c r="N2217" s="8">
        <f>HYPERLINK("https://ictv.global/id/TN202204191","TN202204191@prod")</f>
        <v/>
      </c>
      <c r="O2217" s="8">
        <f>HYPERLINK("https://ictv.global/id/ICTV19911013","ICTV19911013@prod")</f>
        <v/>
      </c>
    </row>
    <row r="2218">
      <c r="A2218" t="n">
        <v>38</v>
      </c>
      <c r="B2218" t="n">
        <v>202204192</v>
      </c>
      <c r="C2218" t="n">
        <v>19911595</v>
      </c>
      <c r="D2218" t="inlineStr">
        <is>
          <t>species</t>
        </is>
      </c>
      <c r="E2218" t="inlineStr">
        <is>
          <t>Alfalfa cryptic virus 1</t>
        </is>
      </c>
      <c r="G2218" t="inlineStr">
        <is>
          <t>Abolished,</t>
        </is>
      </c>
      <c r="L2218" s="8">
        <f>HYPERLINK("https://test.ictv.global/id/TN202204192","TN202204192@TEST")</f>
        <v/>
      </c>
      <c r="M2218" s="8">
        <f>HYPERLINK("https://test.ictv.global/id/ICTV19911595","ICTV19911595@TEST")</f>
        <v/>
      </c>
      <c r="N2218" s="8">
        <f>HYPERLINK("https://ictv.global/id/TN202204192","TN202204192@prod")</f>
        <v/>
      </c>
      <c r="O2218" s="8">
        <f>HYPERLINK("https://ictv.global/id/ICTV19911595","ICTV19911595@prod")</f>
        <v/>
      </c>
    </row>
    <row r="2219">
      <c r="A2219" t="n">
        <v>38</v>
      </c>
      <c r="B2219" t="n">
        <v>202204193</v>
      </c>
      <c r="C2219" t="n">
        <v>19871276</v>
      </c>
      <c r="D2219" t="inlineStr">
        <is>
          <t>species</t>
        </is>
      </c>
      <c r="E2219" t="inlineStr">
        <is>
          <t>Carnation cryptic virus 1</t>
        </is>
      </c>
      <c r="G2219" t="inlineStr">
        <is>
          <t>Abolished,</t>
        </is>
      </c>
      <c r="L2219" s="8">
        <f>HYPERLINK("https://test.ictv.global/id/TN202204193","TN202204193@TEST")</f>
        <v/>
      </c>
      <c r="M2219" s="8">
        <f>HYPERLINK("https://test.ictv.global/id/ICTV19871276","ICTV19871276@TEST")</f>
        <v/>
      </c>
      <c r="N2219" s="8">
        <f>HYPERLINK("https://ictv.global/id/TN202204193","TN202204193@prod")</f>
        <v/>
      </c>
      <c r="O2219" s="8">
        <f>HYPERLINK("https://ictv.global/id/ICTV19871276","ICTV19871276@prod")</f>
        <v/>
      </c>
    </row>
    <row r="2220">
      <c r="A2220" t="n">
        <v>38</v>
      </c>
      <c r="B2220" t="n">
        <v>202204194</v>
      </c>
      <c r="C2220" t="n">
        <v>19911600</v>
      </c>
      <c r="D2220" t="inlineStr">
        <is>
          <t>species</t>
        </is>
      </c>
      <c r="E2220" t="inlineStr">
        <is>
          <t>Carrot temperate virus 1</t>
        </is>
      </c>
      <c r="G2220" t="inlineStr">
        <is>
          <t>Abolished,</t>
        </is>
      </c>
      <c r="L2220" s="8">
        <f>HYPERLINK("https://test.ictv.global/id/TN202204194","TN202204194@TEST")</f>
        <v/>
      </c>
      <c r="M2220" s="8">
        <f>HYPERLINK("https://test.ictv.global/id/ICTV19911600","ICTV19911600@TEST")</f>
        <v/>
      </c>
      <c r="N2220" s="8">
        <f>HYPERLINK("https://ictv.global/id/TN202204194","TN202204194@prod")</f>
        <v/>
      </c>
      <c r="O2220" s="8">
        <f>HYPERLINK("https://ictv.global/id/ICTV19911600","ICTV19911600@prod")</f>
        <v/>
      </c>
    </row>
    <row r="2221">
      <c r="A2221" t="n">
        <v>38</v>
      </c>
      <c r="B2221" t="n">
        <v>202204195</v>
      </c>
      <c r="C2221" t="n">
        <v>19911611</v>
      </c>
      <c r="D2221" t="inlineStr">
        <is>
          <t>species</t>
        </is>
      </c>
      <c r="E2221" t="inlineStr">
        <is>
          <t>Carrot temperate virus 2</t>
        </is>
      </c>
      <c r="G2221" t="inlineStr">
        <is>
          <t>Abolished,</t>
        </is>
      </c>
      <c r="L2221" s="8">
        <f>HYPERLINK("https://test.ictv.global/id/TN202204195","TN202204195@TEST")</f>
        <v/>
      </c>
      <c r="M2221" s="8">
        <f>HYPERLINK("https://test.ictv.global/id/ICTV19911611","ICTV19911611@TEST")</f>
        <v/>
      </c>
      <c r="N2221" s="8">
        <f>HYPERLINK("https://ictv.global/id/TN202204195","TN202204195@prod")</f>
        <v/>
      </c>
      <c r="O2221" s="8">
        <f>HYPERLINK("https://ictv.global/id/ICTV19911611","ICTV19911611@prod")</f>
        <v/>
      </c>
    </row>
    <row r="2222">
      <c r="A2222" t="n">
        <v>38</v>
      </c>
      <c r="B2222" t="n">
        <v>202204196</v>
      </c>
      <c r="C2222" t="n">
        <v>19911601</v>
      </c>
      <c r="D2222" t="inlineStr">
        <is>
          <t>species</t>
        </is>
      </c>
      <c r="E2222" t="inlineStr">
        <is>
          <t>Carrot temperate virus 3</t>
        </is>
      </c>
      <c r="G2222" t="inlineStr">
        <is>
          <t>Abolished,</t>
        </is>
      </c>
      <c r="L2222" s="8">
        <f>HYPERLINK("https://test.ictv.global/id/TN202204196","TN202204196@TEST")</f>
        <v/>
      </c>
      <c r="M2222" s="8">
        <f>HYPERLINK("https://test.ictv.global/id/ICTV19911601","ICTV19911601@TEST")</f>
        <v/>
      </c>
      <c r="N2222" s="8">
        <f>HYPERLINK("https://ictv.global/id/TN202204196","TN202204196@prod")</f>
        <v/>
      </c>
      <c r="O2222" s="8">
        <f>HYPERLINK("https://ictv.global/id/ICTV19911601","ICTV19911601@prod")</f>
        <v/>
      </c>
    </row>
    <row r="2223">
      <c r="A2223" t="n">
        <v>38</v>
      </c>
      <c r="B2223" t="n">
        <v>202204197</v>
      </c>
      <c r="C2223" t="n">
        <v>19911602</v>
      </c>
      <c r="D2223" t="inlineStr">
        <is>
          <t>species</t>
        </is>
      </c>
      <c r="E2223" t="inlineStr">
        <is>
          <t>Carrot temperate virus 4</t>
        </is>
      </c>
      <c r="G2223" t="inlineStr">
        <is>
          <t>Abolished,</t>
        </is>
      </c>
      <c r="L2223" s="8">
        <f>HYPERLINK("https://test.ictv.global/id/TN202204197","TN202204197@TEST")</f>
        <v/>
      </c>
      <c r="M2223" s="8">
        <f>HYPERLINK("https://test.ictv.global/id/ICTV19911602","ICTV19911602@TEST")</f>
        <v/>
      </c>
      <c r="N2223" s="8">
        <f>HYPERLINK("https://ictv.global/id/TN202204197","TN202204197@prod")</f>
        <v/>
      </c>
      <c r="O2223" s="8">
        <f>HYPERLINK("https://ictv.global/id/ICTV19911602","ICTV19911602@prod")</f>
        <v/>
      </c>
    </row>
    <row r="2224">
      <c r="A2224" t="n">
        <v>38</v>
      </c>
      <c r="B2224" t="n">
        <v>202204198</v>
      </c>
      <c r="C2224" t="n">
        <v>19821204</v>
      </c>
      <c r="D2224" t="inlineStr">
        <is>
          <t>species</t>
        </is>
      </c>
      <c r="E2224" t="inlineStr">
        <is>
          <t>Gaeumannomyces graminis virus 0196A</t>
        </is>
      </c>
      <c r="G2224" t="inlineStr">
        <is>
          <t>Abolished,</t>
        </is>
      </c>
      <c r="L2224" s="8">
        <f>HYPERLINK("https://test.ictv.global/id/TN202204198","TN202204198@TEST")</f>
        <v/>
      </c>
      <c r="M2224" s="8">
        <f>HYPERLINK("https://test.ictv.global/id/ICTV19821204","ICTV19821204@TEST")</f>
        <v/>
      </c>
      <c r="N2224" s="8">
        <f>HYPERLINK("https://ictv.global/id/TN202204198","TN202204198@prod")</f>
        <v/>
      </c>
      <c r="O2224" s="8">
        <f>HYPERLINK("https://ictv.global/id/ICTV19821204","ICTV19821204@prod")</f>
        <v/>
      </c>
    </row>
    <row r="2225">
      <c r="A2225" t="n">
        <v>38</v>
      </c>
      <c r="B2225" t="n">
        <v>202204199</v>
      </c>
      <c r="C2225" t="n">
        <v>19821205</v>
      </c>
      <c r="D2225" t="inlineStr">
        <is>
          <t>species</t>
        </is>
      </c>
      <c r="E2225" t="inlineStr">
        <is>
          <t>Gaeumannomyces graminis virus T1A</t>
        </is>
      </c>
      <c r="G2225" t="inlineStr">
        <is>
          <t>Abolished,</t>
        </is>
      </c>
      <c r="L2225" s="8">
        <f>HYPERLINK("https://test.ictv.global/id/TN202204199","TN202204199@TEST")</f>
        <v/>
      </c>
      <c r="M2225" s="8">
        <f>HYPERLINK("https://test.ictv.global/id/ICTV19821205","ICTV19821205@TEST")</f>
        <v/>
      </c>
      <c r="N2225" s="8">
        <f>HYPERLINK("https://ictv.global/id/TN202204199","TN202204199@prod")</f>
        <v/>
      </c>
      <c r="O2225" s="8">
        <f>HYPERLINK("https://ictv.global/id/ICTV19821205","ICTV19821205@prod")</f>
        <v/>
      </c>
    </row>
    <row r="2226">
      <c r="A2226" t="n">
        <v>38</v>
      </c>
      <c r="B2226" t="n">
        <v>202204200</v>
      </c>
      <c r="C2226" t="n">
        <v>19871277</v>
      </c>
      <c r="D2226" t="inlineStr">
        <is>
          <t>species</t>
        </is>
      </c>
      <c r="E2226" t="inlineStr">
        <is>
          <t>Hop trefoil cryptic virus 1</t>
        </is>
      </c>
      <c r="G2226" t="inlineStr">
        <is>
          <t>Abolished,</t>
        </is>
      </c>
      <c r="L2226" s="8">
        <f>HYPERLINK("https://test.ictv.global/id/TN202204200","TN202204200@TEST")</f>
        <v/>
      </c>
      <c r="M2226" s="8">
        <f>HYPERLINK("https://test.ictv.global/id/ICTV19871277","ICTV19871277@TEST")</f>
        <v/>
      </c>
      <c r="N2226" s="8">
        <f>HYPERLINK("https://ictv.global/id/TN202204200","TN202204200@prod")</f>
        <v/>
      </c>
      <c r="O2226" s="8">
        <f>HYPERLINK("https://ictv.global/id/ICTV19871277","ICTV19871277@prod")</f>
        <v/>
      </c>
    </row>
    <row r="2227">
      <c r="A2227" t="n">
        <v>38</v>
      </c>
      <c r="B2227" t="n">
        <v>202204201</v>
      </c>
      <c r="C2227" t="n">
        <v>19911604</v>
      </c>
      <c r="D2227" t="inlineStr">
        <is>
          <t>species</t>
        </is>
      </c>
      <c r="E2227" t="inlineStr">
        <is>
          <t>Hop trefoil cryptic virus 3</t>
        </is>
      </c>
      <c r="G2227" t="inlineStr">
        <is>
          <t>Abolished,</t>
        </is>
      </c>
      <c r="L2227" s="8">
        <f>HYPERLINK("https://test.ictv.global/id/TN202204201","TN202204201@TEST")</f>
        <v/>
      </c>
      <c r="M2227" s="8">
        <f>HYPERLINK("https://test.ictv.global/id/ICTV19911604","ICTV19911604@TEST")</f>
        <v/>
      </c>
      <c r="N2227" s="8">
        <f>HYPERLINK("https://ictv.global/id/TN202204201","TN202204201@prod")</f>
        <v/>
      </c>
      <c r="O2227" s="8">
        <f>HYPERLINK("https://ictv.global/id/ICTV19911604","ICTV19911604@prod")</f>
        <v/>
      </c>
    </row>
    <row r="2228">
      <c r="A2228" t="n">
        <v>38</v>
      </c>
      <c r="B2228" t="n">
        <v>202204202</v>
      </c>
      <c r="C2228" t="n">
        <v>19871278</v>
      </c>
      <c r="D2228" t="inlineStr">
        <is>
          <t>species</t>
        </is>
      </c>
      <c r="E2228" t="inlineStr">
        <is>
          <t>Radish yellow edge virus</t>
        </is>
      </c>
      <c r="G2228" t="inlineStr">
        <is>
          <t>Abolished,</t>
        </is>
      </c>
      <c r="L2228" s="8">
        <f>HYPERLINK("https://test.ictv.global/id/TN202204202","TN202204202@TEST")</f>
        <v/>
      </c>
      <c r="M2228" s="8">
        <f>HYPERLINK("https://test.ictv.global/id/ICTV19871278","ICTV19871278@TEST")</f>
        <v/>
      </c>
      <c r="N2228" s="8">
        <f>HYPERLINK("https://ictv.global/id/TN202204202","TN202204202@prod")</f>
        <v/>
      </c>
      <c r="O2228" s="8">
        <f>HYPERLINK("https://ictv.global/id/ICTV19871278","ICTV19871278@prod")</f>
        <v/>
      </c>
    </row>
    <row r="2229">
      <c r="A2229" t="n">
        <v>38</v>
      </c>
      <c r="B2229" t="n">
        <v>202204203</v>
      </c>
      <c r="C2229" t="n">
        <v>19871279</v>
      </c>
      <c r="D2229" t="inlineStr">
        <is>
          <t>species</t>
        </is>
      </c>
      <c r="E2229" t="inlineStr">
        <is>
          <t>Ryegrass cryptic virus</t>
        </is>
      </c>
      <c r="G2229" t="inlineStr">
        <is>
          <t>Abolished,</t>
        </is>
      </c>
      <c r="L2229" s="8">
        <f>HYPERLINK("https://test.ictv.global/id/TN202204203","TN202204203@TEST")</f>
        <v/>
      </c>
      <c r="M2229" s="8">
        <f>HYPERLINK("https://test.ictv.global/id/ICTV19871279","ICTV19871279@TEST")</f>
        <v/>
      </c>
      <c r="N2229" s="8">
        <f>HYPERLINK("https://ictv.global/id/TN202204203","TN202204203@prod")</f>
        <v/>
      </c>
      <c r="O2229" s="8">
        <f>HYPERLINK("https://ictv.global/id/ICTV19871279","ICTV19871279@prod")</f>
        <v/>
      </c>
    </row>
    <row r="2230">
      <c r="A2230" t="n">
        <v>38</v>
      </c>
      <c r="B2230" t="n">
        <v>202204204</v>
      </c>
      <c r="C2230" t="n">
        <v>19871280</v>
      </c>
      <c r="D2230" t="inlineStr">
        <is>
          <t>species</t>
        </is>
      </c>
      <c r="E2230" t="inlineStr">
        <is>
          <t>Spinach temperate virus</t>
        </is>
      </c>
      <c r="G2230" t="inlineStr">
        <is>
          <t>Abolished,</t>
        </is>
      </c>
      <c r="L2230" s="8">
        <f>HYPERLINK("https://test.ictv.global/id/TN202204204","TN202204204@TEST")</f>
        <v/>
      </c>
      <c r="M2230" s="8">
        <f>HYPERLINK("https://test.ictv.global/id/ICTV19871280","ICTV19871280@TEST")</f>
        <v/>
      </c>
      <c r="N2230" s="8">
        <f>HYPERLINK("https://ictv.global/id/TN202204204","TN202204204@prod")</f>
        <v/>
      </c>
      <c r="O2230" s="8">
        <f>HYPERLINK("https://ictv.global/id/ICTV19871280","ICTV19871280@prod")</f>
        <v/>
      </c>
    </row>
    <row r="2231">
      <c r="A2231" t="n">
        <v>38</v>
      </c>
      <c r="B2231" t="n">
        <v>202204205</v>
      </c>
      <c r="C2231" t="n">
        <v>19871283</v>
      </c>
      <c r="D2231" t="inlineStr">
        <is>
          <t>species</t>
        </is>
      </c>
      <c r="E2231" t="inlineStr">
        <is>
          <t>White clover cryptic virus 3</t>
        </is>
      </c>
      <c r="G2231" t="inlineStr">
        <is>
          <t>Abolished,</t>
        </is>
      </c>
      <c r="L2231" s="8">
        <f>HYPERLINK("https://test.ictv.global/id/TN202204205","TN202204205@TEST")</f>
        <v/>
      </c>
      <c r="M2231" s="8">
        <f>HYPERLINK("https://test.ictv.global/id/ICTV19871283","ICTV19871283@TEST")</f>
        <v/>
      </c>
      <c r="N2231" s="8">
        <f>HYPERLINK("https://ictv.global/id/TN202204205","TN202204205@prod")</f>
        <v/>
      </c>
      <c r="O2231" s="8">
        <f>HYPERLINK("https://ictv.global/id/ICTV19871283","ICTV19871283@prod")</f>
        <v/>
      </c>
    </row>
    <row r="2232">
      <c r="A2232" t="n">
        <v>38</v>
      </c>
      <c r="B2232" t="n">
        <v>202204237</v>
      </c>
      <c r="C2232" t="n">
        <v>20132553</v>
      </c>
      <c r="D2232" t="inlineStr">
        <is>
          <t>species</t>
        </is>
      </c>
      <c r="E2232" t="inlineStr">
        <is>
          <t>Amdoparvovirus carnivoran1</t>
        </is>
      </c>
      <c r="G2232" t="inlineStr">
        <is>
          <t>Split,</t>
        </is>
      </c>
      <c r="H2232" t="inlineStr">
        <is>
          <t>Amdoparvovirus carnivoran1</t>
        </is>
      </c>
      <c r="I2232" t="inlineStr">
        <is>
          <t>species</t>
        </is>
      </c>
      <c r="J2232" t="n">
        <v>20132553</v>
      </c>
      <c r="K2232" t="n">
        <v>202304237</v>
      </c>
      <c r="L2232" s="8">
        <f>HYPERLINK("https://test.ictv.global/id/TN202204237","TN202204237@TEST")</f>
        <v/>
      </c>
      <c r="M2232" s="8">
        <f>HYPERLINK("https://test.ictv.global/id/ICTV20132553","ICTV20132553@TEST")</f>
        <v/>
      </c>
      <c r="N2232" s="8">
        <f>HYPERLINK("https://ictv.global/id/TN202204237","TN202204237@prod")</f>
        <v/>
      </c>
      <c r="O2232" s="8">
        <f>HYPERLINK("https://ictv.global/id/ICTV20132553","ICTV20132553@prod")</f>
        <v/>
      </c>
    </row>
    <row r="2233">
      <c r="A2233" t="n">
        <v>38</v>
      </c>
      <c r="B2233" t="n">
        <v>202204237</v>
      </c>
      <c r="C2233" t="n">
        <v>20132553</v>
      </c>
      <c r="D2233" t="inlineStr">
        <is>
          <t>species</t>
        </is>
      </c>
      <c r="E2233" t="inlineStr">
        <is>
          <t>Amdoparvovirus carnivoran1</t>
        </is>
      </c>
      <c r="G2233" t="inlineStr">
        <is>
          <t>Split,</t>
        </is>
      </c>
      <c r="H2233" t="inlineStr">
        <is>
          <t>Amdoparvovirus carnivoran9</t>
        </is>
      </c>
      <c r="I2233" t="inlineStr">
        <is>
          <t>species</t>
        </is>
      </c>
      <c r="J2233" t="n">
        <v>202317844</v>
      </c>
      <c r="K2233" t="n">
        <v>202317844</v>
      </c>
      <c r="L2233" s="8">
        <f>HYPERLINK("https://test.ictv.global/id/TN202204237","TN202204237@TEST")</f>
        <v/>
      </c>
      <c r="M2233" s="8">
        <f>HYPERLINK("https://test.ictv.global/id/ICTV20132553","ICTV20132553@TEST")</f>
        <v/>
      </c>
      <c r="N2233" s="8">
        <f>HYPERLINK("https://ictv.global/id/TN202204237","TN202204237@prod")</f>
        <v/>
      </c>
      <c r="O2233" s="8">
        <f>HYPERLINK("https://ictv.global/id/ICTV20132553","ICTV20132553@prod")</f>
        <v/>
      </c>
    </row>
    <row r="2234">
      <c r="A2234" t="n">
        <v>38</v>
      </c>
      <c r="B2234" t="n">
        <v>202204237</v>
      </c>
      <c r="C2234" t="n">
        <v>20132553</v>
      </c>
      <c r="D2234" t="inlineStr">
        <is>
          <t>species</t>
        </is>
      </c>
      <c r="E2234" t="inlineStr">
        <is>
          <t>Amdoparvovirus carnivoran1</t>
        </is>
      </c>
      <c r="G2234" t="inlineStr">
        <is>
          <t>Split,</t>
        </is>
      </c>
      <c r="H2234" t="inlineStr">
        <is>
          <t>Amdoparvovirus carnivoran10</t>
        </is>
      </c>
      <c r="I2234" t="inlineStr">
        <is>
          <t>species</t>
        </is>
      </c>
      <c r="J2234" t="n">
        <v>202317845</v>
      </c>
      <c r="K2234" t="n">
        <v>202317845</v>
      </c>
      <c r="L2234" s="8">
        <f>HYPERLINK("https://test.ictv.global/id/TN202204237","TN202204237@TEST")</f>
        <v/>
      </c>
      <c r="M2234" s="8">
        <f>HYPERLINK("https://test.ictv.global/id/ICTV20132553","ICTV20132553@TEST")</f>
        <v/>
      </c>
      <c r="N2234" s="8">
        <f>HYPERLINK("https://ictv.global/id/TN202204237","TN202204237@prod")</f>
        <v/>
      </c>
      <c r="O2234" s="8">
        <f>HYPERLINK("https://ictv.global/id/ICTV20132553","ICTV20132553@prod")</f>
        <v/>
      </c>
    </row>
    <row r="2235">
      <c r="A2235" t="n">
        <v>38</v>
      </c>
      <c r="B2235" t="n">
        <v>202204294</v>
      </c>
      <c r="C2235" t="n">
        <v>19911045</v>
      </c>
      <c r="D2235" t="inlineStr">
        <is>
          <t>species</t>
        </is>
      </c>
      <c r="E2235" t="inlineStr">
        <is>
          <t>Hydra viridis Chlorella virus 1</t>
        </is>
      </c>
      <c r="G2235" t="inlineStr">
        <is>
          <t>Abolished,</t>
        </is>
      </c>
      <c r="L2235" s="8">
        <f>HYPERLINK("https://test.ictv.global/id/TN202204294","TN202204294@TEST")</f>
        <v/>
      </c>
      <c r="M2235" s="8">
        <f>HYPERLINK("https://test.ictv.global/id/ICTV19911045","ICTV19911045@TEST")</f>
        <v/>
      </c>
      <c r="N2235" s="8">
        <f>HYPERLINK("https://ictv.global/id/TN202204294","TN202204294@prod")</f>
        <v/>
      </c>
      <c r="O2235" s="8">
        <f>HYPERLINK("https://ictv.global/id/ICTV19911045","ICTV19911045@prod")</f>
        <v/>
      </c>
    </row>
    <row r="2236">
      <c r="A2236" t="n">
        <v>38</v>
      </c>
      <c r="B2236" t="n">
        <v>202204297</v>
      </c>
      <c r="C2236" t="n">
        <v>19911050</v>
      </c>
      <c r="D2236" t="inlineStr">
        <is>
          <t>species</t>
        </is>
      </c>
      <c r="E2236" t="inlineStr">
        <is>
          <t>Paramecium bursaria Chlorella virus AL1A</t>
        </is>
      </c>
      <c r="G2236" t="inlineStr">
        <is>
          <t>Abolished,</t>
        </is>
      </c>
      <c r="L2236" s="8">
        <f>HYPERLINK("https://test.ictv.global/id/TN202204297","TN202204297@TEST")</f>
        <v/>
      </c>
      <c r="M2236" s="8">
        <f>HYPERLINK("https://test.ictv.global/id/ICTV19911050","ICTV19911050@TEST")</f>
        <v/>
      </c>
      <c r="N2236" s="8">
        <f>HYPERLINK("https://ictv.global/id/TN202204297","TN202204297@prod")</f>
        <v/>
      </c>
      <c r="O2236" s="8">
        <f>HYPERLINK("https://ictv.global/id/ICTV19911050","ICTV19911050@prod")</f>
        <v/>
      </c>
    </row>
    <row r="2237">
      <c r="A2237" t="n">
        <v>38</v>
      </c>
      <c r="B2237" t="n">
        <v>202204298</v>
      </c>
      <c r="C2237" t="n">
        <v>19911051</v>
      </c>
      <c r="D2237" t="inlineStr">
        <is>
          <t>species</t>
        </is>
      </c>
      <c r="E2237" t="inlineStr">
        <is>
          <t>Paramecium bursaria Chlorella virus AL2A</t>
        </is>
      </c>
      <c r="G2237" t="inlineStr">
        <is>
          <t>Abolished,</t>
        </is>
      </c>
      <c r="L2237" s="8">
        <f>HYPERLINK("https://test.ictv.global/id/TN202204298","TN202204298@TEST")</f>
        <v/>
      </c>
      <c r="M2237" s="8">
        <f>HYPERLINK("https://test.ictv.global/id/ICTV19911051","ICTV19911051@TEST")</f>
        <v/>
      </c>
      <c r="N2237" s="8">
        <f>HYPERLINK("https://ictv.global/id/TN202204298","TN202204298@prod")</f>
        <v/>
      </c>
      <c r="O2237" s="8">
        <f>HYPERLINK("https://ictv.global/id/ICTV19911051","ICTV19911051@prod")</f>
        <v/>
      </c>
    </row>
    <row r="2238">
      <c r="A2238" t="n">
        <v>38</v>
      </c>
      <c r="B2238" t="n">
        <v>202204299</v>
      </c>
      <c r="C2238" t="n">
        <v>19911054</v>
      </c>
      <c r="D2238" t="inlineStr">
        <is>
          <t>species</t>
        </is>
      </c>
      <c r="E2238" t="inlineStr">
        <is>
          <t>Paramecium bursaria Chlorella virus BJ2C</t>
        </is>
      </c>
      <c r="G2238" t="inlineStr">
        <is>
          <t>Abolished,</t>
        </is>
      </c>
      <c r="L2238" s="8">
        <f>HYPERLINK("https://test.ictv.global/id/TN202204299","TN202204299@TEST")</f>
        <v/>
      </c>
      <c r="M2238" s="8">
        <f>HYPERLINK("https://test.ictv.global/id/ICTV19911054","ICTV19911054@TEST")</f>
        <v/>
      </c>
      <c r="N2238" s="8">
        <f>HYPERLINK("https://ictv.global/id/TN202204299","TN202204299@prod")</f>
        <v/>
      </c>
      <c r="O2238" s="8">
        <f>HYPERLINK("https://ictv.global/id/ICTV19911054","ICTV19911054@prod")</f>
        <v/>
      </c>
    </row>
    <row r="2239">
      <c r="A2239" t="n">
        <v>38</v>
      </c>
      <c r="B2239" t="n">
        <v>202204300</v>
      </c>
      <c r="C2239" t="n">
        <v>19911058</v>
      </c>
      <c r="D2239" t="inlineStr">
        <is>
          <t>species</t>
        </is>
      </c>
      <c r="E2239" t="inlineStr">
        <is>
          <t>Paramecium bursaria Chlorella virus CA4A</t>
        </is>
      </c>
      <c r="G2239" t="inlineStr">
        <is>
          <t>Abolished,</t>
        </is>
      </c>
      <c r="L2239" s="8">
        <f>HYPERLINK("https://test.ictv.global/id/TN202204300","TN202204300@TEST")</f>
        <v/>
      </c>
      <c r="M2239" s="8">
        <f>HYPERLINK("https://test.ictv.global/id/ICTV19911058","ICTV19911058@TEST")</f>
        <v/>
      </c>
      <c r="N2239" s="8">
        <f>HYPERLINK("https://ictv.global/id/TN202204300","TN202204300@prod")</f>
        <v/>
      </c>
      <c r="O2239" s="8">
        <f>HYPERLINK("https://ictv.global/id/ICTV19911058","ICTV19911058@prod")</f>
        <v/>
      </c>
    </row>
    <row r="2240">
      <c r="A2240" t="n">
        <v>38</v>
      </c>
      <c r="B2240" t="n">
        <v>202204301</v>
      </c>
      <c r="C2240" t="n">
        <v>19911059</v>
      </c>
      <c r="D2240" t="inlineStr">
        <is>
          <t>species</t>
        </is>
      </c>
      <c r="E2240" t="inlineStr">
        <is>
          <t>Paramecium bursaria Chlorella virus CA4B</t>
        </is>
      </c>
      <c r="G2240" t="inlineStr">
        <is>
          <t>Abolished,</t>
        </is>
      </c>
      <c r="L2240" s="8">
        <f>HYPERLINK("https://test.ictv.global/id/TN202204301","TN202204301@TEST")</f>
        <v/>
      </c>
      <c r="M2240" s="8">
        <f>HYPERLINK("https://test.ictv.global/id/ICTV19911059","ICTV19911059@TEST")</f>
        <v/>
      </c>
      <c r="N2240" s="8">
        <f>HYPERLINK("https://ictv.global/id/TN202204301","TN202204301@prod")</f>
        <v/>
      </c>
      <c r="O2240" s="8">
        <f>HYPERLINK("https://ictv.global/id/ICTV19911059","ICTV19911059@prod")</f>
        <v/>
      </c>
    </row>
    <row r="2241">
      <c r="A2241" t="n">
        <v>38</v>
      </c>
      <c r="B2241" t="n">
        <v>202204303</v>
      </c>
      <c r="C2241" t="n">
        <v>19911069</v>
      </c>
      <c r="D2241" t="inlineStr">
        <is>
          <t>species</t>
        </is>
      </c>
      <c r="E2241" t="inlineStr">
        <is>
          <t>Paramecium bursaria Chlorella virus NC1A</t>
        </is>
      </c>
      <c r="G2241" t="inlineStr">
        <is>
          <t>Abolished,</t>
        </is>
      </c>
      <c r="L2241" s="8">
        <f>HYPERLINK("https://test.ictv.global/id/TN202204303","TN202204303@TEST")</f>
        <v/>
      </c>
      <c r="M2241" s="8">
        <f>HYPERLINK("https://test.ictv.global/id/ICTV19911069","ICTV19911069@TEST")</f>
        <v/>
      </c>
      <c r="N2241" s="8">
        <f>HYPERLINK("https://ictv.global/id/TN202204303","TN202204303@prod")</f>
        <v/>
      </c>
      <c r="O2241" s="8">
        <f>HYPERLINK("https://ictv.global/id/ICTV19911069","ICTV19911069@prod")</f>
        <v/>
      </c>
    </row>
    <row r="2242">
      <c r="A2242" t="n">
        <v>38</v>
      </c>
      <c r="B2242" t="n">
        <v>202204304</v>
      </c>
      <c r="C2242" t="n">
        <v>19911073</v>
      </c>
      <c r="D2242" t="inlineStr">
        <is>
          <t>species</t>
        </is>
      </c>
      <c r="E2242" t="inlineStr">
        <is>
          <t>Paramecium bursaria Chlorella virus NE8A</t>
        </is>
      </c>
      <c r="G2242" t="inlineStr">
        <is>
          <t>Abolished,</t>
        </is>
      </c>
      <c r="L2242" s="8">
        <f>HYPERLINK("https://test.ictv.global/id/TN202204304","TN202204304@TEST")</f>
        <v/>
      </c>
      <c r="M2242" s="8">
        <f>HYPERLINK("https://test.ictv.global/id/ICTV19911073","ICTV19911073@TEST")</f>
        <v/>
      </c>
      <c r="N2242" s="8">
        <f>HYPERLINK("https://ictv.global/id/TN202204304","TN202204304@prod")</f>
        <v/>
      </c>
      <c r="O2242" s="8">
        <f>HYPERLINK("https://ictv.global/id/ICTV19911073","ICTV19911073@prod")</f>
        <v/>
      </c>
    </row>
    <row r="2243">
      <c r="A2243" t="n">
        <v>38</v>
      </c>
      <c r="B2243" t="n">
        <v>202204307</v>
      </c>
      <c r="C2243" t="n">
        <v>19911082</v>
      </c>
      <c r="D2243" t="inlineStr">
        <is>
          <t>species</t>
        </is>
      </c>
      <c r="E2243" t="inlineStr">
        <is>
          <t>Paramecium bursaria Chlorella virus SC1A</t>
        </is>
      </c>
      <c r="G2243" t="inlineStr">
        <is>
          <t>Abolished,</t>
        </is>
      </c>
      <c r="L2243" s="8">
        <f>HYPERLINK("https://test.ictv.global/id/TN202204307","TN202204307@TEST")</f>
        <v/>
      </c>
      <c r="M2243" s="8">
        <f>HYPERLINK("https://test.ictv.global/id/ICTV19911082","ICTV19911082@TEST")</f>
        <v/>
      </c>
      <c r="N2243" s="8">
        <f>HYPERLINK("https://ictv.global/id/TN202204307","TN202204307@prod")</f>
        <v/>
      </c>
      <c r="O2243" s="8">
        <f>HYPERLINK("https://ictv.global/id/ICTV19911082","ICTV19911082@prod")</f>
        <v/>
      </c>
    </row>
    <row r="2244">
      <c r="A2244" t="n">
        <v>38</v>
      </c>
      <c r="B2244" t="n">
        <v>202204308</v>
      </c>
      <c r="C2244" t="n">
        <v>19911089</v>
      </c>
      <c r="D2244" t="inlineStr">
        <is>
          <t>species</t>
        </is>
      </c>
      <c r="E2244" t="inlineStr">
        <is>
          <t>Paramecium bursaria Chlorella virus XY6E</t>
        </is>
      </c>
      <c r="G2244" t="inlineStr">
        <is>
          <t>Abolished,</t>
        </is>
      </c>
      <c r="L2244" s="8">
        <f>HYPERLINK("https://test.ictv.global/id/TN202204308","TN202204308@TEST")</f>
        <v/>
      </c>
      <c r="M2244" s="8">
        <f>HYPERLINK("https://test.ictv.global/id/ICTV19911089","ICTV19911089@TEST")</f>
        <v/>
      </c>
      <c r="N2244" s="8">
        <f>HYPERLINK("https://ictv.global/id/TN202204308","TN202204308@prod")</f>
        <v/>
      </c>
      <c r="O2244" s="8">
        <f>HYPERLINK("https://ictv.global/id/ICTV19911089","ICTV19911089@prod")</f>
        <v/>
      </c>
    </row>
    <row r="2245">
      <c r="A2245" t="n">
        <v>38</v>
      </c>
      <c r="B2245" t="n">
        <v>202204309</v>
      </c>
      <c r="C2245" t="n">
        <v>19911085</v>
      </c>
      <c r="D2245" t="inlineStr">
        <is>
          <t>species</t>
        </is>
      </c>
      <c r="E2245" t="inlineStr">
        <is>
          <t>Paramecium bursaria Chlorella virus XZ3A</t>
        </is>
      </c>
      <c r="G2245" t="inlineStr">
        <is>
          <t>Abolished,</t>
        </is>
      </c>
      <c r="L2245" s="8">
        <f>HYPERLINK("https://test.ictv.global/id/TN202204309","TN202204309@TEST")</f>
        <v/>
      </c>
      <c r="M2245" s="8">
        <f>HYPERLINK("https://test.ictv.global/id/ICTV19911085","ICTV19911085@TEST")</f>
        <v/>
      </c>
      <c r="N2245" s="8">
        <f>HYPERLINK("https://ictv.global/id/TN202204309","TN202204309@prod")</f>
        <v/>
      </c>
      <c r="O2245" s="8">
        <f>HYPERLINK("https://ictv.global/id/ICTV19911085","ICTV19911085@prod")</f>
        <v/>
      </c>
    </row>
    <row r="2246">
      <c r="A2246" t="n">
        <v>38</v>
      </c>
      <c r="B2246" t="n">
        <v>202204310</v>
      </c>
      <c r="C2246" t="n">
        <v>19911086</v>
      </c>
      <c r="D2246" t="inlineStr">
        <is>
          <t>species</t>
        </is>
      </c>
      <c r="E2246" t="inlineStr">
        <is>
          <t>Paramecium bursaria Chlorella virus XZ4A</t>
        </is>
      </c>
      <c r="G2246" t="inlineStr">
        <is>
          <t>Abolished,</t>
        </is>
      </c>
      <c r="L2246" s="8">
        <f>HYPERLINK("https://test.ictv.global/id/TN202204310","TN202204310@TEST")</f>
        <v/>
      </c>
      <c r="M2246" s="8">
        <f>HYPERLINK("https://test.ictv.global/id/ICTV19911086","ICTV19911086@TEST")</f>
        <v/>
      </c>
      <c r="N2246" s="8">
        <f>HYPERLINK("https://ictv.global/id/TN202204310","TN202204310@prod")</f>
        <v/>
      </c>
      <c r="O2246" s="8">
        <f>HYPERLINK("https://ictv.global/id/ICTV19911086","ICTV19911086@prod")</f>
        <v/>
      </c>
    </row>
    <row r="2247">
      <c r="A2247" t="n">
        <v>38</v>
      </c>
      <c r="B2247" t="n">
        <v>202204311</v>
      </c>
      <c r="C2247" t="n">
        <v>19911087</v>
      </c>
      <c r="D2247" t="inlineStr">
        <is>
          <t>species</t>
        </is>
      </c>
      <c r="E2247" t="inlineStr">
        <is>
          <t>Paramecium bursaria Chlorella virus XZ4C</t>
        </is>
      </c>
      <c r="G2247" t="inlineStr">
        <is>
          <t>Abolished,</t>
        </is>
      </c>
      <c r="L2247" s="8">
        <f>HYPERLINK("https://test.ictv.global/id/TN202204311","TN202204311@TEST")</f>
        <v/>
      </c>
      <c r="M2247" s="8">
        <f>HYPERLINK("https://test.ictv.global/id/ICTV19911087","ICTV19911087@TEST")</f>
        <v/>
      </c>
      <c r="N2247" s="8">
        <f>HYPERLINK("https://ictv.global/id/TN202204311","TN202204311@prod")</f>
        <v/>
      </c>
      <c r="O2247" s="8">
        <f>HYPERLINK("https://ictv.global/id/ICTV19911087","ICTV19911087@prod")</f>
        <v/>
      </c>
    </row>
    <row r="2248">
      <c r="A2248" t="n">
        <v>38</v>
      </c>
      <c r="B2248" t="n">
        <v>202204315</v>
      </c>
      <c r="C2248" t="n">
        <v>19991232</v>
      </c>
      <c r="D2248" t="inlineStr">
        <is>
          <t>species</t>
        </is>
      </c>
      <c r="E2248" t="inlineStr">
        <is>
          <t>Ectocarpus fasciculatus virus a</t>
        </is>
      </c>
      <c r="G2248" t="inlineStr">
        <is>
          <t>Abolished,</t>
        </is>
      </c>
      <c r="L2248" s="8">
        <f>HYPERLINK("https://test.ictv.global/id/TN202204315","TN202204315@TEST")</f>
        <v/>
      </c>
      <c r="M2248" s="8">
        <f>HYPERLINK("https://test.ictv.global/id/ICTV19991232","ICTV19991232@TEST")</f>
        <v/>
      </c>
      <c r="N2248" s="8">
        <f>HYPERLINK("https://ictv.global/id/TN202204315","TN202204315@prod")</f>
        <v/>
      </c>
      <c r="O2248" s="8">
        <f>HYPERLINK("https://ictv.global/id/ICTV19991232","ICTV19991232@prod")</f>
        <v/>
      </c>
    </row>
    <row r="2249">
      <c r="A2249" t="n">
        <v>38</v>
      </c>
      <c r="B2249" t="n">
        <v>202204317</v>
      </c>
      <c r="C2249" t="n">
        <v>19991234</v>
      </c>
      <c r="D2249" t="inlineStr">
        <is>
          <t>species</t>
        </is>
      </c>
      <c r="E2249" t="inlineStr">
        <is>
          <t>Ectocarpus siliculosus virus a</t>
        </is>
      </c>
      <c r="G2249" t="inlineStr">
        <is>
          <t>Abolished,</t>
        </is>
      </c>
      <c r="L2249" s="8">
        <f>HYPERLINK("https://test.ictv.global/id/TN202204317","TN202204317@TEST")</f>
        <v/>
      </c>
      <c r="M2249" s="8">
        <f>HYPERLINK("https://test.ictv.global/id/ICTV19991234","ICTV19991234@TEST")</f>
        <v/>
      </c>
      <c r="N2249" s="8">
        <f>HYPERLINK("https://ictv.global/id/TN202204317","TN202204317@prod")</f>
        <v/>
      </c>
      <c r="O2249" s="8">
        <f>HYPERLINK("https://ictv.global/id/ICTV19991234","ICTV19991234@prod")</f>
        <v/>
      </c>
    </row>
    <row r="2250">
      <c r="A2250" t="n">
        <v>38</v>
      </c>
      <c r="B2250" t="n">
        <v>202204320</v>
      </c>
      <c r="C2250" t="n">
        <v>19991237</v>
      </c>
      <c r="D2250" t="inlineStr">
        <is>
          <t>species</t>
        </is>
      </c>
      <c r="E2250" t="inlineStr">
        <is>
          <t>Feldmannia species virus a</t>
        </is>
      </c>
      <c r="G2250" t="inlineStr">
        <is>
          <t>Abolished,</t>
        </is>
      </c>
      <c r="L2250" s="8">
        <f>HYPERLINK("https://test.ictv.global/id/TN202204320","TN202204320@TEST")</f>
        <v/>
      </c>
      <c r="M2250" s="8">
        <f>HYPERLINK("https://test.ictv.global/id/ICTV19991237","ICTV19991237@TEST")</f>
        <v/>
      </c>
      <c r="N2250" s="8">
        <f>HYPERLINK("https://ictv.global/id/TN202204320","TN202204320@prod")</f>
        <v/>
      </c>
      <c r="O2250" s="8">
        <f>HYPERLINK("https://ictv.global/id/ICTV19991237","ICTV19991237@prod")</f>
        <v/>
      </c>
    </row>
    <row r="2251">
      <c r="A2251" t="n">
        <v>38</v>
      </c>
      <c r="B2251" t="n">
        <v>202204321</v>
      </c>
      <c r="C2251" t="n">
        <v>19991238</v>
      </c>
      <c r="D2251" t="inlineStr">
        <is>
          <t>species</t>
        </is>
      </c>
      <c r="E2251" t="inlineStr">
        <is>
          <t>Hincksia hinckiae virus a</t>
        </is>
      </c>
      <c r="G2251" t="inlineStr">
        <is>
          <t>Abolished,</t>
        </is>
      </c>
      <c r="L2251" s="8">
        <f>HYPERLINK("https://test.ictv.global/id/TN202204321","TN202204321@TEST")</f>
        <v/>
      </c>
      <c r="M2251" s="8">
        <f>HYPERLINK("https://test.ictv.global/id/ICTV19991238","ICTV19991238@TEST")</f>
        <v/>
      </c>
      <c r="N2251" s="8">
        <f>HYPERLINK("https://ictv.global/id/TN202204321","TN202204321@prod")</f>
        <v/>
      </c>
      <c r="O2251" s="8">
        <f>HYPERLINK("https://ictv.global/id/ICTV19991238","ICTV19991238@prod")</f>
        <v/>
      </c>
    </row>
    <row r="2252">
      <c r="A2252" t="n">
        <v>38</v>
      </c>
      <c r="B2252" t="n">
        <v>202204322</v>
      </c>
      <c r="C2252" t="n">
        <v>19991239</v>
      </c>
      <c r="D2252" t="inlineStr">
        <is>
          <t>species</t>
        </is>
      </c>
      <c r="E2252" t="inlineStr">
        <is>
          <t>Myriotrichia clavaeformis virus a</t>
        </is>
      </c>
      <c r="G2252" t="inlineStr">
        <is>
          <t>Abolished,</t>
        </is>
      </c>
      <c r="L2252" s="8">
        <f>HYPERLINK("https://test.ictv.global/id/TN202204322","TN202204322@TEST")</f>
        <v/>
      </c>
      <c r="M2252" s="8">
        <f>HYPERLINK("https://test.ictv.global/id/ICTV19991239","ICTV19991239@TEST")</f>
        <v/>
      </c>
      <c r="N2252" s="8">
        <f>HYPERLINK("https://ictv.global/id/TN202204322","TN202204322@prod")</f>
        <v/>
      </c>
      <c r="O2252" s="8">
        <f>HYPERLINK("https://ictv.global/id/ICTV19991239","ICTV19991239@prod")</f>
        <v/>
      </c>
    </row>
    <row r="2253">
      <c r="A2253" t="n">
        <v>38</v>
      </c>
      <c r="B2253" t="n">
        <v>202204323</v>
      </c>
      <c r="C2253" t="n">
        <v>20041595</v>
      </c>
      <c r="D2253" t="inlineStr">
        <is>
          <t>species</t>
        </is>
      </c>
      <c r="E2253" t="inlineStr">
        <is>
          <t>Pilayella littoralis virus 1</t>
        </is>
      </c>
      <c r="G2253" t="inlineStr">
        <is>
          <t>Abolished,</t>
        </is>
      </c>
      <c r="L2253" s="8">
        <f>HYPERLINK("https://test.ictv.global/id/TN202204323","TN202204323@TEST")</f>
        <v/>
      </c>
      <c r="M2253" s="8">
        <f>HYPERLINK("https://test.ictv.global/id/ICTV20041595","ICTV20041595@TEST")</f>
        <v/>
      </c>
      <c r="N2253" s="8">
        <f>HYPERLINK("https://ictv.global/id/TN202204323","TN202204323@prod")</f>
        <v/>
      </c>
      <c r="O2253" s="8">
        <f>HYPERLINK("https://ictv.global/id/ICTV20041595","ICTV20041595@prod")</f>
        <v/>
      </c>
    </row>
    <row r="2254">
      <c r="A2254" t="n">
        <v>38</v>
      </c>
      <c r="B2254" t="n">
        <v>202204742</v>
      </c>
      <c r="C2254" t="n">
        <v>19710275</v>
      </c>
      <c r="D2254" t="inlineStr">
        <is>
          <t>species</t>
        </is>
      </c>
      <c r="E2254" t="inlineStr">
        <is>
          <t>Juncopox virus</t>
        </is>
      </c>
      <c r="G2254" t="inlineStr">
        <is>
          <t>Abolished,</t>
        </is>
      </c>
      <c r="L2254" s="8">
        <f>HYPERLINK("https://test.ictv.global/id/TN202204742","TN202204742@TEST")</f>
        <v/>
      </c>
      <c r="M2254" s="8">
        <f>HYPERLINK("https://test.ictv.global/id/ICTV19710275","ICTV19710275@TEST")</f>
        <v/>
      </c>
      <c r="N2254" s="8">
        <f>HYPERLINK("https://ictv.global/id/TN202204742","TN202204742@prod")</f>
        <v/>
      </c>
      <c r="O2254" s="8">
        <f>HYPERLINK("https://ictv.global/id/ICTV19710275","ICTV19710275@prod")</f>
        <v/>
      </c>
    </row>
    <row r="2255">
      <c r="A2255" t="n">
        <v>38</v>
      </c>
      <c r="B2255" t="n">
        <v>202204743</v>
      </c>
      <c r="C2255" t="n">
        <v>19951941</v>
      </c>
      <c r="D2255" t="inlineStr">
        <is>
          <t>species</t>
        </is>
      </c>
      <c r="E2255" t="inlineStr">
        <is>
          <t>Mynahpox virus</t>
        </is>
      </c>
      <c r="G2255" t="inlineStr">
        <is>
          <t>Abolished,</t>
        </is>
      </c>
      <c r="L2255" s="8">
        <f>HYPERLINK("https://test.ictv.global/id/TN202204743","TN202204743@TEST")</f>
        <v/>
      </c>
      <c r="M2255" s="8">
        <f>HYPERLINK("https://test.ictv.global/id/ICTV19951941","ICTV19951941@TEST")</f>
        <v/>
      </c>
      <c r="N2255" s="8">
        <f>HYPERLINK("https://ictv.global/id/TN202204743","TN202204743@prod")</f>
        <v/>
      </c>
      <c r="O2255" s="8">
        <f>HYPERLINK("https://ictv.global/id/ICTV19951941","ICTV19951941@prod")</f>
        <v/>
      </c>
    </row>
    <row r="2256">
      <c r="A2256" t="n">
        <v>38</v>
      </c>
      <c r="B2256" t="n">
        <v>202204745</v>
      </c>
      <c r="C2256" t="n">
        <v>19911327</v>
      </c>
      <c r="D2256" t="inlineStr">
        <is>
          <t>species</t>
        </is>
      </c>
      <c r="E2256" t="inlineStr">
        <is>
          <t>Psittacinepox virus</t>
        </is>
      </c>
      <c r="G2256" t="inlineStr">
        <is>
          <t>Abolished,</t>
        </is>
      </c>
      <c r="L2256" s="8">
        <f>HYPERLINK("https://test.ictv.global/id/TN202204745","TN202204745@TEST")</f>
        <v/>
      </c>
      <c r="M2256" s="8">
        <f>HYPERLINK("https://test.ictv.global/id/ICTV19911327","ICTV19911327@TEST")</f>
        <v/>
      </c>
      <c r="N2256" s="8">
        <f>HYPERLINK("https://ictv.global/id/TN202204745","TN202204745@prod")</f>
        <v/>
      </c>
      <c r="O2256" s="8">
        <f>HYPERLINK("https://ictv.global/id/ICTV19911327","ICTV19911327@prod")</f>
        <v/>
      </c>
    </row>
    <row r="2257">
      <c r="A2257" t="n">
        <v>38</v>
      </c>
      <c r="B2257" t="n">
        <v>202204747</v>
      </c>
      <c r="C2257" t="n">
        <v>19710287</v>
      </c>
      <c r="D2257" t="inlineStr">
        <is>
          <t>species</t>
        </is>
      </c>
      <c r="E2257" t="inlineStr">
        <is>
          <t>Sparrowpox virus</t>
        </is>
      </c>
      <c r="G2257" t="inlineStr">
        <is>
          <t>Abolished,</t>
        </is>
      </c>
      <c r="L2257" s="8">
        <f>HYPERLINK("https://test.ictv.global/id/TN202204747","TN202204747@TEST")</f>
        <v/>
      </c>
      <c r="M2257" s="8">
        <f>HYPERLINK("https://test.ictv.global/id/ICTV19710287","ICTV19710287@TEST")</f>
        <v/>
      </c>
      <c r="N2257" s="8">
        <f>HYPERLINK("https://ictv.global/id/TN202204747","TN202204747@prod")</f>
        <v/>
      </c>
      <c r="O2257" s="8">
        <f>HYPERLINK("https://ictv.global/id/ICTV19710287","ICTV19710287@prod")</f>
        <v/>
      </c>
    </row>
    <row r="2258">
      <c r="A2258" t="n">
        <v>38</v>
      </c>
      <c r="B2258" t="n">
        <v>202204748</v>
      </c>
      <c r="C2258" t="n">
        <v>19710289</v>
      </c>
      <c r="D2258" t="inlineStr">
        <is>
          <t>species</t>
        </is>
      </c>
      <c r="E2258" t="inlineStr">
        <is>
          <t>Starlingpox virus</t>
        </is>
      </c>
      <c r="G2258" t="inlineStr">
        <is>
          <t>Abolished,</t>
        </is>
      </c>
      <c r="L2258" s="8">
        <f>HYPERLINK("https://test.ictv.global/id/TN202204748","TN202204748@TEST")</f>
        <v/>
      </c>
      <c r="M2258" s="8">
        <f>HYPERLINK("https://test.ictv.global/id/ICTV19710289","ICTV19710289@TEST")</f>
        <v/>
      </c>
      <c r="N2258" s="8">
        <f>HYPERLINK("https://ictv.global/id/TN202204748","TN202204748@prod")</f>
        <v/>
      </c>
      <c r="O2258" s="8">
        <f>HYPERLINK("https://ictv.global/id/ICTV19710289","ICTV19710289@prod")</f>
        <v/>
      </c>
    </row>
    <row r="2259">
      <c r="A2259" t="n">
        <v>38</v>
      </c>
      <c r="B2259" t="n">
        <v>202204761</v>
      </c>
      <c r="C2259" t="n">
        <v>19710272</v>
      </c>
      <c r="D2259" t="inlineStr">
        <is>
          <t>species</t>
        </is>
      </c>
      <c r="E2259" t="inlineStr">
        <is>
          <t>Hare fibroma virus</t>
        </is>
      </c>
      <c r="G2259" t="inlineStr">
        <is>
          <t>Abolished,</t>
        </is>
      </c>
      <c r="L2259" s="8">
        <f>HYPERLINK("https://test.ictv.global/id/TN202204761","TN202204761@TEST")</f>
        <v/>
      </c>
      <c r="M2259" s="8">
        <f>HYPERLINK("https://test.ictv.global/id/ICTV19710272","ICTV19710272@TEST")</f>
        <v/>
      </c>
      <c r="N2259" s="8">
        <f>HYPERLINK("https://ictv.global/id/TN202204761","TN202204761@prod")</f>
        <v/>
      </c>
      <c r="O2259" s="8">
        <f>HYPERLINK("https://ictv.global/id/ICTV19710272","ICTV19710272@prod")</f>
        <v/>
      </c>
    </row>
    <row r="2260">
      <c r="A2260" t="n">
        <v>38</v>
      </c>
      <c r="B2260" t="n">
        <v>202204794</v>
      </c>
      <c r="C2260" t="n">
        <v>19760461</v>
      </c>
      <c r="D2260" t="inlineStr">
        <is>
          <t>species</t>
        </is>
      </c>
      <c r="E2260" t="inlineStr">
        <is>
          <t>Aphodius tasmaniae entomopoxvirus</t>
        </is>
      </c>
      <c r="G2260" t="inlineStr">
        <is>
          <t>Abolished,</t>
        </is>
      </c>
      <c r="L2260" s="8">
        <f>HYPERLINK("https://test.ictv.global/id/TN202204794","TN202204794@TEST")</f>
        <v/>
      </c>
      <c r="M2260" s="8">
        <f>HYPERLINK("https://test.ictv.global/id/ICTV19760461","ICTV19760461@TEST")</f>
        <v/>
      </c>
      <c r="N2260" s="8">
        <f>HYPERLINK("https://ictv.global/id/TN202204794","TN202204794@prod")</f>
        <v/>
      </c>
      <c r="O2260" s="8">
        <f>HYPERLINK("https://ictv.global/id/ICTV19760461","ICTV19760461@prod")</f>
        <v/>
      </c>
    </row>
    <row r="2261">
      <c r="A2261" t="n">
        <v>38</v>
      </c>
      <c r="B2261" t="n">
        <v>202204795</v>
      </c>
      <c r="C2261" t="n">
        <v>19760470</v>
      </c>
      <c r="D2261" t="inlineStr">
        <is>
          <t>species</t>
        </is>
      </c>
      <c r="E2261" t="inlineStr">
        <is>
          <t>Demodema bonariensis entomopoxvirus</t>
        </is>
      </c>
      <c r="G2261" t="inlineStr">
        <is>
          <t>Abolished,</t>
        </is>
      </c>
      <c r="L2261" s="8">
        <f>HYPERLINK("https://test.ictv.global/id/TN202204795","TN202204795@TEST")</f>
        <v/>
      </c>
      <c r="M2261" s="8">
        <f>HYPERLINK("https://test.ictv.global/id/ICTV19760470","ICTV19760470@TEST")</f>
        <v/>
      </c>
      <c r="N2261" s="8">
        <f>HYPERLINK("https://ictv.global/id/TN202204795","TN202204795@prod")</f>
        <v/>
      </c>
      <c r="O2261" s="8">
        <f>HYPERLINK("https://ictv.global/id/ICTV19760470","ICTV19760470@prod")</f>
        <v/>
      </c>
    </row>
    <row r="2262">
      <c r="A2262" t="n">
        <v>38</v>
      </c>
      <c r="B2262" t="n">
        <v>202204796</v>
      </c>
      <c r="C2262" t="n">
        <v>19760471</v>
      </c>
      <c r="D2262" t="inlineStr">
        <is>
          <t>species</t>
        </is>
      </c>
      <c r="E2262" t="inlineStr">
        <is>
          <t>Dermolepida albohirtum entomopoxvirus</t>
        </is>
      </c>
      <c r="G2262" t="inlineStr">
        <is>
          <t>Abolished,</t>
        </is>
      </c>
      <c r="L2262" s="8">
        <f>HYPERLINK("https://test.ictv.global/id/TN202204796","TN202204796@TEST")</f>
        <v/>
      </c>
      <c r="M2262" s="8">
        <f>HYPERLINK("https://test.ictv.global/id/ICTV19760471","ICTV19760471@TEST")</f>
        <v/>
      </c>
      <c r="N2262" s="8">
        <f>HYPERLINK("https://ictv.global/id/TN202204796","TN202204796@prod")</f>
        <v/>
      </c>
      <c r="O2262" s="8">
        <f>HYPERLINK("https://ictv.global/id/ICTV19760471","ICTV19760471@prod")</f>
        <v/>
      </c>
    </row>
    <row r="2263">
      <c r="A2263" t="n">
        <v>38</v>
      </c>
      <c r="B2263" t="n">
        <v>202204797</v>
      </c>
      <c r="C2263" t="n">
        <v>19760472</v>
      </c>
      <c r="D2263" t="inlineStr">
        <is>
          <t>species</t>
        </is>
      </c>
      <c r="E2263" t="inlineStr">
        <is>
          <t>Figulus sublaevis entomopoxvirus</t>
        </is>
      </c>
      <c r="G2263" t="inlineStr">
        <is>
          <t>Abolished,</t>
        </is>
      </c>
      <c r="L2263" s="8">
        <f>HYPERLINK("https://test.ictv.global/id/TN202204797","TN202204797@TEST")</f>
        <v/>
      </c>
      <c r="M2263" s="8">
        <f>HYPERLINK("https://test.ictv.global/id/ICTV19760472","ICTV19760472@TEST")</f>
        <v/>
      </c>
      <c r="N2263" s="8">
        <f>HYPERLINK("https://ictv.global/id/TN202204797","TN202204797@prod")</f>
        <v/>
      </c>
      <c r="O2263" s="8">
        <f>HYPERLINK("https://ictv.global/id/ICTV19760472","ICTV19760472@prod")</f>
        <v/>
      </c>
    </row>
    <row r="2264">
      <c r="A2264" t="n">
        <v>38</v>
      </c>
      <c r="B2264" t="n">
        <v>202204798</v>
      </c>
      <c r="C2264" t="n">
        <v>19760473</v>
      </c>
      <c r="D2264" t="inlineStr">
        <is>
          <t>species</t>
        </is>
      </c>
      <c r="E2264" t="inlineStr">
        <is>
          <t>Geotrupes sylvaticus entomopoxvirus</t>
        </is>
      </c>
      <c r="G2264" t="inlineStr">
        <is>
          <t>Abolished,</t>
        </is>
      </c>
      <c r="L2264" s="8">
        <f>HYPERLINK("https://test.ictv.global/id/TN202204798","TN202204798@TEST")</f>
        <v/>
      </c>
      <c r="M2264" s="8">
        <f>HYPERLINK("https://test.ictv.global/id/ICTV19760473","ICTV19760473@TEST")</f>
        <v/>
      </c>
      <c r="N2264" s="8">
        <f>HYPERLINK("https://ictv.global/id/TN202204798","TN202204798@prod")</f>
        <v/>
      </c>
      <c r="O2264" s="8">
        <f>HYPERLINK("https://ictv.global/id/ICTV19760473","ICTV19760473@prod")</f>
        <v/>
      </c>
    </row>
    <row r="2265">
      <c r="A2265" t="n">
        <v>38</v>
      </c>
      <c r="B2265" t="n">
        <v>202204801</v>
      </c>
      <c r="C2265" t="n">
        <v>19760457</v>
      </c>
      <c r="D2265" t="inlineStr">
        <is>
          <t>species</t>
        </is>
      </c>
      <c r="E2265" t="inlineStr">
        <is>
          <t>Acrobasis zelleri entomopoxvirus</t>
        </is>
      </c>
      <c r="G2265" t="inlineStr">
        <is>
          <t>Abolished,</t>
        </is>
      </c>
      <c r="L2265" s="8">
        <f>HYPERLINK("https://test.ictv.global/id/TN202204801","TN202204801@TEST")</f>
        <v/>
      </c>
      <c r="M2265" s="8">
        <f>HYPERLINK("https://test.ictv.global/id/ICTV19760457","ICTV19760457@TEST")</f>
        <v/>
      </c>
      <c r="N2265" s="8">
        <f>HYPERLINK("https://ictv.global/id/TN202204801","TN202204801@prod")</f>
        <v/>
      </c>
      <c r="O2265" s="8">
        <f>HYPERLINK("https://ictv.global/id/ICTV19760457","ICTV19760457@prod")</f>
        <v/>
      </c>
    </row>
    <row r="2266">
      <c r="A2266" t="n">
        <v>38</v>
      </c>
      <c r="B2266" t="n">
        <v>202204804</v>
      </c>
      <c r="C2266" t="n">
        <v>19911363</v>
      </c>
      <c r="D2266" t="inlineStr">
        <is>
          <t>species</t>
        </is>
      </c>
      <c r="E2266" t="inlineStr">
        <is>
          <t>Arphia conspersa entomopoxvirus</t>
        </is>
      </c>
      <c r="G2266" t="inlineStr">
        <is>
          <t>Abolished,</t>
        </is>
      </c>
      <c r="L2266" s="8">
        <f>HYPERLINK("https://test.ictv.global/id/TN202204804","TN202204804@TEST")</f>
        <v/>
      </c>
      <c r="M2266" s="8">
        <f>HYPERLINK("https://test.ictv.global/id/ICTV19911363","ICTV19911363@TEST")</f>
        <v/>
      </c>
      <c r="N2266" s="8">
        <f>HYPERLINK("https://ictv.global/id/TN202204804","TN202204804@prod")</f>
        <v/>
      </c>
      <c r="O2266" s="8">
        <f>HYPERLINK("https://ictv.global/id/ICTV19911363","ICTV19911363@prod")</f>
        <v/>
      </c>
    </row>
    <row r="2267">
      <c r="A2267" t="n">
        <v>38</v>
      </c>
      <c r="B2267" t="n">
        <v>202204806</v>
      </c>
      <c r="C2267" t="n">
        <v>19760467</v>
      </c>
      <c r="D2267" t="inlineStr">
        <is>
          <t>species</t>
        </is>
      </c>
      <c r="E2267" t="inlineStr">
        <is>
          <t>Choristoneura conflicta entomopoxvirus</t>
        </is>
      </c>
      <c r="G2267" t="inlineStr">
        <is>
          <t>Abolished,</t>
        </is>
      </c>
      <c r="L2267" s="8">
        <f>HYPERLINK("https://test.ictv.global/id/TN202204806","TN202204806@TEST")</f>
        <v/>
      </c>
      <c r="M2267" s="8">
        <f>HYPERLINK("https://test.ictv.global/id/ICTV19760467","ICTV19760467@TEST")</f>
        <v/>
      </c>
      <c r="N2267" s="8">
        <f>HYPERLINK("https://ictv.global/id/TN202204806","TN202204806@prod")</f>
        <v/>
      </c>
      <c r="O2267" s="8">
        <f>HYPERLINK("https://ictv.global/id/ICTV19760467","ICTV19760467@prod")</f>
        <v/>
      </c>
    </row>
    <row r="2268">
      <c r="A2268" t="n">
        <v>38</v>
      </c>
      <c r="B2268" t="n">
        <v>202204807</v>
      </c>
      <c r="C2268" t="n">
        <v>19760468</v>
      </c>
      <c r="D2268" t="inlineStr">
        <is>
          <t>species</t>
        </is>
      </c>
      <c r="E2268" t="inlineStr">
        <is>
          <t>Choristoneura diversuma entomopoxvirus</t>
        </is>
      </c>
      <c r="G2268" t="inlineStr">
        <is>
          <t>Abolished,</t>
        </is>
      </c>
      <c r="L2268" s="8">
        <f>HYPERLINK("https://test.ictv.global/id/TN202204807","TN202204807@TEST")</f>
        <v/>
      </c>
      <c r="M2268" s="8">
        <f>HYPERLINK("https://test.ictv.global/id/ICTV19760468","ICTV19760468@TEST")</f>
        <v/>
      </c>
      <c r="N2268" s="8">
        <f>HYPERLINK("https://ictv.global/id/TN202204807","TN202204807@prod")</f>
        <v/>
      </c>
      <c r="O2268" s="8">
        <f>HYPERLINK("https://ictv.global/id/ICTV19760468","ICTV19760468@prod")</f>
        <v/>
      </c>
    </row>
    <row r="2269">
      <c r="A2269" t="n">
        <v>38</v>
      </c>
      <c r="B2269" t="n">
        <v>202204810</v>
      </c>
      <c r="C2269" t="n">
        <v>19760469</v>
      </c>
      <c r="D2269" t="inlineStr">
        <is>
          <t>species</t>
        </is>
      </c>
      <c r="E2269" t="inlineStr">
        <is>
          <t>Chorizagrotis auxiliaris entomopoxvirus</t>
        </is>
      </c>
      <c r="G2269" t="inlineStr">
        <is>
          <t>Abolished,</t>
        </is>
      </c>
      <c r="L2269" s="8">
        <f>HYPERLINK("https://test.ictv.global/id/TN202204810","TN202204810@TEST")</f>
        <v/>
      </c>
      <c r="M2269" s="8">
        <f>HYPERLINK("https://test.ictv.global/id/ICTV19760469","ICTV19760469@TEST")</f>
        <v/>
      </c>
      <c r="N2269" s="8">
        <f>HYPERLINK("https://ictv.global/id/TN202204810","TN202204810@prod")</f>
        <v/>
      </c>
      <c r="O2269" s="8">
        <f>HYPERLINK("https://ictv.global/id/ICTV19760469","ICTV19760469@prod")</f>
        <v/>
      </c>
    </row>
    <row r="2270">
      <c r="A2270" t="n">
        <v>38</v>
      </c>
      <c r="B2270" t="n">
        <v>202204811</v>
      </c>
      <c r="C2270" t="n">
        <v>19991507</v>
      </c>
      <c r="D2270" t="inlineStr">
        <is>
          <t>species</t>
        </is>
      </c>
      <c r="E2270" t="inlineStr">
        <is>
          <t>Heliothis armigera entomopoxvirus</t>
        </is>
      </c>
      <c r="G2270" t="inlineStr">
        <is>
          <t>Abolished,</t>
        </is>
      </c>
      <c r="L2270" s="8">
        <f>HYPERLINK("https://test.ictv.global/id/TN202204811","TN202204811@TEST")</f>
        <v/>
      </c>
      <c r="M2270" s="8">
        <f>HYPERLINK("https://test.ictv.global/id/ICTV19991507","ICTV19991507@TEST")</f>
        <v/>
      </c>
      <c r="N2270" s="8">
        <f>HYPERLINK("https://ictv.global/id/TN202204811","TN202204811@prod")</f>
        <v/>
      </c>
      <c r="O2270" s="8">
        <f>HYPERLINK("https://ictv.global/id/ICTV19991507","ICTV19991507@prod")</f>
        <v/>
      </c>
    </row>
    <row r="2271">
      <c r="A2271" t="n">
        <v>38</v>
      </c>
      <c r="B2271" t="n">
        <v>202204812</v>
      </c>
      <c r="C2271" t="n">
        <v>19911368</v>
      </c>
      <c r="D2271" t="inlineStr">
        <is>
          <t>species</t>
        </is>
      </c>
      <c r="E2271" t="inlineStr">
        <is>
          <t>Locusta migratoria entomopoxvirus</t>
        </is>
      </c>
      <c r="G2271" t="inlineStr">
        <is>
          <t>Abolished,</t>
        </is>
      </c>
      <c r="L2271" s="8">
        <f>HYPERLINK("https://test.ictv.global/id/TN202204812","TN202204812@TEST")</f>
        <v/>
      </c>
      <c r="M2271" s="8">
        <f>HYPERLINK("https://test.ictv.global/id/ICTV19911368","ICTV19911368@TEST")</f>
        <v/>
      </c>
      <c r="N2271" s="8">
        <f>HYPERLINK("https://ictv.global/id/TN202204812","TN202204812@prod")</f>
        <v/>
      </c>
      <c r="O2271" s="8">
        <f>HYPERLINK("https://ictv.global/id/ICTV19911368","ICTV19911368@prod")</f>
        <v/>
      </c>
    </row>
    <row r="2272">
      <c r="A2272" t="n">
        <v>38</v>
      </c>
      <c r="B2272" t="n">
        <v>202204814</v>
      </c>
      <c r="C2272" t="n">
        <v>19911370</v>
      </c>
      <c r="D2272" t="inlineStr">
        <is>
          <t>species</t>
        </is>
      </c>
      <c r="E2272" t="inlineStr">
        <is>
          <t>Oedaleus senegalensis entomopoxvirus</t>
        </is>
      </c>
      <c r="G2272" t="inlineStr">
        <is>
          <t>Abolished,</t>
        </is>
      </c>
      <c r="L2272" s="8">
        <f>HYPERLINK("https://test.ictv.global/id/TN202204814","TN202204814@TEST")</f>
        <v/>
      </c>
      <c r="M2272" s="8">
        <f>HYPERLINK("https://test.ictv.global/id/ICTV19911370","ICTV19911370@TEST")</f>
        <v/>
      </c>
      <c r="N2272" s="8">
        <f>HYPERLINK("https://ictv.global/id/TN202204814","TN202204814@prod")</f>
        <v/>
      </c>
      <c r="O2272" s="8">
        <f>HYPERLINK("https://ictv.global/id/ICTV19911370","ICTV19911370@prod")</f>
        <v/>
      </c>
    </row>
    <row r="2273">
      <c r="A2273" t="n">
        <v>38</v>
      </c>
      <c r="B2273" t="n">
        <v>202204815</v>
      </c>
      <c r="C2273" t="n">
        <v>19760477</v>
      </c>
      <c r="D2273" t="inlineStr">
        <is>
          <t>species</t>
        </is>
      </c>
      <c r="E2273" t="inlineStr">
        <is>
          <t>Operophtera brumata entomopoxvirus</t>
        </is>
      </c>
      <c r="G2273" t="inlineStr">
        <is>
          <t>Abolished,</t>
        </is>
      </c>
      <c r="L2273" s="8">
        <f>HYPERLINK("https://test.ictv.global/id/TN202204815","TN202204815@TEST")</f>
        <v/>
      </c>
      <c r="M2273" s="8">
        <f>HYPERLINK("https://test.ictv.global/id/ICTV19760477","ICTV19760477@TEST")</f>
        <v/>
      </c>
      <c r="N2273" s="8">
        <f>HYPERLINK("https://ictv.global/id/TN202204815","TN202204815@prod")</f>
        <v/>
      </c>
      <c r="O2273" s="8">
        <f>HYPERLINK("https://ictv.global/id/ICTV19760477","ICTV19760477@prod")</f>
        <v/>
      </c>
    </row>
    <row r="2274">
      <c r="A2274" t="n">
        <v>38</v>
      </c>
      <c r="B2274" t="n">
        <v>202204816</v>
      </c>
      <c r="C2274" t="n">
        <v>19911372</v>
      </c>
      <c r="D2274" t="inlineStr">
        <is>
          <t>species</t>
        </is>
      </c>
      <c r="E2274" t="inlineStr">
        <is>
          <t>Schistocerca gregaria entomopoxvirus</t>
        </is>
      </c>
      <c r="G2274" t="inlineStr">
        <is>
          <t>Abolished,</t>
        </is>
      </c>
      <c r="L2274" s="8">
        <f>HYPERLINK("https://test.ictv.global/id/TN202204816","TN202204816@TEST")</f>
        <v/>
      </c>
      <c r="M2274" s="8">
        <f>HYPERLINK("https://test.ictv.global/id/ICTV19911372","ICTV19911372@TEST")</f>
        <v/>
      </c>
      <c r="N2274" s="8">
        <f>HYPERLINK("https://ictv.global/id/TN202204816","TN202204816@prod")</f>
        <v/>
      </c>
      <c r="O2274" s="8">
        <f>HYPERLINK("https://ictv.global/id/ICTV19911372","ICTV19911372@prod")</f>
        <v/>
      </c>
    </row>
    <row r="2275">
      <c r="A2275" t="n">
        <v>38</v>
      </c>
      <c r="B2275" t="n">
        <v>202204817</v>
      </c>
      <c r="C2275" t="n">
        <v>19910170</v>
      </c>
      <c r="D2275" t="inlineStr">
        <is>
          <t>genus</t>
        </is>
      </c>
      <c r="E2275" t="inlineStr">
        <is>
          <t>Gammaentomopoxvirus</t>
        </is>
      </c>
      <c r="G2275" t="inlineStr">
        <is>
          <t>Abolished,</t>
        </is>
      </c>
      <c r="L2275" s="8">
        <f>HYPERLINK("https://test.ictv.global/id/TN202204817","TN202204817@TEST")</f>
        <v/>
      </c>
      <c r="M2275" s="8">
        <f>HYPERLINK("https://test.ictv.global/id/ICTV19910170","ICTV19910170@TEST")</f>
        <v/>
      </c>
      <c r="N2275" s="8">
        <f>HYPERLINK("https://ictv.global/id/TN202204817","TN202204817@prod")</f>
        <v/>
      </c>
      <c r="O2275" s="8">
        <f>HYPERLINK("https://ictv.global/id/ICTV19910170","ICTV19910170@prod")</f>
        <v/>
      </c>
    </row>
    <row r="2276">
      <c r="A2276" t="n">
        <v>38</v>
      </c>
      <c r="B2276" t="n">
        <v>202204818</v>
      </c>
      <c r="C2276" t="n">
        <v>19760458</v>
      </c>
      <c r="D2276" t="inlineStr">
        <is>
          <t>species</t>
        </is>
      </c>
      <c r="E2276" t="inlineStr">
        <is>
          <t>Aedes aegypti entomopoxvirus</t>
        </is>
      </c>
      <c r="G2276" t="inlineStr">
        <is>
          <t>Abolished,</t>
        </is>
      </c>
      <c r="L2276" s="8">
        <f>HYPERLINK("https://test.ictv.global/id/TN202204818","TN202204818@TEST")</f>
        <v/>
      </c>
      <c r="M2276" s="8">
        <f>HYPERLINK("https://test.ictv.global/id/ICTV19760458","ICTV19760458@TEST")</f>
        <v/>
      </c>
      <c r="N2276" s="8">
        <f>HYPERLINK("https://ictv.global/id/TN202204818","TN202204818@prod")</f>
        <v/>
      </c>
      <c r="O2276" s="8">
        <f>HYPERLINK("https://ictv.global/id/ICTV19760458","ICTV19760458@prod")</f>
        <v/>
      </c>
    </row>
    <row r="2277">
      <c r="A2277" t="n">
        <v>38</v>
      </c>
      <c r="B2277" t="n">
        <v>202204819</v>
      </c>
      <c r="C2277" t="n">
        <v>19760462</v>
      </c>
      <c r="D2277" t="inlineStr">
        <is>
          <t>species</t>
        </is>
      </c>
      <c r="E2277" t="inlineStr">
        <is>
          <t>Camptochironomus tentans entomopoxvirus</t>
        </is>
      </c>
      <c r="G2277" t="inlineStr">
        <is>
          <t>Abolished,</t>
        </is>
      </c>
      <c r="L2277" s="8">
        <f>HYPERLINK("https://test.ictv.global/id/TN202204819","TN202204819@TEST")</f>
        <v/>
      </c>
      <c r="M2277" s="8">
        <f>HYPERLINK("https://test.ictv.global/id/ICTV19760462","ICTV19760462@TEST")</f>
        <v/>
      </c>
      <c r="N2277" s="8">
        <f>HYPERLINK("https://ictv.global/id/TN202204819","TN202204819@prod")</f>
        <v/>
      </c>
      <c r="O2277" s="8">
        <f>HYPERLINK("https://ictv.global/id/ICTV19760462","ICTV19760462@prod")</f>
        <v/>
      </c>
    </row>
    <row r="2278">
      <c r="A2278" t="n">
        <v>38</v>
      </c>
      <c r="B2278" t="n">
        <v>202204820</v>
      </c>
      <c r="C2278" t="n">
        <v>19760463</v>
      </c>
      <c r="D2278" t="inlineStr">
        <is>
          <t>species</t>
        </is>
      </c>
      <c r="E2278" t="inlineStr">
        <is>
          <t>Chironomus attenuatus entomopoxvirus</t>
        </is>
      </c>
      <c r="G2278" t="inlineStr">
        <is>
          <t>Abolished,</t>
        </is>
      </c>
      <c r="L2278" s="8">
        <f>HYPERLINK("https://test.ictv.global/id/TN202204820","TN202204820@TEST")</f>
        <v/>
      </c>
      <c r="M2278" s="8">
        <f>HYPERLINK("https://test.ictv.global/id/ICTV19760463","ICTV19760463@TEST")</f>
        <v/>
      </c>
      <c r="N2278" s="8">
        <f>HYPERLINK("https://ictv.global/id/TN202204820","TN202204820@prod")</f>
        <v/>
      </c>
      <c r="O2278" s="8">
        <f>HYPERLINK("https://ictv.global/id/ICTV19760463","ICTV19760463@prod")</f>
        <v/>
      </c>
    </row>
    <row r="2279">
      <c r="A2279" t="n">
        <v>38</v>
      </c>
      <c r="B2279" t="n">
        <v>202204821</v>
      </c>
      <c r="C2279" t="n">
        <v>19760464</v>
      </c>
      <c r="D2279" t="inlineStr">
        <is>
          <t>species</t>
        </is>
      </c>
      <c r="E2279" t="inlineStr">
        <is>
          <t>Chironomus luridus entomopoxvirus</t>
        </is>
      </c>
      <c r="G2279" t="inlineStr">
        <is>
          <t>Abolished,</t>
        </is>
      </c>
      <c r="L2279" s="8">
        <f>HYPERLINK("https://test.ictv.global/id/TN202204821","TN202204821@TEST")</f>
        <v/>
      </c>
      <c r="M2279" s="8">
        <f>HYPERLINK("https://test.ictv.global/id/ICTV19760464","ICTV19760464@TEST")</f>
        <v/>
      </c>
      <c r="N2279" s="8">
        <f>HYPERLINK("https://ictv.global/id/TN202204821","TN202204821@prod")</f>
        <v/>
      </c>
      <c r="O2279" s="8">
        <f>HYPERLINK("https://ictv.global/id/ICTV19760464","ICTV19760464@prod")</f>
        <v/>
      </c>
    </row>
    <row r="2280">
      <c r="A2280" t="n">
        <v>38</v>
      </c>
      <c r="B2280" t="n">
        <v>202204822</v>
      </c>
      <c r="C2280" t="n">
        <v>19760465</v>
      </c>
      <c r="D2280" t="inlineStr">
        <is>
          <t>species</t>
        </is>
      </c>
      <c r="E2280" t="inlineStr">
        <is>
          <t>Chironomus plumosus entomopoxvirus</t>
        </is>
      </c>
      <c r="G2280" t="inlineStr">
        <is>
          <t>Abolished,</t>
        </is>
      </c>
      <c r="L2280" s="8">
        <f>HYPERLINK("https://test.ictv.global/id/TN202204822","TN202204822@TEST")</f>
        <v/>
      </c>
      <c r="M2280" s="8">
        <f>HYPERLINK("https://test.ictv.global/id/ICTV19760465","ICTV19760465@TEST")</f>
        <v/>
      </c>
      <c r="N2280" s="8">
        <f>HYPERLINK("https://ictv.global/id/TN202204822","TN202204822@prod")</f>
        <v/>
      </c>
      <c r="O2280" s="8">
        <f>HYPERLINK("https://ictv.global/id/ICTV19760465","ICTV19760465@prod")</f>
        <v/>
      </c>
    </row>
    <row r="2281">
      <c r="A2281" t="n">
        <v>38</v>
      </c>
      <c r="B2281" t="n">
        <v>202204823</v>
      </c>
      <c r="C2281" t="n">
        <v>19760474</v>
      </c>
      <c r="D2281" t="inlineStr">
        <is>
          <t>species</t>
        </is>
      </c>
      <c r="E2281" t="inlineStr">
        <is>
          <t>Goeldichironomus holoprasinus entomopoxvirus</t>
        </is>
      </c>
      <c r="G2281" t="inlineStr">
        <is>
          <t>Abolished,</t>
        </is>
      </c>
      <c r="L2281" s="8">
        <f>HYPERLINK("https://test.ictv.global/id/TN202204823","TN202204823@TEST")</f>
        <v/>
      </c>
      <c r="M2281" s="8">
        <f>HYPERLINK("https://test.ictv.global/id/ICTV19760474","ICTV19760474@TEST")</f>
        <v/>
      </c>
      <c r="N2281" s="8">
        <f>HYPERLINK("https://ictv.global/id/TN202204823","TN202204823@prod")</f>
        <v/>
      </c>
      <c r="O2281" s="8">
        <f>HYPERLINK("https://ictv.global/id/ICTV19760474","ICTV19760474@prod")</f>
        <v/>
      </c>
    </row>
    <row r="2282">
      <c r="A2282" t="n">
        <v>38</v>
      </c>
      <c r="B2282" t="n">
        <v>202204866</v>
      </c>
      <c r="C2282" t="n">
        <v>20041933</v>
      </c>
      <c r="D2282" t="inlineStr">
        <is>
          <t>species</t>
        </is>
      </c>
      <c r="E2282" t="inlineStr">
        <is>
          <t>Phaseolus vulgaris Tpv2-6 virus</t>
        </is>
      </c>
      <c r="F2282" t="inlineStr">
        <is>
          <t>AJ005762</t>
        </is>
      </c>
      <c r="G2282" t="inlineStr">
        <is>
          <t>Abolished,</t>
        </is>
      </c>
      <c r="L2282" s="8">
        <f>HYPERLINK("https://test.ictv.global/id/TN202204866","TN202204866@TEST")</f>
        <v/>
      </c>
      <c r="M2282" s="8">
        <f>HYPERLINK("https://test.ictv.global/id/ICTV20041933","ICTV20041933@TEST")</f>
        <v/>
      </c>
      <c r="N2282" s="8">
        <f>HYPERLINK("https://ictv.global/id/TN202204866","TN202204866@prod")</f>
        <v/>
      </c>
      <c r="O2282" s="8">
        <f>HYPERLINK("https://ictv.global/id/ICTV20041933","ICTV20041933@prod")</f>
        <v/>
      </c>
    </row>
    <row r="2283">
      <c r="A2283" t="n">
        <v>38</v>
      </c>
      <c r="B2283" t="n">
        <v>202205010</v>
      </c>
      <c r="C2283" t="n">
        <v>19952093</v>
      </c>
      <c r="D2283" t="inlineStr">
        <is>
          <t>species</t>
        </is>
      </c>
      <c r="E2283" t="inlineStr">
        <is>
          <t>Gardner-Arnstein feline sarcoma virus</t>
        </is>
      </c>
      <c r="G2283" t="inlineStr">
        <is>
          <t>Abolished,</t>
        </is>
      </c>
      <c r="L2283" s="8">
        <f>HYPERLINK("https://test.ictv.global/id/TN202205010","TN202205010@TEST")</f>
        <v/>
      </c>
      <c r="M2283" s="8">
        <f>HYPERLINK("https://test.ictv.global/id/ICTV19952093","ICTV19952093@TEST")</f>
        <v/>
      </c>
      <c r="N2283" s="8">
        <f>HYPERLINK("https://ictv.global/id/TN202205010","TN202205010@prod")</f>
        <v/>
      </c>
      <c r="O2283" s="8">
        <f>HYPERLINK("https://ictv.global/id/ICTV19952093","ICTV19952093@prod")</f>
        <v/>
      </c>
    </row>
    <row r="2284">
      <c r="A2284" t="n">
        <v>38</v>
      </c>
      <c r="B2284" t="n">
        <v>202205012</v>
      </c>
      <c r="C2284" t="n">
        <v>19760535</v>
      </c>
      <c r="D2284" t="inlineStr">
        <is>
          <t>species</t>
        </is>
      </c>
      <c r="E2284" t="inlineStr">
        <is>
          <t>Guinea pig type-C oncovirus</t>
        </is>
      </c>
      <c r="G2284" t="inlineStr">
        <is>
          <t>Abolished,</t>
        </is>
      </c>
      <c r="L2284" s="8">
        <f>HYPERLINK("https://test.ictv.global/id/TN202205012","TN202205012@TEST")</f>
        <v/>
      </c>
      <c r="M2284" s="8">
        <f>HYPERLINK("https://test.ictv.global/id/ICTV19760535","ICTV19760535@TEST")</f>
        <v/>
      </c>
      <c r="N2284" s="8">
        <f>HYPERLINK("https://ictv.global/id/TN202205012","TN202205012@prod")</f>
        <v/>
      </c>
      <c r="O2284" s="8">
        <f>HYPERLINK("https://ictv.global/id/ICTV19760535","ICTV19760535@prod")</f>
        <v/>
      </c>
    </row>
    <row r="2285">
      <c r="A2285" t="n">
        <v>38</v>
      </c>
      <c r="B2285" t="n">
        <v>202205023</v>
      </c>
      <c r="C2285" t="n">
        <v>19821020</v>
      </c>
      <c r="D2285" t="inlineStr">
        <is>
          <t>species</t>
        </is>
      </c>
      <c r="E2285" t="inlineStr">
        <is>
          <t>Viper retrovirus</t>
        </is>
      </c>
      <c r="G2285" t="inlineStr">
        <is>
          <t>Abolished,</t>
        </is>
      </c>
      <c r="L2285" s="8">
        <f>HYPERLINK("https://test.ictv.global/id/TN202205023","TN202205023@TEST")</f>
        <v/>
      </c>
      <c r="M2285" s="8">
        <f>HYPERLINK("https://test.ictv.global/id/ICTV19821020","ICTV19821020@TEST")</f>
        <v/>
      </c>
      <c r="N2285" s="8">
        <f>HYPERLINK("https://ictv.global/id/TN202205023","TN202205023@prod")</f>
        <v/>
      </c>
      <c r="O2285" s="8">
        <f>HYPERLINK("https://ictv.global/id/ICTV19821020","ICTV19821020@prod")</f>
        <v/>
      </c>
    </row>
    <row r="2286">
      <c r="A2286" t="n">
        <v>38</v>
      </c>
      <c r="B2286" t="n">
        <v>202206980</v>
      </c>
      <c r="C2286" t="n">
        <v>201856980</v>
      </c>
      <c r="D2286" t="inlineStr">
        <is>
          <t>species</t>
        </is>
      </c>
      <c r="E2286" t="inlineStr">
        <is>
          <t>Pecentumvirus WIL1</t>
        </is>
      </c>
      <c r="F2286" t="inlineStr">
        <is>
          <t>KM373208.1</t>
        </is>
      </c>
      <c r="G2286" t="inlineStr">
        <is>
          <t>Abolished,</t>
        </is>
      </c>
      <c r="L2286" s="8">
        <f>HYPERLINK("https://test.ictv.global/id/TN202206980","TN202206980@TEST")</f>
        <v/>
      </c>
      <c r="M2286" s="8">
        <f>HYPERLINK("https://test.ictv.global/id/ICTV201856980","ICTV201856980@TEST")</f>
        <v/>
      </c>
      <c r="N2286" s="8">
        <f>HYPERLINK("https://ictv.global/id/TN202206980","TN202206980@prod")</f>
        <v/>
      </c>
      <c r="O2286" s="8">
        <f>HYPERLINK("https://ictv.global/id/ICTV201856980","ICTV201856980@prod")</f>
        <v/>
      </c>
    </row>
    <row r="2287">
      <c r="A2287" t="n">
        <v>38</v>
      </c>
      <c r="B2287" t="n">
        <v>202207557</v>
      </c>
      <c r="C2287" t="n">
        <v>201907557</v>
      </c>
      <c r="D2287" t="inlineStr">
        <is>
          <t>species</t>
        </is>
      </c>
      <c r="E2287" t="inlineStr">
        <is>
          <t>Orthorubulavirus alstonvillense</t>
        </is>
      </c>
      <c r="F2287" t="inlineStr">
        <is>
          <t>MH972568</t>
        </is>
      </c>
      <c r="G2287" t="inlineStr">
        <is>
          <t>Abolished,</t>
        </is>
      </c>
      <c r="L2287" s="8">
        <f>HYPERLINK("https://test.ictv.global/id/TN202207557","TN202207557@TEST")</f>
        <v/>
      </c>
      <c r="M2287" s="8">
        <f>HYPERLINK("https://test.ictv.global/id/ICTV201907557","ICTV201907557@TEST")</f>
        <v/>
      </c>
      <c r="N2287" s="8">
        <f>HYPERLINK("https://ictv.global/id/TN202207557","TN202207557@prod")</f>
        <v/>
      </c>
      <c r="O2287" s="8">
        <f>HYPERLINK("https://ictv.global/id/ICTV201907557","ICTV201907557@prod")</f>
        <v/>
      </c>
    </row>
    <row r="2288">
      <c r="A2288" t="n">
        <v>38</v>
      </c>
      <c r="B2288" t="n">
        <v>202207983</v>
      </c>
      <c r="C2288" t="n">
        <v>201907983</v>
      </c>
      <c r="D2288" t="inlineStr">
        <is>
          <t>genus</t>
        </is>
      </c>
      <c r="E2288" t="inlineStr">
        <is>
          <t>Stockinghallvirus</t>
        </is>
      </c>
      <c r="G2288" t="inlineStr">
        <is>
          <t>Abolished,</t>
        </is>
      </c>
      <c r="L2288" s="8">
        <f>HYPERLINK("https://test.ictv.global/id/TN202207983","TN202207983@TEST")</f>
        <v/>
      </c>
      <c r="M2288" s="8">
        <f>HYPERLINK("https://test.ictv.global/id/ICTV201907983","ICTV201907983@TEST")</f>
        <v/>
      </c>
      <c r="N2288" s="8">
        <f>HYPERLINK("https://ictv.global/id/TN202207983","TN202207983@prod")</f>
        <v/>
      </c>
      <c r="O2288" s="8">
        <f>HYPERLINK("https://ictv.global/id/ICTV201907983","ICTV201907983@prod")</f>
        <v/>
      </c>
    </row>
    <row r="2289">
      <c r="A2289" t="n">
        <v>38</v>
      </c>
      <c r="B2289" t="n">
        <v>202208136</v>
      </c>
      <c r="C2289" t="n">
        <v>201908136</v>
      </c>
      <c r="D2289" t="inlineStr">
        <is>
          <t>species</t>
        </is>
      </c>
      <c r="E2289" t="inlineStr">
        <is>
          <t>Tlsvirus tv36</t>
        </is>
      </c>
      <c r="F2289" t="inlineStr">
        <is>
          <t>KR296690.1</t>
        </is>
      </c>
      <c r="G2289" t="inlineStr">
        <is>
          <t>Abolished,</t>
        </is>
      </c>
      <c r="L2289" s="8">
        <f>HYPERLINK("https://test.ictv.global/id/TN202208136","TN202208136@TEST")</f>
        <v/>
      </c>
      <c r="M2289" s="8">
        <f>HYPERLINK("https://test.ictv.global/id/ICTV201908136","ICTV201908136@TEST")</f>
        <v/>
      </c>
      <c r="N2289" s="8">
        <f>HYPERLINK("https://ictv.global/id/TN202208136","TN202208136@prod")</f>
        <v/>
      </c>
      <c r="O2289" s="8">
        <f>HYPERLINK("https://ictv.global/id/ICTV201908136","ICTV201908136@prod")</f>
        <v/>
      </c>
    </row>
    <row r="2290">
      <c r="A2290" t="n">
        <v>38</v>
      </c>
      <c r="B2290" t="n">
        <v>202208162</v>
      </c>
      <c r="C2290" t="n">
        <v>201908162</v>
      </c>
      <c r="D2290" t="inlineStr">
        <is>
          <t>species</t>
        </is>
      </c>
      <c r="E2290" t="inlineStr">
        <is>
          <t>Tunavirus tv008</t>
        </is>
      </c>
      <c r="F2290" t="inlineStr">
        <is>
          <t>MK335533.1</t>
        </is>
      </c>
      <c r="G2290" t="inlineStr">
        <is>
          <t>Abolished,</t>
        </is>
      </c>
      <c r="L2290" s="8">
        <f>HYPERLINK("https://test.ictv.global/id/TN202208162","TN202208162@TEST")</f>
        <v/>
      </c>
      <c r="M2290" s="8">
        <f>HYPERLINK("https://test.ictv.global/id/ICTV201908162","ICTV201908162@TEST")</f>
        <v/>
      </c>
      <c r="N2290" s="8">
        <f>HYPERLINK("https://ictv.global/id/TN202208162","TN202208162@prod")</f>
        <v/>
      </c>
      <c r="O2290" s="8">
        <f>HYPERLINK("https://ictv.global/id/ICTV201908162","ICTV201908162@prod")</f>
        <v/>
      </c>
    </row>
    <row r="2291">
      <c r="A2291" t="n">
        <v>38</v>
      </c>
      <c r="B2291" t="n">
        <v>202210218</v>
      </c>
      <c r="C2291" t="n">
        <v>202010218</v>
      </c>
      <c r="D2291" t="inlineStr">
        <is>
          <t>genus</t>
        </is>
      </c>
      <c r="E2291" t="inlineStr">
        <is>
          <t>Adahivirus</t>
        </is>
      </c>
      <c r="G2291" t="inlineStr">
        <is>
          <t>Abolished,</t>
        </is>
      </c>
      <c r="L2291" s="8">
        <f>HYPERLINK("https://test.ictv.global/id/TN202210218","TN202210218@TEST")</f>
        <v/>
      </c>
      <c r="M2291" s="8">
        <f>HYPERLINK("https://test.ictv.global/id/ICTV202010218","ICTV202010218@TEST")</f>
        <v/>
      </c>
      <c r="N2291" s="8">
        <f>HYPERLINK("https://ictv.global/id/TN202210218","TN202210218@prod")</f>
        <v/>
      </c>
      <c r="O2291" s="8">
        <f>HYPERLINK("https://ictv.global/id/ICTV202010218","ICTV202010218@prod")</f>
        <v/>
      </c>
    </row>
    <row r="2292">
      <c r="A2292" t="n">
        <v>38</v>
      </c>
      <c r="B2292" t="n">
        <v>202210220</v>
      </c>
      <c r="C2292" t="n">
        <v>202010220</v>
      </c>
      <c r="D2292" t="inlineStr">
        <is>
          <t>genus</t>
        </is>
      </c>
      <c r="E2292" t="inlineStr">
        <is>
          <t>Aldhiuvirus</t>
        </is>
      </c>
      <c r="G2292" t="inlineStr">
        <is>
          <t>Abolished,</t>
        </is>
      </c>
      <c r="L2292" s="8">
        <f>HYPERLINK("https://test.ictv.global/id/TN202210220","TN202210220@TEST")</f>
        <v/>
      </c>
      <c r="M2292" s="8">
        <f>HYPERLINK("https://test.ictv.global/id/ICTV202010220","ICTV202010220@TEST")</f>
        <v/>
      </c>
      <c r="N2292" s="8">
        <f>HYPERLINK("https://ictv.global/id/TN202210220","TN202210220@prod")</f>
        <v/>
      </c>
      <c r="O2292" s="8">
        <f>HYPERLINK("https://ictv.global/id/ICTV202010220","ICTV202010220@prod")</f>
        <v/>
      </c>
    </row>
    <row r="2293">
      <c r="A2293" t="n">
        <v>38</v>
      </c>
      <c r="B2293" t="n">
        <v>202210231</v>
      </c>
      <c r="C2293" t="n">
        <v>202010231</v>
      </c>
      <c r="D2293" t="inlineStr">
        <is>
          <t>genus</t>
        </is>
      </c>
      <c r="E2293" t="inlineStr">
        <is>
          <t>Anedhivirus</t>
        </is>
      </c>
      <c r="G2293" t="inlineStr">
        <is>
          <t>Abolished,</t>
        </is>
      </c>
      <c r="L2293" s="8">
        <f>HYPERLINK("https://test.ictv.global/id/TN202210231","TN202210231@TEST")</f>
        <v/>
      </c>
      <c r="M2293" s="8">
        <f>HYPERLINK("https://test.ictv.global/id/ICTV202010231","ICTV202010231@TEST")</f>
        <v/>
      </c>
      <c r="N2293" s="8">
        <f>HYPERLINK("https://ictv.global/id/TN202210231","TN202210231@prod")</f>
        <v/>
      </c>
      <c r="O2293" s="8">
        <f>HYPERLINK("https://ictv.global/id/ICTV202010231","ICTV202010231@prod")</f>
        <v/>
      </c>
    </row>
    <row r="2294">
      <c r="A2294" t="n">
        <v>38</v>
      </c>
      <c r="B2294" t="n">
        <v>202210233</v>
      </c>
      <c r="C2294" t="n">
        <v>202010233</v>
      </c>
      <c r="D2294" t="inlineStr">
        <is>
          <t>genus</t>
        </is>
      </c>
      <c r="E2294" t="inlineStr">
        <is>
          <t>Apukhovirus</t>
        </is>
      </c>
      <c r="G2294" t="inlineStr">
        <is>
          <t>Abolished,</t>
        </is>
      </c>
      <c r="L2294" s="8">
        <f>HYPERLINK("https://test.ictv.global/id/TN202210233","TN202210233@TEST")</f>
        <v/>
      </c>
      <c r="M2294" s="8">
        <f>HYPERLINK("https://test.ictv.global/id/ICTV202010233","ICTV202010233@TEST")</f>
        <v/>
      </c>
      <c r="N2294" s="8">
        <f>HYPERLINK("https://ictv.global/id/TN202210233","TN202210233@prod")</f>
        <v/>
      </c>
      <c r="O2294" s="8">
        <f>HYPERLINK("https://ictv.global/id/ICTV202010233","ICTV202010233@prod")</f>
        <v/>
      </c>
    </row>
    <row r="2295">
      <c r="A2295" t="n">
        <v>38</v>
      </c>
      <c r="B2295" t="n">
        <v>202210241</v>
      </c>
      <c r="C2295" t="n">
        <v>202010241</v>
      </c>
      <c r="D2295" t="inlineStr">
        <is>
          <t>genus</t>
        </is>
      </c>
      <c r="E2295" t="inlineStr">
        <is>
          <t>Bathrivirus</t>
        </is>
      </c>
      <c r="G2295" t="inlineStr">
        <is>
          <t>Abolished,</t>
        </is>
      </c>
      <c r="L2295" s="8">
        <f>HYPERLINK("https://test.ictv.global/id/TN202210241","TN202210241@TEST")</f>
        <v/>
      </c>
      <c r="M2295" s="8">
        <f>HYPERLINK("https://test.ictv.global/id/ICTV202010241","ICTV202010241@TEST")</f>
        <v/>
      </c>
      <c r="N2295" s="8">
        <f>HYPERLINK("https://ictv.global/id/TN202210241","TN202210241@prod")</f>
        <v/>
      </c>
      <c r="O2295" s="8">
        <f>HYPERLINK("https://ictv.global/id/ICTV202010241","ICTV202010241@prod")</f>
        <v/>
      </c>
    </row>
    <row r="2296">
      <c r="A2296" t="n">
        <v>38</v>
      </c>
      <c r="B2296" t="n">
        <v>202210247</v>
      </c>
      <c r="C2296" t="n">
        <v>202010247</v>
      </c>
      <c r="D2296" t="inlineStr">
        <is>
          <t>genus</t>
        </is>
      </c>
      <c r="E2296" t="inlineStr">
        <is>
          <t>Bertavirus</t>
        </is>
      </c>
      <c r="G2296" t="inlineStr">
        <is>
          <t>Abolished,</t>
        </is>
      </c>
      <c r="L2296" s="8">
        <f>HYPERLINK("https://test.ictv.global/id/TN202210247","TN202210247@TEST")</f>
        <v/>
      </c>
      <c r="M2296" s="8">
        <f>HYPERLINK("https://test.ictv.global/id/ICTV202010247","ICTV202010247@TEST")</f>
        <v/>
      </c>
      <c r="N2296" s="8">
        <f>HYPERLINK("https://ictv.global/id/TN202210247","TN202210247@prod")</f>
        <v/>
      </c>
      <c r="O2296" s="8">
        <f>HYPERLINK("https://ictv.global/id/ICTV202010247","ICTV202010247@prod")</f>
        <v/>
      </c>
    </row>
    <row r="2297">
      <c r="A2297" t="n">
        <v>38</v>
      </c>
      <c r="B2297" t="n">
        <v>202210259</v>
      </c>
      <c r="C2297" t="n">
        <v>202010259</v>
      </c>
      <c r="D2297" t="inlineStr">
        <is>
          <t>genus</t>
        </is>
      </c>
      <c r="E2297" t="inlineStr">
        <is>
          <t>Boloprevirus</t>
        </is>
      </c>
      <c r="G2297" t="inlineStr">
        <is>
          <t>Abolished,</t>
        </is>
      </c>
      <c r="L2297" s="8">
        <f>HYPERLINK("https://test.ictv.global/id/TN202210259","TN202210259@TEST")</f>
        <v/>
      </c>
      <c r="M2297" s="8">
        <f>HYPERLINK("https://test.ictv.global/id/ICTV202010259","ICTV202010259@TEST")</f>
        <v/>
      </c>
      <c r="N2297" s="8">
        <f>HYPERLINK("https://ictv.global/id/TN202210259","TN202210259@prod")</f>
        <v/>
      </c>
      <c r="O2297" s="8">
        <f>HYPERLINK("https://ictv.global/id/ICTV202010259","ICTV202010259@prod")</f>
        <v/>
      </c>
    </row>
    <row r="2298">
      <c r="A2298" t="n">
        <v>38</v>
      </c>
      <c r="B2298" t="n">
        <v>202210268</v>
      </c>
      <c r="C2298" t="n">
        <v>202010268</v>
      </c>
      <c r="D2298" t="inlineStr">
        <is>
          <t>genus</t>
        </is>
      </c>
      <c r="E2298" t="inlineStr">
        <is>
          <t>Brudgevirus</t>
        </is>
      </c>
      <c r="G2298" t="inlineStr">
        <is>
          <t>Abolished,</t>
        </is>
      </c>
      <c r="L2298" s="8">
        <f>HYPERLINK("https://test.ictv.global/id/TN202210268","TN202210268@TEST")</f>
        <v/>
      </c>
      <c r="M2298" s="8">
        <f>HYPERLINK("https://test.ictv.global/id/ICTV202010268","ICTV202010268@TEST")</f>
        <v/>
      </c>
      <c r="N2298" s="8">
        <f>HYPERLINK("https://ictv.global/id/TN202210268","TN202210268@prod")</f>
        <v/>
      </c>
      <c r="O2298" s="8">
        <f>HYPERLINK("https://ictv.global/id/ICTV202010268","ICTV202010268@prod")</f>
        <v/>
      </c>
    </row>
    <row r="2299">
      <c r="A2299" t="n">
        <v>38</v>
      </c>
      <c r="B2299" t="n">
        <v>202210310</v>
      </c>
      <c r="C2299" t="n">
        <v>202010310</v>
      </c>
      <c r="D2299" t="inlineStr">
        <is>
          <t>genus</t>
        </is>
      </c>
      <c r="E2299" t="inlineStr">
        <is>
          <t>Condavirus</t>
        </is>
      </c>
      <c r="G2299" t="inlineStr">
        <is>
          <t>Abolished,</t>
        </is>
      </c>
      <c r="L2299" s="8">
        <f>HYPERLINK("https://test.ictv.global/id/TN202210310","TN202210310@TEST")</f>
        <v/>
      </c>
      <c r="M2299" s="8">
        <f>HYPERLINK("https://test.ictv.global/id/ICTV202010310","ICTV202010310@TEST")</f>
        <v/>
      </c>
      <c r="N2299" s="8">
        <f>HYPERLINK("https://ictv.global/id/TN202210310","TN202210310@prod")</f>
        <v/>
      </c>
      <c r="O2299" s="8">
        <f>HYPERLINK("https://ictv.global/id/ICTV202010310","ICTV202010310@prod")</f>
        <v/>
      </c>
    </row>
    <row r="2300">
      <c r="A2300" t="n">
        <v>38</v>
      </c>
      <c r="B2300" t="n">
        <v>202210314</v>
      </c>
      <c r="C2300" t="n">
        <v>202010314</v>
      </c>
      <c r="D2300" t="inlineStr">
        <is>
          <t>species</t>
        </is>
      </c>
      <c r="E2300" t="inlineStr">
        <is>
          <t>Condavirus arvihabitans</t>
        </is>
      </c>
      <c r="F2300" t="inlineStr">
        <is>
          <t>BK013972</t>
        </is>
      </c>
      <c r="G2300" t="inlineStr">
        <is>
          <t>Abolished,</t>
        </is>
      </c>
      <c r="L2300" s="8">
        <f>HYPERLINK("https://test.ictv.global/id/TN202210314","TN202210314@TEST")</f>
        <v/>
      </c>
      <c r="M2300" s="8">
        <f>HYPERLINK("https://test.ictv.global/id/ICTV202010314","ICTV202010314@TEST")</f>
        <v/>
      </c>
      <c r="N2300" s="8">
        <f>HYPERLINK("https://ictv.global/id/TN202210314","TN202210314@prod")</f>
        <v/>
      </c>
      <c r="O2300" s="8">
        <f>HYPERLINK("https://ictv.global/id/ICTV202010314","ICTV202010314@prod")</f>
        <v/>
      </c>
    </row>
    <row r="2301">
      <c r="A2301" t="n">
        <v>38</v>
      </c>
      <c r="B2301" t="n">
        <v>202210321</v>
      </c>
      <c r="C2301" t="n">
        <v>202010321</v>
      </c>
      <c r="D2301" t="inlineStr">
        <is>
          <t>genus</t>
        </is>
      </c>
      <c r="E2301" t="inlineStr">
        <is>
          <t>Creshivirus</t>
        </is>
      </c>
      <c r="G2301" t="inlineStr">
        <is>
          <t>Abolished,</t>
        </is>
      </c>
      <c r="L2301" s="8">
        <f>HYPERLINK("https://test.ictv.global/id/TN202210321","TN202210321@TEST")</f>
        <v/>
      </c>
      <c r="M2301" s="8">
        <f>HYPERLINK("https://test.ictv.global/id/ICTV202010321","ICTV202010321@TEST")</f>
        <v/>
      </c>
      <c r="N2301" s="8">
        <f>HYPERLINK("https://ictv.global/id/TN202210321","TN202210321@prod")</f>
        <v/>
      </c>
      <c r="O2301" s="8">
        <f>HYPERLINK("https://ictv.global/id/ICTV202010321","ICTV202010321@prod")</f>
        <v/>
      </c>
    </row>
    <row r="2302">
      <c r="A2302" t="n">
        <v>38</v>
      </c>
      <c r="B2302" t="n">
        <v>202210333</v>
      </c>
      <c r="C2302" t="n">
        <v>202010333</v>
      </c>
      <c r="D2302" t="inlineStr">
        <is>
          <t>genus</t>
        </is>
      </c>
      <c r="E2302" t="inlineStr">
        <is>
          <t>Dehcevirus</t>
        </is>
      </c>
      <c r="G2302" t="inlineStr">
        <is>
          <t>Abolished,</t>
        </is>
      </c>
      <c r="L2302" s="8">
        <f>HYPERLINK("https://test.ictv.global/id/TN202210333","TN202210333@TEST")</f>
        <v/>
      </c>
      <c r="M2302" s="8">
        <f>HYPERLINK("https://test.ictv.global/id/ICTV202010333","ICTV202010333@TEST")</f>
        <v/>
      </c>
      <c r="N2302" s="8">
        <f>HYPERLINK("https://ictv.global/id/TN202210333","TN202210333@prod")</f>
        <v/>
      </c>
      <c r="O2302" s="8">
        <f>HYPERLINK("https://ictv.global/id/ICTV202010333","ICTV202010333@prod")</f>
        <v/>
      </c>
    </row>
    <row r="2303">
      <c r="A2303" t="n">
        <v>38</v>
      </c>
      <c r="B2303" t="n">
        <v>202210353</v>
      </c>
      <c r="C2303" t="n">
        <v>202010353</v>
      </c>
      <c r="D2303" t="inlineStr">
        <is>
          <t>genus</t>
        </is>
      </c>
      <c r="E2303" t="inlineStr">
        <is>
          <t>Febihevirus</t>
        </is>
      </c>
      <c r="G2303" t="inlineStr">
        <is>
          <t>Abolished,</t>
        </is>
      </c>
      <c r="L2303" s="8">
        <f>HYPERLINK("https://test.ictv.global/id/TN202210353","TN202210353@TEST")</f>
        <v/>
      </c>
      <c r="M2303" s="8">
        <f>HYPERLINK("https://test.ictv.global/id/ICTV202010353","ICTV202010353@TEST")</f>
        <v/>
      </c>
      <c r="N2303" s="8">
        <f>HYPERLINK("https://ictv.global/id/TN202210353","TN202210353@prod")</f>
        <v/>
      </c>
      <c r="O2303" s="8">
        <f>HYPERLINK("https://ictv.global/id/ICTV202010353","ICTV202010353@prod")</f>
        <v/>
      </c>
    </row>
    <row r="2304">
      <c r="A2304" t="n">
        <v>38</v>
      </c>
      <c r="B2304" t="n">
        <v>202210354</v>
      </c>
      <c r="C2304" t="n">
        <v>202010354</v>
      </c>
      <c r="D2304" t="inlineStr">
        <is>
          <t>species</t>
        </is>
      </c>
      <c r="E2304" t="inlineStr">
        <is>
          <t>Febihevirus ruminicola</t>
        </is>
      </c>
      <c r="F2304" t="inlineStr">
        <is>
          <t>BK013363</t>
        </is>
      </c>
      <c r="G2304" t="inlineStr">
        <is>
          <t>Abolished,</t>
        </is>
      </c>
      <c r="L2304" s="8">
        <f>HYPERLINK("https://test.ictv.global/id/TN202210354","TN202210354@TEST")</f>
        <v/>
      </c>
      <c r="M2304" s="8">
        <f>HYPERLINK("https://test.ictv.global/id/ICTV202010354","ICTV202010354@TEST")</f>
        <v/>
      </c>
      <c r="N2304" s="8">
        <f>HYPERLINK("https://ictv.global/id/TN202210354","TN202210354@prod")</f>
        <v/>
      </c>
      <c r="O2304" s="8">
        <f>HYPERLINK("https://ictv.global/id/ICTV202010354","ICTV202010354@prod")</f>
        <v/>
      </c>
    </row>
    <row r="2305">
      <c r="A2305" t="n">
        <v>38</v>
      </c>
      <c r="B2305" t="n">
        <v>202210357</v>
      </c>
      <c r="C2305" t="n">
        <v>202010357</v>
      </c>
      <c r="D2305" t="inlineStr">
        <is>
          <t>genus</t>
        </is>
      </c>
      <c r="E2305" t="inlineStr">
        <is>
          <t>Gahlinevirus</t>
        </is>
      </c>
      <c r="G2305" t="inlineStr">
        <is>
          <t>Abolished,</t>
        </is>
      </c>
      <c r="L2305" s="8">
        <f>HYPERLINK("https://test.ictv.global/id/TN202210357","TN202210357@TEST")</f>
        <v/>
      </c>
      <c r="M2305" s="8">
        <f>HYPERLINK("https://test.ictv.global/id/ICTV202010357","ICTV202010357@TEST")</f>
        <v/>
      </c>
      <c r="N2305" s="8">
        <f>HYPERLINK("https://ictv.global/id/TN202210357","TN202210357@prod")</f>
        <v/>
      </c>
      <c r="O2305" s="8">
        <f>HYPERLINK("https://ictv.global/id/ICTV202010357","ICTV202010357@prod")</f>
        <v/>
      </c>
    </row>
    <row r="2306">
      <c r="A2306" t="n">
        <v>38</v>
      </c>
      <c r="B2306" t="n">
        <v>202210365</v>
      </c>
      <c r="C2306" t="n">
        <v>202010365</v>
      </c>
      <c r="D2306" t="inlineStr">
        <is>
          <t>genus</t>
        </is>
      </c>
      <c r="E2306" t="inlineStr">
        <is>
          <t>Glincaevirus</t>
        </is>
      </c>
      <c r="G2306" t="inlineStr">
        <is>
          <t>Abolished,</t>
        </is>
      </c>
      <c r="L2306" s="8">
        <f>HYPERLINK("https://test.ictv.global/id/TN202210365","TN202210365@TEST")</f>
        <v/>
      </c>
      <c r="M2306" s="8">
        <f>HYPERLINK("https://test.ictv.global/id/ICTV202010365","ICTV202010365@TEST")</f>
        <v/>
      </c>
      <c r="N2306" s="8">
        <f>HYPERLINK("https://ictv.global/id/TN202210365","TN202210365@prod")</f>
        <v/>
      </c>
      <c r="O2306" s="8">
        <f>HYPERLINK("https://ictv.global/id/ICTV202010365","ICTV202010365@prod")</f>
        <v/>
      </c>
    </row>
    <row r="2307">
      <c r="A2307" t="n">
        <v>38</v>
      </c>
      <c r="B2307" t="n">
        <v>202210420</v>
      </c>
      <c r="C2307" t="n">
        <v>202010420</v>
      </c>
      <c r="D2307" t="inlineStr">
        <is>
          <t>genus</t>
        </is>
      </c>
      <c r="E2307" t="inlineStr">
        <is>
          <t>Kenamavirus</t>
        </is>
      </c>
      <c r="G2307" t="inlineStr">
        <is>
          <t>Abolished,</t>
        </is>
      </c>
      <c r="L2307" s="8">
        <f>HYPERLINK("https://test.ictv.global/id/TN202210420","TN202210420@TEST")</f>
        <v/>
      </c>
      <c r="M2307" s="8">
        <f>HYPERLINK("https://test.ictv.global/id/ICTV202010420","ICTV202010420@TEST")</f>
        <v/>
      </c>
      <c r="N2307" s="8">
        <f>HYPERLINK("https://ictv.global/id/TN202210420","TN202210420@prod")</f>
        <v/>
      </c>
      <c r="O2307" s="8">
        <f>HYPERLINK("https://ictv.global/id/ICTV202010420","ICTV202010420@prod")</f>
        <v/>
      </c>
    </row>
    <row r="2308">
      <c r="A2308" t="n">
        <v>38</v>
      </c>
      <c r="B2308" t="n">
        <v>202210438</v>
      </c>
      <c r="C2308" t="n">
        <v>202010438</v>
      </c>
      <c r="D2308" t="inlineStr">
        <is>
          <t>genus</t>
        </is>
      </c>
      <c r="E2308" t="inlineStr">
        <is>
          <t>Lulohlevirus</t>
        </is>
      </c>
      <c r="G2308" t="inlineStr">
        <is>
          <t>Abolished,</t>
        </is>
      </c>
      <c r="L2308" s="8">
        <f>HYPERLINK("https://test.ictv.global/id/TN202210438","TN202210438@TEST")</f>
        <v/>
      </c>
      <c r="M2308" s="8">
        <f>HYPERLINK("https://test.ictv.global/id/ICTV202010438","ICTV202010438@TEST")</f>
        <v/>
      </c>
      <c r="N2308" s="8">
        <f>HYPERLINK("https://ictv.global/id/TN202210438","TN202210438@prod")</f>
        <v/>
      </c>
      <c r="O2308" s="8">
        <f>HYPERLINK("https://ictv.global/id/ICTV202010438","ICTV202010438@prod")</f>
        <v/>
      </c>
    </row>
    <row r="2309">
      <c r="A2309" t="n">
        <v>38</v>
      </c>
      <c r="B2309" t="n">
        <v>202210449</v>
      </c>
      <c r="C2309" t="n">
        <v>202010449</v>
      </c>
      <c r="D2309" t="inlineStr">
        <is>
          <t>genus</t>
        </is>
      </c>
      <c r="E2309" t="inlineStr">
        <is>
          <t>Manohtivirus</t>
        </is>
      </c>
      <c r="G2309" t="inlineStr">
        <is>
          <t>Abolished,</t>
        </is>
      </c>
      <c r="L2309" s="8">
        <f>HYPERLINK("https://test.ictv.global/id/TN202210449","TN202210449@TEST")</f>
        <v/>
      </c>
      <c r="M2309" s="8">
        <f>HYPERLINK("https://test.ictv.global/id/ICTV202010449","ICTV202010449@TEST")</f>
        <v/>
      </c>
      <c r="N2309" s="8">
        <f>HYPERLINK("https://ictv.global/id/TN202210449","TN202210449@prod")</f>
        <v/>
      </c>
      <c r="O2309" s="8">
        <f>HYPERLINK("https://ictv.global/id/ICTV202010449","ICTV202010449@prod")</f>
        <v/>
      </c>
    </row>
    <row r="2310">
      <c r="A2310" t="n">
        <v>38</v>
      </c>
      <c r="B2310" t="n">
        <v>202210476</v>
      </c>
      <c r="C2310" t="n">
        <v>202010476</v>
      </c>
      <c r="D2310" t="inlineStr">
        <is>
          <t>genus</t>
        </is>
      </c>
      <c r="E2310" t="inlineStr">
        <is>
          <t>Monamovirus</t>
        </is>
      </c>
      <c r="G2310" t="inlineStr">
        <is>
          <t>Abolished,</t>
        </is>
      </c>
      <c r="L2310" s="8">
        <f>HYPERLINK("https://test.ictv.global/id/TN202210476","TN202210476@TEST")</f>
        <v/>
      </c>
      <c r="M2310" s="8">
        <f>HYPERLINK("https://test.ictv.global/id/ICTV202010476","ICTV202010476@TEST")</f>
        <v/>
      </c>
      <c r="N2310" s="8">
        <f>HYPERLINK("https://ictv.global/id/TN202210476","TN202210476@prod")</f>
        <v/>
      </c>
      <c r="O2310" s="8">
        <f>HYPERLINK("https://ictv.global/id/ICTV202010476","ICTV202010476@prod")</f>
        <v/>
      </c>
    </row>
    <row r="2311">
      <c r="A2311" t="n">
        <v>38</v>
      </c>
      <c r="B2311" t="n">
        <v>202210479</v>
      </c>
      <c r="C2311" t="n">
        <v>202010479</v>
      </c>
      <c r="D2311" t="inlineStr">
        <is>
          <t>genus</t>
        </is>
      </c>
      <c r="E2311" t="inlineStr">
        <is>
          <t>Mucrahivirus</t>
        </is>
      </c>
      <c r="G2311" t="inlineStr">
        <is>
          <t>Abolished,</t>
        </is>
      </c>
      <c r="L2311" s="8">
        <f>HYPERLINK("https://test.ictv.global/id/TN202210479","TN202210479@TEST")</f>
        <v/>
      </c>
      <c r="M2311" s="8">
        <f>HYPERLINK("https://test.ictv.global/id/ICTV202010479","ICTV202010479@TEST")</f>
        <v/>
      </c>
      <c r="N2311" s="8">
        <f>HYPERLINK("https://ictv.global/id/TN202210479","TN202210479@prod")</f>
        <v/>
      </c>
      <c r="O2311" s="8">
        <f>HYPERLINK("https://ictv.global/id/ICTV202010479","ICTV202010479@prod")</f>
        <v/>
      </c>
    </row>
    <row r="2312">
      <c r="A2312" t="n">
        <v>38</v>
      </c>
      <c r="B2312" t="n">
        <v>202210480</v>
      </c>
      <c r="C2312" t="n">
        <v>202010480</v>
      </c>
      <c r="D2312" t="inlineStr">
        <is>
          <t>species</t>
        </is>
      </c>
      <c r="E2312" t="inlineStr">
        <is>
          <t>Mucrahivirus geohabitans</t>
        </is>
      </c>
      <c r="F2312" t="inlineStr">
        <is>
          <t>BK013445</t>
        </is>
      </c>
      <c r="G2312" t="inlineStr">
        <is>
          <t>Abolished,</t>
        </is>
      </c>
      <c r="L2312" s="8">
        <f>HYPERLINK("https://test.ictv.global/id/TN202210480","TN202210480@TEST")</f>
        <v/>
      </c>
      <c r="M2312" s="8">
        <f>HYPERLINK("https://test.ictv.global/id/ICTV202010480","ICTV202010480@TEST")</f>
        <v/>
      </c>
      <c r="N2312" s="8">
        <f>HYPERLINK("https://ictv.global/id/TN202210480","TN202210480@prod")</f>
        <v/>
      </c>
      <c r="O2312" s="8">
        <f>HYPERLINK("https://ictv.global/id/ICTV202010480","ICTV202010480@prod")</f>
        <v/>
      </c>
    </row>
    <row r="2313">
      <c r="A2313" t="n">
        <v>38</v>
      </c>
      <c r="B2313" t="n">
        <v>202210490</v>
      </c>
      <c r="C2313" t="n">
        <v>202010490</v>
      </c>
      <c r="D2313" t="inlineStr">
        <is>
          <t>genus</t>
        </is>
      </c>
      <c r="E2313" t="inlineStr">
        <is>
          <t>Nahjiuvirus</t>
        </is>
      </c>
      <c r="G2313" t="inlineStr">
        <is>
          <t>Abolished,</t>
        </is>
      </c>
      <c r="L2313" s="8">
        <f>HYPERLINK("https://test.ictv.global/id/TN202210490","TN202210490@TEST")</f>
        <v/>
      </c>
      <c r="M2313" s="8">
        <f>HYPERLINK("https://test.ictv.global/id/ICTV202010490","ICTV202010490@TEST")</f>
        <v/>
      </c>
      <c r="N2313" s="8">
        <f>HYPERLINK("https://ictv.global/id/TN202210490","TN202210490@prod")</f>
        <v/>
      </c>
      <c r="O2313" s="8">
        <f>HYPERLINK("https://ictv.global/id/ICTV202010490","ICTV202010490@prod")</f>
        <v/>
      </c>
    </row>
    <row r="2314">
      <c r="A2314" t="n">
        <v>38</v>
      </c>
      <c r="B2314" t="n">
        <v>202210493</v>
      </c>
      <c r="C2314" t="n">
        <v>202010493</v>
      </c>
      <c r="D2314" t="inlineStr">
        <is>
          <t>genus</t>
        </is>
      </c>
      <c r="E2314" t="inlineStr">
        <is>
          <t>Nahrudavirus</t>
        </is>
      </c>
      <c r="G2314" t="inlineStr">
        <is>
          <t>Abolished,</t>
        </is>
      </c>
      <c r="L2314" s="8">
        <f>HYPERLINK("https://test.ictv.global/id/TN202210493","TN202210493@TEST")</f>
        <v/>
      </c>
      <c r="M2314" s="8">
        <f>HYPERLINK("https://test.ictv.global/id/ICTV202010493","ICTV202010493@TEST")</f>
        <v/>
      </c>
      <c r="N2314" s="8">
        <f>HYPERLINK("https://ictv.global/id/TN202210493","TN202210493@prod")</f>
        <v/>
      </c>
      <c r="O2314" s="8">
        <f>HYPERLINK("https://ictv.global/id/ICTV202010493","ICTV202010493@prod")</f>
        <v/>
      </c>
    </row>
    <row r="2315">
      <c r="A2315" t="n">
        <v>38</v>
      </c>
      <c r="B2315" t="n">
        <v>202210495</v>
      </c>
      <c r="C2315" t="n">
        <v>202010495</v>
      </c>
      <c r="D2315" t="inlineStr">
        <is>
          <t>genus</t>
        </is>
      </c>
      <c r="E2315" t="inlineStr">
        <is>
          <t>Nahsuvirus</t>
        </is>
      </c>
      <c r="G2315" t="inlineStr">
        <is>
          <t>Abolished,</t>
        </is>
      </c>
      <c r="L2315" s="8">
        <f>HYPERLINK("https://test.ictv.global/id/TN202210495","TN202210495@TEST")</f>
        <v/>
      </c>
      <c r="M2315" s="8">
        <f>HYPERLINK("https://test.ictv.global/id/ICTV202010495","ICTV202010495@TEST")</f>
        <v/>
      </c>
      <c r="N2315" s="8">
        <f>HYPERLINK("https://ictv.global/id/TN202210495","TN202210495@prod")</f>
        <v/>
      </c>
      <c r="O2315" s="8">
        <f>HYPERLINK("https://ictv.global/id/ICTV202010495","ICTV202010495@prod")</f>
        <v/>
      </c>
    </row>
    <row r="2316">
      <c r="A2316" t="n">
        <v>38</v>
      </c>
      <c r="B2316" t="n">
        <v>202210501</v>
      </c>
      <c r="C2316" t="n">
        <v>202010501</v>
      </c>
      <c r="D2316" t="inlineStr">
        <is>
          <t>genus</t>
        </is>
      </c>
      <c r="E2316" t="inlineStr">
        <is>
          <t>Nihucivirus</t>
        </is>
      </c>
      <c r="G2316" t="inlineStr">
        <is>
          <t>Abolished,</t>
        </is>
      </c>
      <c r="L2316" s="8">
        <f>HYPERLINK("https://test.ictv.global/id/TN202210501","TN202210501@TEST")</f>
        <v/>
      </c>
      <c r="M2316" s="8">
        <f>HYPERLINK("https://test.ictv.global/id/ICTV202010501","ICTV202010501@TEST")</f>
        <v/>
      </c>
      <c r="N2316" s="8">
        <f>HYPERLINK("https://ictv.global/id/TN202210501","TN202210501@prod")</f>
        <v/>
      </c>
      <c r="O2316" s="8">
        <f>HYPERLINK("https://ictv.global/id/ICTV202010501","ICTV202010501@prod")</f>
        <v/>
      </c>
    </row>
    <row r="2317">
      <c r="A2317" t="n">
        <v>38</v>
      </c>
      <c r="B2317" t="n">
        <v>202210506</v>
      </c>
      <c r="C2317" t="n">
        <v>202010506</v>
      </c>
      <c r="D2317" t="inlineStr">
        <is>
          <t>genus</t>
        </is>
      </c>
      <c r="E2317" t="inlineStr">
        <is>
          <t>Noehsivirus</t>
        </is>
      </c>
      <c r="G2317" t="inlineStr">
        <is>
          <t>Abolished,</t>
        </is>
      </c>
      <c r="L2317" s="8">
        <f>HYPERLINK("https://test.ictv.global/id/TN202210506","TN202210506@TEST")</f>
        <v/>
      </c>
      <c r="M2317" s="8">
        <f>HYPERLINK("https://test.ictv.global/id/ICTV202010506","ICTV202010506@TEST")</f>
        <v/>
      </c>
      <c r="N2317" s="8">
        <f>HYPERLINK("https://ictv.global/id/TN202210506","TN202210506@prod")</f>
        <v/>
      </c>
      <c r="O2317" s="8">
        <f>HYPERLINK("https://ictv.global/id/ICTV202010506","ICTV202010506@prod")</f>
        <v/>
      </c>
    </row>
    <row r="2318">
      <c r="A2318" t="n">
        <v>38</v>
      </c>
      <c r="B2318" t="n">
        <v>202210509</v>
      </c>
      <c r="C2318" t="n">
        <v>202010509</v>
      </c>
      <c r="D2318" t="inlineStr">
        <is>
          <t>genus</t>
        </is>
      </c>
      <c r="E2318" t="inlineStr">
        <is>
          <t>Nuihimevirus</t>
        </is>
      </c>
      <c r="G2318" t="inlineStr">
        <is>
          <t>Abolished,</t>
        </is>
      </c>
      <c r="L2318" s="8">
        <f>HYPERLINK("https://test.ictv.global/id/TN202210509","TN202210509@TEST")</f>
        <v/>
      </c>
      <c r="M2318" s="8">
        <f>HYPERLINK("https://test.ictv.global/id/ICTV202010509","ICTV202010509@TEST")</f>
        <v/>
      </c>
      <c r="N2318" s="8">
        <f>HYPERLINK("https://ictv.global/id/TN202210509","TN202210509@prod")</f>
        <v/>
      </c>
      <c r="O2318" s="8">
        <f>HYPERLINK("https://ictv.global/id/ICTV202010509","ICTV202010509@prod")</f>
        <v/>
      </c>
    </row>
    <row r="2319">
      <c r="A2319" t="n">
        <v>38</v>
      </c>
      <c r="B2319" t="n">
        <v>202210521</v>
      </c>
      <c r="C2319" t="n">
        <v>202010521</v>
      </c>
      <c r="D2319" t="inlineStr">
        <is>
          <t>genus</t>
        </is>
      </c>
      <c r="E2319" t="inlineStr">
        <is>
          <t>Osigowavirus</t>
        </is>
      </c>
      <c r="G2319" t="inlineStr">
        <is>
          <t>Abolished,</t>
        </is>
      </c>
      <c r="L2319" s="8">
        <f>HYPERLINK("https://test.ictv.global/id/TN202210521","TN202210521@TEST")</f>
        <v/>
      </c>
      <c r="M2319" s="8">
        <f>HYPERLINK("https://test.ictv.global/id/ICTV202010521","ICTV202010521@TEST")</f>
        <v/>
      </c>
      <c r="N2319" s="8">
        <f>HYPERLINK("https://ictv.global/id/TN202210521","TN202210521@prod")</f>
        <v/>
      </c>
      <c r="O2319" s="8">
        <f>HYPERLINK("https://ictv.global/id/ICTV202010521","ICTV202010521@prod")</f>
        <v/>
      </c>
    </row>
    <row r="2320">
      <c r="A2320" t="n">
        <v>38</v>
      </c>
      <c r="B2320" t="n">
        <v>202210522</v>
      </c>
      <c r="C2320" t="n">
        <v>202010522</v>
      </c>
      <c r="D2320" t="inlineStr">
        <is>
          <t>species</t>
        </is>
      </c>
      <c r="E2320" t="inlineStr">
        <is>
          <t>Osigowavirus insecticola</t>
        </is>
      </c>
      <c r="F2320" t="inlineStr">
        <is>
          <t>BK013356</t>
        </is>
      </c>
      <c r="G2320" t="inlineStr">
        <is>
          <t>Abolished,</t>
        </is>
      </c>
      <c r="L2320" s="8">
        <f>HYPERLINK("https://test.ictv.global/id/TN202210522","TN202210522@TEST")</f>
        <v/>
      </c>
      <c r="M2320" s="8">
        <f>HYPERLINK("https://test.ictv.global/id/ICTV202010522","ICTV202010522@TEST")</f>
        <v/>
      </c>
      <c r="N2320" s="8">
        <f>HYPERLINK("https://ictv.global/id/TN202210522","TN202210522@prod")</f>
        <v/>
      </c>
      <c r="O2320" s="8">
        <f>HYPERLINK("https://ictv.global/id/ICTV202010522","ICTV202010522@prod")</f>
        <v/>
      </c>
    </row>
    <row r="2321">
      <c r="A2321" t="n">
        <v>38</v>
      </c>
      <c r="B2321" t="n">
        <v>202210543</v>
      </c>
      <c r="C2321" t="n">
        <v>202010543</v>
      </c>
      <c r="D2321" t="inlineStr">
        <is>
          <t>species</t>
        </is>
      </c>
      <c r="E2321" t="inlineStr">
        <is>
          <t>Pepevirus spumicola</t>
        </is>
      </c>
      <c r="F2321" t="inlineStr">
        <is>
          <t>LT821717</t>
        </is>
      </c>
      <c r="G2321" t="inlineStr">
        <is>
          <t>Abolished,</t>
        </is>
      </c>
      <c r="L2321" s="8">
        <f>HYPERLINK("https://test.ictv.global/id/TN202210543","TN202210543@TEST")</f>
        <v/>
      </c>
      <c r="M2321" s="8">
        <f>HYPERLINK("https://test.ictv.global/id/ICTV202010543","ICTV202010543@TEST")</f>
        <v/>
      </c>
      <c r="N2321" s="8">
        <f>HYPERLINK("https://ictv.global/id/TN202210543","TN202210543@prod")</f>
        <v/>
      </c>
      <c r="O2321" s="8">
        <f>HYPERLINK("https://ictv.global/id/ICTV202010543","ICTV202010543@prod")</f>
        <v/>
      </c>
    </row>
    <row r="2322">
      <c r="A2322" t="n">
        <v>38</v>
      </c>
      <c r="B2322" t="n">
        <v>202210551</v>
      </c>
      <c r="C2322" t="n">
        <v>202010551</v>
      </c>
      <c r="D2322" t="inlineStr">
        <is>
          <t>genus</t>
        </is>
      </c>
      <c r="E2322" t="inlineStr">
        <is>
          <t>Phulivirus</t>
        </is>
      </c>
      <c r="G2322" t="inlineStr">
        <is>
          <t>Abolished,</t>
        </is>
      </c>
      <c r="L2322" s="8">
        <f>HYPERLINK("https://test.ictv.global/id/TN202210551","TN202210551@TEST")</f>
        <v/>
      </c>
      <c r="M2322" s="8">
        <f>HYPERLINK("https://test.ictv.global/id/ICTV202010551","ICTV202010551@TEST")</f>
        <v/>
      </c>
      <c r="N2322" s="8">
        <f>HYPERLINK("https://ictv.global/id/TN202210551","TN202210551@prod")</f>
        <v/>
      </c>
      <c r="O2322" s="8">
        <f>HYPERLINK("https://ictv.global/id/ICTV202010551","ICTV202010551@prod")</f>
        <v/>
      </c>
    </row>
    <row r="2323">
      <c r="A2323" t="n">
        <v>38</v>
      </c>
      <c r="B2323" t="n">
        <v>202210558</v>
      </c>
      <c r="C2323" t="n">
        <v>202010558</v>
      </c>
      <c r="D2323" t="inlineStr">
        <is>
          <t>genus</t>
        </is>
      </c>
      <c r="E2323" t="inlineStr">
        <is>
          <t>Pipunevirus</t>
        </is>
      </c>
      <c r="G2323" t="inlineStr">
        <is>
          <t>Abolished,</t>
        </is>
      </c>
      <c r="L2323" s="8">
        <f>HYPERLINK("https://test.ictv.global/id/TN202210558","TN202210558@TEST")</f>
        <v/>
      </c>
      <c r="M2323" s="8">
        <f>HYPERLINK("https://test.ictv.global/id/ICTV202010558","ICTV202010558@TEST")</f>
        <v/>
      </c>
      <c r="N2323" s="8">
        <f>HYPERLINK("https://ictv.global/id/TN202210558","TN202210558@prod")</f>
        <v/>
      </c>
      <c r="O2323" s="8">
        <f>HYPERLINK("https://ictv.global/id/ICTV202010558","ICTV202010558@prod")</f>
        <v/>
      </c>
    </row>
    <row r="2324">
      <c r="A2324" t="n">
        <v>38</v>
      </c>
      <c r="B2324" t="n">
        <v>202210569</v>
      </c>
      <c r="C2324" t="n">
        <v>202010569</v>
      </c>
      <c r="D2324" t="inlineStr">
        <is>
          <t>genus</t>
        </is>
      </c>
      <c r="E2324" t="inlineStr">
        <is>
          <t>Pohtamavirus</t>
        </is>
      </c>
      <c r="G2324" t="inlineStr">
        <is>
          <t>Abolished,</t>
        </is>
      </c>
      <c r="L2324" s="8">
        <f>HYPERLINK("https://test.ictv.global/id/TN202210569","TN202210569@TEST")</f>
        <v/>
      </c>
      <c r="M2324" s="8">
        <f>HYPERLINK("https://test.ictv.global/id/ICTV202010569","ICTV202010569@TEST")</f>
        <v/>
      </c>
      <c r="N2324" s="8">
        <f>HYPERLINK("https://ictv.global/id/TN202210569","TN202210569@prod")</f>
        <v/>
      </c>
      <c r="O2324" s="8">
        <f>HYPERLINK("https://ictv.global/id/ICTV202010569","ICTV202010569@prod")</f>
        <v/>
      </c>
    </row>
    <row r="2325">
      <c r="A2325" t="n">
        <v>38</v>
      </c>
      <c r="B2325" t="n">
        <v>202210573</v>
      </c>
      <c r="C2325" t="n">
        <v>202010573</v>
      </c>
      <c r="D2325" t="inlineStr">
        <is>
          <t>genus</t>
        </is>
      </c>
      <c r="E2325" t="inlineStr">
        <is>
          <t>Psehatovirus</t>
        </is>
      </c>
      <c r="G2325" t="inlineStr">
        <is>
          <t>Abolished,</t>
        </is>
      </c>
      <c r="L2325" s="8">
        <f>HYPERLINK("https://test.ictv.global/id/TN202210573","TN202210573@TEST")</f>
        <v/>
      </c>
      <c r="M2325" s="8">
        <f>HYPERLINK("https://test.ictv.global/id/ICTV202010573","ICTV202010573@TEST")</f>
        <v/>
      </c>
      <c r="N2325" s="8">
        <f>HYPERLINK("https://ictv.global/id/TN202210573","TN202210573@prod")</f>
        <v/>
      </c>
      <c r="O2325" s="8">
        <f>HYPERLINK("https://ictv.global/id/ICTV202010573","ICTV202010573@prod")</f>
        <v/>
      </c>
    </row>
    <row r="2326">
      <c r="A2326" t="n">
        <v>38</v>
      </c>
      <c r="B2326" t="n">
        <v>202210598</v>
      </c>
      <c r="C2326" t="n">
        <v>202010598</v>
      </c>
      <c r="D2326" t="inlineStr">
        <is>
          <t>genus</t>
        </is>
      </c>
      <c r="E2326" t="inlineStr">
        <is>
          <t>Sehcovirus</t>
        </is>
      </c>
      <c r="G2326" t="inlineStr">
        <is>
          <t>Abolished,</t>
        </is>
      </c>
      <c r="L2326" s="8">
        <f>HYPERLINK("https://test.ictv.global/id/TN202210598","TN202210598@TEST")</f>
        <v/>
      </c>
      <c r="M2326" s="8">
        <f>HYPERLINK("https://test.ictv.global/id/ICTV202010598","ICTV202010598@TEST")</f>
        <v/>
      </c>
      <c r="N2326" s="8">
        <f>HYPERLINK("https://ictv.global/id/TN202210598","TN202210598@prod")</f>
        <v/>
      </c>
      <c r="O2326" s="8">
        <f>HYPERLINK("https://ictv.global/id/ICTV202010598","ICTV202010598@prod")</f>
        <v/>
      </c>
    </row>
    <row r="2327">
      <c r="A2327" t="n">
        <v>38</v>
      </c>
      <c r="B2327" t="n">
        <v>202210610</v>
      </c>
      <c r="C2327" t="n">
        <v>202010610</v>
      </c>
      <c r="D2327" t="inlineStr">
        <is>
          <t>species</t>
        </is>
      </c>
      <c r="E2327" t="inlineStr">
        <is>
          <t>Sholavirus caenihabitans</t>
        </is>
      </c>
      <c r="F2327" t="inlineStr">
        <is>
          <t>BK014143</t>
        </is>
      </c>
      <c r="G2327" t="inlineStr">
        <is>
          <t>Abolished,</t>
        </is>
      </c>
      <c r="L2327" s="8">
        <f>HYPERLINK("https://test.ictv.global/id/TN202210610","TN202210610@TEST")</f>
        <v/>
      </c>
      <c r="M2327" s="8">
        <f>HYPERLINK("https://test.ictv.global/id/ICTV202010610","ICTV202010610@TEST")</f>
        <v/>
      </c>
      <c r="N2327" s="8">
        <f>HYPERLINK("https://ictv.global/id/TN202210610","TN202210610@prod")</f>
        <v/>
      </c>
      <c r="O2327" s="8">
        <f>HYPERLINK("https://ictv.global/id/ICTV202010610","ICTV202010610@prod")</f>
        <v/>
      </c>
    </row>
    <row r="2328">
      <c r="A2328" t="n">
        <v>38</v>
      </c>
      <c r="B2328" t="n">
        <v>202210611</v>
      </c>
      <c r="C2328" t="n">
        <v>202010611</v>
      </c>
      <c r="D2328" t="inlineStr">
        <is>
          <t>species</t>
        </is>
      </c>
      <c r="E2328" t="inlineStr">
        <is>
          <t>Sholavirus caenicola</t>
        </is>
      </c>
      <c r="F2328" t="inlineStr">
        <is>
          <t>BK014086</t>
        </is>
      </c>
      <c r="G2328" t="inlineStr">
        <is>
          <t>Abolished,</t>
        </is>
      </c>
      <c r="L2328" s="8">
        <f>HYPERLINK("https://test.ictv.global/id/TN202210611","TN202210611@TEST")</f>
        <v/>
      </c>
      <c r="M2328" s="8">
        <f>HYPERLINK("https://test.ictv.global/id/ICTV202010611","ICTV202010611@TEST")</f>
        <v/>
      </c>
      <c r="N2328" s="8">
        <f>HYPERLINK("https://ictv.global/id/TN202210611","TN202210611@prod")</f>
        <v/>
      </c>
      <c r="O2328" s="8">
        <f>HYPERLINK("https://ictv.global/id/ICTV202010611","ICTV202010611@prod")</f>
        <v/>
      </c>
    </row>
    <row r="2329">
      <c r="A2329" t="n">
        <v>38</v>
      </c>
      <c r="B2329" t="n">
        <v>202210612</v>
      </c>
      <c r="C2329" t="n">
        <v>202010612</v>
      </c>
      <c r="D2329" t="inlineStr">
        <is>
          <t>species</t>
        </is>
      </c>
      <c r="E2329" t="inlineStr">
        <is>
          <t>Sholavirus caenivicinum</t>
        </is>
      </c>
      <c r="F2329" t="inlineStr">
        <is>
          <t>BK013613</t>
        </is>
      </c>
      <c r="G2329" t="inlineStr">
        <is>
          <t>Abolished,</t>
        </is>
      </c>
      <c r="L2329" s="8">
        <f>HYPERLINK("https://test.ictv.global/id/TN202210612","TN202210612@TEST")</f>
        <v/>
      </c>
      <c r="M2329" s="8">
        <f>HYPERLINK("https://test.ictv.global/id/ICTV202010612","ICTV202010612@TEST")</f>
        <v/>
      </c>
      <c r="N2329" s="8">
        <f>HYPERLINK("https://ictv.global/id/TN202210612","TN202210612@prod")</f>
        <v/>
      </c>
      <c r="O2329" s="8">
        <f>HYPERLINK("https://ictv.global/id/ICTV202010612","ICTV202010612@prod")</f>
        <v/>
      </c>
    </row>
    <row r="2330">
      <c r="A2330" t="n">
        <v>38</v>
      </c>
      <c r="B2330" t="n">
        <v>202210616</v>
      </c>
      <c r="C2330" t="n">
        <v>202010616</v>
      </c>
      <c r="D2330" t="inlineStr">
        <is>
          <t>genus</t>
        </is>
      </c>
      <c r="E2330" t="inlineStr">
        <is>
          <t>Shuravirus</t>
        </is>
      </c>
      <c r="G2330" t="inlineStr">
        <is>
          <t>Abolished,</t>
        </is>
      </c>
      <c r="L2330" s="8">
        <f>HYPERLINK("https://test.ictv.global/id/TN202210616","TN202210616@TEST")</f>
        <v/>
      </c>
      <c r="M2330" s="8">
        <f>HYPERLINK("https://test.ictv.global/id/ICTV202010616","ICTV202010616@TEST")</f>
        <v/>
      </c>
      <c r="N2330" s="8">
        <f>HYPERLINK("https://ictv.global/id/TN202210616","TN202210616@prod")</f>
        <v/>
      </c>
      <c r="O2330" s="8">
        <f>HYPERLINK("https://ictv.global/id/ICTV202010616","ICTV202010616@prod")</f>
        <v/>
      </c>
    </row>
    <row r="2331">
      <c r="A2331" t="n">
        <v>38</v>
      </c>
      <c r="B2331" t="n">
        <v>202210627</v>
      </c>
      <c r="C2331" t="n">
        <v>202010627</v>
      </c>
      <c r="D2331" t="inlineStr">
        <is>
          <t>genus</t>
        </is>
      </c>
      <c r="E2331" t="inlineStr">
        <is>
          <t>Sphonivirus</t>
        </is>
      </c>
      <c r="G2331" t="inlineStr">
        <is>
          <t>Abolished,</t>
        </is>
      </c>
      <c r="L2331" s="8">
        <f>HYPERLINK("https://test.ictv.global/id/TN202210627","TN202210627@TEST")</f>
        <v/>
      </c>
      <c r="M2331" s="8">
        <f>HYPERLINK("https://test.ictv.global/id/ICTV202010627","ICTV202010627@TEST")</f>
        <v/>
      </c>
      <c r="N2331" s="8">
        <f>HYPERLINK("https://ictv.global/id/TN202210627","TN202210627@prod")</f>
        <v/>
      </c>
      <c r="O2331" s="8">
        <f>HYPERLINK("https://ictv.global/id/ICTV202010627","ICTV202010627@prod")</f>
        <v/>
      </c>
    </row>
    <row r="2332">
      <c r="A2332" t="n">
        <v>38</v>
      </c>
      <c r="B2332" t="n">
        <v>202210641</v>
      </c>
      <c r="C2332" t="n">
        <v>202010641</v>
      </c>
      <c r="D2332" t="inlineStr">
        <is>
          <t>genus</t>
        </is>
      </c>
      <c r="E2332" t="inlineStr">
        <is>
          <t>Tehdravirus</t>
        </is>
      </c>
      <c r="G2332" t="inlineStr">
        <is>
          <t>Abolished,</t>
        </is>
      </c>
      <c r="L2332" s="8">
        <f>HYPERLINK("https://test.ictv.global/id/TN202210641","TN202210641@TEST")</f>
        <v/>
      </c>
      <c r="M2332" s="8">
        <f>HYPERLINK("https://test.ictv.global/id/ICTV202010641","ICTV202010641@TEST")</f>
        <v/>
      </c>
      <c r="N2332" s="8">
        <f>HYPERLINK("https://ictv.global/id/TN202210641","TN202210641@prod")</f>
        <v/>
      </c>
      <c r="O2332" s="8">
        <f>HYPERLINK("https://ictv.global/id/ICTV202010641","ICTV202010641@prod")</f>
        <v/>
      </c>
    </row>
    <row r="2333">
      <c r="A2333" t="n">
        <v>38</v>
      </c>
      <c r="B2333" t="n">
        <v>202210645</v>
      </c>
      <c r="C2333" t="n">
        <v>202010645</v>
      </c>
      <c r="D2333" t="inlineStr">
        <is>
          <t>genus</t>
        </is>
      </c>
      <c r="E2333" t="inlineStr">
        <is>
          <t>Thidevirus</t>
        </is>
      </c>
      <c r="G2333" t="inlineStr">
        <is>
          <t>Abolished,</t>
        </is>
      </c>
      <c r="L2333" s="8">
        <f>HYPERLINK("https://test.ictv.global/id/TN202210645","TN202210645@TEST")</f>
        <v/>
      </c>
      <c r="M2333" s="8">
        <f>HYPERLINK("https://test.ictv.global/id/ICTV202010645","ICTV202010645@TEST")</f>
        <v/>
      </c>
      <c r="N2333" s="8">
        <f>HYPERLINK("https://ictv.global/id/TN202210645","TN202210645@prod")</f>
        <v/>
      </c>
      <c r="O2333" s="8">
        <f>HYPERLINK("https://ictv.global/id/ICTV202010645","ICTV202010645@prod")</f>
        <v/>
      </c>
    </row>
    <row r="2334">
      <c r="A2334" t="n">
        <v>38</v>
      </c>
      <c r="B2334" t="n">
        <v>202210646</v>
      </c>
      <c r="C2334" t="n">
        <v>202010646</v>
      </c>
      <c r="D2334" t="inlineStr">
        <is>
          <t>species</t>
        </is>
      </c>
      <c r="E2334" t="inlineStr">
        <is>
          <t>Thidevirus edaphovivens</t>
        </is>
      </c>
      <c r="F2334" t="inlineStr">
        <is>
          <t>BK013958</t>
        </is>
      </c>
      <c r="G2334" t="inlineStr">
        <is>
          <t>Abolished,</t>
        </is>
      </c>
      <c r="L2334" s="8">
        <f>HYPERLINK("https://test.ictv.global/id/TN202210646","TN202210646@TEST")</f>
        <v/>
      </c>
      <c r="M2334" s="8">
        <f>HYPERLINK("https://test.ictv.global/id/ICTV202010646","ICTV202010646@TEST")</f>
        <v/>
      </c>
      <c r="N2334" s="8">
        <f>HYPERLINK("https://ictv.global/id/TN202210646","TN202210646@prod")</f>
        <v/>
      </c>
      <c r="O2334" s="8">
        <f>HYPERLINK("https://ictv.global/id/ICTV202010646","ICTV202010646@prod")</f>
        <v/>
      </c>
    </row>
    <row r="2335">
      <c r="A2335" t="n">
        <v>38</v>
      </c>
      <c r="B2335" t="n">
        <v>202210663</v>
      </c>
      <c r="C2335" t="n">
        <v>202010663</v>
      </c>
      <c r="D2335" t="inlineStr">
        <is>
          <t>genus</t>
        </is>
      </c>
      <c r="E2335" t="inlineStr">
        <is>
          <t>Vinehtivirus</t>
        </is>
      </c>
      <c r="G2335" t="inlineStr">
        <is>
          <t>Abolished,</t>
        </is>
      </c>
      <c r="L2335" s="8">
        <f>HYPERLINK("https://test.ictv.global/id/TN202210663","TN202210663@TEST")</f>
        <v/>
      </c>
      <c r="M2335" s="8">
        <f>HYPERLINK("https://test.ictv.global/id/ICTV202010663","ICTV202010663@TEST")</f>
        <v/>
      </c>
      <c r="N2335" s="8">
        <f>HYPERLINK("https://ictv.global/id/TN202210663","TN202210663@prod")</f>
        <v/>
      </c>
      <c r="O2335" s="8">
        <f>HYPERLINK("https://ictv.global/id/ICTV202010663","ICTV202010663@prod")</f>
        <v/>
      </c>
    </row>
    <row r="2336">
      <c r="A2336" t="n">
        <v>38</v>
      </c>
      <c r="B2336" t="n">
        <v>202210673</v>
      </c>
      <c r="C2336" t="n">
        <v>202010673</v>
      </c>
      <c r="D2336" t="inlineStr">
        <is>
          <t>genus</t>
        </is>
      </c>
      <c r="E2336" t="inlineStr">
        <is>
          <t>Wahtavirus</t>
        </is>
      </c>
      <c r="G2336" t="inlineStr">
        <is>
          <t>Abolished,</t>
        </is>
      </c>
      <c r="L2336" s="8">
        <f>HYPERLINK("https://test.ictv.global/id/TN202210673","TN202210673@TEST")</f>
        <v/>
      </c>
      <c r="M2336" s="8">
        <f>HYPERLINK("https://test.ictv.global/id/ICTV202010673","ICTV202010673@TEST")</f>
        <v/>
      </c>
      <c r="N2336" s="8">
        <f>HYPERLINK("https://ictv.global/id/TN202210673","TN202210673@prod")</f>
        <v/>
      </c>
      <c r="O2336" s="8">
        <f>HYPERLINK("https://ictv.global/id/ICTV202010673","ICTV202010673@prod")</f>
        <v/>
      </c>
    </row>
    <row r="2337">
      <c r="A2337" t="n">
        <v>38</v>
      </c>
      <c r="B2337" t="n">
        <v>202210747</v>
      </c>
      <c r="C2337" t="n">
        <v>202010747</v>
      </c>
      <c r="D2337" t="inlineStr">
        <is>
          <t>genus</t>
        </is>
      </c>
      <c r="E2337" t="inlineStr">
        <is>
          <t>Ipivevirus</t>
        </is>
      </c>
      <c r="G2337" t="inlineStr">
        <is>
          <t>Abolished,</t>
        </is>
      </c>
      <c r="L2337" s="8">
        <f>HYPERLINK("https://test.ictv.global/id/TN202210747","TN202210747@TEST")</f>
        <v/>
      </c>
      <c r="M2337" s="8">
        <f>HYPERLINK("https://test.ictv.global/id/ICTV202010747","ICTV202010747@TEST")</f>
        <v/>
      </c>
      <c r="N2337" s="8">
        <f>HYPERLINK("https://ictv.global/id/TN202210747","TN202210747@prod")</f>
        <v/>
      </c>
      <c r="O2337" s="8">
        <f>HYPERLINK("https://ictv.global/id/ICTV202010747","ICTV202010747@prod")</f>
        <v/>
      </c>
    </row>
    <row r="2338">
      <c r="A2338" t="n">
        <v>38</v>
      </c>
      <c r="B2338" t="n">
        <v>202210763</v>
      </c>
      <c r="C2338" t="n">
        <v>202010763</v>
      </c>
      <c r="D2338" t="inlineStr">
        <is>
          <t>genus</t>
        </is>
      </c>
      <c r="E2338" t="inlineStr">
        <is>
          <t>Lehptevirus</t>
        </is>
      </c>
      <c r="G2338" t="inlineStr">
        <is>
          <t>Abolished,</t>
        </is>
      </c>
      <c r="L2338" s="8">
        <f>HYPERLINK("https://test.ictv.global/id/TN202210763","TN202210763@TEST")</f>
        <v/>
      </c>
      <c r="M2338" s="8">
        <f>HYPERLINK("https://test.ictv.global/id/ICTV202010763","ICTV202010763@TEST")</f>
        <v/>
      </c>
      <c r="N2338" s="8">
        <f>HYPERLINK("https://ictv.global/id/TN202210763","TN202210763@prod")</f>
        <v/>
      </c>
      <c r="O2338" s="8">
        <f>HYPERLINK("https://ictv.global/id/ICTV202010763","ICTV202010763@prod")</f>
        <v/>
      </c>
    </row>
    <row r="2339">
      <c r="A2339" t="n">
        <v>38</v>
      </c>
      <c r="B2339" t="n">
        <v>202210783</v>
      </c>
      <c r="C2339" t="n">
        <v>202010783</v>
      </c>
      <c r="D2339" t="inlineStr">
        <is>
          <t>genus</t>
        </is>
      </c>
      <c r="E2339" t="inlineStr">
        <is>
          <t>Nehujevirus</t>
        </is>
      </c>
      <c r="G2339" t="inlineStr">
        <is>
          <t>Abolished,</t>
        </is>
      </c>
      <c r="L2339" s="8">
        <f>HYPERLINK("https://test.ictv.global/id/TN202210783","TN202210783@TEST")</f>
        <v/>
      </c>
      <c r="M2339" s="8">
        <f>HYPERLINK("https://test.ictv.global/id/ICTV202010783","ICTV202010783@TEST")</f>
        <v/>
      </c>
      <c r="N2339" s="8">
        <f>HYPERLINK("https://ictv.global/id/TN202210783","TN202210783@prod")</f>
        <v/>
      </c>
      <c r="O2339" s="8">
        <f>HYPERLINK("https://ictv.global/id/ICTV202010783","ICTV202010783@prod")</f>
        <v/>
      </c>
    </row>
    <row r="2340">
      <c r="A2340" t="n">
        <v>38</v>
      </c>
      <c r="B2340" t="n">
        <v>202210800</v>
      </c>
      <c r="C2340" t="n">
        <v>202010800</v>
      </c>
      <c r="D2340" t="inlineStr">
        <is>
          <t>genus</t>
        </is>
      </c>
      <c r="E2340" t="inlineStr">
        <is>
          <t>Qeihnovirus</t>
        </is>
      </c>
      <c r="G2340" t="inlineStr">
        <is>
          <t>Abolished,</t>
        </is>
      </c>
      <c r="L2340" s="8">
        <f>HYPERLINK("https://test.ictv.global/id/TN202210800","TN202210800@TEST")</f>
        <v/>
      </c>
      <c r="M2340" s="8">
        <f>HYPERLINK("https://test.ictv.global/id/ICTV202010800","ICTV202010800@TEST")</f>
        <v/>
      </c>
      <c r="N2340" s="8">
        <f>HYPERLINK("https://ictv.global/id/TN202210800","TN202210800@prod")</f>
        <v/>
      </c>
      <c r="O2340" s="8">
        <f>HYPERLINK("https://ictv.global/id/ICTV202010800","ICTV202010800@prod")</f>
        <v/>
      </c>
    </row>
    <row r="2341">
      <c r="A2341" t="n">
        <v>38</v>
      </c>
      <c r="B2341" t="n">
        <v>202210807</v>
      </c>
      <c r="C2341" t="n">
        <v>202010807</v>
      </c>
      <c r="D2341" t="inlineStr">
        <is>
          <t>genus</t>
        </is>
      </c>
      <c r="E2341" t="inlineStr">
        <is>
          <t>Rainacovirus</t>
        </is>
      </c>
      <c r="G2341" t="inlineStr">
        <is>
          <t>Abolished,</t>
        </is>
      </c>
      <c r="L2341" s="8">
        <f>HYPERLINK("https://test.ictv.global/id/TN202210807","TN202210807@TEST")</f>
        <v/>
      </c>
      <c r="M2341" s="8">
        <f>HYPERLINK("https://test.ictv.global/id/ICTV202010807","ICTV202010807@TEST")</f>
        <v/>
      </c>
      <c r="N2341" s="8">
        <f>HYPERLINK("https://ictv.global/id/TN202210807","TN202210807@prod")</f>
        <v/>
      </c>
      <c r="O2341" s="8">
        <f>HYPERLINK("https://ictv.global/id/ICTV202010807","ICTV202010807@prod")</f>
        <v/>
      </c>
    </row>
    <row r="2342">
      <c r="A2342" t="n">
        <v>38</v>
      </c>
      <c r="B2342" t="n">
        <v>202210818</v>
      </c>
      <c r="C2342" t="n">
        <v>202010818</v>
      </c>
      <c r="D2342" t="inlineStr">
        <is>
          <t>genus</t>
        </is>
      </c>
      <c r="E2342" t="inlineStr">
        <is>
          <t>Sdonativirus</t>
        </is>
      </c>
      <c r="G2342" t="inlineStr">
        <is>
          <t>Abolished,</t>
        </is>
      </c>
      <c r="L2342" s="8">
        <f>HYPERLINK("https://test.ictv.global/id/TN202210818","TN202210818@TEST")</f>
        <v/>
      </c>
      <c r="M2342" s="8">
        <f>HYPERLINK("https://test.ictv.global/id/ICTV202010818","ICTV202010818@TEST")</f>
        <v/>
      </c>
      <c r="N2342" s="8">
        <f>HYPERLINK("https://ictv.global/id/TN202210818","TN202210818@prod")</f>
        <v/>
      </c>
      <c r="O2342" s="8">
        <f>HYPERLINK("https://ictv.global/id/ICTV202010818","ICTV202010818@prod")</f>
        <v/>
      </c>
    </row>
    <row r="2343">
      <c r="A2343" t="n">
        <v>38</v>
      </c>
      <c r="B2343" t="n">
        <v>202210822</v>
      </c>
      <c r="C2343" t="n">
        <v>202010822</v>
      </c>
      <c r="D2343" t="inlineStr">
        <is>
          <t>genus</t>
        </is>
      </c>
      <c r="E2343" t="inlineStr">
        <is>
          <t>Shopitevirus</t>
        </is>
      </c>
      <c r="G2343" t="inlineStr">
        <is>
          <t>Abolished,</t>
        </is>
      </c>
      <c r="L2343" s="8">
        <f>HYPERLINK("https://test.ictv.global/id/TN202210822","TN202210822@TEST")</f>
        <v/>
      </c>
      <c r="M2343" s="8">
        <f>HYPERLINK("https://test.ictv.global/id/ICTV202010822","ICTV202010822@TEST")</f>
        <v/>
      </c>
      <c r="N2343" s="8">
        <f>HYPERLINK("https://ictv.global/id/TN202210822","TN202210822@prod")</f>
        <v/>
      </c>
      <c r="O2343" s="8">
        <f>HYPERLINK("https://ictv.global/id/ICTV202010822","ICTV202010822@prod")</f>
        <v/>
      </c>
    </row>
    <row r="2344">
      <c r="A2344" t="n">
        <v>38</v>
      </c>
      <c r="B2344" t="n">
        <v>202210827</v>
      </c>
      <c r="C2344" t="n">
        <v>202010827</v>
      </c>
      <c r="D2344" t="inlineStr">
        <is>
          <t>genus</t>
        </is>
      </c>
      <c r="E2344" t="inlineStr">
        <is>
          <t>Tsecebavirus</t>
        </is>
      </c>
      <c r="G2344" t="inlineStr">
        <is>
          <t>Abolished,</t>
        </is>
      </c>
      <c r="L2344" s="8">
        <f>HYPERLINK("https://test.ictv.global/id/TN202210827","TN202210827@TEST")</f>
        <v/>
      </c>
      <c r="M2344" s="8">
        <f>HYPERLINK("https://test.ictv.global/id/ICTV202010827","ICTV202010827@TEST")</f>
        <v/>
      </c>
      <c r="N2344" s="8">
        <f>HYPERLINK("https://ictv.global/id/TN202210827","TN202210827@prod")</f>
        <v/>
      </c>
      <c r="O2344" s="8">
        <f>HYPERLINK("https://ictv.global/id/ICTV202010827","ICTV202010827@prod")</f>
        <v/>
      </c>
    </row>
    <row r="2345">
      <c r="A2345" t="n">
        <v>38</v>
      </c>
      <c r="B2345" t="n">
        <v>202210856</v>
      </c>
      <c r="C2345" t="n">
        <v>202010856</v>
      </c>
      <c r="D2345" t="inlineStr">
        <is>
          <t>genus</t>
        </is>
      </c>
      <c r="E2345" t="inlineStr">
        <is>
          <t>Alohrdovirus</t>
        </is>
      </c>
      <c r="G2345" t="inlineStr">
        <is>
          <t>Abolished,</t>
        </is>
      </c>
      <c r="L2345" s="8">
        <f>HYPERLINK("https://test.ictv.global/id/TN202210856","TN202210856@TEST")</f>
        <v/>
      </c>
      <c r="M2345" s="8">
        <f>HYPERLINK("https://test.ictv.global/id/ICTV202010856","ICTV202010856@TEST")</f>
        <v/>
      </c>
      <c r="N2345" s="8">
        <f>HYPERLINK("https://ictv.global/id/TN202210856","TN202210856@prod")</f>
        <v/>
      </c>
      <c r="O2345" s="8">
        <f>HYPERLINK("https://ictv.global/id/ICTV202010856","ICTV202010856@prod")</f>
        <v/>
      </c>
    </row>
    <row r="2346">
      <c r="A2346" t="n">
        <v>38</v>
      </c>
      <c r="B2346" t="n">
        <v>202210875</v>
      </c>
      <c r="C2346" t="n">
        <v>202010875</v>
      </c>
      <c r="D2346" t="inlineStr">
        <is>
          <t>genus</t>
        </is>
      </c>
      <c r="E2346" t="inlineStr">
        <is>
          <t>Intasivirus</t>
        </is>
      </c>
      <c r="G2346" t="inlineStr">
        <is>
          <t>Abolished,</t>
        </is>
      </c>
      <c r="L2346" s="8">
        <f>HYPERLINK("https://test.ictv.global/id/TN202210875","TN202210875@TEST")</f>
        <v/>
      </c>
      <c r="M2346" s="8">
        <f>HYPERLINK("https://test.ictv.global/id/ICTV202010875","ICTV202010875@TEST")</f>
        <v/>
      </c>
      <c r="N2346" s="8">
        <f>HYPERLINK("https://ictv.global/id/TN202210875","TN202210875@prod")</f>
        <v/>
      </c>
      <c r="O2346" s="8">
        <f>HYPERLINK("https://ictv.global/id/ICTV202010875","ICTV202010875@prod")</f>
        <v/>
      </c>
    </row>
    <row r="2347">
      <c r="A2347" t="n">
        <v>38</v>
      </c>
      <c r="B2347" t="n">
        <v>202210888</v>
      </c>
      <c r="C2347" t="n">
        <v>202010888</v>
      </c>
      <c r="D2347" t="inlineStr">
        <is>
          <t>genus</t>
        </is>
      </c>
      <c r="E2347" t="inlineStr">
        <is>
          <t>Odiravirus</t>
        </is>
      </c>
      <c r="G2347" t="inlineStr">
        <is>
          <t>Abolished,</t>
        </is>
      </c>
      <c r="L2347" s="8">
        <f>HYPERLINK("https://test.ictv.global/id/TN202210888","TN202210888@TEST")</f>
        <v/>
      </c>
      <c r="M2347" s="8">
        <f>HYPERLINK("https://test.ictv.global/id/ICTV202010888","ICTV202010888@TEST")</f>
        <v/>
      </c>
      <c r="N2347" s="8">
        <f>HYPERLINK("https://ictv.global/id/TN202210888","TN202210888@prod")</f>
        <v/>
      </c>
      <c r="O2347" s="8">
        <f>HYPERLINK("https://ictv.global/id/ICTV202010888","ICTV202010888@prod")</f>
        <v/>
      </c>
    </row>
    <row r="2348">
      <c r="A2348" t="n">
        <v>38</v>
      </c>
      <c r="B2348" t="n">
        <v>202210889</v>
      </c>
      <c r="C2348" t="n">
        <v>202010889</v>
      </c>
      <c r="D2348" t="inlineStr">
        <is>
          <t>species</t>
        </is>
      </c>
      <c r="E2348" t="inlineStr">
        <is>
          <t>Odiravirus lutihabitans</t>
        </is>
      </c>
      <c r="F2348" t="inlineStr">
        <is>
          <t>BK014055</t>
        </is>
      </c>
      <c r="G2348" t="inlineStr">
        <is>
          <t>Abolished,</t>
        </is>
      </c>
      <c r="L2348" s="8">
        <f>HYPERLINK("https://test.ictv.global/id/TN202210889","TN202210889@TEST")</f>
        <v/>
      </c>
      <c r="M2348" s="8">
        <f>HYPERLINK("https://test.ictv.global/id/ICTV202010889","ICTV202010889@TEST")</f>
        <v/>
      </c>
      <c r="N2348" s="8">
        <f>HYPERLINK("https://ictv.global/id/TN202210889","TN202210889@prod")</f>
        <v/>
      </c>
      <c r="O2348" s="8">
        <f>HYPERLINK("https://ictv.global/id/ICTV202010889","ICTV202010889@prod")</f>
        <v/>
      </c>
    </row>
    <row r="2349">
      <c r="A2349" t="n">
        <v>38</v>
      </c>
      <c r="B2349" t="n">
        <v>202210890</v>
      </c>
      <c r="C2349" t="n">
        <v>202010890</v>
      </c>
      <c r="D2349" t="inlineStr">
        <is>
          <t>genus</t>
        </is>
      </c>
      <c r="E2349" t="inlineStr">
        <is>
          <t>Oekfovirus</t>
        </is>
      </c>
      <c r="G2349" t="inlineStr">
        <is>
          <t>Abolished,</t>
        </is>
      </c>
      <c r="L2349" s="8">
        <f>HYPERLINK("https://test.ictv.global/id/TN202210890","TN202210890@TEST")</f>
        <v/>
      </c>
      <c r="M2349" s="8">
        <f>HYPERLINK("https://test.ictv.global/id/ICTV202010890","ICTV202010890@TEST")</f>
        <v/>
      </c>
      <c r="N2349" s="8">
        <f>HYPERLINK("https://ictv.global/id/TN202210890","TN202210890@prod")</f>
        <v/>
      </c>
      <c r="O2349" s="8">
        <f>HYPERLINK("https://ictv.global/id/ICTV202010890","ICTV202010890@prod")</f>
        <v/>
      </c>
    </row>
    <row r="2350">
      <c r="A2350" t="n">
        <v>38</v>
      </c>
      <c r="B2350" t="n">
        <v>202210891</v>
      </c>
      <c r="C2350" t="n">
        <v>202010891</v>
      </c>
      <c r="D2350" t="inlineStr">
        <is>
          <t>species</t>
        </is>
      </c>
      <c r="E2350" t="inlineStr">
        <is>
          <t>Oekfovirus lutivicinum</t>
        </is>
      </c>
      <c r="F2350" t="inlineStr">
        <is>
          <t>BK013663</t>
        </is>
      </c>
      <c r="G2350" t="inlineStr">
        <is>
          <t>Abolished,</t>
        </is>
      </c>
      <c r="L2350" s="8">
        <f>HYPERLINK("https://test.ictv.global/id/TN202210891","TN202210891@TEST")</f>
        <v/>
      </c>
      <c r="M2350" s="8">
        <f>HYPERLINK("https://test.ictv.global/id/ICTV202010891","ICTV202010891@TEST")</f>
        <v/>
      </c>
      <c r="N2350" s="8">
        <f>HYPERLINK("https://ictv.global/id/TN202210891","TN202210891@prod")</f>
        <v/>
      </c>
      <c r="O2350" s="8">
        <f>HYPERLINK("https://ictv.global/id/ICTV202010891","ICTV202010891@prod")</f>
        <v/>
      </c>
    </row>
    <row r="2351">
      <c r="A2351" t="n">
        <v>38</v>
      </c>
      <c r="B2351" t="n">
        <v>202210896</v>
      </c>
      <c r="C2351" t="n">
        <v>202010896</v>
      </c>
      <c r="D2351" t="inlineStr">
        <is>
          <t>species</t>
        </is>
      </c>
      <c r="E2351" t="inlineStr">
        <is>
          <t>Puirovirus lutenecus</t>
        </is>
      </c>
      <c r="F2351" t="inlineStr">
        <is>
          <t>BK013579</t>
        </is>
      </c>
      <c r="G2351" t="inlineStr">
        <is>
          <t>Abolished,</t>
        </is>
      </c>
      <c r="L2351" s="8">
        <f>HYPERLINK("https://test.ictv.global/id/TN202210896","TN202210896@TEST")</f>
        <v/>
      </c>
      <c r="M2351" s="8">
        <f>HYPERLINK("https://test.ictv.global/id/ICTV202010896","ICTV202010896@TEST")</f>
        <v/>
      </c>
      <c r="N2351" s="8">
        <f>HYPERLINK("https://ictv.global/id/TN202210896","TN202210896@prod")</f>
        <v/>
      </c>
      <c r="O2351" s="8">
        <f>HYPERLINK("https://ictv.global/id/ICTV202010896","ICTV202010896@prod")</f>
        <v/>
      </c>
    </row>
    <row r="2352">
      <c r="A2352" t="n">
        <v>38</v>
      </c>
      <c r="B2352" t="n">
        <v>202210909</v>
      </c>
      <c r="C2352" t="n">
        <v>202010909</v>
      </c>
      <c r="D2352" t="inlineStr">
        <is>
          <t>genus</t>
        </is>
      </c>
      <c r="E2352" t="inlineStr">
        <is>
          <t>Wishivirus</t>
        </is>
      </c>
      <c r="G2352" t="inlineStr">
        <is>
          <t>Abolished,</t>
        </is>
      </c>
      <c r="L2352" s="8">
        <f>HYPERLINK("https://test.ictv.global/id/TN202210909","TN202210909@TEST")</f>
        <v/>
      </c>
      <c r="M2352" s="8">
        <f>HYPERLINK("https://test.ictv.global/id/ICTV202010909","ICTV202010909@TEST")</f>
        <v/>
      </c>
      <c r="N2352" s="8">
        <f>HYPERLINK("https://ictv.global/id/TN202210909","TN202210909@prod")</f>
        <v/>
      </c>
      <c r="O2352" s="8">
        <f>HYPERLINK("https://ictv.global/id/ICTV202010909","ICTV202010909@prod")</f>
        <v/>
      </c>
    </row>
    <row r="2353">
      <c r="A2353" t="n">
        <v>38</v>
      </c>
      <c r="B2353" t="n">
        <v>202210910</v>
      </c>
      <c r="C2353" t="n">
        <v>202010910</v>
      </c>
      <c r="D2353" t="inlineStr">
        <is>
          <t>species</t>
        </is>
      </c>
      <c r="E2353" t="inlineStr">
        <is>
          <t>Wishivirus defluviicola</t>
        </is>
      </c>
      <c r="F2353" t="inlineStr">
        <is>
          <t>BK013372</t>
        </is>
      </c>
      <c r="G2353" t="inlineStr">
        <is>
          <t>Abolished,</t>
        </is>
      </c>
      <c r="L2353" s="8">
        <f>HYPERLINK("https://test.ictv.global/id/TN202210910","TN202210910@TEST")</f>
        <v/>
      </c>
      <c r="M2353" s="8">
        <f>HYPERLINK("https://test.ictv.global/id/ICTV202010910","ICTV202010910@TEST")</f>
        <v/>
      </c>
      <c r="N2353" s="8">
        <f>HYPERLINK("https://ictv.global/id/TN202210910","TN202210910@prod")</f>
        <v/>
      </c>
      <c r="O2353" s="8">
        <f>HYPERLINK("https://ictv.global/id/ICTV202010910","ICTV202010910@prod")</f>
        <v/>
      </c>
    </row>
    <row r="2354">
      <c r="A2354" t="n">
        <v>38</v>
      </c>
      <c r="B2354" t="n">
        <v>202210917</v>
      </c>
      <c r="C2354" t="n">
        <v>202010917</v>
      </c>
      <c r="D2354" t="inlineStr">
        <is>
          <t>genus</t>
        </is>
      </c>
      <c r="E2354" t="inlineStr">
        <is>
          <t>Cehntrovirus</t>
        </is>
      </c>
      <c r="G2354" t="inlineStr">
        <is>
          <t>Abolished,</t>
        </is>
      </c>
      <c r="L2354" s="8">
        <f>HYPERLINK("https://test.ictv.global/id/TN202210917","TN202210917@TEST")</f>
        <v/>
      </c>
      <c r="M2354" s="8">
        <f>HYPERLINK("https://test.ictv.global/id/ICTV202010917","ICTV202010917@TEST")</f>
        <v/>
      </c>
      <c r="N2354" s="8">
        <f>HYPERLINK("https://ictv.global/id/TN202210917","TN202210917@prod")</f>
        <v/>
      </c>
      <c r="O2354" s="8">
        <f>HYPERLINK("https://ictv.global/id/ICTV202010917","ICTV202010917@prod")</f>
        <v/>
      </c>
    </row>
    <row r="2355">
      <c r="A2355" t="n">
        <v>38</v>
      </c>
      <c r="B2355" t="n">
        <v>202210918</v>
      </c>
      <c r="C2355" t="n">
        <v>202010918</v>
      </c>
      <c r="D2355" t="inlineStr">
        <is>
          <t>species</t>
        </is>
      </c>
      <c r="E2355" t="inlineStr">
        <is>
          <t>Cehntrovirus agrihabitans</t>
        </is>
      </c>
      <c r="F2355" t="inlineStr">
        <is>
          <t>BK013422</t>
        </is>
      </c>
      <c r="G2355" t="inlineStr">
        <is>
          <t>Abolished,</t>
        </is>
      </c>
      <c r="L2355" s="8">
        <f>HYPERLINK("https://test.ictv.global/id/TN202210918","TN202210918@TEST")</f>
        <v/>
      </c>
      <c r="M2355" s="8">
        <f>HYPERLINK("https://test.ictv.global/id/ICTV202010918","ICTV202010918@TEST")</f>
        <v/>
      </c>
      <c r="N2355" s="8">
        <f>HYPERLINK("https://ictv.global/id/TN202210918","TN202210918@prod")</f>
        <v/>
      </c>
      <c r="O2355" s="8">
        <f>HYPERLINK("https://ictv.global/id/ICTV202010918","ICTV202010918@prod")</f>
        <v/>
      </c>
    </row>
    <row r="2356">
      <c r="A2356" t="n">
        <v>38</v>
      </c>
      <c r="B2356" t="n">
        <v>202210947</v>
      </c>
      <c r="C2356" t="n">
        <v>202010947</v>
      </c>
      <c r="D2356" t="inlineStr">
        <is>
          <t>genus</t>
        </is>
      </c>
      <c r="E2356" t="inlineStr">
        <is>
          <t>Lonzbavirus</t>
        </is>
      </c>
      <c r="G2356" t="inlineStr">
        <is>
          <t>Abolished,</t>
        </is>
      </c>
      <c r="L2356" s="8">
        <f>HYPERLINK("https://test.ictv.global/id/TN202210947","TN202210947@TEST")</f>
        <v/>
      </c>
      <c r="M2356" s="8">
        <f>HYPERLINK("https://test.ictv.global/id/ICTV202010947","ICTV202010947@TEST")</f>
        <v/>
      </c>
      <c r="N2356" s="8">
        <f>HYPERLINK("https://ictv.global/id/TN202210947","TN202210947@prod")</f>
        <v/>
      </c>
      <c r="O2356" s="8">
        <f>HYPERLINK("https://ictv.global/id/ICTV202010947","ICTV202010947@prod")</f>
        <v/>
      </c>
    </row>
    <row r="2357">
      <c r="A2357" t="n">
        <v>38</v>
      </c>
      <c r="B2357" t="n">
        <v>202210948</v>
      </c>
      <c r="C2357" t="n">
        <v>202010948</v>
      </c>
      <c r="D2357" t="inlineStr">
        <is>
          <t>species</t>
        </is>
      </c>
      <c r="E2357" t="inlineStr">
        <is>
          <t>Lonzbavirus caenadaptatum</t>
        </is>
      </c>
      <c r="F2357" t="inlineStr">
        <is>
          <t>BK013703</t>
        </is>
      </c>
      <c r="G2357" t="inlineStr">
        <is>
          <t>Abolished,</t>
        </is>
      </c>
      <c r="L2357" s="8">
        <f>HYPERLINK("https://test.ictv.global/id/TN202210948","TN202210948@TEST")</f>
        <v/>
      </c>
      <c r="M2357" s="8">
        <f>HYPERLINK("https://test.ictv.global/id/ICTV202010948","ICTV202010948@TEST")</f>
        <v/>
      </c>
      <c r="N2357" s="8">
        <f>HYPERLINK("https://ictv.global/id/TN202210948","TN202210948@prod")</f>
        <v/>
      </c>
      <c r="O2357" s="8">
        <f>HYPERLINK("https://ictv.global/id/ICTV202010948","ICTV202010948@prod")</f>
        <v/>
      </c>
    </row>
    <row r="2358">
      <c r="A2358" t="n">
        <v>38</v>
      </c>
      <c r="B2358" t="n">
        <v>202210951</v>
      </c>
      <c r="C2358" t="n">
        <v>202010951</v>
      </c>
      <c r="D2358" t="inlineStr">
        <is>
          <t>genus</t>
        </is>
      </c>
      <c r="E2358" t="inlineStr">
        <is>
          <t>Nehohpavirus</t>
        </is>
      </c>
      <c r="G2358" t="inlineStr">
        <is>
          <t>Abolished,</t>
        </is>
      </c>
      <c r="L2358" s="8">
        <f>HYPERLINK("https://test.ictv.global/id/TN202210951","TN202210951@TEST")</f>
        <v/>
      </c>
      <c r="M2358" s="8">
        <f>HYPERLINK("https://test.ictv.global/id/ICTV202010951","ICTV202010951@TEST")</f>
        <v/>
      </c>
      <c r="N2358" s="8">
        <f>HYPERLINK("https://ictv.global/id/TN202210951","TN202210951@prod")</f>
        <v/>
      </c>
      <c r="O2358" s="8">
        <f>HYPERLINK("https://ictv.global/id/ICTV202010951","ICTV202010951@prod")</f>
        <v/>
      </c>
    </row>
    <row r="2359">
      <c r="A2359" t="n">
        <v>38</v>
      </c>
      <c r="B2359" t="n">
        <v>202210952</v>
      </c>
      <c r="C2359" t="n">
        <v>202010952</v>
      </c>
      <c r="D2359" t="inlineStr">
        <is>
          <t>species</t>
        </is>
      </c>
      <c r="E2359" t="inlineStr">
        <is>
          <t>Nehohpavirus tellurenecus</t>
        </is>
      </c>
      <c r="F2359" t="inlineStr">
        <is>
          <t>BK013876</t>
        </is>
      </c>
      <c r="G2359" t="inlineStr">
        <is>
          <t>Abolished,</t>
        </is>
      </c>
      <c r="L2359" s="8">
        <f>HYPERLINK("https://test.ictv.global/id/TN202210952","TN202210952@TEST")</f>
        <v/>
      </c>
      <c r="M2359" s="8">
        <f>HYPERLINK("https://test.ictv.global/id/ICTV202010952","ICTV202010952@TEST")</f>
        <v/>
      </c>
      <c r="N2359" s="8">
        <f>HYPERLINK("https://ictv.global/id/TN202210952","TN202210952@prod")</f>
        <v/>
      </c>
      <c r="O2359" s="8">
        <f>HYPERLINK("https://ictv.global/id/ICTV202010952","ICTV202010952@prod")</f>
        <v/>
      </c>
    </row>
    <row r="2360">
      <c r="A2360" t="n">
        <v>38</v>
      </c>
      <c r="B2360" t="n">
        <v>202210955</v>
      </c>
      <c r="C2360" t="n">
        <v>202010955</v>
      </c>
      <c r="D2360" t="inlineStr">
        <is>
          <t>genus</t>
        </is>
      </c>
      <c r="E2360" t="inlineStr">
        <is>
          <t>Obhoarovirus</t>
        </is>
      </c>
      <c r="G2360" t="inlineStr">
        <is>
          <t>Abolished,</t>
        </is>
      </c>
      <c r="L2360" s="8">
        <f>HYPERLINK("https://test.ictv.global/id/TN202210955","TN202210955@TEST")</f>
        <v/>
      </c>
      <c r="M2360" s="8">
        <f>HYPERLINK("https://test.ictv.global/id/ICTV202010955","ICTV202010955@TEST")</f>
        <v/>
      </c>
      <c r="N2360" s="8">
        <f>HYPERLINK("https://ictv.global/id/TN202210955","TN202210955@prod")</f>
        <v/>
      </c>
      <c r="O2360" s="8">
        <f>HYPERLINK("https://ictv.global/id/ICTV202010955","ICTV202010955@prod")</f>
        <v/>
      </c>
    </row>
    <row r="2361">
      <c r="A2361" t="n">
        <v>38</v>
      </c>
      <c r="B2361" t="n">
        <v>202210956</v>
      </c>
      <c r="C2361" t="n">
        <v>202010956</v>
      </c>
      <c r="D2361" t="inlineStr">
        <is>
          <t>species</t>
        </is>
      </c>
      <c r="E2361" t="inlineStr">
        <is>
          <t>Obhoarovirus terradaptatum</t>
        </is>
      </c>
      <c r="F2361" t="inlineStr">
        <is>
          <t>BK013428</t>
        </is>
      </c>
      <c r="G2361" t="inlineStr">
        <is>
          <t>Abolished,</t>
        </is>
      </c>
      <c r="L2361" s="8">
        <f>HYPERLINK("https://test.ictv.global/id/TN202210956","TN202210956@TEST")</f>
        <v/>
      </c>
      <c r="M2361" s="8">
        <f>HYPERLINK("https://test.ictv.global/id/ICTV202010956","ICTV202010956@TEST")</f>
        <v/>
      </c>
      <c r="N2361" s="8">
        <f>HYPERLINK("https://ictv.global/id/TN202210956","TN202210956@prod")</f>
        <v/>
      </c>
      <c r="O2361" s="8">
        <f>HYPERLINK("https://ictv.global/id/ICTV202010956","ICTV202010956@prod")</f>
        <v/>
      </c>
    </row>
    <row r="2362">
      <c r="A2362" t="n">
        <v>38</v>
      </c>
      <c r="B2362" t="n">
        <v>202210963</v>
      </c>
      <c r="C2362" t="n">
        <v>202010963</v>
      </c>
      <c r="D2362" t="inlineStr">
        <is>
          <t>genus</t>
        </is>
      </c>
      <c r="E2362" t="inlineStr">
        <is>
          <t>Rhohmbavirus</t>
        </is>
      </c>
      <c r="G2362" t="inlineStr">
        <is>
          <t>Abolished,</t>
        </is>
      </c>
      <c r="L2362" s="8">
        <f>HYPERLINK("https://test.ictv.global/id/TN202210963","TN202210963@TEST")</f>
        <v/>
      </c>
      <c r="M2362" s="8">
        <f>HYPERLINK("https://test.ictv.global/id/ICTV202010963","ICTV202010963@TEST")</f>
        <v/>
      </c>
      <c r="N2362" s="8">
        <f>HYPERLINK("https://ictv.global/id/TN202210963","TN202210963@prod")</f>
        <v/>
      </c>
      <c r="O2362" s="8">
        <f>HYPERLINK("https://ictv.global/id/ICTV202010963","ICTV202010963@prod")</f>
        <v/>
      </c>
    </row>
    <row r="2363">
      <c r="A2363" t="n">
        <v>38</v>
      </c>
      <c r="B2363" t="n">
        <v>202210964</v>
      </c>
      <c r="C2363" t="n">
        <v>202010964</v>
      </c>
      <c r="D2363" t="inlineStr">
        <is>
          <t>species</t>
        </is>
      </c>
      <c r="E2363" t="inlineStr">
        <is>
          <t>Rhohmbavirus terrivicinum</t>
        </is>
      </c>
      <c r="F2363" t="inlineStr">
        <is>
          <t>BK013518</t>
        </is>
      </c>
      <c r="G2363" t="inlineStr">
        <is>
          <t>Abolished,</t>
        </is>
      </c>
      <c r="L2363" s="8">
        <f>HYPERLINK("https://test.ictv.global/id/TN202210964","TN202210964@TEST")</f>
        <v/>
      </c>
      <c r="M2363" s="8">
        <f>HYPERLINK("https://test.ictv.global/id/ICTV202010964","ICTV202010964@TEST")</f>
        <v/>
      </c>
      <c r="N2363" s="8">
        <f>HYPERLINK("https://ictv.global/id/TN202210964","TN202210964@prod")</f>
        <v/>
      </c>
      <c r="O2363" s="8">
        <f>HYPERLINK("https://ictv.global/id/ICTV202010964","ICTV202010964@prod")</f>
        <v/>
      </c>
    </row>
    <row r="2364">
      <c r="A2364" t="n">
        <v>38</v>
      </c>
      <c r="B2364" t="n">
        <v>202210967</v>
      </c>
      <c r="C2364" t="n">
        <v>202010967</v>
      </c>
      <c r="D2364" t="inlineStr">
        <is>
          <t>genus</t>
        </is>
      </c>
      <c r="E2364" t="inlineStr">
        <is>
          <t>Shihmovirus</t>
        </is>
      </c>
      <c r="G2364" t="inlineStr">
        <is>
          <t>Abolished,</t>
        </is>
      </c>
      <c r="L2364" s="8">
        <f>HYPERLINK("https://test.ictv.global/id/TN202210967","TN202210967@TEST")</f>
        <v/>
      </c>
      <c r="M2364" s="8">
        <f>HYPERLINK("https://test.ictv.global/id/ICTV202010967","ICTV202010967@TEST")</f>
        <v/>
      </c>
      <c r="N2364" s="8">
        <f>HYPERLINK("https://ictv.global/id/TN202210967","TN202210967@prod")</f>
        <v/>
      </c>
      <c r="O2364" s="8">
        <f>HYPERLINK("https://ictv.global/id/ICTV202010967","ICTV202010967@prod")</f>
        <v/>
      </c>
    </row>
    <row r="2365">
      <c r="A2365" t="n">
        <v>38</v>
      </c>
      <c r="B2365" t="n">
        <v>202210968</v>
      </c>
      <c r="C2365" t="n">
        <v>202010968</v>
      </c>
      <c r="D2365" t="inlineStr">
        <is>
          <t>species</t>
        </is>
      </c>
      <c r="E2365" t="inlineStr">
        <is>
          <t>Shihmovirus borborovivens</t>
        </is>
      </c>
      <c r="F2365" t="inlineStr">
        <is>
          <t>BK013590</t>
        </is>
      </c>
      <c r="G2365" t="inlineStr">
        <is>
          <t>Abolished,</t>
        </is>
      </c>
      <c r="L2365" s="8">
        <f>HYPERLINK("https://test.ictv.global/id/TN202210968","TN202210968@TEST")</f>
        <v/>
      </c>
      <c r="M2365" s="8">
        <f>HYPERLINK("https://test.ictv.global/id/ICTV202010968","ICTV202010968@TEST")</f>
        <v/>
      </c>
      <c r="N2365" s="8">
        <f>HYPERLINK("https://ictv.global/id/TN202210968","TN202210968@prod")</f>
        <v/>
      </c>
      <c r="O2365" s="8">
        <f>HYPERLINK("https://ictv.global/id/ICTV202010968","ICTV202010968@prod")</f>
        <v/>
      </c>
    </row>
    <row r="2366">
      <c r="A2366" t="n">
        <v>38</v>
      </c>
      <c r="B2366" t="n">
        <v>202210971</v>
      </c>
      <c r="C2366" t="n">
        <v>202010971</v>
      </c>
      <c r="D2366" t="inlineStr">
        <is>
          <t>genus</t>
        </is>
      </c>
      <c r="E2366" t="inlineStr">
        <is>
          <t>Tibirnivirus</t>
        </is>
      </c>
      <c r="G2366" t="inlineStr">
        <is>
          <t>Abolished,</t>
        </is>
      </c>
      <c r="L2366" s="8">
        <f>HYPERLINK("https://test.ictv.global/id/TN202210971","TN202210971@TEST")</f>
        <v/>
      </c>
      <c r="M2366" s="8">
        <f>HYPERLINK("https://test.ictv.global/id/ICTV202010971","ICTV202010971@TEST")</f>
        <v/>
      </c>
      <c r="N2366" s="8">
        <f>HYPERLINK("https://ictv.global/id/TN202210971","TN202210971@prod")</f>
        <v/>
      </c>
      <c r="O2366" s="8">
        <f>HYPERLINK("https://ictv.global/id/ICTV202010971","ICTV202010971@prod")</f>
        <v/>
      </c>
    </row>
    <row r="2367">
      <c r="A2367" t="n">
        <v>38</v>
      </c>
      <c r="B2367" t="n">
        <v>202210972</v>
      </c>
      <c r="C2367" t="n">
        <v>202010972</v>
      </c>
      <c r="D2367" t="inlineStr">
        <is>
          <t>species</t>
        </is>
      </c>
      <c r="E2367" t="inlineStr">
        <is>
          <t>Tibirnivirus paludicola</t>
        </is>
      </c>
      <c r="F2367" t="inlineStr">
        <is>
          <t>BK013380</t>
        </is>
      </c>
      <c r="G2367" t="inlineStr">
        <is>
          <t>Abolished,</t>
        </is>
      </c>
      <c r="L2367" s="8">
        <f>HYPERLINK("https://test.ictv.global/id/TN202210972","TN202210972@TEST")</f>
        <v/>
      </c>
      <c r="M2367" s="8">
        <f>HYPERLINK("https://test.ictv.global/id/ICTV202010972","ICTV202010972@TEST")</f>
        <v/>
      </c>
      <c r="N2367" s="8">
        <f>HYPERLINK("https://ictv.global/id/TN202210972","TN202210972@prod")</f>
        <v/>
      </c>
      <c r="O2367" s="8">
        <f>HYPERLINK("https://ictv.global/id/ICTV202010972","ICTV202010972@prod")</f>
        <v/>
      </c>
    </row>
    <row r="2368">
      <c r="A2368" t="n">
        <v>38</v>
      </c>
      <c r="B2368" t="n">
        <v>202210973</v>
      </c>
      <c r="C2368" t="n">
        <v>202010973</v>
      </c>
      <c r="D2368" t="inlineStr">
        <is>
          <t>genus</t>
        </is>
      </c>
      <c r="E2368" t="inlineStr">
        <is>
          <t>Tinebovirus</t>
        </is>
      </c>
      <c r="G2368" t="inlineStr">
        <is>
          <t>Abolished,</t>
        </is>
      </c>
      <c r="L2368" s="8">
        <f>HYPERLINK("https://test.ictv.global/id/TN202210973","TN202210973@TEST")</f>
        <v/>
      </c>
      <c r="M2368" s="8">
        <f>HYPERLINK("https://test.ictv.global/id/ICTV202010973","ICTV202010973@TEST")</f>
        <v/>
      </c>
      <c r="N2368" s="8">
        <f>HYPERLINK("https://ictv.global/id/TN202210973","TN202210973@prod")</f>
        <v/>
      </c>
      <c r="O2368" s="8">
        <f>HYPERLINK("https://ictv.global/id/ICTV202010973","ICTV202010973@prod")</f>
        <v/>
      </c>
    </row>
    <row r="2369">
      <c r="A2369" t="n">
        <v>38</v>
      </c>
      <c r="B2369" t="n">
        <v>202210980</v>
      </c>
      <c r="C2369" t="n">
        <v>202010980</v>
      </c>
      <c r="D2369" t="inlineStr">
        <is>
          <t>genus</t>
        </is>
      </c>
      <c r="E2369" t="inlineStr">
        <is>
          <t>Abakapovirus</t>
        </is>
      </c>
      <c r="G2369" t="inlineStr">
        <is>
          <t>Abolished,</t>
        </is>
      </c>
      <c r="L2369" s="8">
        <f>HYPERLINK("https://test.ictv.global/id/TN202210980","TN202210980@TEST")</f>
        <v/>
      </c>
      <c r="M2369" s="8">
        <f>HYPERLINK("https://test.ictv.global/id/ICTV202010980","ICTV202010980@TEST")</f>
        <v/>
      </c>
      <c r="N2369" s="8">
        <f>HYPERLINK("https://ictv.global/id/TN202210980","TN202210980@prod")</f>
        <v/>
      </c>
      <c r="O2369" s="8">
        <f>HYPERLINK("https://ictv.global/id/ICTV202010980","ICTV202010980@prod")</f>
        <v/>
      </c>
    </row>
    <row r="2370">
      <c r="A2370" t="n">
        <v>38</v>
      </c>
      <c r="B2370" t="n">
        <v>202210985</v>
      </c>
      <c r="C2370" t="n">
        <v>202010985</v>
      </c>
      <c r="D2370" t="inlineStr">
        <is>
          <t>genus</t>
        </is>
      </c>
      <c r="E2370" t="inlineStr">
        <is>
          <t>Achlievirus</t>
        </is>
      </c>
      <c r="G2370" t="inlineStr">
        <is>
          <t>Abolished,</t>
        </is>
      </c>
      <c r="L2370" s="8">
        <f>HYPERLINK("https://test.ictv.global/id/TN202210985","TN202210985@TEST")</f>
        <v/>
      </c>
      <c r="M2370" s="8">
        <f>HYPERLINK("https://test.ictv.global/id/ICTV202010985","ICTV202010985@TEST")</f>
        <v/>
      </c>
      <c r="N2370" s="8">
        <f>HYPERLINK("https://ictv.global/id/TN202210985","TN202210985@prod")</f>
        <v/>
      </c>
      <c r="O2370" s="8">
        <f>HYPERLINK("https://ictv.global/id/ICTV202010985","ICTV202010985@prod")</f>
        <v/>
      </c>
    </row>
    <row r="2371">
      <c r="A2371" t="n">
        <v>38</v>
      </c>
      <c r="B2371" t="n">
        <v>202210986</v>
      </c>
      <c r="C2371" t="n">
        <v>202010986</v>
      </c>
      <c r="D2371" t="inlineStr">
        <is>
          <t>species</t>
        </is>
      </c>
      <c r="E2371" t="inlineStr">
        <is>
          <t>Achlievirus humihabitans</t>
        </is>
      </c>
      <c r="F2371" t="inlineStr">
        <is>
          <t>BK013952</t>
        </is>
      </c>
      <c r="G2371" t="inlineStr">
        <is>
          <t>Abolished,</t>
        </is>
      </c>
      <c r="L2371" s="8">
        <f>HYPERLINK("https://test.ictv.global/id/TN202210986","TN202210986@TEST")</f>
        <v/>
      </c>
      <c r="M2371" s="8">
        <f>HYPERLINK("https://test.ictv.global/id/ICTV202010986","ICTV202010986@TEST")</f>
        <v/>
      </c>
      <c r="N2371" s="8">
        <f>HYPERLINK("https://ictv.global/id/TN202210986","TN202210986@prod")</f>
        <v/>
      </c>
      <c r="O2371" s="8">
        <f>HYPERLINK("https://ictv.global/id/ICTV202010986","ICTV202010986@prod")</f>
        <v/>
      </c>
    </row>
    <row r="2372">
      <c r="A2372" t="n">
        <v>38</v>
      </c>
      <c r="B2372" t="n">
        <v>202211000</v>
      </c>
      <c r="C2372" t="n">
        <v>202011000</v>
      </c>
      <c r="D2372" t="inlineStr">
        <is>
          <t>genus</t>
        </is>
      </c>
      <c r="E2372" t="inlineStr">
        <is>
          <t>Aphenovirus</t>
        </is>
      </c>
      <c r="G2372" t="inlineStr">
        <is>
          <t>Abolished,</t>
        </is>
      </c>
      <c r="L2372" s="8">
        <f>HYPERLINK("https://test.ictv.global/id/TN202211000","TN202211000@TEST")</f>
        <v/>
      </c>
      <c r="M2372" s="8">
        <f>HYPERLINK("https://test.ictv.global/id/ICTV202011000","ICTV202011000@TEST")</f>
        <v/>
      </c>
      <c r="N2372" s="8">
        <f>HYPERLINK("https://ictv.global/id/TN202211000","TN202211000@prod")</f>
        <v/>
      </c>
      <c r="O2372" s="8">
        <f>HYPERLINK("https://ictv.global/id/ICTV202011000","ICTV202011000@prod")</f>
        <v/>
      </c>
    </row>
    <row r="2373">
      <c r="A2373" t="n">
        <v>38</v>
      </c>
      <c r="B2373" t="n">
        <v>202211004</v>
      </c>
      <c r="C2373" t="n">
        <v>202011004</v>
      </c>
      <c r="D2373" t="inlineStr">
        <is>
          <t>genus</t>
        </is>
      </c>
      <c r="E2373" t="inlineStr">
        <is>
          <t>Arawsmovirus</t>
        </is>
      </c>
      <c r="G2373" t="inlineStr">
        <is>
          <t>Abolished,</t>
        </is>
      </c>
      <c r="L2373" s="8">
        <f>HYPERLINK("https://test.ictv.global/id/TN202211004","TN202211004@TEST")</f>
        <v/>
      </c>
      <c r="M2373" s="8">
        <f>HYPERLINK("https://test.ictv.global/id/ICTV202011004","ICTV202011004@TEST")</f>
        <v/>
      </c>
      <c r="N2373" s="8">
        <f>HYPERLINK("https://ictv.global/id/TN202211004","TN202211004@prod")</f>
        <v/>
      </c>
      <c r="O2373" s="8">
        <f>HYPERLINK("https://ictv.global/id/ICTV202011004","ICTV202011004@prod")</f>
        <v/>
      </c>
    </row>
    <row r="2374">
      <c r="A2374" t="n">
        <v>38</v>
      </c>
      <c r="B2374" t="n">
        <v>202211005</v>
      </c>
      <c r="C2374" t="n">
        <v>202011005</v>
      </c>
      <c r="D2374" t="inlineStr">
        <is>
          <t>species</t>
        </is>
      </c>
      <c r="E2374" t="inlineStr">
        <is>
          <t>Arawsmovirus borborovivens</t>
        </is>
      </c>
      <c r="F2374" t="inlineStr">
        <is>
          <t>BK014126</t>
        </is>
      </c>
      <c r="G2374" t="inlineStr">
        <is>
          <t>Abolished,</t>
        </is>
      </c>
      <c r="L2374" s="8">
        <f>HYPERLINK("https://test.ictv.global/id/TN202211005","TN202211005@TEST")</f>
        <v/>
      </c>
      <c r="M2374" s="8">
        <f>HYPERLINK("https://test.ictv.global/id/ICTV202011005","ICTV202011005@TEST")</f>
        <v/>
      </c>
      <c r="N2374" s="8">
        <f>HYPERLINK("https://ictv.global/id/TN202211005","TN202211005@prod")</f>
        <v/>
      </c>
      <c r="O2374" s="8">
        <f>HYPERLINK("https://ictv.global/id/ICTV202011005","ICTV202011005@prod")</f>
        <v/>
      </c>
    </row>
    <row r="2375">
      <c r="A2375" t="n">
        <v>38</v>
      </c>
      <c r="B2375" t="n">
        <v>202211006</v>
      </c>
      <c r="C2375" t="n">
        <v>202011006</v>
      </c>
      <c r="D2375" t="inlineStr">
        <is>
          <t>genus</t>
        </is>
      </c>
      <c r="E2375" t="inlineStr">
        <is>
          <t>Arctuvirus</t>
        </is>
      </c>
      <c r="G2375" t="inlineStr">
        <is>
          <t>Abolished,</t>
        </is>
      </c>
      <c r="L2375" s="8">
        <f>HYPERLINK("https://test.ictv.global/id/TN202211006","TN202211006@TEST")</f>
        <v/>
      </c>
      <c r="M2375" s="8">
        <f>HYPERLINK("https://test.ictv.global/id/ICTV202011006","ICTV202011006@TEST")</f>
        <v/>
      </c>
      <c r="N2375" s="8">
        <f>HYPERLINK("https://ictv.global/id/TN202211006","TN202211006@prod")</f>
        <v/>
      </c>
      <c r="O2375" s="8">
        <f>HYPERLINK("https://ictv.global/id/ICTV202011006","ICTV202011006@prod")</f>
        <v/>
      </c>
    </row>
    <row r="2376">
      <c r="A2376" t="n">
        <v>38</v>
      </c>
      <c r="B2376" t="n">
        <v>202211017</v>
      </c>
      <c r="C2376" t="n">
        <v>202011017</v>
      </c>
      <c r="D2376" t="inlineStr">
        <is>
          <t>genus</t>
        </is>
      </c>
      <c r="E2376" t="inlineStr">
        <is>
          <t>Arpirivirus</t>
        </is>
      </c>
      <c r="G2376" t="inlineStr">
        <is>
          <t>Abolished,</t>
        </is>
      </c>
      <c r="L2376" s="8">
        <f>HYPERLINK("https://test.ictv.global/id/TN202211017","TN202211017@TEST")</f>
        <v/>
      </c>
      <c r="M2376" s="8">
        <f>HYPERLINK("https://test.ictv.global/id/ICTV202011017","ICTV202011017@TEST")</f>
        <v/>
      </c>
      <c r="N2376" s="8">
        <f>HYPERLINK("https://ictv.global/id/TN202211017","TN202211017@prod")</f>
        <v/>
      </c>
      <c r="O2376" s="8">
        <f>HYPERLINK("https://ictv.global/id/ICTV202011017","ICTV202011017@prod")</f>
        <v/>
      </c>
    </row>
    <row r="2377">
      <c r="A2377" t="n">
        <v>38</v>
      </c>
      <c r="B2377" t="n">
        <v>202211022</v>
      </c>
      <c r="C2377" t="n">
        <v>202011022</v>
      </c>
      <c r="D2377" t="inlineStr">
        <is>
          <t>genus</t>
        </is>
      </c>
      <c r="E2377" t="inlineStr">
        <is>
          <t>Bahnicevirus</t>
        </is>
      </c>
      <c r="G2377" t="inlineStr">
        <is>
          <t>Abolished,</t>
        </is>
      </c>
      <c r="L2377" s="8">
        <f>HYPERLINK("https://test.ictv.global/id/TN202211022","TN202211022@TEST")</f>
        <v/>
      </c>
      <c r="M2377" s="8">
        <f>HYPERLINK("https://test.ictv.global/id/ICTV202011022","ICTV202011022@TEST")</f>
        <v/>
      </c>
      <c r="N2377" s="8">
        <f>HYPERLINK("https://ictv.global/id/TN202211022","TN202211022@prod")</f>
        <v/>
      </c>
      <c r="O2377" s="8">
        <f>HYPERLINK("https://ictv.global/id/ICTV202011022","ICTV202011022@prod")</f>
        <v/>
      </c>
    </row>
    <row r="2378">
      <c r="A2378" t="n">
        <v>38</v>
      </c>
      <c r="B2378" t="n">
        <v>202211055</v>
      </c>
      <c r="C2378" t="n">
        <v>202011055</v>
      </c>
      <c r="D2378" t="inlineStr">
        <is>
          <t>genus</t>
        </is>
      </c>
      <c r="E2378" t="inlineStr">
        <is>
          <t>Belbovirus</t>
        </is>
      </c>
      <c r="G2378" t="inlineStr">
        <is>
          <t>Abolished,</t>
        </is>
      </c>
      <c r="L2378" s="8">
        <f>HYPERLINK("https://test.ictv.global/id/TN202211055","TN202211055@TEST")</f>
        <v/>
      </c>
      <c r="M2378" s="8">
        <f>HYPERLINK("https://test.ictv.global/id/ICTV202011055","ICTV202011055@TEST")</f>
        <v/>
      </c>
      <c r="N2378" s="8">
        <f>HYPERLINK("https://ictv.global/id/TN202211055","TN202211055@prod")</f>
        <v/>
      </c>
      <c r="O2378" s="8">
        <f>HYPERLINK("https://ictv.global/id/ICTV202011055","ICTV202011055@prod")</f>
        <v/>
      </c>
    </row>
    <row r="2379">
      <c r="A2379" t="n">
        <v>38</v>
      </c>
      <c r="B2379" t="n">
        <v>202211063</v>
      </c>
      <c r="C2379" t="n">
        <v>202011063</v>
      </c>
      <c r="D2379" t="inlineStr">
        <is>
          <t>genus</t>
        </is>
      </c>
      <c r="E2379" t="inlineStr">
        <is>
          <t>Bidhavirus</t>
        </is>
      </c>
      <c r="G2379" t="inlineStr">
        <is>
          <t>Abolished,</t>
        </is>
      </c>
      <c r="L2379" s="8">
        <f>HYPERLINK("https://test.ictv.global/id/TN202211063","TN202211063@TEST")</f>
        <v/>
      </c>
      <c r="M2379" s="8">
        <f>HYPERLINK("https://test.ictv.global/id/ICTV202011063","ICTV202011063@TEST")</f>
        <v/>
      </c>
      <c r="N2379" s="8">
        <f>HYPERLINK("https://ictv.global/id/TN202211063","TN202211063@prod")</f>
        <v/>
      </c>
      <c r="O2379" s="8">
        <f>HYPERLINK("https://ictv.global/id/ICTV202011063","ICTV202011063@prod")</f>
        <v/>
      </c>
    </row>
    <row r="2380">
      <c r="A2380" t="n">
        <v>38</v>
      </c>
      <c r="B2380" t="n">
        <v>202211064</v>
      </c>
      <c r="C2380" t="n">
        <v>202011064</v>
      </c>
      <c r="D2380" t="inlineStr">
        <is>
          <t>species</t>
        </is>
      </c>
      <c r="E2380" t="inlineStr">
        <is>
          <t>Bidhavirus pelocola</t>
        </is>
      </c>
      <c r="F2380" t="inlineStr">
        <is>
          <t>BK013652</t>
        </is>
      </c>
      <c r="G2380" t="inlineStr">
        <is>
          <t>Abolished,</t>
        </is>
      </c>
      <c r="L2380" s="8">
        <f>HYPERLINK("https://test.ictv.global/id/TN202211064","TN202211064@TEST")</f>
        <v/>
      </c>
      <c r="M2380" s="8">
        <f>HYPERLINK("https://test.ictv.global/id/ICTV202011064","ICTV202011064@TEST")</f>
        <v/>
      </c>
      <c r="N2380" s="8">
        <f>HYPERLINK("https://ictv.global/id/TN202211064","TN202211064@prod")</f>
        <v/>
      </c>
      <c r="O2380" s="8">
        <f>HYPERLINK("https://ictv.global/id/ICTV202011064","ICTV202011064@prod")</f>
        <v/>
      </c>
    </row>
    <row r="2381">
      <c r="A2381" t="n">
        <v>38</v>
      </c>
      <c r="B2381" t="n">
        <v>202211069</v>
      </c>
      <c r="C2381" t="n">
        <v>202011069</v>
      </c>
      <c r="D2381" t="inlineStr">
        <is>
          <t>genus</t>
        </is>
      </c>
      <c r="E2381" t="inlineStr">
        <is>
          <t>Cahtavirus</t>
        </is>
      </c>
      <c r="G2381" t="inlineStr">
        <is>
          <t>Abolished,</t>
        </is>
      </c>
      <c r="L2381" s="8">
        <f>HYPERLINK("https://test.ictv.global/id/TN202211069","TN202211069@TEST")</f>
        <v/>
      </c>
      <c r="M2381" s="8">
        <f>HYPERLINK("https://test.ictv.global/id/ICTV202011069","ICTV202011069@TEST")</f>
        <v/>
      </c>
      <c r="N2381" s="8">
        <f>HYPERLINK("https://ictv.global/id/TN202211069","TN202211069@prod")</f>
        <v/>
      </c>
      <c r="O2381" s="8">
        <f>HYPERLINK("https://ictv.global/id/ICTV202011069","ICTV202011069@prod")</f>
        <v/>
      </c>
    </row>
    <row r="2382">
      <c r="A2382" t="n">
        <v>38</v>
      </c>
      <c r="B2382" t="n">
        <v>202211071</v>
      </c>
      <c r="C2382" t="n">
        <v>202011071</v>
      </c>
      <c r="D2382" t="inlineStr">
        <is>
          <t>genus</t>
        </is>
      </c>
      <c r="E2382" t="inlineStr">
        <is>
          <t>Catindovirus</t>
        </is>
      </c>
      <c r="G2382" t="inlineStr">
        <is>
          <t>Abolished,</t>
        </is>
      </c>
      <c r="L2382" s="8">
        <f>HYPERLINK("https://test.ictv.global/id/TN202211071","TN202211071@TEST")</f>
        <v/>
      </c>
      <c r="M2382" s="8">
        <f>HYPERLINK("https://test.ictv.global/id/ICTV202011071","ICTV202011071@TEST")</f>
        <v/>
      </c>
      <c r="N2382" s="8">
        <f>HYPERLINK("https://ictv.global/id/TN202211071","TN202211071@prod")</f>
        <v/>
      </c>
      <c r="O2382" s="8">
        <f>HYPERLINK("https://ictv.global/id/ICTV202011071","ICTV202011071@prod")</f>
        <v/>
      </c>
    </row>
    <row r="2383">
      <c r="A2383" t="n">
        <v>38</v>
      </c>
      <c r="B2383" t="n">
        <v>202211076</v>
      </c>
      <c r="C2383" t="n">
        <v>202011076</v>
      </c>
      <c r="D2383" t="inlineStr">
        <is>
          <t>genus</t>
        </is>
      </c>
      <c r="E2383" t="inlineStr">
        <is>
          <t>Chlurivirus</t>
        </is>
      </c>
      <c r="G2383" t="inlineStr">
        <is>
          <t>Abolished,</t>
        </is>
      </c>
      <c r="L2383" s="8">
        <f>HYPERLINK("https://test.ictv.global/id/TN202211076","TN202211076@TEST")</f>
        <v/>
      </c>
      <c r="M2383" s="8">
        <f>HYPERLINK("https://test.ictv.global/id/ICTV202011076","ICTV202011076@TEST")</f>
        <v/>
      </c>
      <c r="N2383" s="8">
        <f>HYPERLINK("https://ictv.global/id/TN202211076","TN202211076@prod")</f>
        <v/>
      </c>
      <c r="O2383" s="8">
        <f>HYPERLINK("https://ictv.global/id/ICTV202011076","ICTV202011076@prod")</f>
        <v/>
      </c>
    </row>
    <row r="2384">
      <c r="A2384" t="n">
        <v>38</v>
      </c>
      <c r="B2384" t="n">
        <v>202211078</v>
      </c>
      <c r="C2384" t="n">
        <v>202011078</v>
      </c>
      <c r="D2384" t="inlineStr">
        <is>
          <t>genus</t>
        </is>
      </c>
      <c r="E2384" t="inlineStr">
        <is>
          <t>Chorovirus</t>
        </is>
      </c>
      <c r="G2384" t="inlineStr">
        <is>
          <t>Abolished,</t>
        </is>
      </c>
      <c r="L2384" s="8">
        <f>HYPERLINK("https://test.ictv.global/id/TN202211078","TN202211078@TEST")</f>
        <v/>
      </c>
      <c r="M2384" s="8">
        <f>HYPERLINK("https://test.ictv.global/id/ICTV202011078","ICTV202011078@TEST")</f>
        <v/>
      </c>
      <c r="N2384" s="8">
        <f>HYPERLINK("https://ictv.global/id/TN202211078","TN202211078@prod")</f>
        <v/>
      </c>
      <c r="O2384" s="8">
        <f>HYPERLINK("https://ictv.global/id/ICTV202011078","ICTV202011078@prod")</f>
        <v/>
      </c>
    </row>
    <row r="2385">
      <c r="A2385" t="n">
        <v>38</v>
      </c>
      <c r="B2385" t="n">
        <v>202211080</v>
      </c>
      <c r="C2385" t="n">
        <v>202011080</v>
      </c>
      <c r="D2385" t="inlineStr">
        <is>
          <t>genus</t>
        </is>
      </c>
      <c r="E2385" t="inlineStr">
        <is>
          <t>Clitovirus</t>
        </is>
      </c>
      <c r="G2385" t="inlineStr">
        <is>
          <t>Abolished,</t>
        </is>
      </c>
      <c r="L2385" s="8">
        <f>HYPERLINK("https://test.ictv.global/id/TN202211080","TN202211080@TEST")</f>
        <v/>
      </c>
      <c r="M2385" s="8">
        <f>HYPERLINK("https://test.ictv.global/id/ICTV202011080","ICTV202011080@TEST")</f>
        <v/>
      </c>
      <c r="N2385" s="8">
        <f>HYPERLINK("https://ictv.global/id/TN202211080","TN202211080@prod")</f>
        <v/>
      </c>
      <c r="O2385" s="8">
        <f>HYPERLINK("https://ictv.global/id/ICTV202011080","ICTV202011080@prod")</f>
        <v/>
      </c>
    </row>
    <row r="2386">
      <c r="A2386" t="n">
        <v>38</v>
      </c>
      <c r="B2386" t="n">
        <v>202211082</v>
      </c>
      <c r="C2386" t="n">
        <v>202011082</v>
      </c>
      <c r="D2386" t="inlineStr">
        <is>
          <t>genus</t>
        </is>
      </c>
      <c r="E2386" t="inlineStr">
        <is>
          <t>Cohrdavirus</t>
        </is>
      </c>
      <c r="G2386" t="inlineStr">
        <is>
          <t>Abolished,</t>
        </is>
      </c>
      <c r="L2386" s="8">
        <f>HYPERLINK("https://test.ictv.global/id/TN202211082","TN202211082@TEST")</f>
        <v/>
      </c>
      <c r="M2386" s="8">
        <f>HYPERLINK("https://test.ictv.global/id/ICTV202011082","ICTV202011082@TEST")</f>
        <v/>
      </c>
      <c r="N2386" s="8">
        <f>HYPERLINK("https://ictv.global/id/TN202211082","TN202211082@prod")</f>
        <v/>
      </c>
      <c r="O2386" s="8">
        <f>HYPERLINK("https://ictv.global/id/ICTV202011082","ICTV202011082@prod")</f>
        <v/>
      </c>
    </row>
    <row r="2387">
      <c r="A2387" t="n">
        <v>38</v>
      </c>
      <c r="B2387" t="n">
        <v>202211086</v>
      </c>
      <c r="C2387" t="n">
        <v>202011086</v>
      </c>
      <c r="D2387" t="inlineStr">
        <is>
          <t>genus</t>
        </is>
      </c>
      <c r="E2387" t="inlineStr">
        <is>
          <t>Controvirus</t>
        </is>
      </c>
      <c r="G2387" t="inlineStr">
        <is>
          <t>Abolished,</t>
        </is>
      </c>
      <c r="L2387" s="8">
        <f>HYPERLINK("https://test.ictv.global/id/TN202211086","TN202211086@TEST")</f>
        <v/>
      </c>
      <c r="M2387" s="8">
        <f>HYPERLINK("https://test.ictv.global/id/ICTV202011086","ICTV202011086@TEST")</f>
        <v/>
      </c>
      <c r="N2387" s="8">
        <f>HYPERLINK("https://ictv.global/id/TN202211086","TN202211086@prod")</f>
        <v/>
      </c>
      <c r="O2387" s="8">
        <f>HYPERLINK("https://ictv.global/id/ICTV202011086","ICTV202011086@prod")</f>
        <v/>
      </c>
    </row>
    <row r="2388">
      <c r="A2388" t="n">
        <v>38</v>
      </c>
      <c r="B2388" t="n">
        <v>202211087</v>
      </c>
      <c r="C2388" t="n">
        <v>202011087</v>
      </c>
      <c r="D2388" t="inlineStr">
        <is>
          <t>species</t>
        </is>
      </c>
      <c r="E2388" t="inlineStr">
        <is>
          <t>Controvirus defluviicola</t>
        </is>
      </c>
      <c r="F2388" t="inlineStr">
        <is>
          <t>BK013371</t>
        </is>
      </c>
      <c r="G2388" t="inlineStr">
        <is>
          <t>Abolished,</t>
        </is>
      </c>
      <c r="L2388" s="8">
        <f>HYPERLINK("https://test.ictv.global/id/TN202211087","TN202211087@TEST")</f>
        <v/>
      </c>
      <c r="M2388" s="8">
        <f>HYPERLINK("https://test.ictv.global/id/ICTV202011087","ICTV202011087@TEST")</f>
        <v/>
      </c>
      <c r="N2388" s="8">
        <f>HYPERLINK("https://ictv.global/id/TN202211087","TN202211087@prod")</f>
        <v/>
      </c>
      <c r="O2388" s="8">
        <f>HYPERLINK("https://ictv.global/id/ICTV202011087","ICTV202011087@prod")</f>
        <v/>
      </c>
    </row>
    <row r="2389">
      <c r="A2389" t="n">
        <v>38</v>
      </c>
      <c r="B2389" t="n">
        <v>202211088</v>
      </c>
      <c r="C2389" t="n">
        <v>202011088</v>
      </c>
      <c r="D2389" t="inlineStr">
        <is>
          <t>genus</t>
        </is>
      </c>
      <c r="E2389" t="inlineStr">
        <is>
          <t>Cunarovirus</t>
        </is>
      </c>
      <c r="G2389" t="inlineStr">
        <is>
          <t>Abolished,</t>
        </is>
      </c>
      <c r="L2389" s="8">
        <f>HYPERLINK("https://test.ictv.global/id/TN202211088","TN202211088@TEST")</f>
        <v/>
      </c>
      <c r="M2389" s="8">
        <f>HYPERLINK("https://test.ictv.global/id/ICTV202011088","ICTV202011088@TEST")</f>
        <v/>
      </c>
      <c r="N2389" s="8">
        <f>HYPERLINK("https://ictv.global/id/TN202211088","TN202211088@prod")</f>
        <v/>
      </c>
      <c r="O2389" s="8">
        <f>HYPERLINK("https://ictv.global/id/ICTV202011088","ICTV202011088@prod")</f>
        <v/>
      </c>
    </row>
    <row r="2390">
      <c r="A2390" t="n">
        <v>38</v>
      </c>
      <c r="B2390" t="n">
        <v>202211097</v>
      </c>
      <c r="C2390" t="n">
        <v>202011097</v>
      </c>
      <c r="D2390" t="inlineStr">
        <is>
          <t>genus</t>
        </is>
      </c>
      <c r="E2390" t="inlineStr">
        <is>
          <t>Dohnjavirus</t>
        </is>
      </c>
      <c r="G2390" t="inlineStr">
        <is>
          <t>Abolished,</t>
        </is>
      </c>
      <c r="L2390" s="8">
        <f>HYPERLINK("https://test.ictv.global/id/TN202211097","TN202211097@TEST")</f>
        <v/>
      </c>
      <c r="M2390" s="8">
        <f>HYPERLINK("https://test.ictv.global/id/ICTV202011097","ICTV202011097@TEST")</f>
        <v/>
      </c>
      <c r="N2390" s="8">
        <f>HYPERLINK("https://ictv.global/id/TN202211097","TN202211097@prod")</f>
        <v/>
      </c>
      <c r="O2390" s="8">
        <f>HYPERLINK("https://ictv.global/id/ICTV202011097","ICTV202011097@prod")</f>
        <v/>
      </c>
    </row>
    <row r="2391">
      <c r="A2391" t="n">
        <v>38</v>
      </c>
      <c r="B2391" t="n">
        <v>202211102</v>
      </c>
      <c r="C2391" t="n">
        <v>202011102</v>
      </c>
      <c r="D2391" t="inlineStr">
        <is>
          <t>genus</t>
        </is>
      </c>
      <c r="E2391" t="inlineStr">
        <is>
          <t>Eregrovirus</t>
        </is>
      </c>
      <c r="G2391" t="inlineStr">
        <is>
          <t>Abolished,</t>
        </is>
      </c>
      <c r="L2391" s="8">
        <f>HYPERLINK("https://test.ictv.global/id/TN202211102","TN202211102@TEST")</f>
        <v/>
      </c>
      <c r="M2391" s="8">
        <f>HYPERLINK("https://test.ictv.global/id/ICTV202011102","ICTV202011102@TEST")</f>
        <v/>
      </c>
      <c r="N2391" s="8">
        <f>HYPERLINK("https://ictv.global/id/TN202211102","TN202211102@prod")</f>
        <v/>
      </c>
      <c r="O2391" s="8">
        <f>HYPERLINK("https://ictv.global/id/ICTV202011102","ICTV202011102@prod")</f>
        <v/>
      </c>
    </row>
    <row r="2392">
      <c r="A2392" t="n">
        <v>38</v>
      </c>
      <c r="B2392" t="n">
        <v>202211104</v>
      </c>
      <c r="C2392" t="n">
        <v>202011104</v>
      </c>
      <c r="D2392" t="inlineStr">
        <is>
          <t>genus</t>
        </is>
      </c>
      <c r="E2392" t="inlineStr">
        <is>
          <t>Erimutivirus</t>
        </is>
      </c>
      <c r="G2392" t="inlineStr">
        <is>
          <t>Abolished,</t>
        </is>
      </c>
      <c r="L2392" s="8">
        <f>HYPERLINK("https://test.ictv.global/id/TN202211104","TN202211104@TEST")</f>
        <v/>
      </c>
      <c r="M2392" s="8">
        <f>HYPERLINK("https://test.ictv.global/id/ICTV202011104","ICTV202011104@TEST")</f>
        <v/>
      </c>
      <c r="N2392" s="8">
        <f>HYPERLINK("https://ictv.global/id/TN202211104","TN202211104@prod")</f>
        <v/>
      </c>
      <c r="O2392" s="8">
        <f>HYPERLINK("https://ictv.global/id/ICTV202011104","ICTV202011104@prod")</f>
        <v/>
      </c>
    </row>
    <row r="2393">
      <c r="A2393" t="n">
        <v>38</v>
      </c>
      <c r="B2393" t="n">
        <v>202211127</v>
      </c>
      <c r="C2393" t="n">
        <v>202011127</v>
      </c>
      <c r="D2393" t="inlineStr">
        <is>
          <t>genus</t>
        </is>
      </c>
      <c r="E2393" t="inlineStr">
        <is>
          <t>Gernuduvirus</t>
        </is>
      </c>
      <c r="G2393" t="inlineStr">
        <is>
          <t>Abolished,</t>
        </is>
      </c>
      <c r="L2393" s="8">
        <f>HYPERLINK("https://test.ictv.global/id/TN202211127","TN202211127@TEST")</f>
        <v/>
      </c>
      <c r="M2393" s="8">
        <f>HYPERLINK("https://test.ictv.global/id/ICTV202011127","ICTV202011127@TEST")</f>
        <v/>
      </c>
      <c r="N2393" s="8">
        <f>HYPERLINK("https://ictv.global/id/TN202211127","TN202211127@prod")</f>
        <v/>
      </c>
      <c r="O2393" s="8">
        <f>HYPERLINK("https://ictv.global/id/ICTV202011127","ICTV202011127@prod")</f>
        <v/>
      </c>
    </row>
    <row r="2394">
      <c r="A2394" t="n">
        <v>38</v>
      </c>
      <c r="B2394" t="n">
        <v>202211132</v>
      </c>
      <c r="C2394" t="n">
        <v>202011132</v>
      </c>
      <c r="D2394" t="inlineStr">
        <is>
          <t>genus</t>
        </is>
      </c>
      <c r="E2394" t="inlineStr">
        <is>
          <t>Gredihovirus</t>
        </is>
      </c>
      <c r="G2394" t="inlineStr">
        <is>
          <t>Abolished,</t>
        </is>
      </c>
      <c r="L2394" s="8">
        <f>HYPERLINK("https://test.ictv.global/id/TN202211132","TN202211132@TEST")</f>
        <v/>
      </c>
      <c r="M2394" s="8">
        <f>HYPERLINK("https://test.ictv.global/id/ICTV202011132","ICTV202011132@TEST")</f>
        <v/>
      </c>
      <c r="N2394" s="8">
        <f>HYPERLINK("https://ictv.global/id/TN202211132","TN202211132@prod")</f>
        <v/>
      </c>
      <c r="O2394" s="8">
        <f>HYPERLINK("https://ictv.global/id/ICTV202011132","ICTV202011132@prod")</f>
        <v/>
      </c>
    </row>
    <row r="2395">
      <c r="A2395" t="n">
        <v>38</v>
      </c>
      <c r="B2395" t="n">
        <v>202211192</v>
      </c>
      <c r="C2395" t="n">
        <v>202011192</v>
      </c>
      <c r="D2395" t="inlineStr">
        <is>
          <t>species</t>
        </is>
      </c>
      <c r="E2395" t="inlineStr">
        <is>
          <t>Gredihovirus geoadaptatum</t>
        </is>
      </c>
      <c r="F2395" t="inlineStr">
        <is>
          <t>BK013397</t>
        </is>
      </c>
      <c r="G2395" t="inlineStr">
        <is>
          <t>Abolished,</t>
        </is>
      </c>
      <c r="L2395" s="8">
        <f>HYPERLINK("https://test.ictv.global/id/TN202211192","TN202211192@TEST")</f>
        <v/>
      </c>
      <c r="M2395" s="8">
        <f>HYPERLINK("https://test.ictv.global/id/ICTV202011192","ICTV202011192@TEST")</f>
        <v/>
      </c>
      <c r="N2395" s="8">
        <f>HYPERLINK("https://ictv.global/id/TN202211192","TN202211192@prod")</f>
        <v/>
      </c>
      <c r="O2395" s="8">
        <f>HYPERLINK("https://ictv.global/id/ICTV202011192","ICTV202011192@prod")</f>
        <v/>
      </c>
    </row>
    <row r="2396">
      <c r="A2396" t="n">
        <v>38</v>
      </c>
      <c r="B2396" t="n">
        <v>202211200</v>
      </c>
      <c r="C2396" t="n">
        <v>202011200</v>
      </c>
      <c r="D2396" t="inlineStr">
        <is>
          <t>species</t>
        </is>
      </c>
      <c r="E2396" t="inlineStr">
        <is>
          <t>Gredihovirus tellurenecus</t>
        </is>
      </c>
      <c r="F2396" t="inlineStr">
        <is>
          <t>BK013457</t>
        </is>
      </c>
      <c r="G2396" t="inlineStr">
        <is>
          <t>Abolished,</t>
        </is>
      </c>
      <c r="L2396" s="8">
        <f>HYPERLINK("https://test.ictv.global/id/TN202211200","TN202211200@TEST")</f>
        <v/>
      </c>
      <c r="M2396" s="8">
        <f>HYPERLINK("https://test.ictv.global/id/ICTV202011200","ICTV202011200@TEST")</f>
        <v/>
      </c>
      <c r="N2396" s="8">
        <f>HYPERLINK("https://ictv.global/id/TN202211200","TN202211200@prod")</f>
        <v/>
      </c>
      <c r="O2396" s="8">
        <f>HYPERLINK("https://ictv.global/id/ICTV202011200","ICTV202011200@prod")</f>
        <v/>
      </c>
    </row>
    <row r="2397">
      <c r="A2397" t="n">
        <v>38</v>
      </c>
      <c r="B2397" t="n">
        <v>202211240</v>
      </c>
      <c r="C2397" t="n">
        <v>202011240</v>
      </c>
      <c r="D2397" t="inlineStr">
        <is>
          <t>genus</t>
        </is>
      </c>
      <c r="E2397" t="inlineStr">
        <is>
          <t>Henifovirus</t>
        </is>
      </c>
      <c r="G2397" t="inlineStr">
        <is>
          <t>Abolished,</t>
        </is>
      </c>
      <c r="L2397" s="8">
        <f>HYPERLINK("https://test.ictv.global/id/TN202211240","TN202211240@TEST")</f>
        <v/>
      </c>
      <c r="M2397" s="8">
        <f>HYPERLINK("https://test.ictv.global/id/ICTV202011240","ICTV202011240@TEST")</f>
        <v/>
      </c>
      <c r="N2397" s="8">
        <f>HYPERLINK("https://ictv.global/id/TN202211240","TN202211240@prod")</f>
        <v/>
      </c>
      <c r="O2397" s="8">
        <f>HYPERLINK("https://ictv.global/id/ICTV202011240","ICTV202011240@prod")</f>
        <v/>
      </c>
    </row>
    <row r="2398">
      <c r="A2398" t="n">
        <v>38</v>
      </c>
      <c r="B2398" t="n">
        <v>202211241</v>
      </c>
      <c r="C2398" t="n">
        <v>202011241</v>
      </c>
      <c r="D2398" t="inlineStr">
        <is>
          <t>species</t>
        </is>
      </c>
      <c r="E2398" t="inlineStr">
        <is>
          <t>Henifovirus borborovivens</t>
        </is>
      </c>
      <c r="F2398" t="inlineStr">
        <is>
          <t>BK014178</t>
        </is>
      </c>
      <c r="G2398" t="inlineStr">
        <is>
          <t>Abolished,</t>
        </is>
      </c>
      <c r="L2398" s="8">
        <f>HYPERLINK("https://test.ictv.global/id/TN202211241","TN202211241@TEST")</f>
        <v/>
      </c>
      <c r="M2398" s="8">
        <f>HYPERLINK("https://test.ictv.global/id/ICTV202011241","ICTV202011241@TEST")</f>
        <v/>
      </c>
      <c r="N2398" s="8">
        <f>HYPERLINK("https://ictv.global/id/TN202211241","TN202211241@prod")</f>
        <v/>
      </c>
      <c r="O2398" s="8">
        <f>HYPERLINK("https://ictv.global/id/ICTV202011241","ICTV202011241@prod")</f>
        <v/>
      </c>
    </row>
    <row r="2399">
      <c r="A2399" t="n">
        <v>38</v>
      </c>
      <c r="B2399" t="n">
        <v>202211242</v>
      </c>
      <c r="C2399" t="n">
        <v>202011242</v>
      </c>
      <c r="D2399" t="inlineStr">
        <is>
          <t>species</t>
        </is>
      </c>
      <c r="E2399" t="inlineStr">
        <is>
          <t>Henifovirus caenadaptatum</t>
        </is>
      </c>
      <c r="F2399" t="inlineStr">
        <is>
          <t>BK014184</t>
        </is>
      </c>
      <c r="G2399" t="inlineStr">
        <is>
          <t>Abolished,</t>
        </is>
      </c>
      <c r="L2399" s="8">
        <f>HYPERLINK("https://test.ictv.global/id/TN202211242","TN202211242@TEST")</f>
        <v/>
      </c>
      <c r="M2399" s="8">
        <f>HYPERLINK("https://test.ictv.global/id/ICTV202011242","ICTV202011242@TEST")</f>
        <v/>
      </c>
      <c r="N2399" s="8">
        <f>HYPERLINK("https://ictv.global/id/TN202211242","TN202211242@prod")</f>
        <v/>
      </c>
      <c r="O2399" s="8">
        <f>HYPERLINK("https://ictv.global/id/ICTV202011242","ICTV202011242@prod")</f>
        <v/>
      </c>
    </row>
    <row r="2400">
      <c r="A2400" t="n">
        <v>38</v>
      </c>
      <c r="B2400" t="n">
        <v>202211243</v>
      </c>
      <c r="C2400" t="n">
        <v>202011243</v>
      </c>
      <c r="D2400" t="inlineStr">
        <is>
          <t>genus</t>
        </is>
      </c>
      <c r="E2400" t="inlineStr">
        <is>
          <t>Hohltdevirus</t>
        </is>
      </c>
      <c r="G2400" t="inlineStr">
        <is>
          <t>Abolished,</t>
        </is>
      </c>
      <c r="L2400" s="8">
        <f>HYPERLINK("https://test.ictv.global/id/TN202211243","TN202211243@TEST")</f>
        <v/>
      </c>
      <c r="M2400" s="8">
        <f>HYPERLINK("https://test.ictv.global/id/ICTV202011243","ICTV202011243@TEST")</f>
        <v/>
      </c>
      <c r="N2400" s="8">
        <f>HYPERLINK("https://ictv.global/id/TN202211243","TN202211243@prod")</f>
        <v/>
      </c>
      <c r="O2400" s="8">
        <f>HYPERLINK("https://ictv.global/id/ICTV202011243","ICTV202011243@prod")</f>
        <v/>
      </c>
    </row>
    <row r="2401">
      <c r="A2401" t="n">
        <v>38</v>
      </c>
      <c r="B2401" t="n">
        <v>202211278</v>
      </c>
      <c r="C2401" t="n">
        <v>202011278</v>
      </c>
      <c r="D2401" t="inlineStr">
        <is>
          <t>genus</t>
        </is>
      </c>
      <c r="E2401" t="inlineStr">
        <is>
          <t>Hylipavirus</t>
        </is>
      </c>
      <c r="G2401" t="inlineStr">
        <is>
          <t>Abolished,</t>
        </is>
      </c>
      <c r="L2401" s="8">
        <f>HYPERLINK("https://test.ictv.global/id/TN202211278","TN202211278@TEST")</f>
        <v/>
      </c>
      <c r="M2401" s="8">
        <f>HYPERLINK("https://test.ictv.global/id/ICTV202011278","ICTV202011278@TEST")</f>
        <v/>
      </c>
      <c r="N2401" s="8">
        <f>HYPERLINK("https://ictv.global/id/TN202211278","TN202211278@prod")</f>
        <v/>
      </c>
      <c r="O2401" s="8">
        <f>HYPERLINK("https://ictv.global/id/ICTV202011278","ICTV202011278@prod")</f>
        <v/>
      </c>
    </row>
    <row r="2402">
      <c r="A2402" t="n">
        <v>38</v>
      </c>
      <c r="B2402" t="n">
        <v>202211282</v>
      </c>
      <c r="C2402" t="n">
        <v>202011282</v>
      </c>
      <c r="D2402" t="inlineStr">
        <is>
          <t>genus</t>
        </is>
      </c>
      <c r="E2402" t="inlineStr">
        <is>
          <t>Jiforsuvirus</t>
        </is>
      </c>
      <c r="G2402" t="inlineStr">
        <is>
          <t>Abolished,</t>
        </is>
      </c>
      <c r="L2402" s="8">
        <f>HYPERLINK("https://test.ictv.global/id/TN202211282","TN202211282@TEST")</f>
        <v/>
      </c>
      <c r="M2402" s="8">
        <f>HYPERLINK("https://test.ictv.global/id/ICTV202011282","ICTV202011282@TEST")</f>
        <v/>
      </c>
      <c r="N2402" s="8">
        <f>HYPERLINK("https://ictv.global/id/TN202211282","TN202211282@prod")</f>
        <v/>
      </c>
      <c r="O2402" s="8">
        <f>HYPERLINK("https://ictv.global/id/ICTV202011282","ICTV202011282@prod")</f>
        <v/>
      </c>
    </row>
    <row r="2403">
      <c r="A2403" t="n">
        <v>38</v>
      </c>
      <c r="B2403" t="n">
        <v>202211284</v>
      </c>
      <c r="C2403" t="n">
        <v>202011284</v>
      </c>
      <c r="D2403" t="inlineStr">
        <is>
          <t>genus</t>
        </is>
      </c>
      <c r="E2403" t="inlineStr">
        <is>
          <t>Kecijavirus</t>
        </is>
      </c>
      <c r="G2403" t="inlineStr">
        <is>
          <t>Abolished,</t>
        </is>
      </c>
      <c r="L2403" s="8">
        <f>HYPERLINK("https://test.ictv.global/id/TN202211284","TN202211284@TEST")</f>
        <v/>
      </c>
      <c r="M2403" s="8">
        <f>HYPERLINK("https://test.ictv.global/id/ICTV202011284","ICTV202011284@TEST")</f>
        <v/>
      </c>
      <c r="N2403" s="8">
        <f>HYPERLINK("https://ictv.global/id/TN202211284","TN202211284@prod")</f>
        <v/>
      </c>
      <c r="O2403" s="8">
        <f>HYPERLINK("https://ictv.global/id/ICTV202011284","ICTV202011284@prod")</f>
        <v/>
      </c>
    </row>
    <row r="2404">
      <c r="A2404" t="n">
        <v>38</v>
      </c>
      <c r="B2404" t="n">
        <v>202211290</v>
      </c>
      <c r="C2404" t="n">
        <v>202011290</v>
      </c>
      <c r="D2404" t="inlineStr">
        <is>
          <t>genus</t>
        </is>
      </c>
      <c r="E2404" t="inlineStr">
        <is>
          <t>Kehruavirus</t>
        </is>
      </c>
      <c r="G2404" t="inlineStr">
        <is>
          <t>Abolished,</t>
        </is>
      </c>
      <c r="L2404" s="8">
        <f>HYPERLINK("https://test.ictv.global/id/TN202211290","TN202211290@TEST")</f>
        <v/>
      </c>
      <c r="M2404" s="8">
        <f>HYPERLINK("https://test.ictv.global/id/ICTV202011290","ICTV202011290@TEST")</f>
        <v/>
      </c>
      <c r="N2404" s="8">
        <f>HYPERLINK("https://ictv.global/id/TN202211290","TN202211290@prod")</f>
        <v/>
      </c>
      <c r="O2404" s="8">
        <f>HYPERLINK("https://ictv.global/id/ICTV202011290","ICTV202011290@prod")</f>
        <v/>
      </c>
    </row>
    <row r="2405">
      <c r="A2405" t="n">
        <v>38</v>
      </c>
      <c r="B2405" t="n">
        <v>202211304</v>
      </c>
      <c r="C2405" t="n">
        <v>202011304</v>
      </c>
      <c r="D2405" t="inlineStr">
        <is>
          <t>genus</t>
        </is>
      </c>
      <c r="E2405" t="inlineStr">
        <is>
          <t>Kyanivirus</t>
        </is>
      </c>
      <c r="G2405" t="inlineStr">
        <is>
          <t>Abolished,</t>
        </is>
      </c>
      <c r="L2405" s="8">
        <f>HYPERLINK("https://test.ictv.global/id/TN202211304","TN202211304@TEST")</f>
        <v/>
      </c>
      <c r="M2405" s="8">
        <f>HYPERLINK("https://test.ictv.global/id/ICTV202011304","ICTV202011304@TEST")</f>
        <v/>
      </c>
      <c r="N2405" s="8">
        <f>HYPERLINK("https://ictv.global/id/TN202211304","TN202211304@prod")</f>
        <v/>
      </c>
      <c r="O2405" s="8">
        <f>HYPERLINK("https://ictv.global/id/ICTV202011304","ICTV202011304@prod")</f>
        <v/>
      </c>
    </row>
    <row r="2406">
      <c r="A2406" t="n">
        <v>38</v>
      </c>
      <c r="B2406" t="n">
        <v>202211311</v>
      </c>
      <c r="C2406" t="n">
        <v>202011311</v>
      </c>
      <c r="D2406" t="inlineStr">
        <is>
          <t>genus</t>
        </is>
      </c>
      <c r="E2406" t="inlineStr">
        <is>
          <t>Lehptavirus</t>
        </is>
      </c>
      <c r="G2406" t="inlineStr">
        <is>
          <t>Abolished,</t>
        </is>
      </c>
      <c r="L2406" s="8">
        <f>HYPERLINK("https://test.ictv.global/id/TN202211311","TN202211311@TEST")</f>
        <v/>
      </c>
      <c r="M2406" s="8">
        <f>HYPERLINK("https://test.ictv.global/id/ICTV202011311","ICTV202011311@TEST")</f>
        <v/>
      </c>
      <c r="N2406" s="8">
        <f>HYPERLINK("https://ictv.global/id/TN202211311","TN202211311@prod")</f>
        <v/>
      </c>
      <c r="O2406" s="8">
        <f>HYPERLINK("https://ictv.global/id/ICTV202011311","ICTV202011311@prod")</f>
        <v/>
      </c>
    </row>
    <row r="2407">
      <c r="A2407" t="n">
        <v>38</v>
      </c>
      <c r="B2407" t="n">
        <v>202211329</v>
      </c>
      <c r="C2407" t="n">
        <v>202011329</v>
      </c>
      <c r="D2407" t="inlineStr">
        <is>
          <t>genus</t>
        </is>
      </c>
      <c r="E2407" t="inlineStr">
        <is>
          <t>Luloavirus</t>
        </is>
      </c>
      <c r="G2407" t="inlineStr">
        <is>
          <t>Abolished,</t>
        </is>
      </c>
      <c r="L2407" s="8">
        <f>HYPERLINK("https://test.ictv.global/id/TN202211329","TN202211329@TEST")</f>
        <v/>
      </c>
      <c r="M2407" s="8">
        <f>HYPERLINK("https://test.ictv.global/id/ICTV202011329","ICTV202011329@TEST")</f>
        <v/>
      </c>
      <c r="N2407" s="8">
        <f>HYPERLINK("https://ictv.global/id/TN202211329","TN202211329@prod")</f>
        <v/>
      </c>
      <c r="O2407" s="8">
        <f>HYPERLINK("https://ictv.global/id/ICTV202011329","ICTV202011329@prod")</f>
        <v/>
      </c>
    </row>
    <row r="2408">
      <c r="A2408" t="n">
        <v>38</v>
      </c>
      <c r="B2408" t="n">
        <v>202211334</v>
      </c>
      <c r="C2408" t="n">
        <v>202011334</v>
      </c>
      <c r="D2408" t="inlineStr">
        <is>
          <t>genus</t>
        </is>
      </c>
      <c r="E2408" t="inlineStr">
        <is>
          <t>Lygehevirus</t>
        </is>
      </c>
      <c r="G2408" t="inlineStr">
        <is>
          <t>Abolished,</t>
        </is>
      </c>
      <c r="L2408" s="8">
        <f>HYPERLINK("https://test.ictv.global/id/TN202211334","TN202211334@TEST")</f>
        <v/>
      </c>
      <c r="M2408" s="8">
        <f>HYPERLINK("https://test.ictv.global/id/ICTV202011334","ICTV202011334@TEST")</f>
        <v/>
      </c>
      <c r="N2408" s="8">
        <f>HYPERLINK("https://ictv.global/id/TN202211334","TN202211334@prod")</f>
        <v/>
      </c>
      <c r="O2408" s="8">
        <f>HYPERLINK("https://ictv.global/id/ICTV202011334","ICTV202011334@prod")</f>
        <v/>
      </c>
    </row>
    <row r="2409">
      <c r="A2409" t="n">
        <v>38</v>
      </c>
      <c r="B2409" t="n">
        <v>202211335</v>
      </c>
      <c r="C2409" t="n">
        <v>202011335</v>
      </c>
      <c r="D2409" t="inlineStr">
        <is>
          <t>species</t>
        </is>
      </c>
      <c r="E2409" t="inlineStr">
        <is>
          <t>Lygehevirus pedocola</t>
        </is>
      </c>
      <c r="F2409" t="inlineStr">
        <is>
          <t>BK013486</t>
        </is>
      </c>
      <c r="G2409" t="inlineStr">
        <is>
          <t>Abolished,</t>
        </is>
      </c>
      <c r="L2409" s="8">
        <f>HYPERLINK("https://test.ictv.global/id/TN202211335","TN202211335@TEST")</f>
        <v/>
      </c>
      <c r="M2409" s="8">
        <f>HYPERLINK("https://test.ictv.global/id/ICTV202011335","ICTV202011335@TEST")</f>
        <v/>
      </c>
      <c r="N2409" s="8">
        <f>HYPERLINK("https://ictv.global/id/TN202211335","TN202211335@prod")</f>
        <v/>
      </c>
      <c r="O2409" s="8">
        <f>HYPERLINK("https://ictv.global/id/ICTV202011335","ICTV202011335@prod")</f>
        <v/>
      </c>
    </row>
    <row r="2410">
      <c r="A2410" t="n">
        <v>38</v>
      </c>
      <c r="B2410" t="n">
        <v>202211336</v>
      </c>
      <c r="C2410" t="n">
        <v>202011336</v>
      </c>
      <c r="D2410" t="inlineStr">
        <is>
          <t>genus</t>
        </is>
      </c>
      <c r="E2410" t="inlineStr">
        <is>
          <t>Lyndovirus</t>
        </is>
      </c>
      <c r="G2410" t="inlineStr">
        <is>
          <t>Abolished,</t>
        </is>
      </c>
      <c r="L2410" s="8">
        <f>HYPERLINK("https://test.ictv.global/id/TN202211336","TN202211336@TEST")</f>
        <v/>
      </c>
      <c r="M2410" s="8">
        <f>HYPERLINK("https://test.ictv.global/id/ICTV202011336","ICTV202011336@TEST")</f>
        <v/>
      </c>
      <c r="N2410" s="8">
        <f>HYPERLINK("https://ictv.global/id/TN202211336","TN202211336@prod")</f>
        <v/>
      </c>
      <c r="O2410" s="8">
        <f>HYPERLINK("https://ictv.global/id/ICTV202011336","ICTV202011336@prod")</f>
        <v/>
      </c>
    </row>
    <row r="2411">
      <c r="A2411" t="n">
        <v>38</v>
      </c>
      <c r="B2411" t="n">
        <v>202211340</v>
      </c>
      <c r="C2411" t="n">
        <v>202011340</v>
      </c>
      <c r="D2411" t="inlineStr">
        <is>
          <t>genus</t>
        </is>
      </c>
      <c r="E2411" t="inlineStr">
        <is>
          <t>Mahjnavirus</t>
        </is>
      </c>
      <c r="G2411" t="inlineStr">
        <is>
          <t>Abolished,</t>
        </is>
      </c>
      <c r="L2411" s="8">
        <f>HYPERLINK("https://test.ictv.global/id/TN202211340","TN202211340@TEST")</f>
        <v/>
      </c>
      <c r="M2411" s="8">
        <f>HYPERLINK("https://test.ictv.global/id/ICTV202011340","ICTV202011340@TEST")</f>
        <v/>
      </c>
      <c r="N2411" s="8">
        <f>HYPERLINK("https://ictv.global/id/TN202211340","TN202211340@prod")</f>
        <v/>
      </c>
      <c r="O2411" s="8">
        <f>HYPERLINK("https://ictv.global/id/ICTV202011340","ICTV202011340@prod")</f>
        <v/>
      </c>
    </row>
    <row r="2412">
      <c r="A2412" t="n">
        <v>38</v>
      </c>
      <c r="B2412" t="n">
        <v>202211344</v>
      </c>
      <c r="C2412" t="n">
        <v>202011344</v>
      </c>
      <c r="D2412" t="inlineStr">
        <is>
          <t>genus</t>
        </is>
      </c>
      <c r="E2412" t="inlineStr">
        <is>
          <t>Milihnovirus</t>
        </is>
      </c>
      <c r="G2412" t="inlineStr">
        <is>
          <t>Abolished,</t>
        </is>
      </c>
      <c r="L2412" s="8">
        <f>HYPERLINK("https://test.ictv.global/id/TN202211344","TN202211344@TEST")</f>
        <v/>
      </c>
      <c r="M2412" s="8">
        <f>HYPERLINK("https://test.ictv.global/id/ICTV202011344","ICTV202011344@TEST")</f>
        <v/>
      </c>
      <c r="N2412" s="8">
        <f>HYPERLINK("https://ictv.global/id/TN202211344","TN202211344@prod")</f>
        <v/>
      </c>
      <c r="O2412" s="8">
        <f>HYPERLINK("https://ictv.global/id/ICTV202011344","ICTV202011344@prod")</f>
        <v/>
      </c>
    </row>
    <row r="2413">
      <c r="A2413" t="n">
        <v>38</v>
      </c>
      <c r="B2413" t="n">
        <v>202211359</v>
      </c>
      <c r="C2413" t="n">
        <v>202011359</v>
      </c>
      <c r="D2413" t="inlineStr">
        <is>
          <t>genus</t>
        </is>
      </c>
      <c r="E2413" t="inlineStr">
        <is>
          <t>Nihlwovirus</t>
        </is>
      </c>
      <c r="G2413" t="inlineStr">
        <is>
          <t>Abolished,</t>
        </is>
      </c>
      <c r="L2413" s="8">
        <f>HYPERLINK("https://test.ictv.global/id/TN202211359","TN202211359@TEST")</f>
        <v/>
      </c>
      <c r="M2413" s="8">
        <f>HYPERLINK("https://test.ictv.global/id/ICTV202011359","ICTV202011359@TEST")</f>
        <v/>
      </c>
      <c r="N2413" s="8">
        <f>HYPERLINK("https://ictv.global/id/TN202211359","TN202211359@prod")</f>
        <v/>
      </c>
      <c r="O2413" s="8">
        <f>HYPERLINK("https://ictv.global/id/ICTV202011359","ICTV202011359@prod")</f>
        <v/>
      </c>
    </row>
    <row r="2414">
      <c r="A2414" t="n">
        <v>38</v>
      </c>
      <c r="B2414" t="n">
        <v>202211362</v>
      </c>
      <c r="C2414" t="n">
        <v>202011362</v>
      </c>
      <c r="D2414" t="inlineStr">
        <is>
          <t>genus</t>
        </is>
      </c>
      <c r="E2414" t="inlineStr">
        <is>
          <t>Ociwvivirus</t>
        </is>
      </c>
      <c r="G2414" t="inlineStr">
        <is>
          <t>Abolished,</t>
        </is>
      </c>
      <c r="L2414" s="8">
        <f>HYPERLINK("https://test.ictv.global/id/TN202211362","TN202211362@TEST")</f>
        <v/>
      </c>
      <c r="M2414" s="8">
        <f>HYPERLINK("https://test.ictv.global/id/ICTV202011362","ICTV202011362@TEST")</f>
        <v/>
      </c>
      <c r="N2414" s="8">
        <f>HYPERLINK("https://ictv.global/id/TN202211362","TN202211362@prod")</f>
        <v/>
      </c>
      <c r="O2414" s="8">
        <f>HYPERLINK("https://ictv.global/id/ICTV202011362","ICTV202011362@prod")</f>
        <v/>
      </c>
    </row>
    <row r="2415">
      <c r="A2415" t="n">
        <v>38</v>
      </c>
      <c r="B2415" t="n">
        <v>202211363</v>
      </c>
      <c r="C2415" t="n">
        <v>202011363</v>
      </c>
      <c r="D2415" t="inlineStr">
        <is>
          <t>species</t>
        </is>
      </c>
      <c r="E2415" t="inlineStr">
        <is>
          <t>Ociwvivirus luticola</t>
        </is>
      </c>
      <c r="F2415" t="inlineStr">
        <is>
          <t>BK013691</t>
        </is>
      </c>
      <c r="G2415" t="inlineStr">
        <is>
          <t>Abolished,</t>
        </is>
      </c>
      <c r="L2415" s="8">
        <f>HYPERLINK("https://test.ictv.global/id/TN202211363","TN202211363@TEST")</f>
        <v/>
      </c>
      <c r="M2415" s="8">
        <f>HYPERLINK("https://test.ictv.global/id/ICTV202011363","ICTV202011363@TEST")</f>
        <v/>
      </c>
      <c r="N2415" s="8">
        <f>HYPERLINK("https://ictv.global/id/TN202211363","TN202211363@prod")</f>
        <v/>
      </c>
      <c r="O2415" s="8">
        <f>HYPERLINK("https://ictv.global/id/ICTV202011363","ICTV202011363@prod")</f>
        <v/>
      </c>
    </row>
    <row r="2416">
      <c r="A2416" t="n">
        <v>38</v>
      </c>
      <c r="B2416" t="n">
        <v>202211366</v>
      </c>
      <c r="C2416" t="n">
        <v>202011366</v>
      </c>
      <c r="D2416" t="inlineStr">
        <is>
          <t>genus</t>
        </is>
      </c>
      <c r="E2416" t="inlineStr">
        <is>
          <t>Patimovirus</t>
        </is>
      </c>
      <c r="G2416" t="inlineStr">
        <is>
          <t>Abolished,</t>
        </is>
      </c>
      <c r="L2416" s="8">
        <f>HYPERLINK("https://test.ictv.global/id/TN202211366","TN202211366@TEST")</f>
        <v/>
      </c>
      <c r="M2416" s="8">
        <f>HYPERLINK("https://test.ictv.global/id/ICTV202011366","ICTV202011366@TEST")</f>
        <v/>
      </c>
      <c r="N2416" s="8">
        <f>HYPERLINK("https://ictv.global/id/TN202211366","TN202211366@prod")</f>
        <v/>
      </c>
      <c r="O2416" s="8">
        <f>HYPERLINK("https://ictv.global/id/ICTV202011366","ICTV202011366@prod")</f>
        <v/>
      </c>
    </row>
    <row r="2417">
      <c r="A2417" t="n">
        <v>38</v>
      </c>
      <c r="B2417" t="n">
        <v>202211367</v>
      </c>
      <c r="C2417" t="n">
        <v>202011367</v>
      </c>
      <c r="D2417" t="inlineStr">
        <is>
          <t>species</t>
        </is>
      </c>
      <c r="E2417" t="inlineStr">
        <is>
          <t>Patimovirus humivicinum</t>
        </is>
      </c>
      <c r="F2417" t="inlineStr">
        <is>
          <t>BK013858</t>
        </is>
      </c>
      <c r="G2417" t="inlineStr">
        <is>
          <t>Abolished,</t>
        </is>
      </c>
      <c r="L2417" s="8">
        <f>HYPERLINK("https://test.ictv.global/id/TN202211367","TN202211367@TEST")</f>
        <v/>
      </c>
      <c r="M2417" s="8">
        <f>HYPERLINK("https://test.ictv.global/id/ICTV202011367","ICTV202011367@TEST")</f>
        <v/>
      </c>
      <c r="N2417" s="8">
        <f>HYPERLINK("https://ictv.global/id/TN202211367","TN202211367@prod")</f>
        <v/>
      </c>
      <c r="O2417" s="8">
        <f>HYPERLINK("https://ictv.global/id/ICTV202011367","ICTV202011367@prod")</f>
        <v/>
      </c>
    </row>
    <row r="2418">
      <c r="A2418" t="n">
        <v>38</v>
      </c>
      <c r="B2418" t="n">
        <v>202211368</v>
      </c>
      <c r="C2418" t="n">
        <v>202011368</v>
      </c>
      <c r="D2418" t="inlineStr">
        <is>
          <t>genus</t>
        </is>
      </c>
      <c r="E2418" t="inlineStr">
        <is>
          <t>Pepusduvirus</t>
        </is>
      </c>
      <c r="G2418" t="inlineStr">
        <is>
          <t>Abolished,</t>
        </is>
      </c>
      <c r="L2418" s="8">
        <f>HYPERLINK("https://test.ictv.global/id/TN202211368","TN202211368@TEST")</f>
        <v/>
      </c>
      <c r="M2418" s="8">
        <f>HYPERLINK("https://test.ictv.global/id/ICTV202011368","ICTV202011368@TEST")</f>
        <v/>
      </c>
      <c r="N2418" s="8">
        <f>HYPERLINK("https://ictv.global/id/TN202211368","TN202211368@prod")</f>
        <v/>
      </c>
      <c r="O2418" s="8">
        <f>HYPERLINK("https://ictv.global/id/ICTV202011368","ICTV202011368@prod")</f>
        <v/>
      </c>
    </row>
    <row r="2419">
      <c r="A2419" t="n">
        <v>38</v>
      </c>
      <c r="B2419" t="n">
        <v>202211370</v>
      </c>
      <c r="C2419" t="n">
        <v>202011370</v>
      </c>
      <c r="D2419" t="inlineStr">
        <is>
          <t>genus</t>
        </is>
      </c>
      <c r="E2419" t="inlineStr">
        <is>
          <t>Phulihavirus</t>
        </is>
      </c>
      <c r="G2419" t="inlineStr">
        <is>
          <t>Abolished,</t>
        </is>
      </c>
      <c r="L2419" s="8">
        <f>HYPERLINK("https://test.ictv.global/id/TN202211370","TN202211370@TEST")</f>
        <v/>
      </c>
      <c r="M2419" s="8">
        <f>HYPERLINK("https://test.ictv.global/id/ICTV202011370","ICTV202011370@TEST")</f>
        <v/>
      </c>
      <c r="N2419" s="8">
        <f>HYPERLINK("https://ictv.global/id/TN202211370","TN202211370@prod")</f>
        <v/>
      </c>
      <c r="O2419" s="8">
        <f>HYPERLINK("https://ictv.global/id/ICTV202011370","ICTV202011370@prod")</f>
        <v/>
      </c>
    </row>
    <row r="2420">
      <c r="A2420" t="n">
        <v>38</v>
      </c>
      <c r="B2420" t="n">
        <v>202211371</v>
      </c>
      <c r="C2420" t="n">
        <v>202011371</v>
      </c>
      <c r="D2420" t="inlineStr">
        <is>
          <t>species</t>
        </is>
      </c>
      <c r="E2420" t="inlineStr">
        <is>
          <t>Phulihavirus agrenecus</t>
        </is>
      </c>
      <c r="F2420" t="inlineStr">
        <is>
          <t>BK014014</t>
        </is>
      </c>
      <c r="G2420" t="inlineStr">
        <is>
          <t>Abolished,</t>
        </is>
      </c>
      <c r="L2420" s="8">
        <f>HYPERLINK("https://test.ictv.global/id/TN202211371","TN202211371@TEST")</f>
        <v/>
      </c>
      <c r="M2420" s="8">
        <f>HYPERLINK("https://test.ictv.global/id/ICTV202011371","ICTV202011371@TEST")</f>
        <v/>
      </c>
      <c r="N2420" s="8">
        <f>HYPERLINK("https://ictv.global/id/TN202211371","TN202211371@prod")</f>
        <v/>
      </c>
      <c r="O2420" s="8">
        <f>HYPERLINK("https://ictv.global/id/ICTV202011371","ICTV202011371@prod")</f>
        <v/>
      </c>
    </row>
    <row r="2421">
      <c r="A2421" t="n">
        <v>38</v>
      </c>
      <c r="B2421" t="n">
        <v>202211373</v>
      </c>
      <c r="C2421" t="n">
        <v>202011373</v>
      </c>
      <c r="D2421" t="inlineStr">
        <is>
          <t>species</t>
        </is>
      </c>
      <c r="E2421" t="inlineStr">
        <is>
          <t>Pirifovirus chorohabitans</t>
        </is>
      </c>
      <c r="F2421" t="inlineStr">
        <is>
          <t>BK013572</t>
        </is>
      </c>
      <c r="G2421" t="inlineStr">
        <is>
          <t>Abolished,</t>
        </is>
      </c>
      <c r="L2421" s="8">
        <f>HYPERLINK("https://test.ictv.global/id/TN202211373","TN202211373@TEST")</f>
        <v/>
      </c>
      <c r="M2421" s="8">
        <f>HYPERLINK("https://test.ictv.global/id/ICTV202011373","ICTV202011373@TEST")</f>
        <v/>
      </c>
      <c r="N2421" s="8">
        <f>HYPERLINK("https://ictv.global/id/TN202211373","TN202211373@prod")</f>
        <v/>
      </c>
      <c r="O2421" s="8">
        <f>HYPERLINK("https://ictv.global/id/ICTV202011373","ICTV202011373@prod")</f>
        <v/>
      </c>
    </row>
    <row r="2422">
      <c r="A2422" t="n">
        <v>38</v>
      </c>
      <c r="B2422" t="n">
        <v>202211374</v>
      </c>
      <c r="C2422" t="n">
        <v>202011374</v>
      </c>
      <c r="D2422" t="inlineStr">
        <is>
          <t>species</t>
        </is>
      </c>
      <c r="E2422" t="inlineStr">
        <is>
          <t>Pirifovirus chorenecus</t>
        </is>
      </c>
      <c r="F2422" t="inlineStr">
        <is>
          <t>BK013920</t>
        </is>
      </c>
      <c r="G2422" t="inlineStr">
        <is>
          <t>Abolished,</t>
        </is>
      </c>
      <c r="L2422" s="8">
        <f>HYPERLINK("https://test.ictv.global/id/TN202211374","TN202211374@TEST")</f>
        <v/>
      </c>
      <c r="M2422" s="8">
        <f>HYPERLINK("https://test.ictv.global/id/ICTV202011374","ICTV202011374@TEST")</f>
        <v/>
      </c>
      <c r="N2422" s="8">
        <f>HYPERLINK("https://ictv.global/id/TN202211374","TN202211374@prod")</f>
        <v/>
      </c>
      <c r="O2422" s="8">
        <f>HYPERLINK("https://ictv.global/id/ICTV202011374","ICTV202011374@prod")</f>
        <v/>
      </c>
    </row>
    <row r="2423">
      <c r="A2423" t="n">
        <v>38</v>
      </c>
      <c r="B2423" t="n">
        <v>202211382</v>
      </c>
      <c r="C2423" t="n">
        <v>202011382</v>
      </c>
      <c r="D2423" t="inlineStr">
        <is>
          <t>genus</t>
        </is>
      </c>
      <c r="E2423" t="inlineStr">
        <is>
          <t>Psouhdivirus</t>
        </is>
      </c>
      <c r="G2423" t="inlineStr">
        <is>
          <t>Abolished,</t>
        </is>
      </c>
      <c r="L2423" s="8">
        <f>HYPERLINK("https://test.ictv.global/id/TN202211382","TN202211382@TEST")</f>
        <v/>
      </c>
      <c r="M2423" s="8">
        <f>HYPERLINK("https://test.ictv.global/id/ICTV202011382","ICTV202011382@TEST")</f>
        <v/>
      </c>
      <c r="N2423" s="8">
        <f>HYPERLINK("https://ictv.global/id/TN202211382","TN202211382@prod")</f>
        <v/>
      </c>
      <c r="O2423" s="8">
        <f>HYPERLINK("https://ictv.global/id/ICTV202011382","ICTV202011382@prod")</f>
        <v/>
      </c>
    </row>
    <row r="2424">
      <c r="A2424" t="n">
        <v>38</v>
      </c>
      <c r="B2424" t="n">
        <v>202211392</v>
      </c>
      <c r="C2424" t="n">
        <v>202011392</v>
      </c>
      <c r="D2424" t="inlineStr">
        <is>
          <t>genus</t>
        </is>
      </c>
      <c r="E2424" t="inlineStr">
        <is>
          <t>Pujohnavirus</t>
        </is>
      </c>
      <c r="G2424" t="inlineStr">
        <is>
          <t>Abolished,</t>
        </is>
      </c>
      <c r="L2424" s="8">
        <f>HYPERLINK("https://test.ictv.global/id/TN202211392","TN202211392@TEST")</f>
        <v/>
      </c>
      <c r="M2424" s="8">
        <f>HYPERLINK("https://test.ictv.global/id/ICTV202011392","ICTV202011392@TEST")</f>
        <v/>
      </c>
      <c r="N2424" s="8">
        <f>HYPERLINK("https://ictv.global/id/TN202211392","TN202211392@prod")</f>
        <v/>
      </c>
      <c r="O2424" s="8">
        <f>HYPERLINK("https://ictv.global/id/ICTV202011392","ICTV202011392@prod")</f>
        <v/>
      </c>
    </row>
    <row r="2425">
      <c r="A2425" t="n">
        <v>38</v>
      </c>
      <c r="B2425" t="n">
        <v>202211414</v>
      </c>
      <c r="C2425" t="n">
        <v>202011414</v>
      </c>
      <c r="D2425" t="inlineStr">
        <is>
          <t>genus</t>
        </is>
      </c>
      <c r="E2425" t="inlineStr">
        <is>
          <t>Rohsdrivirus</t>
        </is>
      </c>
      <c r="G2425" t="inlineStr">
        <is>
          <t>Abolished,</t>
        </is>
      </c>
      <c r="L2425" s="8">
        <f>HYPERLINK("https://test.ictv.global/id/TN202211414","TN202211414@TEST")</f>
        <v/>
      </c>
      <c r="M2425" s="8">
        <f>HYPERLINK("https://test.ictv.global/id/ICTV202011414","ICTV202011414@TEST")</f>
        <v/>
      </c>
      <c r="N2425" s="8">
        <f>HYPERLINK("https://ictv.global/id/TN202211414","TN202211414@prod")</f>
        <v/>
      </c>
      <c r="O2425" s="8">
        <f>HYPERLINK("https://ictv.global/id/ICTV202011414","ICTV202011414@prod")</f>
        <v/>
      </c>
    </row>
    <row r="2426">
      <c r="A2426" t="n">
        <v>38</v>
      </c>
      <c r="B2426" t="n">
        <v>202211417</v>
      </c>
      <c r="C2426" t="n">
        <v>202011417</v>
      </c>
      <c r="D2426" t="inlineStr">
        <is>
          <t>genus</t>
        </is>
      </c>
      <c r="E2426" t="inlineStr">
        <is>
          <t>Sdenfavirus</t>
        </is>
      </c>
      <c r="G2426" t="inlineStr">
        <is>
          <t>Abolished,</t>
        </is>
      </c>
      <c r="L2426" s="8">
        <f>HYPERLINK("https://test.ictv.global/id/TN202211417","TN202211417@TEST")</f>
        <v/>
      </c>
      <c r="M2426" s="8">
        <f>HYPERLINK("https://test.ictv.global/id/ICTV202011417","ICTV202011417@TEST")</f>
        <v/>
      </c>
      <c r="N2426" s="8">
        <f>HYPERLINK("https://ictv.global/id/TN202211417","TN202211417@prod")</f>
        <v/>
      </c>
      <c r="O2426" s="8">
        <f>HYPERLINK("https://ictv.global/id/ICTV202011417","ICTV202011417@prod")</f>
        <v/>
      </c>
    </row>
    <row r="2427">
      <c r="A2427" t="n">
        <v>38</v>
      </c>
      <c r="B2427" t="n">
        <v>202211418</v>
      </c>
      <c r="C2427" t="n">
        <v>202011418</v>
      </c>
      <c r="D2427" t="inlineStr">
        <is>
          <t>species</t>
        </is>
      </c>
      <c r="E2427" t="inlineStr">
        <is>
          <t>Sdenfavirus asiovicinum</t>
        </is>
      </c>
      <c r="F2427" t="inlineStr">
        <is>
          <t>BK014176</t>
        </is>
      </c>
      <c r="G2427" t="inlineStr">
        <is>
          <t>Abolished,</t>
        </is>
      </c>
      <c r="L2427" s="8">
        <f>HYPERLINK("https://test.ictv.global/id/TN202211418","TN202211418@TEST")</f>
        <v/>
      </c>
      <c r="M2427" s="8">
        <f>HYPERLINK("https://test.ictv.global/id/ICTV202011418","ICTV202011418@TEST")</f>
        <v/>
      </c>
      <c r="N2427" s="8">
        <f>HYPERLINK("https://ictv.global/id/TN202211418","TN202211418@prod")</f>
        <v/>
      </c>
      <c r="O2427" s="8">
        <f>HYPERLINK("https://ictv.global/id/ICTV202011418","ICTV202011418@prod")</f>
        <v/>
      </c>
    </row>
    <row r="2428">
      <c r="A2428" t="n">
        <v>38</v>
      </c>
      <c r="B2428" t="n">
        <v>202211419</v>
      </c>
      <c r="C2428" t="n">
        <v>202011419</v>
      </c>
      <c r="D2428" t="inlineStr">
        <is>
          <t>genus</t>
        </is>
      </c>
      <c r="E2428" t="inlineStr">
        <is>
          <t>Setohruvirus</t>
        </is>
      </c>
      <c r="G2428" t="inlineStr">
        <is>
          <t>Abolished,</t>
        </is>
      </c>
      <c r="L2428" s="8">
        <f>HYPERLINK("https://test.ictv.global/id/TN202211419","TN202211419@TEST")</f>
        <v/>
      </c>
      <c r="M2428" s="8">
        <f>HYPERLINK("https://test.ictv.global/id/ICTV202011419","ICTV202011419@TEST")</f>
        <v/>
      </c>
      <c r="N2428" s="8">
        <f>HYPERLINK("https://ictv.global/id/TN202211419","TN202211419@prod")</f>
        <v/>
      </c>
      <c r="O2428" s="8">
        <f>HYPERLINK("https://ictv.global/id/ICTV202011419","ICTV202011419@prod")</f>
        <v/>
      </c>
    </row>
    <row r="2429">
      <c r="A2429" t="n">
        <v>38</v>
      </c>
      <c r="B2429" t="n">
        <v>202211424</v>
      </c>
      <c r="C2429" t="n">
        <v>202011424</v>
      </c>
      <c r="D2429" t="inlineStr">
        <is>
          <t>genus</t>
        </is>
      </c>
      <c r="E2429" t="inlineStr">
        <is>
          <t>Snuwdevirus</t>
        </is>
      </c>
      <c r="G2429" t="inlineStr">
        <is>
          <t>Abolished,</t>
        </is>
      </c>
      <c r="L2429" s="8">
        <f>HYPERLINK("https://test.ictv.global/id/TN202211424","TN202211424@TEST")</f>
        <v/>
      </c>
      <c r="M2429" s="8">
        <f>HYPERLINK("https://test.ictv.global/id/ICTV202011424","ICTV202011424@TEST")</f>
        <v/>
      </c>
      <c r="N2429" s="8">
        <f>HYPERLINK("https://ictv.global/id/TN202211424","TN202211424@prod")</f>
        <v/>
      </c>
      <c r="O2429" s="8">
        <f>HYPERLINK("https://ictv.global/id/ICTV202011424","ICTV202011424@prod")</f>
        <v/>
      </c>
    </row>
    <row r="2430">
      <c r="A2430" t="n">
        <v>38</v>
      </c>
      <c r="B2430" t="n">
        <v>202211429</v>
      </c>
      <c r="C2430" t="n">
        <v>202011429</v>
      </c>
      <c r="D2430" t="inlineStr">
        <is>
          <t>species</t>
        </is>
      </c>
      <c r="E2430" t="inlineStr">
        <is>
          <t>Stehnavirus chorenecus</t>
        </is>
      </c>
      <c r="F2430" t="inlineStr">
        <is>
          <t>BK013945</t>
        </is>
      </c>
      <c r="G2430" t="inlineStr">
        <is>
          <t>Abolished,</t>
        </is>
      </c>
      <c r="L2430" s="8">
        <f>HYPERLINK("https://test.ictv.global/id/TN202211429","TN202211429@TEST")</f>
        <v/>
      </c>
      <c r="M2430" s="8">
        <f>HYPERLINK("https://test.ictv.global/id/ICTV202011429","ICTV202011429@TEST")</f>
        <v/>
      </c>
      <c r="N2430" s="8">
        <f>HYPERLINK("https://ictv.global/id/TN202211429","TN202211429@prod")</f>
        <v/>
      </c>
      <c r="O2430" s="8">
        <f>HYPERLINK("https://ictv.global/id/ICTV202011429","ICTV202011429@prod")</f>
        <v/>
      </c>
    </row>
    <row r="2431">
      <c r="A2431" t="n">
        <v>38</v>
      </c>
      <c r="B2431" t="n">
        <v>202211430</v>
      </c>
      <c r="C2431" t="n">
        <v>202011430</v>
      </c>
      <c r="D2431" t="inlineStr">
        <is>
          <t>species</t>
        </is>
      </c>
      <c r="E2431" t="inlineStr">
        <is>
          <t>Stehnavirus chorohabitans</t>
        </is>
      </c>
      <c r="F2431" t="inlineStr">
        <is>
          <t>BK013925</t>
        </is>
      </c>
      <c r="G2431" t="inlineStr">
        <is>
          <t>Abolished,</t>
        </is>
      </c>
      <c r="L2431" s="8">
        <f>HYPERLINK("https://test.ictv.global/id/TN202211430","TN202211430@TEST")</f>
        <v/>
      </c>
      <c r="M2431" s="8">
        <f>HYPERLINK("https://test.ictv.global/id/ICTV202011430","ICTV202011430@TEST")</f>
        <v/>
      </c>
      <c r="N2431" s="8">
        <f>HYPERLINK("https://ictv.global/id/TN202211430","TN202211430@prod")</f>
        <v/>
      </c>
      <c r="O2431" s="8">
        <f>HYPERLINK("https://ictv.global/id/ICTV202011430","ICTV202011430@prod")</f>
        <v/>
      </c>
    </row>
    <row r="2432">
      <c r="A2432" t="n">
        <v>38</v>
      </c>
      <c r="B2432" t="n">
        <v>202211432</v>
      </c>
      <c r="C2432" t="n">
        <v>202011432</v>
      </c>
      <c r="D2432" t="inlineStr">
        <is>
          <t>species</t>
        </is>
      </c>
      <c r="E2432" t="inlineStr">
        <is>
          <t>Stehnavirus chorovicinum</t>
        </is>
      </c>
      <c r="F2432" t="inlineStr">
        <is>
          <t>BK013438</t>
        </is>
      </c>
      <c r="G2432" t="inlineStr">
        <is>
          <t>Abolished,</t>
        </is>
      </c>
      <c r="L2432" s="8">
        <f>HYPERLINK("https://test.ictv.global/id/TN202211432","TN202211432@TEST")</f>
        <v/>
      </c>
      <c r="M2432" s="8">
        <f>HYPERLINK("https://test.ictv.global/id/ICTV202011432","ICTV202011432@TEST")</f>
        <v/>
      </c>
      <c r="N2432" s="8">
        <f>HYPERLINK("https://ictv.global/id/TN202211432","TN202211432@prod")</f>
        <v/>
      </c>
      <c r="O2432" s="8">
        <f>HYPERLINK("https://ictv.global/id/ICTV202011432","ICTV202011432@prod")</f>
        <v/>
      </c>
    </row>
    <row r="2433">
      <c r="A2433" t="n">
        <v>38</v>
      </c>
      <c r="B2433" t="n">
        <v>202211444</v>
      </c>
      <c r="C2433" t="n">
        <v>202011444</v>
      </c>
      <c r="D2433" t="inlineStr">
        <is>
          <t>species</t>
        </is>
      </c>
      <c r="E2433" t="inlineStr">
        <is>
          <t>Tehnicivirus edaphohabitans</t>
        </is>
      </c>
      <c r="F2433" t="inlineStr">
        <is>
          <t>BK014028</t>
        </is>
      </c>
      <c r="G2433" t="inlineStr">
        <is>
          <t>Abolished,</t>
        </is>
      </c>
      <c r="L2433" s="8">
        <f>HYPERLINK("https://test.ictv.global/id/TN202211444","TN202211444@TEST")</f>
        <v/>
      </c>
      <c r="M2433" s="8">
        <f>HYPERLINK("https://test.ictv.global/id/ICTV202011444","ICTV202011444@TEST")</f>
        <v/>
      </c>
      <c r="N2433" s="8">
        <f>HYPERLINK("https://ictv.global/id/TN202211444","TN202211444@prod")</f>
        <v/>
      </c>
      <c r="O2433" s="8">
        <f>HYPERLINK("https://ictv.global/id/ICTV202011444","ICTV202011444@prod")</f>
        <v/>
      </c>
    </row>
    <row r="2434">
      <c r="A2434" t="n">
        <v>38</v>
      </c>
      <c r="B2434" t="n">
        <v>202211445</v>
      </c>
      <c r="C2434" t="n">
        <v>202011445</v>
      </c>
      <c r="D2434" t="inlineStr">
        <is>
          <t>species</t>
        </is>
      </c>
      <c r="E2434" t="inlineStr">
        <is>
          <t>Tehnicivirus edaphocola</t>
        </is>
      </c>
      <c r="F2434" t="inlineStr">
        <is>
          <t>BK013533</t>
        </is>
      </c>
      <c r="G2434" t="inlineStr">
        <is>
          <t>Abolished,</t>
        </is>
      </c>
      <c r="L2434" s="8">
        <f>HYPERLINK("https://test.ictv.global/id/TN202211445","TN202211445@TEST")</f>
        <v/>
      </c>
      <c r="M2434" s="8">
        <f>HYPERLINK("https://test.ictv.global/id/ICTV202011445","ICTV202011445@TEST")</f>
        <v/>
      </c>
      <c r="N2434" s="8">
        <f>HYPERLINK("https://ictv.global/id/TN202211445","TN202211445@prod")</f>
        <v/>
      </c>
      <c r="O2434" s="8">
        <f>HYPERLINK("https://ictv.global/id/ICTV202011445","ICTV202011445@prod")</f>
        <v/>
      </c>
    </row>
    <row r="2435">
      <c r="A2435" t="n">
        <v>38</v>
      </c>
      <c r="B2435" t="n">
        <v>202211447</v>
      </c>
      <c r="C2435" t="n">
        <v>202011447</v>
      </c>
      <c r="D2435" t="inlineStr">
        <is>
          <t>species</t>
        </is>
      </c>
      <c r="E2435" t="inlineStr">
        <is>
          <t>Tehnicivirus pelovicinum</t>
        </is>
      </c>
      <c r="F2435" t="inlineStr">
        <is>
          <t>BK014083</t>
        </is>
      </c>
      <c r="G2435" t="inlineStr">
        <is>
          <t>Abolished,</t>
        </is>
      </c>
      <c r="L2435" s="8">
        <f>HYPERLINK("https://test.ictv.global/id/TN202211447","TN202211447@TEST")</f>
        <v/>
      </c>
      <c r="M2435" s="8">
        <f>HYPERLINK("https://test.ictv.global/id/ICTV202011447","ICTV202011447@TEST")</f>
        <v/>
      </c>
      <c r="N2435" s="8">
        <f>HYPERLINK("https://ictv.global/id/TN202211447","TN202211447@prod")</f>
        <v/>
      </c>
      <c r="O2435" s="8">
        <f>HYPERLINK("https://ictv.global/id/ICTV202011447","ICTV202011447@prod")</f>
        <v/>
      </c>
    </row>
    <row r="2436">
      <c r="A2436" t="n">
        <v>38</v>
      </c>
      <c r="B2436" t="n">
        <v>202211450</v>
      </c>
      <c r="C2436" t="n">
        <v>202011450</v>
      </c>
      <c r="D2436" t="inlineStr">
        <is>
          <t>genus</t>
        </is>
      </c>
      <c r="E2436" t="inlineStr">
        <is>
          <t>Thyrsuvirus</t>
        </is>
      </c>
      <c r="G2436" t="inlineStr">
        <is>
          <t>Abolished,</t>
        </is>
      </c>
      <c r="L2436" s="8">
        <f>HYPERLINK("https://test.ictv.global/id/TN202211450","TN202211450@TEST")</f>
        <v/>
      </c>
      <c r="M2436" s="8">
        <f>HYPERLINK("https://test.ictv.global/id/ICTV202011450","ICTV202011450@TEST")</f>
        <v/>
      </c>
      <c r="N2436" s="8">
        <f>HYPERLINK("https://ictv.global/id/TN202211450","TN202211450@prod")</f>
        <v/>
      </c>
      <c r="O2436" s="8">
        <f>HYPERLINK("https://ictv.global/id/ICTV202011450","ICTV202011450@prod")</f>
        <v/>
      </c>
    </row>
    <row r="2437">
      <c r="A2437" t="n">
        <v>38</v>
      </c>
      <c r="B2437" t="n">
        <v>202211451</v>
      </c>
      <c r="C2437" t="n">
        <v>202011451</v>
      </c>
      <c r="D2437" t="inlineStr">
        <is>
          <t>species</t>
        </is>
      </c>
      <c r="E2437" t="inlineStr">
        <is>
          <t>Thyrsuvirus pedocola</t>
        </is>
      </c>
      <c r="F2437" t="inlineStr">
        <is>
          <t>BK013485</t>
        </is>
      </c>
      <c r="G2437" t="inlineStr">
        <is>
          <t>Abolished,</t>
        </is>
      </c>
      <c r="L2437" s="8">
        <f>HYPERLINK("https://test.ictv.global/id/TN202211451","TN202211451@TEST")</f>
        <v/>
      </c>
      <c r="M2437" s="8">
        <f>HYPERLINK("https://test.ictv.global/id/ICTV202011451","ICTV202011451@TEST")</f>
        <v/>
      </c>
      <c r="N2437" s="8">
        <f>HYPERLINK("https://ictv.global/id/TN202211451","TN202211451@prod")</f>
        <v/>
      </c>
      <c r="O2437" s="8">
        <f>HYPERLINK("https://ictv.global/id/ICTV202011451","ICTV202011451@prod")</f>
        <v/>
      </c>
    </row>
    <row r="2438">
      <c r="A2438" t="n">
        <v>38</v>
      </c>
      <c r="B2438" t="n">
        <v>202211462</v>
      </c>
      <c r="C2438" t="n">
        <v>202011462</v>
      </c>
      <c r="D2438" t="inlineStr">
        <is>
          <t>genus</t>
        </is>
      </c>
      <c r="E2438" t="inlineStr">
        <is>
          <t>Vernevirus</t>
        </is>
      </c>
      <c r="G2438" t="inlineStr">
        <is>
          <t>Abolished,</t>
        </is>
      </c>
      <c r="L2438" s="8">
        <f>HYPERLINK("https://test.ictv.global/id/TN202211462","TN202211462@TEST")</f>
        <v/>
      </c>
      <c r="M2438" s="8">
        <f>HYPERLINK("https://test.ictv.global/id/ICTV202011462","ICTV202011462@TEST")</f>
        <v/>
      </c>
      <c r="N2438" s="8">
        <f>HYPERLINK("https://ictv.global/id/TN202211462","TN202211462@prod")</f>
        <v/>
      </c>
      <c r="O2438" s="8">
        <f>HYPERLINK("https://ictv.global/id/ICTV202011462","ICTV202011462@prod")</f>
        <v/>
      </c>
    </row>
    <row r="2439">
      <c r="A2439" t="n">
        <v>38</v>
      </c>
      <c r="B2439" t="n">
        <v>202211463</v>
      </c>
      <c r="C2439" t="n">
        <v>202011463</v>
      </c>
      <c r="D2439" t="inlineStr">
        <is>
          <t>species</t>
        </is>
      </c>
      <c r="E2439" t="inlineStr">
        <is>
          <t>Vernevirus limadaptatum</t>
        </is>
      </c>
      <c r="F2439" t="inlineStr">
        <is>
          <t>BK014119</t>
        </is>
      </c>
      <c r="G2439" t="inlineStr">
        <is>
          <t>Abolished,</t>
        </is>
      </c>
      <c r="L2439" s="8">
        <f>HYPERLINK("https://test.ictv.global/id/TN202211463","TN202211463@TEST")</f>
        <v/>
      </c>
      <c r="M2439" s="8">
        <f>HYPERLINK("https://test.ictv.global/id/ICTV202011463","ICTV202011463@TEST")</f>
        <v/>
      </c>
      <c r="N2439" s="8">
        <f>HYPERLINK("https://ictv.global/id/TN202211463","TN202211463@prod")</f>
        <v/>
      </c>
      <c r="O2439" s="8">
        <f>HYPERLINK("https://ictv.global/id/ICTV202011463","ICTV202011463@prod")</f>
        <v/>
      </c>
    </row>
    <row r="2440">
      <c r="A2440" t="n">
        <v>38</v>
      </c>
      <c r="B2440" t="n">
        <v>202211464</v>
      </c>
      <c r="C2440" t="n">
        <v>202011464</v>
      </c>
      <c r="D2440" t="inlineStr">
        <is>
          <t>genus</t>
        </is>
      </c>
      <c r="E2440" t="inlineStr">
        <is>
          <t>Vesehyavirus</t>
        </is>
      </c>
      <c r="G2440" t="inlineStr">
        <is>
          <t>Abolished,</t>
        </is>
      </c>
      <c r="L2440" s="8">
        <f>HYPERLINK("https://test.ictv.global/id/TN202211464","TN202211464@TEST")</f>
        <v/>
      </c>
      <c r="M2440" s="8">
        <f>HYPERLINK("https://test.ictv.global/id/ICTV202011464","ICTV202011464@TEST")</f>
        <v/>
      </c>
      <c r="N2440" s="8">
        <f>HYPERLINK("https://ictv.global/id/TN202211464","TN202211464@prod")</f>
        <v/>
      </c>
      <c r="O2440" s="8">
        <f>HYPERLINK("https://ictv.global/id/ICTV202011464","ICTV202011464@prod")</f>
        <v/>
      </c>
    </row>
    <row r="2441">
      <c r="A2441" t="n">
        <v>38</v>
      </c>
      <c r="B2441" t="n">
        <v>202211468</v>
      </c>
      <c r="C2441" t="n">
        <v>202011468</v>
      </c>
      <c r="D2441" t="inlineStr">
        <is>
          <t>genus</t>
        </is>
      </c>
      <c r="E2441" t="inlineStr">
        <is>
          <t>Weheuvirus</t>
        </is>
      </c>
      <c r="G2441" t="inlineStr">
        <is>
          <t>Abolished,</t>
        </is>
      </c>
      <c r="L2441" s="8">
        <f>HYPERLINK("https://test.ictv.global/id/TN202211468","TN202211468@TEST")</f>
        <v/>
      </c>
      <c r="M2441" s="8">
        <f>HYPERLINK("https://test.ictv.global/id/ICTV202011468","ICTV202011468@TEST")</f>
        <v/>
      </c>
      <c r="N2441" s="8">
        <f>HYPERLINK("https://ictv.global/id/TN202211468","TN202211468@prod")</f>
        <v/>
      </c>
      <c r="O2441" s="8">
        <f>HYPERLINK("https://ictv.global/id/ICTV202011468","ICTV202011468@prod")</f>
        <v/>
      </c>
    </row>
    <row r="2442">
      <c r="A2442" t="n">
        <v>38</v>
      </c>
      <c r="B2442" t="n">
        <v>202211505</v>
      </c>
      <c r="C2442" t="n">
        <v>202011505</v>
      </c>
      <c r="D2442" t="inlineStr">
        <is>
          <t>genus</t>
        </is>
      </c>
      <c r="E2442" t="inlineStr">
        <is>
          <t>Zuysuivirus</t>
        </is>
      </c>
      <c r="G2442" t="inlineStr">
        <is>
          <t>Abolished,</t>
        </is>
      </c>
      <c r="L2442" s="8">
        <f>HYPERLINK("https://test.ictv.global/id/TN202211505","TN202211505@TEST")</f>
        <v/>
      </c>
      <c r="M2442" s="8">
        <f>HYPERLINK("https://test.ictv.global/id/ICTV202011505","ICTV202011505@TEST")</f>
        <v/>
      </c>
      <c r="N2442" s="8">
        <f>HYPERLINK("https://ictv.global/id/TN202211505","TN202211505@prod")</f>
        <v/>
      </c>
      <c r="O2442" s="8">
        <f>HYPERLINK("https://ictv.global/id/ICTV202011505","ICTV202011505@prod")</f>
        <v/>
      </c>
    </row>
    <row r="2443">
      <c r="A2443" t="n">
        <v>38</v>
      </c>
      <c r="B2443" t="n">
        <v>202211511</v>
      </c>
      <c r="C2443" t="n">
        <v>202011511</v>
      </c>
      <c r="D2443" t="inlineStr">
        <is>
          <t>genus</t>
        </is>
      </c>
      <c r="E2443" t="inlineStr">
        <is>
          <t>Hohglivirus</t>
        </is>
      </c>
      <c r="G2443" t="inlineStr">
        <is>
          <t>Abolished,</t>
        </is>
      </c>
      <c r="L2443" s="8">
        <f>HYPERLINK("https://test.ictv.global/id/TN202211511","TN202211511@TEST")</f>
        <v/>
      </c>
      <c r="M2443" s="8">
        <f>HYPERLINK("https://test.ictv.global/id/ICTV202011511","ICTV202011511@TEST")</f>
        <v/>
      </c>
      <c r="N2443" s="8">
        <f>HYPERLINK("https://ictv.global/id/TN202211511","TN202211511@prod")</f>
        <v/>
      </c>
      <c r="O2443" s="8">
        <f>HYPERLINK("https://ictv.global/id/ICTV202011511","ICTV202011511@prod")</f>
        <v/>
      </c>
    </row>
    <row r="2444">
      <c r="A2444" t="n">
        <v>38</v>
      </c>
      <c r="B2444" t="n">
        <v>202211512</v>
      </c>
      <c r="C2444" t="n">
        <v>202011512</v>
      </c>
      <c r="D2444" t="inlineStr">
        <is>
          <t>species</t>
        </is>
      </c>
      <c r="E2444" t="inlineStr">
        <is>
          <t>Hohglivirus simiicola</t>
        </is>
      </c>
      <c r="F2444" t="inlineStr">
        <is>
          <t>KT462701</t>
        </is>
      </c>
      <c r="G2444" t="inlineStr">
        <is>
          <t>Abolished,</t>
        </is>
      </c>
      <c r="L2444" s="8">
        <f>HYPERLINK("https://test.ictv.global/id/TN202211512","TN202211512@TEST")</f>
        <v/>
      </c>
      <c r="M2444" s="8">
        <f>HYPERLINK("https://test.ictv.global/id/ICTV202011512","ICTV202011512@TEST")</f>
        <v/>
      </c>
      <c r="N2444" s="8">
        <f>HYPERLINK("https://ictv.global/id/TN202211512","TN202211512@prod")</f>
        <v/>
      </c>
      <c r="O2444" s="8">
        <f>HYPERLINK("https://ictv.global/id/ICTV202011512","ICTV202011512@prod")</f>
        <v/>
      </c>
    </row>
    <row r="2445">
      <c r="A2445" t="n">
        <v>38</v>
      </c>
      <c r="B2445" t="n">
        <v>202211515</v>
      </c>
      <c r="C2445" t="n">
        <v>202011515</v>
      </c>
      <c r="D2445" t="inlineStr">
        <is>
          <t>genus</t>
        </is>
      </c>
      <c r="E2445" t="inlineStr">
        <is>
          <t>Meihzavirus</t>
        </is>
      </c>
      <c r="G2445" t="inlineStr">
        <is>
          <t>Abolished,</t>
        </is>
      </c>
      <c r="L2445" s="8">
        <f>HYPERLINK("https://test.ictv.global/id/TN202211515","TN202211515@TEST")</f>
        <v/>
      </c>
      <c r="M2445" s="8">
        <f>HYPERLINK("https://test.ictv.global/id/ICTV202011515","ICTV202011515@TEST")</f>
        <v/>
      </c>
      <c r="N2445" s="8">
        <f>HYPERLINK("https://ictv.global/id/TN202211515","TN202211515@prod")</f>
        <v/>
      </c>
      <c r="O2445" s="8">
        <f>HYPERLINK("https://ictv.global/id/ICTV202011515","ICTV202011515@prod")</f>
        <v/>
      </c>
    </row>
    <row r="2446">
      <c r="A2446" t="n">
        <v>38</v>
      </c>
      <c r="B2446" t="n">
        <v>202211516</v>
      </c>
      <c r="C2446" t="n">
        <v>202011516</v>
      </c>
      <c r="D2446" t="inlineStr">
        <is>
          <t>species</t>
        </is>
      </c>
      <c r="E2446" t="inlineStr">
        <is>
          <t>Meihzavirus luticola</t>
        </is>
      </c>
      <c r="F2446" t="inlineStr">
        <is>
          <t>BK013754</t>
        </is>
      </c>
      <c r="G2446" t="inlineStr">
        <is>
          <t>Abolished,</t>
        </is>
      </c>
      <c r="L2446" s="8">
        <f>HYPERLINK("https://test.ictv.global/id/TN202211516","TN202211516@TEST")</f>
        <v/>
      </c>
      <c r="M2446" s="8">
        <f>HYPERLINK("https://test.ictv.global/id/ICTV202011516","ICTV202011516@TEST")</f>
        <v/>
      </c>
      <c r="N2446" s="8">
        <f>HYPERLINK("https://ictv.global/id/TN202211516","TN202211516@prod")</f>
        <v/>
      </c>
      <c r="O2446" s="8">
        <f>HYPERLINK("https://ictv.global/id/ICTV202011516","ICTV202011516@prod")</f>
        <v/>
      </c>
    </row>
    <row r="2447">
      <c r="A2447" t="n">
        <v>38</v>
      </c>
      <c r="B2447" t="n">
        <v>202211519</v>
      </c>
      <c r="C2447" t="n">
        <v>202011519</v>
      </c>
      <c r="D2447" t="inlineStr">
        <is>
          <t>genus</t>
        </is>
      </c>
      <c r="E2447" t="inlineStr">
        <is>
          <t>Sculuvirus</t>
        </is>
      </c>
      <c r="G2447" t="inlineStr">
        <is>
          <t>Abolished,</t>
        </is>
      </c>
      <c r="L2447" s="8">
        <f>HYPERLINK("https://test.ictv.global/id/TN202211519","TN202211519@TEST")</f>
        <v/>
      </c>
      <c r="M2447" s="8">
        <f>HYPERLINK("https://test.ictv.global/id/ICTV202011519","ICTV202011519@TEST")</f>
        <v/>
      </c>
      <c r="N2447" s="8">
        <f>HYPERLINK("https://ictv.global/id/TN202211519","TN202211519@prod")</f>
        <v/>
      </c>
      <c r="O2447" s="8">
        <f>HYPERLINK("https://ictv.global/id/ICTV202011519","ICTV202011519@prod")</f>
        <v/>
      </c>
    </row>
    <row r="2448">
      <c r="A2448" t="n">
        <v>38</v>
      </c>
      <c r="B2448" t="n">
        <v>202211520</v>
      </c>
      <c r="C2448" t="n">
        <v>202011520</v>
      </c>
      <c r="D2448" t="inlineStr">
        <is>
          <t>species</t>
        </is>
      </c>
      <c r="E2448" t="inlineStr">
        <is>
          <t>Sculuvirus humenecus</t>
        </is>
      </c>
      <c r="F2448" t="inlineStr">
        <is>
          <t>BK013977</t>
        </is>
      </c>
      <c r="G2448" t="inlineStr">
        <is>
          <t>Abolished,</t>
        </is>
      </c>
      <c r="L2448" s="8">
        <f>HYPERLINK("https://test.ictv.global/id/TN202211520","TN202211520@TEST")</f>
        <v/>
      </c>
      <c r="M2448" s="8">
        <f>HYPERLINK("https://test.ictv.global/id/ICTV202011520","ICTV202011520@TEST")</f>
        <v/>
      </c>
      <c r="N2448" s="8">
        <f>HYPERLINK("https://ictv.global/id/TN202211520","TN202211520@prod")</f>
        <v/>
      </c>
      <c r="O2448" s="8">
        <f>HYPERLINK("https://ictv.global/id/ICTV202011520","ICTV202011520@prod")</f>
        <v/>
      </c>
    </row>
    <row r="2449">
      <c r="A2449" t="n">
        <v>38</v>
      </c>
      <c r="B2449" t="n">
        <v>202211523</v>
      </c>
      <c r="C2449" t="n">
        <v>202011523</v>
      </c>
      <c r="D2449" t="inlineStr">
        <is>
          <t>genus</t>
        </is>
      </c>
      <c r="E2449" t="inlineStr">
        <is>
          <t>Tetipavirus</t>
        </is>
      </c>
      <c r="G2449" t="inlineStr">
        <is>
          <t>Abolished,</t>
        </is>
      </c>
      <c r="L2449" s="8">
        <f>HYPERLINK("https://test.ictv.global/id/TN202211523","TN202211523@TEST")</f>
        <v/>
      </c>
      <c r="M2449" s="8">
        <f>HYPERLINK("https://test.ictv.global/id/ICTV202011523","ICTV202011523@TEST")</f>
        <v/>
      </c>
      <c r="N2449" s="8">
        <f>HYPERLINK("https://ictv.global/id/TN202211523","TN202211523@prod")</f>
        <v/>
      </c>
      <c r="O2449" s="8">
        <f>HYPERLINK("https://ictv.global/id/ICTV202011523","ICTV202011523@prod")</f>
        <v/>
      </c>
    </row>
    <row r="2450">
      <c r="A2450" t="n">
        <v>38</v>
      </c>
      <c r="B2450" t="n">
        <v>202211524</v>
      </c>
      <c r="C2450" t="n">
        <v>202011524</v>
      </c>
      <c r="D2450" t="inlineStr">
        <is>
          <t>species</t>
        </is>
      </c>
      <c r="E2450" t="inlineStr">
        <is>
          <t>Tetipavirus asiadaptatum</t>
        </is>
      </c>
      <c r="F2450" t="inlineStr">
        <is>
          <t>BK013603</t>
        </is>
      </c>
      <c r="G2450" t="inlineStr">
        <is>
          <t>Abolished,</t>
        </is>
      </c>
      <c r="L2450" s="8">
        <f>HYPERLINK("https://test.ictv.global/id/TN202211524","TN202211524@TEST")</f>
        <v/>
      </c>
      <c r="M2450" s="8">
        <f>HYPERLINK("https://test.ictv.global/id/ICTV202011524","ICTV202011524@TEST")</f>
        <v/>
      </c>
      <c r="N2450" s="8">
        <f>HYPERLINK("https://ictv.global/id/TN202211524","TN202211524@prod")</f>
        <v/>
      </c>
      <c r="O2450" s="8">
        <f>HYPERLINK("https://ictv.global/id/ICTV202011524","ICTV202011524@prod")</f>
        <v/>
      </c>
    </row>
    <row r="2451">
      <c r="A2451" t="n">
        <v>38</v>
      </c>
      <c r="B2451" t="n">
        <v>202211525</v>
      </c>
      <c r="C2451" t="n">
        <v>202011525</v>
      </c>
      <c r="D2451" t="inlineStr">
        <is>
          <t>genus</t>
        </is>
      </c>
      <c r="E2451" t="inlineStr">
        <is>
          <t>Winunavirus</t>
        </is>
      </c>
      <c r="G2451" t="inlineStr">
        <is>
          <t>Abolished,</t>
        </is>
      </c>
      <c r="L2451" s="8">
        <f>HYPERLINK("https://test.ictv.global/id/TN202211525","TN202211525@TEST")</f>
        <v/>
      </c>
      <c r="M2451" s="8">
        <f>HYPERLINK("https://test.ictv.global/id/ICTV202011525","ICTV202011525@TEST")</f>
        <v/>
      </c>
      <c r="N2451" s="8">
        <f>HYPERLINK("https://ictv.global/id/TN202211525","TN202211525@prod")</f>
        <v/>
      </c>
      <c r="O2451" s="8">
        <f>HYPERLINK("https://ictv.global/id/ICTV202011525","ICTV202011525@prod")</f>
        <v/>
      </c>
    </row>
    <row r="2452">
      <c r="A2452" t="n">
        <v>38</v>
      </c>
      <c r="B2452" t="n">
        <v>202211526</v>
      </c>
      <c r="C2452" t="n">
        <v>202011526</v>
      </c>
      <c r="D2452" t="inlineStr">
        <is>
          <t>species</t>
        </is>
      </c>
      <c r="E2452" t="inlineStr">
        <is>
          <t>Winunavirus asiadaptatum</t>
        </is>
      </c>
      <c r="F2452" t="inlineStr">
        <is>
          <t>BK014188</t>
        </is>
      </c>
      <c r="G2452" t="inlineStr">
        <is>
          <t>Abolished,</t>
        </is>
      </c>
      <c r="L2452" s="8">
        <f>HYPERLINK("https://test.ictv.global/id/TN202211526","TN202211526@TEST")</f>
        <v/>
      </c>
      <c r="M2452" s="8">
        <f>HYPERLINK("https://test.ictv.global/id/ICTV202011526","ICTV202011526@TEST")</f>
        <v/>
      </c>
      <c r="N2452" s="8">
        <f>HYPERLINK("https://ictv.global/id/TN202211526","TN202211526@prod")</f>
        <v/>
      </c>
      <c r="O2452" s="8">
        <f>HYPERLINK("https://ictv.global/id/ICTV202011526","ICTV202011526@prod")</f>
        <v/>
      </c>
    </row>
    <row r="2453">
      <c r="A2453" t="n">
        <v>38</v>
      </c>
      <c r="B2453" t="n">
        <v>202211601</v>
      </c>
      <c r="C2453" t="n">
        <v>202011601</v>
      </c>
      <c r="D2453" t="inlineStr">
        <is>
          <t>species</t>
        </is>
      </c>
      <c r="E2453" t="inlineStr">
        <is>
          <t>Felsduovirus ST437OXA245phi42</t>
        </is>
      </c>
      <c r="F2453" t="inlineStr">
        <is>
          <t>MK416012.1</t>
        </is>
      </c>
      <c r="G2453" t="inlineStr">
        <is>
          <t>Abolished,</t>
        </is>
      </c>
      <c r="L2453" s="8">
        <f>HYPERLINK("https://test.ictv.global/id/TN202211601","TN202211601@TEST")</f>
        <v/>
      </c>
      <c r="M2453" s="8">
        <f>HYPERLINK("https://test.ictv.global/id/ICTV202011601","ICTV202011601@TEST")</f>
        <v/>
      </c>
      <c r="N2453" s="8">
        <f>HYPERLINK("https://ictv.global/id/TN202211601","TN202211601@prod")</f>
        <v/>
      </c>
      <c r="O2453" s="8">
        <f>HYPERLINK("https://ictv.global/id/ICTV202011601","ICTV202011601@prod")</f>
        <v/>
      </c>
    </row>
    <row r="2454">
      <c r="A2454" t="n">
        <v>38</v>
      </c>
      <c r="B2454" t="n">
        <v>202213349</v>
      </c>
      <c r="C2454" t="n">
        <v>202113349</v>
      </c>
      <c r="D2454" t="inlineStr">
        <is>
          <t>species</t>
        </is>
      </c>
      <c r="E2454" t="inlineStr">
        <is>
          <t>Jeilongvirus felis</t>
        </is>
      </c>
      <c r="F2454" t="inlineStr">
        <is>
          <t>LC431581</t>
        </is>
      </c>
      <c r="G2454" t="inlineStr">
        <is>
          <t>Abolished,</t>
        </is>
      </c>
      <c r="L2454" s="8">
        <f>HYPERLINK("https://test.ictv.global/id/TN202213349","TN202213349@TEST")</f>
        <v/>
      </c>
      <c r="M2454" s="8">
        <f>HYPERLINK("https://test.ictv.global/id/ICTV202113349","ICTV202113349@TEST")</f>
        <v/>
      </c>
      <c r="N2454" s="8">
        <f>HYPERLINK("https://ictv.global/id/TN202213349","TN202213349@prod")</f>
        <v/>
      </c>
      <c r="O2454" s="8">
        <f>HYPERLINK("https://ictv.global/id/ICTV202113349","ICTV202113349@prod")</f>
        <v/>
      </c>
    </row>
    <row r="2455">
      <c r="A2455" t="n">
        <v>38</v>
      </c>
      <c r="B2455" t="n">
        <v>202213350</v>
      </c>
      <c r="C2455" t="n">
        <v>202113350</v>
      </c>
      <c r="D2455" t="inlineStr">
        <is>
          <t>species</t>
        </is>
      </c>
      <c r="E2455" t="inlineStr">
        <is>
          <t>Jeilongvirus anhuiense</t>
        </is>
      </c>
      <c r="F2455" t="inlineStr">
        <is>
          <t>KC154054</t>
        </is>
      </c>
      <c r="G2455" t="inlineStr">
        <is>
          <t>Abolished,</t>
        </is>
      </c>
      <c r="L2455" s="8">
        <f>HYPERLINK("https://test.ictv.global/id/TN202213350","TN202213350@TEST")</f>
        <v/>
      </c>
      <c r="M2455" s="8">
        <f>HYPERLINK("https://test.ictv.global/id/ICTV202113350","ICTV202113350@TEST")</f>
        <v/>
      </c>
      <c r="N2455" s="8">
        <f>HYPERLINK("https://ictv.global/id/TN202213350","TN202213350@prod")</f>
        <v/>
      </c>
      <c r="O2455" s="8">
        <f>HYPERLINK("https://ictv.global/id/ICTV202113350","ICTV202113350@prod")</f>
        <v/>
      </c>
    </row>
    <row r="2456">
      <c r="A2456" t="n">
        <v>38</v>
      </c>
      <c r="B2456" t="n">
        <v>202213351</v>
      </c>
      <c r="C2456" t="n">
        <v>202113351</v>
      </c>
      <c r="D2456" t="inlineStr">
        <is>
          <t>species</t>
        </is>
      </c>
      <c r="E2456" t="inlineStr">
        <is>
          <t>Jeilongvirus murinae</t>
        </is>
      </c>
      <c r="F2456" t="inlineStr">
        <is>
          <t>KJ641657</t>
        </is>
      </c>
      <c r="G2456" t="inlineStr">
        <is>
          <t>Abolished,</t>
        </is>
      </c>
      <c r="L2456" s="8">
        <f>HYPERLINK("https://test.ictv.global/id/TN202213351","TN202213351@TEST")</f>
        <v/>
      </c>
      <c r="M2456" s="8">
        <f>HYPERLINK("https://test.ictv.global/id/ICTV202113351","ICTV202113351@TEST")</f>
        <v/>
      </c>
      <c r="N2456" s="8">
        <f>HYPERLINK("https://ictv.global/id/TN202213351","TN202213351@prod")</f>
        <v/>
      </c>
      <c r="O2456" s="8">
        <f>HYPERLINK("https://ictv.global/id/ICTV202113351","ICTV202113351@prod")</f>
        <v/>
      </c>
    </row>
    <row r="2457">
      <c r="A2457" t="n">
        <v>39</v>
      </c>
      <c r="B2457" t="n">
        <v>202300192</v>
      </c>
      <c r="C2457" t="n">
        <v>20140114</v>
      </c>
      <c r="D2457" t="inlineStr">
        <is>
          <t>subfamily</t>
        </is>
      </c>
      <c r="E2457" t="inlineStr">
        <is>
          <t>Eucampyvirinae</t>
        </is>
      </c>
      <c r="G2457" t="inlineStr">
        <is>
          <t>Abolished,</t>
        </is>
      </c>
      <c r="L2457" s="8">
        <f>HYPERLINK("https://test.ictv.global/id/TN202300192","TN202300192@TEST")</f>
        <v/>
      </c>
      <c r="M2457" s="8">
        <f>HYPERLINK("https://test.ictv.global/id/ICTV20140114","ICTV20140114@TEST")</f>
        <v/>
      </c>
      <c r="N2457" s="8">
        <f>HYPERLINK("https://ictv.global/id/TN202300192","TN202300192@prod")</f>
        <v/>
      </c>
      <c r="O2457" s="8">
        <f>HYPERLINK("https://ictv.global/id/ICTV20140114","ICTV20140114@prod")</f>
        <v/>
      </c>
    </row>
    <row r="2458">
      <c r="A2458" t="n">
        <v>39</v>
      </c>
      <c r="B2458" t="n">
        <v>202300197</v>
      </c>
      <c r="C2458" t="n">
        <v>20140118</v>
      </c>
      <c r="D2458" t="inlineStr">
        <is>
          <t>species</t>
        </is>
      </c>
      <c r="E2458" t="inlineStr">
        <is>
          <t>Campylobacter virus IBB35</t>
        </is>
      </c>
      <c r="F2458" t="inlineStr">
        <is>
          <t>HM246720</t>
        </is>
      </c>
      <c r="G2458" t="inlineStr">
        <is>
          <t>Abolished,</t>
        </is>
      </c>
      <c r="L2458" s="8">
        <f>HYPERLINK("https://test.ictv.global/id/TN202300197","TN202300197@TEST")</f>
        <v/>
      </c>
      <c r="M2458" s="8">
        <f>HYPERLINK("https://test.ictv.global/id/ICTV20140118","ICTV20140118@TEST")</f>
        <v/>
      </c>
      <c r="N2458" s="8">
        <f>HYPERLINK("https://ictv.global/id/TN202300197","TN202300197@prod")</f>
        <v/>
      </c>
      <c r="O2458" s="8">
        <f>HYPERLINK("https://ictv.global/id/ICTV20140118","ICTV20140118@prod")</f>
        <v/>
      </c>
    </row>
    <row r="2459">
      <c r="A2459" t="n">
        <v>39</v>
      </c>
      <c r="B2459" t="n">
        <v>202300222</v>
      </c>
      <c r="C2459" t="n">
        <v>20164642</v>
      </c>
      <c r="D2459" t="inlineStr">
        <is>
          <t>genus</t>
        </is>
      </c>
      <c r="E2459" t="inlineStr">
        <is>
          <t>Suspvirus</t>
        </is>
      </c>
      <c r="G2459" t="inlineStr">
        <is>
          <t>Abolished,</t>
        </is>
      </c>
      <c r="L2459" s="8">
        <f>HYPERLINK("https://test.ictv.global/id/TN202300222","TN202300222@TEST")</f>
        <v/>
      </c>
      <c r="M2459" s="8">
        <f>HYPERLINK("https://test.ictv.global/id/ICTV20164642","ICTV20164642@TEST")</f>
        <v/>
      </c>
      <c r="N2459" s="8">
        <f>HYPERLINK("https://ictv.global/id/TN202300222","TN202300222@prod")</f>
        <v/>
      </c>
      <c r="O2459" s="8">
        <f>HYPERLINK("https://ictv.global/id/ICTV20164642","ICTV20164642@prod")</f>
        <v/>
      </c>
    </row>
    <row r="2460">
      <c r="A2460" t="n">
        <v>39</v>
      </c>
      <c r="B2460" t="n">
        <v>202300543</v>
      </c>
      <c r="C2460" t="n">
        <v>20164888</v>
      </c>
      <c r="D2460" t="inlineStr">
        <is>
          <t>species</t>
        </is>
      </c>
      <c r="E2460" t="inlineStr">
        <is>
          <t>Friunavirus AB3</t>
        </is>
      </c>
      <c r="F2460" t="inlineStr">
        <is>
          <t>KC311669</t>
        </is>
      </c>
      <c r="G2460" t="inlineStr">
        <is>
          <t>Abolished,</t>
        </is>
      </c>
      <c r="L2460" s="8">
        <f>HYPERLINK("https://test.ictv.global/id/TN202300543","TN202300543@TEST")</f>
        <v/>
      </c>
      <c r="M2460" s="8">
        <f>HYPERLINK("https://test.ictv.global/id/ICTV20164888","ICTV20164888@TEST")</f>
        <v/>
      </c>
      <c r="N2460" s="8">
        <f>HYPERLINK("https://ictv.global/id/TN202300543","TN202300543@prod")</f>
        <v/>
      </c>
      <c r="O2460" s="8">
        <f>HYPERLINK("https://ictv.global/id/ICTV20164888","ICTV20164888@prod")</f>
        <v/>
      </c>
    </row>
    <row r="2461">
      <c r="A2461" t="n">
        <v>39</v>
      </c>
      <c r="B2461" t="n">
        <v>202301666</v>
      </c>
      <c r="C2461" t="n">
        <v>19820133</v>
      </c>
      <c r="D2461" t="inlineStr">
        <is>
          <t>genus</t>
        </is>
      </c>
      <c r="E2461" t="inlineStr">
        <is>
          <t>Cytorhabdovirus</t>
        </is>
      </c>
      <c r="G2461" t="inlineStr">
        <is>
          <t>Split,</t>
        </is>
      </c>
      <c r="H2461" t="inlineStr">
        <is>
          <t>Alphacytorhabdovirus</t>
        </is>
      </c>
      <c r="I2461" t="inlineStr">
        <is>
          <t>genus</t>
        </is>
      </c>
      <c r="J2461" t="n">
        <v>202419770</v>
      </c>
      <c r="K2461" t="n">
        <v>202419770</v>
      </c>
      <c r="L2461" s="8">
        <f>HYPERLINK("https://test.ictv.global/id/TN202301666","TN202301666@TEST")</f>
        <v/>
      </c>
      <c r="M2461" s="8">
        <f>HYPERLINK("https://test.ictv.global/id/ICTV19820133","ICTV19820133@TEST")</f>
        <v/>
      </c>
      <c r="N2461" s="8">
        <f>HYPERLINK("https://ictv.global/id/TN202301666","TN202301666@prod")</f>
        <v/>
      </c>
      <c r="O2461" s="8">
        <f>HYPERLINK("https://ictv.global/id/ICTV19820133","ICTV19820133@prod")</f>
        <v/>
      </c>
    </row>
    <row r="2462">
      <c r="A2462" t="n">
        <v>39</v>
      </c>
      <c r="B2462" t="n">
        <v>202301666</v>
      </c>
      <c r="C2462" t="n">
        <v>19820133</v>
      </c>
      <c r="D2462" t="inlineStr">
        <is>
          <t>genus</t>
        </is>
      </c>
      <c r="E2462" t="inlineStr">
        <is>
          <t>Cytorhabdovirus</t>
        </is>
      </c>
      <c r="G2462" t="inlineStr">
        <is>
          <t>Split,</t>
        </is>
      </c>
      <c r="H2462" t="inlineStr">
        <is>
          <t>Betacytorhabdovirus</t>
        </is>
      </c>
      <c r="I2462" t="inlineStr">
        <is>
          <t>genus</t>
        </is>
      </c>
      <c r="J2462" t="n">
        <v>202419771</v>
      </c>
      <c r="K2462" t="n">
        <v>202419771</v>
      </c>
      <c r="L2462" s="8">
        <f>HYPERLINK("https://test.ictv.global/id/TN202301666","TN202301666@TEST")</f>
        <v/>
      </c>
      <c r="M2462" s="8">
        <f>HYPERLINK("https://test.ictv.global/id/ICTV19820133","ICTV19820133@TEST")</f>
        <v/>
      </c>
      <c r="N2462" s="8">
        <f>HYPERLINK("https://ictv.global/id/TN202301666","TN202301666@prod")</f>
        <v/>
      </c>
      <c r="O2462" s="8">
        <f>HYPERLINK("https://ictv.global/id/ICTV19820133","ICTV19820133@prod")</f>
        <v/>
      </c>
    </row>
    <row r="2463">
      <c r="A2463" t="n">
        <v>39</v>
      </c>
      <c r="B2463" t="n">
        <v>202301666</v>
      </c>
      <c r="C2463" t="n">
        <v>19820133</v>
      </c>
      <c r="D2463" t="inlineStr">
        <is>
          <t>genus</t>
        </is>
      </c>
      <c r="E2463" t="inlineStr">
        <is>
          <t>Cytorhabdovirus</t>
        </is>
      </c>
      <c r="G2463" t="inlineStr">
        <is>
          <t>Split,</t>
        </is>
      </c>
      <c r="H2463" t="inlineStr">
        <is>
          <t>Gammacytorhabdovirus</t>
        </is>
      </c>
      <c r="I2463" t="inlineStr">
        <is>
          <t>genus</t>
        </is>
      </c>
      <c r="J2463" t="n">
        <v>202419772</v>
      </c>
      <c r="K2463" t="n">
        <v>202419772</v>
      </c>
      <c r="L2463" s="8">
        <f>HYPERLINK("https://test.ictv.global/id/TN202301666","TN202301666@TEST")</f>
        <v/>
      </c>
      <c r="M2463" s="8">
        <f>HYPERLINK("https://test.ictv.global/id/ICTV19820133","ICTV19820133@TEST")</f>
        <v/>
      </c>
      <c r="N2463" s="8">
        <f>HYPERLINK("https://ictv.global/id/TN202301666","TN202301666@prod")</f>
        <v/>
      </c>
      <c r="O2463" s="8">
        <f>HYPERLINK("https://ictv.global/id/ICTV19820133","ICTV19820133@prod")</f>
        <v/>
      </c>
    </row>
    <row r="2464">
      <c r="A2464" t="n">
        <v>39</v>
      </c>
      <c r="B2464" t="n">
        <v>202301669</v>
      </c>
      <c r="C2464" t="n">
        <v>19790839</v>
      </c>
      <c r="D2464" t="inlineStr">
        <is>
          <t>species</t>
        </is>
      </c>
      <c r="E2464" t="inlineStr">
        <is>
          <t>Cytorhabdovirus brassicae</t>
        </is>
      </c>
      <c r="G2464" t="inlineStr">
        <is>
          <t>Abolished,</t>
        </is>
      </c>
      <c r="L2464" s="8">
        <f>HYPERLINK("https://test.ictv.global/id/TN202301669","TN202301669@TEST")</f>
        <v/>
      </c>
      <c r="M2464" s="8">
        <f>HYPERLINK("https://test.ictv.global/id/ICTV19790839","ICTV19790839@TEST")</f>
        <v/>
      </c>
      <c r="N2464" s="8">
        <f>HYPERLINK("https://ictv.global/id/TN202301669","TN202301669@prod")</f>
        <v/>
      </c>
      <c r="O2464" s="8">
        <f>HYPERLINK("https://ictv.global/id/ICTV19790839","ICTV19790839@prod")</f>
        <v/>
      </c>
    </row>
    <row r="2465">
      <c r="A2465" t="n">
        <v>39</v>
      </c>
      <c r="B2465" t="n">
        <v>202301671</v>
      </c>
      <c r="C2465" t="n">
        <v>19910274</v>
      </c>
      <c r="D2465" t="inlineStr">
        <is>
          <t>species</t>
        </is>
      </c>
      <c r="E2465" t="inlineStr">
        <is>
          <t>Cytorhabdovirus festucae</t>
        </is>
      </c>
      <c r="G2465" t="inlineStr">
        <is>
          <t>Abolished,</t>
        </is>
      </c>
      <c r="L2465" s="8">
        <f>HYPERLINK("https://test.ictv.global/id/TN202301671","TN202301671@TEST")</f>
        <v/>
      </c>
      <c r="M2465" s="8">
        <f>HYPERLINK("https://test.ictv.global/id/ICTV19910274","ICTV19910274@TEST")</f>
        <v/>
      </c>
      <c r="N2465" s="8">
        <f>HYPERLINK("https://ictv.global/id/TN202301671","TN202301671@prod")</f>
        <v/>
      </c>
      <c r="O2465" s="8">
        <f>HYPERLINK("https://ictv.global/id/ICTV19910274","ICTV19910274@prod")</f>
        <v/>
      </c>
    </row>
    <row r="2466">
      <c r="A2466" t="n">
        <v>39</v>
      </c>
      <c r="B2466" t="n">
        <v>202301675</v>
      </c>
      <c r="C2466" t="n">
        <v>19910278</v>
      </c>
      <c r="D2466" t="inlineStr">
        <is>
          <t>species</t>
        </is>
      </c>
      <c r="E2466" t="inlineStr">
        <is>
          <t>Cytorhabdovirus sonchi</t>
        </is>
      </c>
      <c r="G2466" t="inlineStr">
        <is>
          <t>Abolished,</t>
        </is>
      </c>
      <c r="L2466" s="8">
        <f>HYPERLINK("https://test.ictv.global/id/TN202301675","TN202301675@TEST")</f>
        <v/>
      </c>
      <c r="M2466" s="8">
        <f>HYPERLINK("https://test.ictv.global/id/ICTV19910278","ICTV19910278@TEST")</f>
        <v/>
      </c>
      <c r="N2466" s="8">
        <f>HYPERLINK("https://ictv.global/id/TN202301675","TN202301675@prod")</f>
        <v/>
      </c>
      <c r="O2466" s="8">
        <f>HYPERLINK("https://ictv.global/id/ICTV19910278","ICTV19910278@prod")</f>
        <v/>
      </c>
    </row>
    <row r="2467">
      <c r="A2467" t="n">
        <v>39</v>
      </c>
      <c r="B2467" t="n">
        <v>202301677</v>
      </c>
      <c r="C2467" t="n">
        <v>19790846</v>
      </c>
      <c r="D2467" t="inlineStr">
        <is>
          <t>species</t>
        </is>
      </c>
      <c r="E2467" t="inlineStr">
        <is>
          <t>Cytorhabdovirus tritici</t>
        </is>
      </c>
      <c r="G2467" t="inlineStr">
        <is>
          <t>Abolished,</t>
        </is>
      </c>
      <c r="L2467" s="8">
        <f>HYPERLINK("https://test.ictv.global/id/TN202301677","TN202301677@TEST")</f>
        <v/>
      </c>
      <c r="M2467" s="8">
        <f>HYPERLINK("https://test.ictv.global/id/ICTV19790846","ICTV19790846@TEST")</f>
        <v/>
      </c>
      <c r="N2467" s="8">
        <f>HYPERLINK("https://ictv.global/id/TN202301677","TN202301677@prod")</f>
        <v/>
      </c>
      <c r="O2467" s="8">
        <f>HYPERLINK("https://ictv.global/id/ICTV19790846","ICTV19790846@prod")</f>
        <v/>
      </c>
    </row>
    <row r="2468">
      <c r="A2468" t="n">
        <v>39</v>
      </c>
      <c r="B2468" t="n">
        <v>202302297</v>
      </c>
      <c r="C2468" t="n">
        <v>20125780</v>
      </c>
      <c r="D2468" t="inlineStr">
        <is>
          <t>species</t>
        </is>
      </c>
      <c r="E2468" t="inlineStr">
        <is>
          <t>Banana virus X</t>
        </is>
      </c>
      <c r="G2468" t="inlineStr">
        <is>
          <t>Abolished,</t>
        </is>
      </c>
      <c r="L2468" s="8">
        <f>HYPERLINK("https://test.ictv.global/id/TN202302297","TN202302297@TEST")</f>
        <v/>
      </c>
      <c r="M2468" s="8">
        <f>HYPERLINK("https://test.ictv.global/id/ICTV20125780","ICTV20125780@TEST")</f>
        <v/>
      </c>
      <c r="N2468" s="8">
        <f>HYPERLINK("https://ictv.global/id/TN202302297","TN202302297@prod")</f>
        <v/>
      </c>
      <c r="O2468" s="8">
        <f>HYPERLINK("https://ictv.global/id/ICTV20125780","ICTV20125780@prod")</f>
        <v/>
      </c>
    </row>
    <row r="2469">
      <c r="A2469" t="n">
        <v>39</v>
      </c>
      <c r="B2469" t="n">
        <v>202302384</v>
      </c>
      <c r="C2469" t="n">
        <v>20115407</v>
      </c>
      <c r="D2469" t="inlineStr">
        <is>
          <t>species</t>
        </is>
      </c>
      <c r="E2469" t="inlineStr">
        <is>
          <t>Bombyx mori latent virus</t>
        </is>
      </c>
      <c r="F2469" t="inlineStr">
        <is>
          <t>AJ309022</t>
        </is>
      </c>
      <c r="G2469" t="inlineStr">
        <is>
          <t>Abolished,</t>
        </is>
      </c>
      <c r="L2469" s="8">
        <f>HYPERLINK("https://test.ictv.global/id/TN202302384","TN202302384@TEST")</f>
        <v/>
      </c>
      <c r="M2469" s="8">
        <f>HYPERLINK("https://test.ictv.global/id/ICTV20115407","ICTV20115407@TEST")</f>
        <v/>
      </c>
      <c r="N2469" s="8">
        <f>HYPERLINK("https://ictv.global/id/TN202302384","TN202302384@prod")</f>
        <v/>
      </c>
      <c r="O2469" s="8">
        <f>HYPERLINK("https://ictv.global/id/ICTV20115407","ICTV20115407@prod")</f>
        <v/>
      </c>
    </row>
    <row r="2470">
      <c r="A2470" t="n">
        <v>39</v>
      </c>
      <c r="B2470" t="n">
        <v>202302385</v>
      </c>
      <c r="C2470" t="n">
        <v>20115413</v>
      </c>
      <c r="D2470" t="inlineStr">
        <is>
          <t>species</t>
        </is>
      </c>
      <c r="E2470" t="inlineStr">
        <is>
          <t>Poinsettia mosaic virus</t>
        </is>
      </c>
      <c r="G2470" t="inlineStr">
        <is>
          <t>Abolished,</t>
        </is>
      </c>
      <c r="L2470" s="8">
        <f>HYPERLINK("https://test.ictv.global/id/TN202302385","TN202302385@TEST")</f>
        <v/>
      </c>
      <c r="M2470" s="8">
        <f>HYPERLINK("https://test.ictv.global/id/ICTV20115413","ICTV20115413@TEST")</f>
        <v/>
      </c>
      <c r="N2470" s="8">
        <f>HYPERLINK("https://ictv.global/id/TN202302385","TN202302385@prod")</f>
        <v/>
      </c>
      <c r="O2470" s="8">
        <f>HYPERLINK("https://ictv.global/id/ICTV20115413","ICTV20115413@prod")</f>
        <v/>
      </c>
    </row>
    <row r="2471">
      <c r="A2471" t="n">
        <v>39</v>
      </c>
      <c r="B2471" t="n">
        <v>202302685</v>
      </c>
      <c r="C2471" t="n">
        <v>20073240</v>
      </c>
      <c r="D2471" t="inlineStr">
        <is>
          <t>species</t>
        </is>
      </c>
      <c r="E2471" t="inlineStr">
        <is>
          <t>Alphabaculovirus altermaconfiguratae</t>
        </is>
      </c>
      <c r="G2471" t="inlineStr">
        <is>
          <t>Abolished,</t>
        </is>
      </c>
      <c r="L2471" s="8">
        <f>HYPERLINK("https://test.ictv.global/id/TN202302685","TN202302685@TEST")</f>
        <v/>
      </c>
      <c r="M2471" s="8">
        <f>HYPERLINK("https://test.ictv.global/id/ICTV20073240","ICTV20073240@TEST")</f>
        <v/>
      </c>
      <c r="N2471" s="8">
        <f>HYPERLINK("https://ictv.global/id/TN202302685","TN202302685@prod")</f>
        <v/>
      </c>
      <c r="O2471" s="8">
        <f>HYPERLINK("https://ictv.global/id/ICTV20073240","ICTV20073240@prod")</f>
        <v/>
      </c>
    </row>
    <row r="2472">
      <c r="A2472" t="n">
        <v>39</v>
      </c>
      <c r="B2472" t="n">
        <v>202303040</v>
      </c>
      <c r="C2472" t="n">
        <v>19760099</v>
      </c>
      <c r="D2472" t="inlineStr">
        <is>
          <t>genus</t>
        </is>
      </c>
      <c r="E2472" t="inlineStr">
        <is>
          <t>Cystovirus</t>
        </is>
      </c>
      <c r="G2472" t="inlineStr">
        <is>
          <t>Split,</t>
        </is>
      </c>
      <c r="H2472" t="inlineStr">
        <is>
          <t>Orthocystovirus</t>
        </is>
      </c>
      <c r="I2472" t="inlineStr">
        <is>
          <t>genus</t>
        </is>
      </c>
      <c r="J2472" t="n">
        <v>202419822</v>
      </c>
      <c r="K2472" t="n">
        <v>202419822</v>
      </c>
      <c r="L2472" s="8">
        <f>HYPERLINK("https://test.ictv.global/id/TN202303040","TN202303040@TEST")</f>
        <v/>
      </c>
      <c r="M2472" s="8">
        <f>HYPERLINK("https://test.ictv.global/id/ICTV19760099","ICTV19760099@TEST")</f>
        <v/>
      </c>
      <c r="N2472" s="8">
        <f>HYPERLINK("https://ictv.global/id/TN202303040","TN202303040@prod")</f>
        <v/>
      </c>
      <c r="O2472" s="8">
        <f>HYPERLINK("https://ictv.global/id/ICTV19760099","ICTV19760099@prod")</f>
        <v/>
      </c>
    </row>
    <row r="2473">
      <c r="A2473" t="n">
        <v>39</v>
      </c>
      <c r="B2473" t="n">
        <v>202303040</v>
      </c>
      <c r="C2473" t="n">
        <v>19760099</v>
      </c>
      <c r="D2473" t="inlineStr">
        <is>
          <t>genus</t>
        </is>
      </c>
      <c r="E2473" t="inlineStr">
        <is>
          <t>Cystovirus</t>
        </is>
      </c>
      <c r="G2473" t="inlineStr">
        <is>
          <t>Split,</t>
        </is>
      </c>
      <c r="H2473" t="inlineStr">
        <is>
          <t>Alphacystovirus</t>
        </is>
      </c>
      <c r="I2473" t="inlineStr">
        <is>
          <t>genus</t>
        </is>
      </c>
      <c r="J2473" t="n">
        <v>202419823</v>
      </c>
      <c r="K2473" t="n">
        <v>202419823</v>
      </c>
      <c r="L2473" s="8">
        <f>HYPERLINK("https://test.ictv.global/id/TN202303040","TN202303040@TEST")</f>
        <v/>
      </c>
      <c r="M2473" s="8">
        <f>HYPERLINK("https://test.ictv.global/id/ICTV19760099","ICTV19760099@TEST")</f>
        <v/>
      </c>
      <c r="N2473" s="8">
        <f>HYPERLINK("https://ictv.global/id/TN202303040","TN202303040@prod")</f>
        <v/>
      </c>
      <c r="O2473" s="8">
        <f>HYPERLINK("https://ictv.global/id/ICTV19760099","ICTV19760099@prod")</f>
        <v/>
      </c>
    </row>
    <row r="2474">
      <c r="A2474" t="n">
        <v>39</v>
      </c>
      <c r="B2474" t="n">
        <v>202303040</v>
      </c>
      <c r="C2474" t="n">
        <v>19760099</v>
      </c>
      <c r="D2474" t="inlineStr">
        <is>
          <t>genus</t>
        </is>
      </c>
      <c r="E2474" t="inlineStr">
        <is>
          <t>Cystovirus</t>
        </is>
      </c>
      <c r="G2474" t="inlineStr">
        <is>
          <t>Split,</t>
        </is>
      </c>
      <c r="H2474" t="inlineStr">
        <is>
          <t>Betacystovirus</t>
        </is>
      </c>
      <c r="I2474" t="inlineStr">
        <is>
          <t>genus</t>
        </is>
      </c>
      <c r="J2474" t="n">
        <v>202419824</v>
      </c>
      <c r="K2474" t="n">
        <v>202419824</v>
      </c>
      <c r="L2474" s="8">
        <f>HYPERLINK("https://test.ictv.global/id/TN202303040","TN202303040@TEST")</f>
        <v/>
      </c>
      <c r="M2474" s="8">
        <f>HYPERLINK("https://test.ictv.global/id/ICTV19760099","ICTV19760099@TEST")</f>
        <v/>
      </c>
      <c r="N2474" s="8">
        <f>HYPERLINK("https://ictv.global/id/TN202303040","TN202303040@prod")</f>
        <v/>
      </c>
      <c r="O2474" s="8">
        <f>HYPERLINK("https://ictv.global/id/ICTV19760099","ICTV19760099@prod")</f>
        <v/>
      </c>
    </row>
    <row r="2475">
      <c r="A2475" t="n">
        <v>39</v>
      </c>
      <c r="B2475" t="n">
        <v>202303040</v>
      </c>
      <c r="C2475" t="n">
        <v>19760099</v>
      </c>
      <c r="D2475" t="inlineStr">
        <is>
          <t>genus</t>
        </is>
      </c>
      <c r="E2475" t="inlineStr">
        <is>
          <t>Cystovirus</t>
        </is>
      </c>
      <c r="G2475" t="inlineStr">
        <is>
          <t>Split,</t>
        </is>
      </c>
      <c r="H2475" t="inlineStr">
        <is>
          <t>Gammacystovirus</t>
        </is>
      </c>
      <c r="I2475" t="inlineStr">
        <is>
          <t>genus</t>
        </is>
      </c>
      <c r="J2475" t="n">
        <v>202419825</v>
      </c>
      <c r="K2475" t="n">
        <v>202419825</v>
      </c>
      <c r="L2475" s="8">
        <f>HYPERLINK("https://test.ictv.global/id/TN202303040","TN202303040@TEST")</f>
        <v/>
      </c>
      <c r="M2475" s="8">
        <f>HYPERLINK("https://test.ictv.global/id/ICTV19760099","ICTV19760099@TEST")</f>
        <v/>
      </c>
      <c r="N2475" s="8">
        <f>HYPERLINK("https://ictv.global/id/TN202303040","TN202303040@prod")</f>
        <v/>
      </c>
      <c r="O2475" s="8">
        <f>HYPERLINK("https://ictv.global/id/ICTV19760099","ICTV19760099@prod")</f>
        <v/>
      </c>
    </row>
    <row r="2476">
      <c r="A2476" t="n">
        <v>39</v>
      </c>
      <c r="B2476" t="n">
        <v>202303040</v>
      </c>
      <c r="C2476" t="n">
        <v>19760099</v>
      </c>
      <c r="D2476" t="inlineStr">
        <is>
          <t>genus</t>
        </is>
      </c>
      <c r="E2476" t="inlineStr">
        <is>
          <t>Cystovirus</t>
        </is>
      </c>
      <c r="G2476" t="inlineStr">
        <is>
          <t>Split,</t>
        </is>
      </c>
      <c r="H2476" t="inlineStr">
        <is>
          <t>Deltacystovirus</t>
        </is>
      </c>
      <c r="I2476" t="inlineStr">
        <is>
          <t>genus</t>
        </is>
      </c>
      <c r="J2476" t="n">
        <v>202419826</v>
      </c>
      <c r="K2476" t="n">
        <v>202419826</v>
      </c>
      <c r="L2476" s="8">
        <f>HYPERLINK("https://test.ictv.global/id/TN202303040","TN202303040@TEST")</f>
        <v/>
      </c>
      <c r="M2476" s="8">
        <f>HYPERLINK("https://test.ictv.global/id/ICTV19760099","ICTV19760099@TEST")</f>
        <v/>
      </c>
      <c r="N2476" s="8">
        <f>HYPERLINK("https://ictv.global/id/TN202303040","TN202303040@prod")</f>
        <v/>
      </c>
      <c r="O2476" s="8">
        <f>HYPERLINK("https://ictv.global/id/ICTV19760099","ICTV19760099@prod")</f>
        <v/>
      </c>
    </row>
    <row r="2477">
      <c r="A2477" t="n">
        <v>39</v>
      </c>
      <c r="B2477" t="n">
        <v>202305277</v>
      </c>
      <c r="C2477" t="n">
        <v>19952263</v>
      </c>
      <c r="D2477" t="inlineStr">
        <is>
          <t>species</t>
        </is>
      </c>
      <c r="E2477" t="inlineStr">
        <is>
          <t>Ahlum waterborne virus</t>
        </is>
      </c>
      <c r="G2477" t="inlineStr">
        <is>
          <t>Abolished,</t>
        </is>
      </c>
      <c r="L2477" s="8">
        <f>HYPERLINK("https://test.ictv.global/id/TN202305277","TN202305277@TEST")</f>
        <v/>
      </c>
      <c r="M2477" s="8">
        <f>HYPERLINK("https://test.ictv.global/id/ICTV19952263","ICTV19952263@TEST")</f>
        <v/>
      </c>
      <c r="N2477" s="8">
        <f>HYPERLINK("https://ictv.global/id/TN202305277","TN202305277@prod")</f>
        <v/>
      </c>
      <c r="O2477" s="8">
        <f>HYPERLINK("https://ictv.global/id/ICTV19952263","ICTV19952263@prod")</f>
        <v/>
      </c>
    </row>
    <row r="2478">
      <c r="A2478" t="n">
        <v>39</v>
      </c>
      <c r="B2478" t="n">
        <v>202305278</v>
      </c>
      <c r="C2478" t="n">
        <v>19952264</v>
      </c>
      <c r="D2478" t="inlineStr">
        <is>
          <t>species</t>
        </is>
      </c>
      <c r="E2478" t="inlineStr">
        <is>
          <t>Bean mild mosaic virus</t>
        </is>
      </c>
      <c r="G2478" t="inlineStr">
        <is>
          <t>Abolished,</t>
        </is>
      </c>
      <c r="L2478" s="8">
        <f>HYPERLINK("https://test.ictv.global/id/TN202305278","TN202305278@TEST")</f>
        <v/>
      </c>
      <c r="M2478" s="8">
        <f>HYPERLINK("https://test.ictv.global/id/ICTV19952264","ICTV19952264@TEST")</f>
        <v/>
      </c>
      <c r="N2478" s="8">
        <f>HYPERLINK("https://ictv.global/id/TN202305278","TN202305278@prod")</f>
        <v/>
      </c>
      <c r="O2478" s="8">
        <f>HYPERLINK("https://ictv.global/id/ICTV19952264","ICTV19952264@prod")</f>
        <v/>
      </c>
    </row>
    <row r="2479">
      <c r="A2479" t="n">
        <v>39</v>
      </c>
      <c r="B2479" t="n">
        <v>202305279</v>
      </c>
      <c r="C2479" t="n">
        <v>19911702</v>
      </c>
      <c r="D2479" t="inlineStr">
        <is>
          <t>species</t>
        </is>
      </c>
      <c r="E2479" t="inlineStr">
        <is>
          <t>Chenopodium necrosis virus</t>
        </is>
      </c>
      <c r="G2479" t="inlineStr">
        <is>
          <t>Abolished,</t>
        </is>
      </c>
      <c r="L2479" s="8">
        <f>HYPERLINK("https://test.ictv.global/id/TN202305279","TN202305279@TEST")</f>
        <v/>
      </c>
      <c r="M2479" s="8">
        <f>HYPERLINK("https://test.ictv.global/id/ICTV19911702","ICTV19911702@TEST")</f>
        <v/>
      </c>
      <c r="N2479" s="8">
        <f>HYPERLINK("https://ictv.global/id/TN202305279","TN202305279@prod")</f>
        <v/>
      </c>
      <c r="O2479" s="8">
        <f>HYPERLINK("https://ictv.global/id/ICTV19911702","ICTV19911702@prod")</f>
        <v/>
      </c>
    </row>
    <row r="2480">
      <c r="A2480" t="n">
        <v>39</v>
      </c>
      <c r="B2480" t="n">
        <v>202305280</v>
      </c>
      <c r="C2480" t="n">
        <v>19911550</v>
      </c>
      <c r="D2480" t="inlineStr">
        <is>
          <t>species</t>
        </is>
      </c>
      <c r="E2480" t="inlineStr">
        <is>
          <t>Cucumber soil-borne virus</t>
        </is>
      </c>
      <c r="G2480" t="inlineStr">
        <is>
          <t>Abolished,</t>
        </is>
      </c>
      <c r="L2480" s="8">
        <f>HYPERLINK("https://test.ictv.global/id/TN202305280","TN202305280@TEST")</f>
        <v/>
      </c>
      <c r="M2480" s="8">
        <f>HYPERLINK("https://test.ictv.global/id/ICTV19911550","ICTV19911550@TEST")</f>
        <v/>
      </c>
      <c r="N2480" s="8">
        <f>HYPERLINK("https://ictv.global/id/TN202305280","TN202305280@prod")</f>
        <v/>
      </c>
      <c r="O2480" s="8">
        <f>HYPERLINK("https://ictv.global/id/ICTV19911550","ICTV19911550@prod")</f>
        <v/>
      </c>
    </row>
    <row r="2481">
      <c r="A2481" t="n">
        <v>39</v>
      </c>
      <c r="B2481" t="n">
        <v>202305282</v>
      </c>
      <c r="C2481" t="n">
        <v>19952274</v>
      </c>
      <c r="D2481" t="inlineStr">
        <is>
          <t>species</t>
        </is>
      </c>
      <c r="E2481" t="inlineStr">
        <is>
          <t>Weddel waterborne virus</t>
        </is>
      </c>
      <c r="G2481" t="inlineStr">
        <is>
          <t>Abolished,</t>
        </is>
      </c>
      <c r="L2481" s="8">
        <f>HYPERLINK("https://test.ictv.global/id/TN202305282","TN202305282@TEST")</f>
        <v/>
      </c>
      <c r="M2481" s="8">
        <f>HYPERLINK("https://test.ictv.global/id/ICTV19952274","ICTV19952274@TEST")</f>
        <v/>
      </c>
      <c r="N2481" s="8">
        <f>HYPERLINK("https://ictv.global/id/TN202305282","TN202305282@prod")</f>
        <v/>
      </c>
      <c r="O2481" s="8">
        <f>HYPERLINK("https://ictv.global/id/ICTV19952274","ICTV19952274@prod")</f>
        <v/>
      </c>
    </row>
    <row r="2482">
      <c r="A2482" t="n">
        <v>39</v>
      </c>
      <c r="B2482" t="n">
        <v>202307713</v>
      </c>
      <c r="C2482" t="n">
        <v>201907713</v>
      </c>
      <c r="D2482" t="inlineStr">
        <is>
          <t>subfamily</t>
        </is>
      </c>
      <c r="E2482" t="inlineStr">
        <is>
          <t>Dolichocephalovirinae</t>
        </is>
      </c>
      <c r="G2482" t="inlineStr">
        <is>
          <t>Abolished,</t>
        </is>
      </c>
      <c r="L2482" s="8">
        <f>HYPERLINK("https://test.ictv.global/id/TN202307713","TN202307713@TEST")</f>
        <v/>
      </c>
      <c r="M2482" s="8">
        <f>HYPERLINK("https://test.ictv.global/id/ICTV201907713","ICTV201907713@TEST")</f>
        <v/>
      </c>
      <c r="N2482" s="8">
        <f>HYPERLINK("https://ictv.global/id/TN202307713","TN202307713@prod")</f>
        <v/>
      </c>
      <c r="O2482" s="8">
        <f>HYPERLINK("https://ictv.global/id/ICTV201907713","ICTV201907713@prod")</f>
        <v/>
      </c>
    </row>
    <row r="2483">
      <c r="A2483" t="n">
        <v>39</v>
      </c>
      <c r="B2483" t="n">
        <v>202308192</v>
      </c>
      <c r="C2483" t="n">
        <v>20090674</v>
      </c>
      <c r="D2483" t="inlineStr">
        <is>
          <t>family</t>
        </is>
      </c>
      <c r="E2483" t="inlineStr">
        <is>
          <t>Autographiviridae</t>
        </is>
      </c>
      <c r="G2483" t="inlineStr">
        <is>
          <t>Renamed,Promoted,</t>
        </is>
      </c>
      <c r="H2483" t="inlineStr">
        <is>
          <t>Autographivirales</t>
        </is>
      </c>
      <c r="I2483" t="inlineStr">
        <is>
          <t>order</t>
        </is>
      </c>
      <c r="J2483" t="n">
        <v>20090674</v>
      </c>
      <c r="K2483" t="n">
        <v>202408192</v>
      </c>
      <c r="L2483" s="8">
        <f>HYPERLINK("https://test.ictv.global/id/TN202308192","TN202308192@TEST")</f>
        <v/>
      </c>
      <c r="M2483" s="8">
        <f>HYPERLINK("https://test.ictv.global/id/ICTV20090674","ICTV20090674@TEST")</f>
        <v/>
      </c>
      <c r="N2483" s="8">
        <f>HYPERLINK("https://ictv.global/id/TN202308192","TN202308192@prod")</f>
        <v/>
      </c>
      <c r="O2483" s="8">
        <f>HYPERLINK("https://ictv.global/id/ICTV20090674","ICTV20090674@prod")</f>
        <v/>
      </c>
    </row>
    <row r="2484">
      <c r="A2484" t="n">
        <v>39</v>
      </c>
      <c r="B2484" t="n">
        <v>202308200</v>
      </c>
      <c r="C2484" t="n">
        <v>201908200</v>
      </c>
      <c r="D2484" t="inlineStr">
        <is>
          <t>species</t>
        </is>
      </c>
      <c r="E2484" t="inlineStr">
        <is>
          <t>Maculvirus OWB</t>
        </is>
      </c>
      <c r="F2484" t="inlineStr">
        <is>
          <t>MK474470</t>
        </is>
      </c>
      <c r="G2484" t="inlineStr">
        <is>
          <t>Abolished,</t>
        </is>
      </c>
      <c r="L2484" s="8">
        <f>HYPERLINK("https://test.ictv.global/id/TN202308200","TN202308200@TEST")</f>
        <v/>
      </c>
      <c r="M2484" s="8">
        <f>HYPERLINK("https://test.ictv.global/id/ICTV201908200","ICTV201908200@TEST")</f>
        <v/>
      </c>
      <c r="N2484" s="8">
        <f>HYPERLINK("https://ictv.global/id/TN202308200","TN202308200@prod")</f>
        <v/>
      </c>
      <c r="O2484" s="8">
        <f>HYPERLINK("https://ictv.global/id/ICTV201908200","ICTV201908200@prod")</f>
        <v/>
      </c>
    </row>
    <row r="2485">
      <c r="A2485" t="n">
        <v>39</v>
      </c>
      <c r="B2485" t="n">
        <v>202308214</v>
      </c>
      <c r="C2485" t="n">
        <v>201908214</v>
      </c>
      <c r="D2485" t="inlineStr">
        <is>
          <t>species</t>
        </is>
      </c>
      <c r="E2485" t="inlineStr">
        <is>
          <t>Atuphduovirus atuph03</t>
        </is>
      </c>
      <c r="F2485" t="inlineStr">
        <is>
          <t>MF403006</t>
        </is>
      </c>
      <c r="G2485" t="inlineStr">
        <is>
          <t>Abolished,</t>
        </is>
      </c>
      <c r="L2485" s="8">
        <f>HYPERLINK("https://test.ictv.global/id/TN202308214","TN202308214@TEST")</f>
        <v/>
      </c>
      <c r="M2485" s="8">
        <f>HYPERLINK("https://test.ictv.global/id/ICTV201908214","ICTV201908214@TEST")</f>
        <v/>
      </c>
      <c r="N2485" s="8">
        <f>HYPERLINK("https://ictv.global/id/TN202308214","TN202308214@prod")</f>
        <v/>
      </c>
      <c r="O2485" s="8">
        <f>HYPERLINK("https://ictv.global/id/ICTV201908214","ICTV201908214@prod")</f>
        <v/>
      </c>
    </row>
    <row r="2486">
      <c r="A2486" t="n">
        <v>39</v>
      </c>
      <c r="B2486" t="n">
        <v>202308227</v>
      </c>
      <c r="C2486" t="n">
        <v>201908227</v>
      </c>
      <c r="D2486" t="inlineStr">
        <is>
          <t>species</t>
        </is>
      </c>
      <c r="E2486" t="inlineStr">
        <is>
          <t>Cuernavacavirus RHEph09</t>
        </is>
      </c>
      <c r="F2486" t="inlineStr">
        <is>
          <t>JX483880</t>
        </is>
      </c>
      <c r="G2486" t="inlineStr">
        <is>
          <t>Abolished,</t>
        </is>
      </c>
      <c r="L2486" s="8">
        <f>HYPERLINK("https://test.ictv.global/id/TN202308227","TN202308227@TEST")</f>
        <v/>
      </c>
      <c r="M2486" s="8">
        <f>HYPERLINK("https://test.ictv.global/id/ICTV201908227","ICTV201908227@TEST")</f>
        <v/>
      </c>
      <c r="N2486" s="8">
        <f>HYPERLINK("https://ictv.global/id/TN202308227","TN202308227@prod")</f>
        <v/>
      </c>
      <c r="O2486" s="8">
        <f>HYPERLINK("https://ictv.global/id/ICTV201908227","ICTV201908227@prod")</f>
        <v/>
      </c>
    </row>
    <row r="2487">
      <c r="A2487" t="n">
        <v>39</v>
      </c>
      <c r="B2487" t="n">
        <v>202308346</v>
      </c>
      <c r="C2487" t="n">
        <v>201908346</v>
      </c>
      <c r="D2487" t="inlineStr">
        <is>
          <t>species</t>
        </is>
      </c>
      <c r="E2487" t="inlineStr">
        <is>
          <t>Ghunavirus Psa17</t>
        </is>
      </c>
      <c r="F2487" t="inlineStr">
        <is>
          <t>KR091952</t>
        </is>
      </c>
      <c r="G2487" t="inlineStr">
        <is>
          <t>Abolished,</t>
        </is>
      </c>
      <c r="L2487" s="8">
        <f>HYPERLINK("https://test.ictv.global/id/TN202308346","TN202308346@TEST")</f>
        <v/>
      </c>
      <c r="M2487" s="8">
        <f>HYPERLINK("https://test.ictv.global/id/ICTV201908346","ICTV201908346@TEST")</f>
        <v/>
      </c>
      <c r="N2487" s="8">
        <f>HYPERLINK("https://ictv.global/id/TN202308346","TN202308346@prod")</f>
        <v/>
      </c>
      <c r="O2487" s="8">
        <f>HYPERLINK("https://ictv.global/id/ICTV201908346","ICTV201908346@prod")</f>
        <v/>
      </c>
    </row>
    <row r="2488">
      <c r="A2488" t="n">
        <v>39</v>
      </c>
      <c r="B2488" t="n">
        <v>202308373</v>
      </c>
      <c r="C2488" t="n">
        <v>201908373</v>
      </c>
      <c r="D2488" t="inlineStr">
        <is>
          <t>species</t>
        </is>
      </c>
      <c r="E2488" t="inlineStr">
        <is>
          <t>Pektosvirus PP81</t>
        </is>
      </c>
      <c r="F2488" t="inlineStr">
        <is>
          <t>KY124276</t>
        </is>
      </c>
      <c r="G2488" t="inlineStr">
        <is>
          <t>Abolished,</t>
        </is>
      </c>
      <c r="L2488" s="8">
        <f>HYPERLINK("https://test.ictv.global/id/TN202308373","TN202308373@TEST")</f>
        <v/>
      </c>
      <c r="M2488" s="8">
        <f>HYPERLINK("https://test.ictv.global/id/ICTV201908373","ICTV201908373@TEST")</f>
        <v/>
      </c>
      <c r="N2488" s="8">
        <f>HYPERLINK("https://ictv.global/id/TN202308373","TN202308373@prod")</f>
        <v/>
      </c>
      <c r="O2488" s="8">
        <f>HYPERLINK("https://ictv.global/id/ICTV201908373","ICTV201908373@prod")</f>
        <v/>
      </c>
    </row>
    <row r="2489">
      <c r="A2489" t="n">
        <v>39</v>
      </c>
      <c r="B2489" t="n">
        <v>202308376</v>
      </c>
      <c r="C2489" t="n">
        <v>201908376</v>
      </c>
      <c r="D2489" t="inlineStr">
        <is>
          <t>species</t>
        </is>
      </c>
      <c r="E2489" t="inlineStr">
        <is>
          <t>Helsettvirus fPS53</t>
        </is>
      </c>
      <c r="F2489" t="inlineStr">
        <is>
          <t>LT962379</t>
        </is>
      </c>
      <c r="G2489" t="inlineStr">
        <is>
          <t>Abolished,</t>
        </is>
      </c>
      <c r="L2489" s="8">
        <f>HYPERLINK("https://test.ictv.global/id/TN202308376","TN202308376@TEST")</f>
        <v/>
      </c>
      <c r="M2489" s="8">
        <f>HYPERLINK("https://test.ictv.global/id/ICTV201908376","ICTV201908376@TEST")</f>
        <v/>
      </c>
      <c r="N2489" s="8">
        <f>HYPERLINK("https://ictv.global/id/TN202308376","TN202308376@prod")</f>
        <v/>
      </c>
      <c r="O2489" s="8">
        <f>HYPERLINK("https://ictv.global/id/ICTV201908376","ICTV201908376@prod")</f>
        <v/>
      </c>
    </row>
    <row r="2490">
      <c r="A2490" t="n">
        <v>39</v>
      </c>
      <c r="B2490" t="n">
        <v>202308389</v>
      </c>
      <c r="C2490" t="n">
        <v>201908389</v>
      </c>
      <c r="D2490" t="inlineStr">
        <is>
          <t>species</t>
        </is>
      </c>
      <c r="E2490" t="inlineStr">
        <is>
          <t>Berlinvirus Yepe2</t>
        </is>
      </c>
      <c r="F2490" t="inlineStr">
        <is>
          <t>EU734170</t>
        </is>
      </c>
      <c r="G2490" t="inlineStr">
        <is>
          <t>Abolished,</t>
        </is>
      </c>
      <c r="L2490" s="8">
        <f>HYPERLINK("https://test.ictv.global/id/TN202308389","TN202308389@TEST")</f>
        <v/>
      </c>
      <c r="M2490" s="8">
        <f>HYPERLINK("https://test.ictv.global/id/ICTV201908389","ICTV201908389@TEST")</f>
        <v/>
      </c>
      <c r="N2490" s="8">
        <f>HYPERLINK("https://ictv.global/id/TN202308389","TN202308389@prod")</f>
        <v/>
      </c>
      <c r="O2490" s="8">
        <f>HYPERLINK("https://ictv.global/id/ICTV201908389","ICTV201908389@prod")</f>
        <v/>
      </c>
    </row>
    <row r="2491">
      <c r="A2491" t="n">
        <v>39</v>
      </c>
      <c r="B2491" t="n">
        <v>202308392</v>
      </c>
      <c r="C2491" t="n">
        <v>201908392</v>
      </c>
      <c r="D2491" t="inlineStr">
        <is>
          <t>species</t>
        </is>
      </c>
      <c r="E2491" t="inlineStr">
        <is>
          <t>Berlinvirus Yepf</t>
        </is>
      </c>
      <c r="F2491" t="inlineStr">
        <is>
          <t>HQ333270</t>
        </is>
      </c>
      <c r="G2491" t="inlineStr">
        <is>
          <t>Abolished,</t>
        </is>
      </c>
      <c r="L2491" s="8">
        <f>HYPERLINK("https://test.ictv.global/id/TN202308392","TN202308392@TEST")</f>
        <v/>
      </c>
      <c r="M2491" s="8">
        <f>HYPERLINK("https://test.ictv.global/id/ICTV201908392","ICTV201908392@TEST")</f>
        <v/>
      </c>
      <c r="N2491" s="8">
        <f>HYPERLINK("https://ictv.global/id/TN202308392","TN202308392@prod")</f>
        <v/>
      </c>
      <c r="O2491" s="8">
        <f>HYPERLINK("https://ictv.global/id/ICTV201908392","ICTV201908392@prod")</f>
        <v/>
      </c>
    </row>
    <row r="2492">
      <c r="A2492" t="n">
        <v>39</v>
      </c>
      <c r="B2492" t="n">
        <v>202308420</v>
      </c>
      <c r="C2492" t="n">
        <v>201908420</v>
      </c>
      <c r="D2492" t="inlineStr">
        <is>
          <t>species</t>
        </is>
      </c>
      <c r="E2492" t="inlineStr">
        <is>
          <t>Kayfunavirus EcpYZU01</t>
        </is>
      </c>
      <c r="F2492" t="inlineStr">
        <is>
          <t>MK033136</t>
        </is>
      </c>
      <c r="G2492" t="inlineStr">
        <is>
          <t>Abolished,</t>
        </is>
      </c>
      <c r="L2492" s="8">
        <f>HYPERLINK("https://test.ictv.global/id/TN202308420","TN202308420@TEST")</f>
        <v/>
      </c>
      <c r="M2492" s="8">
        <f>HYPERLINK("https://test.ictv.global/id/ICTV201908420","ICTV201908420@TEST")</f>
        <v/>
      </c>
      <c r="N2492" s="8">
        <f>HYPERLINK("https://ictv.global/id/TN202308420","TN202308420@prod")</f>
        <v/>
      </c>
      <c r="O2492" s="8">
        <f>HYPERLINK("https://ictv.global/id/ICTV201908420","ICTV201908420@prod")</f>
        <v/>
      </c>
    </row>
    <row r="2493">
      <c r="A2493" t="n">
        <v>39</v>
      </c>
      <c r="B2493" t="n">
        <v>202308433</v>
      </c>
      <c r="C2493" t="n">
        <v>201908433</v>
      </c>
      <c r="D2493" t="inlineStr">
        <is>
          <t>species</t>
        </is>
      </c>
      <c r="E2493" t="inlineStr">
        <is>
          <t>Przondovirus KpV766</t>
        </is>
      </c>
      <c r="F2493" t="inlineStr">
        <is>
          <t>KX712071</t>
        </is>
      </c>
      <c r="G2493" t="inlineStr">
        <is>
          <t>Abolished,</t>
        </is>
      </c>
      <c r="L2493" s="8">
        <f>HYPERLINK("https://test.ictv.global/id/TN202308433","TN202308433@TEST")</f>
        <v/>
      </c>
      <c r="M2493" s="8">
        <f>HYPERLINK("https://test.ictv.global/id/ICTV201908433","ICTV201908433@TEST")</f>
        <v/>
      </c>
      <c r="N2493" s="8">
        <f>HYPERLINK("https://ictv.global/id/TN202308433","TN202308433@prod")</f>
        <v/>
      </c>
      <c r="O2493" s="8">
        <f>HYPERLINK("https://ictv.global/id/ICTV201908433","ICTV201908433@prod")</f>
        <v/>
      </c>
    </row>
    <row r="2494">
      <c r="A2494" t="n">
        <v>39</v>
      </c>
      <c r="B2494" t="n">
        <v>202308464</v>
      </c>
      <c r="C2494" t="n">
        <v>201908464</v>
      </c>
      <c r="D2494" t="inlineStr">
        <is>
          <t>species</t>
        </is>
      </c>
      <c r="E2494" t="inlineStr">
        <is>
          <t>Teetrevirus T7M</t>
        </is>
      </c>
      <c r="F2494" t="inlineStr">
        <is>
          <t>JX421753</t>
        </is>
      </c>
      <c r="G2494" t="inlineStr">
        <is>
          <t>Abolished,</t>
        </is>
      </c>
      <c r="L2494" s="8">
        <f>HYPERLINK("https://test.ictv.global/id/TN202308464","TN202308464@TEST")</f>
        <v/>
      </c>
      <c r="M2494" s="8">
        <f>HYPERLINK("https://test.ictv.global/id/ICTV201908464","ICTV201908464@TEST")</f>
        <v/>
      </c>
      <c r="N2494" s="8">
        <f>HYPERLINK("https://ictv.global/id/TN202308464","TN202308464@prod")</f>
        <v/>
      </c>
      <c r="O2494" s="8">
        <f>HYPERLINK("https://ictv.global/id/ICTV201908464","ICTV201908464@prod")</f>
        <v/>
      </c>
    </row>
    <row r="2495">
      <c r="A2495" t="n">
        <v>39</v>
      </c>
      <c r="B2495" t="n">
        <v>202308480</v>
      </c>
      <c r="C2495" t="n">
        <v>201908480</v>
      </c>
      <c r="D2495" t="inlineStr">
        <is>
          <t>species</t>
        </is>
      </c>
      <c r="E2495" t="inlineStr">
        <is>
          <t>Teseptimavirus YpPY</t>
        </is>
      </c>
      <c r="F2495" t="inlineStr">
        <is>
          <t>JQ965700</t>
        </is>
      </c>
      <c r="G2495" t="inlineStr">
        <is>
          <t>Abolished,</t>
        </is>
      </c>
      <c r="L2495" s="8">
        <f>HYPERLINK("https://test.ictv.global/id/TN202308480","TN202308480@TEST")</f>
        <v/>
      </c>
      <c r="M2495" s="8">
        <f>HYPERLINK("https://test.ictv.global/id/ICTV201908480","ICTV201908480@TEST")</f>
        <v/>
      </c>
      <c r="N2495" s="8">
        <f>HYPERLINK("https://ictv.global/id/TN202308480","TN202308480@prod")</f>
        <v/>
      </c>
      <c r="O2495" s="8">
        <f>HYPERLINK("https://ictv.global/id/ICTV201908480","ICTV201908480@prod")</f>
        <v/>
      </c>
    </row>
    <row r="2496">
      <c r="A2496" t="n">
        <v>39</v>
      </c>
      <c r="B2496" t="n">
        <v>202308481</v>
      </c>
      <c r="C2496" t="n">
        <v>201908481</v>
      </c>
      <c r="D2496" t="inlineStr">
        <is>
          <t>species</t>
        </is>
      </c>
      <c r="E2496" t="inlineStr">
        <is>
          <t>Teseptimavirus YpsPG</t>
        </is>
      </c>
      <c r="F2496" t="inlineStr">
        <is>
          <t>JQ965703</t>
        </is>
      </c>
      <c r="G2496" t="inlineStr">
        <is>
          <t>Abolished,</t>
        </is>
      </c>
      <c r="L2496" s="8">
        <f>HYPERLINK("https://test.ictv.global/id/TN202308481","TN202308481@TEST")</f>
        <v/>
      </c>
      <c r="M2496" s="8">
        <f>HYPERLINK("https://test.ictv.global/id/ICTV201908481","ICTV201908481@TEST")</f>
        <v/>
      </c>
      <c r="N2496" s="8">
        <f>HYPERLINK("https://ictv.global/id/TN202308481","TN202308481@prod")</f>
        <v/>
      </c>
      <c r="O2496" s="8">
        <f>HYPERLINK("https://ictv.global/id/ICTV201908481","ICTV201908481@prod")</f>
        <v/>
      </c>
    </row>
    <row r="2497">
      <c r="A2497" t="n">
        <v>39</v>
      </c>
      <c r="B2497" t="n">
        <v>202308508</v>
      </c>
      <c r="C2497" t="n">
        <v>201908508</v>
      </c>
      <c r="D2497" t="inlineStr">
        <is>
          <t>species</t>
        </is>
      </c>
      <c r="E2497" t="inlineStr">
        <is>
          <t>Friunavirus SWHAb1</t>
        </is>
      </c>
      <c r="F2497" t="inlineStr">
        <is>
          <t>MG459218</t>
        </is>
      </c>
      <c r="G2497" t="inlineStr">
        <is>
          <t>Abolished,</t>
        </is>
      </c>
      <c r="L2497" s="8">
        <f>HYPERLINK("https://test.ictv.global/id/TN202308508","TN202308508@TEST")</f>
        <v/>
      </c>
      <c r="M2497" s="8">
        <f>HYPERLINK("https://test.ictv.global/id/ICTV201908508","ICTV201908508@TEST")</f>
        <v/>
      </c>
      <c r="N2497" s="8">
        <f>HYPERLINK("https://ictv.global/id/TN202308508","TN202308508@prod")</f>
        <v/>
      </c>
      <c r="O2497" s="8">
        <f>HYPERLINK("https://ictv.global/id/ICTV201908508","ICTV201908508@prod")</f>
        <v/>
      </c>
    </row>
    <row r="2498">
      <c r="A2498" t="n">
        <v>39</v>
      </c>
      <c r="B2498" t="n">
        <v>202308509</v>
      </c>
      <c r="C2498" t="n">
        <v>201908509</v>
      </c>
      <c r="D2498" t="inlineStr">
        <is>
          <t>species</t>
        </is>
      </c>
      <c r="E2498" t="inlineStr">
        <is>
          <t>Friunavirus SWHAb3</t>
        </is>
      </c>
      <c r="F2498" t="inlineStr">
        <is>
          <t>MG599035</t>
        </is>
      </c>
      <c r="G2498" t="inlineStr">
        <is>
          <t>Abolished,</t>
        </is>
      </c>
      <c r="L2498" s="8">
        <f>HYPERLINK("https://test.ictv.global/id/TN202308509","TN202308509@TEST")</f>
        <v/>
      </c>
      <c r="M2498" s="8">
        <f>HYPERLINK("https://test.ictv.global/id/ICTV201908509","ICTV201908509@TEST")</f>
        <v/>
      </c>
      <c r="N2498" s="8">
        <f>HYPERLINK("https://ictv.global/id/TN202308509","TN202308509@prod")</f>
        <v/>
      </c>
      <c r="O2498" s="8">
        <f>HYPERLINK("https://ictv.global/id/ICTV201908509","ICTV201908509@prod")</f>
        <v/>
      </c>
    </row>
    <row r="2499">
      <c r="A2499" t="n">
        <v>39</v>
      </c>
      <c r="B2499" t="n">
        <v>202308518</v>
      </c>
      <c r="C2499" t="n">
        <v>201908518</v>
      </c>
      <c r="D2499" t="inlineStr">
        <is>
          <t>species</t>
        </is>
      </c>
      <c r="E2499" t="inlineStr">
        <is>
          <t>Phikmvvirus PT2</t>
        </is>
      </c>
      <c r="F2499" t="inlineStr">
        <is>
          <t>EU236438</t>
        </is>
      </c>
      <c r="G2499" t="inlineStr">
        <is>
          <t>Abolished,</t>
        </is>
      </c>
      <c r="L2499" s="8">
        <f>HYPERLINK("https://test.ictv.global/id/TN202308518","TN202308518@TEST")</f>
        <v/>
      </c>
      <c r="M2499" s="8">
        <f>HYPERLINK("https://test.ictv.global/id/ICTV201908518","ICTV201908518@TEST")</f>
        <v/>
      </c>
      <c r="N2499" s="8">
        <f>HYPERLINK("https://ictv.global/id/TN202308518","TN202308518@prod")</f>
        <v/>
      </c>
      <c r="O2499" s="8">
        <f>HYPERLINK("https://ictv.global/id/ICTV201908518","ICTV201908518@prod")</f>
        <v/>
      </c>
    </row>
    <row r="2500">
      <c r="A2500" t="n">
        <v>39</v>
      </c>
      <c r="B2500" t="n">
        <v>202308524</v>
      </c>
      <c r="C2500" t="n">
        <v>201908524</v>
      </c>
      <c r="D2500" t="inlineStr">
        <is>
          <t>species</t>
        </is>
      </c>
      <c r="E2500" t="inlineStr">
        <is>
          <t>Phikmvvirus NFS</t>
        </is>
      </c>
      <c r="F2500" t="inlineStr">
        <is>
          <t>KU743887</t>
        </is>
      </c>
      <c r="G2500" t="inlineStr">
        <is>
          <t>Abolished,</t>
        </is>
      </c>
      <c r="L2500" s="8">
        <f>HYPERLINK("https://test.ictv.global/id/TN202308524","TN202308524@TEST")</f>
        <v/>
      </c>
      <c r="M2500" s="8">
        <f>HYPERLINK("https://test.ictv.global/id/ICTV201908524","ICTV201908524@TEST")</f>
        <v/>
      </c>
      <c r="N2500" s="8">
        <f>HYPERLINK("https://ictv.global/id/TN202308524","TN202308524@prod")</f>
        <v/>
      </c>
      <c r="O2500" s="8">
        <f>HYPERLINK("https://ictv.global/id/ICTV201908524","ICTV201908524@prod")</f>
        <v/>
      </c>
    </row>
    <row r="2501">
      <c r="A2501" t="n">
        <v>39</v>
      </c>
      <c r="B2501" t="n">
        <v>202308587</v>
      </c>
      <c r="C2501" t="n">
        <v>201908587</v>
      </c>
      <c r="D2501" t="inlineStr">
        <is>
          <t>species</t>
        </is>
      </c>
      <c r="E2501" t="inlineStr">
        <is>
          <t>Vectrevirus cee</t>
        </is>
      </c>
      <c r="F2501" t="inlineStr">
        <is>
          <t>KY295892</t>
        </is>
      </c>
      <c r="G2501" t="inlineStr">
        <is>
          <t>Abolished,</t>
        </is>
      </c>
      <c r="L2501" s="8">
        <f>HYPERLINK("https://test.ictv.global/id/TN202308587","TN202308587@TEST")</f>
        <v/>
      </c>
      <c r="M2501" s="8">
        <f>HYPERLINK("https://test.ictv.global/id/ICTV201908587","ICTV201908587@TEST")</f>
        <v/>
      </c>
      <c r="N2501" s="8">
        <f>HYPERLINK("https://ictv.global/id/TN202308587","TN202308587@prod")</f>
        <v/>
      </c>
      <c r="O2501" s="8">
        <f>HYPERLINK("https://ictv.global/id/ICTV201908587","ICTV201908587@prod")</f>
        <v/>
      </c>
    </row>
    <row r="2502">
      <c r="A2502" t="n">
        <v>39</v>
      </c>
      <c r="B2502" t="n">
        <v>202308620</v>
      </c>
      <c r="C2502" t="n">
        <v>201908620</v>
      </c>
      <c r="D2502" t="inlineStr">
        <is>
          <t>species</t>
        </is>
      </c>
      <c r="E2502" t="inlineStr">
        <is>
          <t>Kaohsiungvirus AS51</t>
        </is>
      </c>
      <c r="F2502" t="inlineStr">
        <is>
          <t>KF800937</t>
        </is>
      </c>
      <c r="G2502" t="inlineStr">
        <is>
          <t>Abolished,</t>
        </is>
      </c>
      <c r="L2502" s="8">
        <f>HYPERLINK("https://test.ictv.global/id/TN202308620","TN202308620@TEST")</f>
        <v/>
      </c>
      <c r="M2502" s="8">
        <f>HYPERLINK("https://test.ictv.global/id/ICTV201908620","ICTV201908620@TEST")</f>
        <v/>
      </c>
      <c r="N2502" s="8">
        <f>HYPERLINK("https://ictv.global/id/TN202308620","TN202308620@prod")</f>
        <v/>
      </c>
      <c r="O2502" s="8">
        <f>HYPERLINK("https://ictv.global/id/ICTV201908620","ICTV201908620@prod")</f>
        <v/>
      </c>
    </row>
    <row r="2503">
      <c r="A2503" t="n">
        <v>39</v>
      </c>
      <c r="B2503" t="n">
        <v>202308624</v>
      </c>
      <c r="C2503" t="n">
        <v>201908624</v>
      </c>
      <c r="D2503" t="inlineStr">
        <is>
          <t>species</t>
        </is>
      </c>
      <c r="E2503" t="inlineStr">
        <is>
          <t>Murciavirus CB5A</t>
        </is>
      </c>
      <c r="F2503" t="inlineStr">
        <is>
          <t>MF481197</t>
        </is>
      </c>
      <c r="G2503" t="inlineStr">
        <is>
          <t>Abolished,</t>
        </is>
      </c>
      <c r="L2503" s="8">
        <f>HYPERLINK("https://test.ictv.global/id/TN202308624","TN202308624@TEST")</f>
        <v/>
      </c>
      <c r="M2503" s="8">
        <f>HYPERLINK("https://test.ictv.global/id/ICTV201908624","ICTV201908624@TEST")</f>
        <v/>
      </c>
      <c r="N2503" s="8">
        <f>HYPERLINK("https://ictv.global/id/TN202308624","TN202308624@prod")</f>
        <v/>
      </c>
      <c r="O2503" s="8">
        <f>HYPERLINK("https://ictv.global/id/ICTV201908624","ICTV201908624@prod")</f>
        <v/>
      </c>
    </row>
    <row r="2504">
      <c r="A2504" t="n">
        <v>39</v>
      </c>
      <c r="B2504" t="n">
        <v>202309428</v>
      </c>
      <c r="C2504" t="n">
        <v>202009428</v>
      </c>
      <c r="D2504" t="inlineStr">
        <is>
          <t>genus</t>
        </is>
      </c>
      <c r="E2504" t="inlineStr">
        <is>
          <t>Dalettorquevirus</t>
        </is>
      </c>
      <c r="G2504" t="inlineStr">
        <is>
          <t>Abolished,</t>
        </is>
      </c>
      <c r="L2504" s="8">
        <f>HYPERLINK("https://test.ictv.global/id/TN202309428","TN202309428@TEST")</f>
        <v/>
      </c>
      <c r="M2504" s="8">
        <f>HYPERLINK("https://test.ictv.global/id/ICTV202009428","ICTV202009428@TEST")</f>
        <v/>
      </c>
      <c r="N2504" s="8">
        <f>HYPERLINK("https://ictv.global/id/TN202309428","TN202309428@prod")</f>
        <v/>
      </c>
      <c r="O2504" s="8">
        <f>HYPERLINK("https://ictv.global/id/ICTV202009428","ICTV202009428@prod")</f>
        <v/>
      </c>
    </row>
    <row r="2505">
      <c r="A2505" t="n">
        <v>39</v>
      </c>
      <c r="B2505" t="n">
        <v>202309605</v>
      </c>
      <c r="C2505" t="n">
        <v>202009605</v>
      </c>
      <c r="D2505" t="inlineStr">
        <is>
          <t>species</t>
        </is>
      </c>
      <c r="E2505" t="inlineStr">
        <is>
          <t>Orthophasmavirus coleopterus</t>
        </is>
      </c>
      <c r="F2505" t="inlineStr">
        <is>
          <t>MT153459, MT153483, MT153542</t>
        </is>
      </c>
      <c r="G2505" t="inlineStr">
        <is>
          <t>Abolished,</t>
        </is>
      </c>
      <c r="L2505" s="8">
        <f>HYPERLINK("https://test.ictv.global/id/TN202309605","TN202309605@TEST")</f>
        <v/>
      </c>
      <c r="M2505" s="8">
        <f>HYPERLINK("https://test.ictv.global/id/ICTV202009605","ICTV202009605@TEST")</f>
        <v/>
      </c>
      <c r="N2505" s="8">
        <f>HYPERLINK("https://ictv.global/id/TN202309605","TN202309605@prod")</f>
        <v/>
      </c>
      <c r="O2505" s="8">
        <f>HYPERLINK("https://ictv.global/id/ICTV202009605","ICTV202009605@prod")</f>
        <v/>
      </c>
    </row>
    <row r="2506">
      <c r="A2506" t="n">
        <v>39</v>
      </c>
      <c r="B2506" t="n">
        <v>202309613</v>
      </c>
      <c r="C2506" t="n">
        <v>202009613</v>
      </c>
      <c r="D2506" t="inlineStr">
        <is>
          <t>species</t>
        </is>
      </c>
      <c r="E2506" t="inlineStr">
        <is>
          <t>Feravirus hemipterus</t>
        </is>
      </c>
      <c r="F2506" t="inlineStr">
        <is>
          <t>MT153364, MT153396, MT153439</t>
        </is>
      </c>
      <c r="G2506" t="inlineStr">
        <is>
          <t>Abolished,</t>
        </is>
      </c>
      <c r="L2506" s="8">
        <f>HYPERLINK("https://test.ictv.global/id/TN202309613","TN202309613@TEST")</f>
        <v/>
      </c>
      <c r="M2506" s="8">
        <f>HYPERLINK("https://test.ictv.global/id/ICTV202009613","ICTV202009613@TEST")</f>
        <v/>
      </c>
      <c r="N2506" s="8">
        <f>HYPERLINK("https://ictv.global/id/TN202309613","TN202309613@prod")</f>
        <v/>
      </c>
      <c r="O2506" s="8">
        <f>HYPERLINK("https://ictv.global/id/ICTV202009613","ICTV202009613@prod")</f>
        <v/>
      </c>
    </row>
    <row r="2507">
      <c r="A2507" t="n">
        <v>39</v>
      </c>
      <c r="B2507" t="n">
        <v>202312241</v>
      </c>
      <c r="C2507" t="n">
        <v>202112241</v>
      </c>
      <c r="D2507" t="inlineStr">
        <is>
          <t>species</t>
        </is>
      </c>
      <c r="E2507" t="inlineStr">
        <is>
          <t>Orthophasmavirus flenense</t>
        </is>
      </c>
      <c r="F2507" t="inlineStr">
        <is>
          <t>MN513376, MN513375, MN513374</t>
        </is>
      </c>
      <c r="G2507" t="inlineStr">
        <is>
          <t>Abolished,</t>
        </is>
      </c>
      <c r="L2507" s="8">
        <f>HYPERLINK("https://test.ictv.global/id/TN202312241","TN202312241@TEST")</f>
        <v/>
      </c>
      <c r="M2507" s="8">
        <f>HYPERLINK("https://test.ictv.global/id/ICTV202112241","ICTV202112241@TEST")</f>
        <v/>
      </c>
      <c r="N2507" s="8">
        <f>HYPERLINK("https://ictv.global/id/TN202312241","TN202312241@prod")</f>
        <v/>
      </c>
      <c r="O2507" s="8">
        <f>HYPERLINK("https://ictv.global/id/ICTV202112241","ICTV202112241@prod")</f>
        <v/>
      </c>
    </row>
    <row r="2508">
      <c r="A2508" t="n">
        <v>39</v>
      </c>
      <c r="B2508" t="n">
        <v>202314496</v>
      </c>
      <c r="C2508" t="n">
        <v>202214496</v>
      </c>
      <c r="D2508" t="inlineStr">
        <is>
          <t>subfamily</t>
        </is>
      </c>
      <c r="E2508" t="inlineStr">
        <is>
          <t>Azeevirinae</t>
        </is>
      </c>
      <c r="G2508" t="inlineStr">
        <is>
          <t>Renamed,Promoted,</t>
        </is>
      </c>
      <c r="H2508" t="inlineStr">
        <is>
          <t>Casidaviridae</t>
        </is>
      </c>
      <c r="I2508" t="inlineStr">
        <is>
          <t>family</t>
        </is>
      </c>
      <c r="J2508" t="n">
        <v>202214496</v>
      </c>
      <c r="K2508" t="n">
        <v>202414496</v>
      </c>
      <c r="L2508" s="8">
        <f>HYPERLINK("https://test.ictv.global/id/TN202314496","TN202314496@TEST")</f>
        <v/>
      </c>
      <c r="M2508" s="8">
        <f>HYPERLINK("https://test.ictv.global/id/ICTV202214496","ICTV202214496@TEST")</f>
        <v/>
      </c>
      <c r="N2508" s="8">
        <f>HYPERLINK("https://ictv.global/id/TN202314496","TN202314496@prod")</f>
        <v/>
      </c>
      <c r="O2508" s="8">
        <f>HYPERLINK("https://ictv.global/id/ICTV202214496","ICTV202214496@prod")</f>
        <v/>
      </c>
    </row>
    <row r="2509">
      <c r="A2509" t="n">
        <v>39</v>
      </c>
      <c r="B2509" t="n">
        <v>202315156</v>
      </c>
      <c r="C2509" t="n">
        <v>202315156</v>
      </c>
      <c r="D2509" t="inlineStr">
        <is>
          <t>family</t>
        </is>
      </c>
      <c r="E2509" t="inlineStr">
        <is>
          <t>Cedratviridae</t>
        </is>
      </c>
      <c r="G2509" t="inlineStr">
        <is>
          <t>Renamed,Demoted,</t>
        </is>
      </c>
      <c r="H2509" t="inlineStr">
        <is>
          <t>Orthocedratvirinae</t>
        </is>
      </c>
      <c r="I2509" t="inlineStr">
        <is>
          <t>subfamily</t>
        </is>
      </c>
      <c r="J2509" t="n">
        <v>202315156</v>
      </c>
      <c r="K2509" t="n">
        <v>202415156</v>
      </c>
      <c r="L2509" s="8">
        <f>HYPERLINK("https://test.ictv.global/id/TN202315156","TN202315156@TEST")</f>
        <v/>
      </c>
      <c r="M2509" s="8">
        <f>HYPERLINK("https://test.ictv.global/id/ICTV202315156","ICTV202315156@TEST")</f>
        <v/>
      </c>
      <c r="N2509" s="8">
        <f>HYPERLINK("https://ictv.global/id/TN202315156","TN202315156@prod")</f>
        <v/>
      </c>
      <c r="O2509" s="8">
        <f>HYPERLINK("https://ictv.global/id/ICTV202315156","ICTV202315156@prod")</f>
        <v/>
      </c>
    </row>
    <row r="2510">
      <c r="A2510" t="n">
        <v>40</v>
      </c>
      <c r="B2510" t="n">
        <v>202402106</v>
      </c>
      <c r="C2510" t="n">
        <v>19911709</v>
      </c>
      <c r="D2510" t="inlineStr">
        <is>
          <t>species</t>
        </is>
      </c>
      <c r="E2510" t="inlineStr">
        <is>
          <t>Nepovirus americaense</t>
        </is>
      </c>
      <c r="G2510" t="inlineStr">
        <is>
          <t>Abolished,</t>
        </is>
      </c>
      <c r="L2510" s="8">
        <f>HYPERLINK("https://test.ictv.global/id/TN202402106","TN202402106@TEST")</f>
        <v/>
      </c>
      <c r="M2510" s="8">
        <f>HYPERLINK("https://test.ictv.global/id/ICTV19911709","ICTV19911709@TEST")</f>
        <v/>
      </c>
      <c r="N2510" s="8">
        <f>HYPERLINK("https://ictv.global/id/TN202402106","TN202402106@prod")</f>
        <v/>
      </c>
      <c r="O2510" s="8">
        <f>HYPERLINK("https://ictv.global/id/ICTV19911709","ICTV19911709@prod")</f>
        <v/>
      </c>
    </row>
    <row r="2511">
      <c r="A2511" t="n">
        <v>40</v>
      </c>
      <c r="B2511" t="n">
        <v>202402120</v>
      </c>
      <c r="C2511" t="n">
        <v>19821258</v>
      </c>
      <c r="D2511" t="inlineStr">
        <is>
          <t>species</t>
        </is>
      </c>
      <c r="E2511" t="inlineStr">
        <is>
          <t>Nepovirus australiaense</t>
        </is>
      </c>
      <c r="G2511" t="inlineStr">
        <is>
          <t>Abolished,</t>
        </is>
      </c>
      <c r="L2511" s="8">
        <f>HYPERLINK("https://test.ictv.global/id/TN202402120","TN202402120@TEST")</f>
        <v/>
      </c>
      <c r="M2511" s="8">
        <f>HYPERLINK("https://test.ictv.global/id/ICTV19821258","ICTV19821258@TEST")</f>
        <v/>
      </c>
      <c r="N2511" s="8">
        <f>HYPERLINK("https://ictv.global/id/TN202402120","TN202402120@prod")</f>
        <v/>
      </c>
      <c r="O2511" s="8">
        <f>HYPERLINK("https://ictv.global/id/ICTV19821258","ICTV19821258@prod")</f>
        <v/>
      </c>
    </row>
    <row r="2512">
      <c r="A2512" t="n">
        <v>40</v>
      </c>
      <c r="B2512" t="n">
        <v>202402159</v>
      </c>
      <c r="C2512" t="n">
        <v>19952119</v>
      </c>
      <c r="D2512" t="inlineStr">
        <is>
          <t>species</t>
        </is>
      </c>
      <c r="E2512" t="inlineStr">
        <is>
          <t>Waikavirus anthrisci</t>
        </is>
      </c>
      <c r="G2512" t="inlineStr">
        <is>
          <t>Abolished,</t>
        </is>
      </c>
      <c r="L2512" s="8">
        <f>HYPERLINK("https://test.ictv.global/id/TN202402159","TN202402159@TEST")</f>
        <v/>
      </c>
      <c r="M2512" s="8">
        <f>HYPERLINK("https://test.ictv.global/id/ICTV19952119","ICTV19952119@TEST")</f>
        <v/>
      </c>
      <c r="N2512" s="8">
        <f>HYPERLINK("https://ictv.global/id/TN202402159","TN202402159@prod")</f>
        <v/>
      </c>
      <c r="O2512" s="8">
        <f>HYPERLINK("https://ictv.global/id/ICTV19952119","ICTV19952119@prod")</f>
        <v/>
      </c>
    </row>
    <row r="2513">
      <c r="A2513" t="n">
        <v>40</v>
      </c>
      <c r="B2513" t="n">
        <v>202402239</v>
      </c>
      <c r="C2513" t="n">
        <v>19710145</v>
      </c>
      <c r="D2513" t="inlineStr">
        <is>
          <t>species</t>
        </is>
      </c>
      <c r="E2513" t="inlineStr">
        <is>
          <t>Carlavirus cacti</t>
        </is>
      </c>
      <c r="G2513" t="inlineStr">
        <is>
          <t>Abolished,</t>
        </is>
      </c>
      <c r="L2513" s="8">
        <f>HYPERLINK("https://test.ictv.global/id/TN202402239","TN202402239@TEST")</f>
        <v/>
      </c>
      <c r="M2513" s="8">
        <f>HYPERLINK("https://test.ictv.global/id/ICTV19710145","ICTV19710145@TEST")</f>
        <v/>
      </c>
      <c r="N2513" s="8">
        <f>HYPERLINK("https://ictv.global/id/TN202402239","TN202402239@prod")</f>
        <v/>
      </c>
      <c r="O2513" s="8">
        <f>HYPERLINK("https://ictv.global/id/ICTV19710145","ICTV19710145@prod")</f>
        <v/>
      </c>
    </row>
    <row r="2514">
      <c r="A2514" t="n">
        <v>40</v>
      </c>
      <c r="B2514" t="n">
        <v>202402277</v>
      </c>
      <c r="C2514" t="n">
        <v>19952352</v>
      </c>
      <c r="D2514" t="inlineStr">
        <is>
          <t>species</t>
        </is>
      </c>
      <c r="E2514" t="inlineStr">
        <is>
          <t>Carlavirus cornutum</t>
        </is>
      </c>
      <c r="G2514" t="inlineStr">
        <is>
          <t>Abolished,</t>
        </is>
      </c>
      <c r="L2514" s="8">
        <f>HYPERLINK("https://test.ictv.global/id/TN202402277","TN202402277@TEST")</f>
        <v/>
      </c>
      <c r="M2514" s="8">
        <f>HYPERLINK("https://test.ictv.global/id/ICTV19952352","ICTV19952352@TEST")</f>
        <v/>
      </c>
      <c r="N2514" s="8">
        <f>HYPERLINK("https://ictv.global/id/TN202402277","TN202402277@prod")</f>
        <v/>
      </c>
      <c r="O2514" s="8">
        <f>HYPERLINK("https://ictv.global/id/ICTV19952352","ICTV19952352@prod")</f>
        <v/>
      </c>
    </row>
    <row r="2515">
      <c r="A2515" t="n">
        <v>40</v>
      </c>
      <c r="B2515" t="n">
        <v>202402719</v>
      </c>
      <c r="C2515" t="n">
        <v>19790174</v>
      </c>
      <c r="D2515" t="inlineStr">
        <is>
          <t>species</t>
        </is>
      </c>
      <c r="E2515" t="inlineStr">
        <is>
          <t>Betabaculovirus trini</t>
        </is>
      </c>
      <c r="G2515" t="inlineStr">
        <is>
          <t>Abolished,</t>
        </is>
      </c>
      <c r="L2515" s="8">
        <f>HYPERLINK("https://test.ictv.global/id/TN202402719","TN202402719@TEST")</f>
        <v/>
      </c>
      <c r="M2515" s="8">
        <f>HYPERLINK("https://test.ictv.global/id/ICTV19790174","ICTV19790174@TEST")</f>
        <v/>
      </c>
      <c r="N2515" s="8">
        <f>HYPERLINK("https://ictv.global/id/TN202402719","TN202402719@prod")</f>
        <v/>
      </c>
      <c r="O2515" s="8">
        <f>HYPERLINK("https://ictv.global/id/ICTV19790174","ICTV19790174@prod")</f>
        <v/>
      </c>
    </row>
    <row r="2516">
      <c r="A2516" t="n">
        <v>40</v>
      </c>
      <c r="B2516" t="n">
        <v>202402993</v>
      </c>
      <c r="C2516" t="n">
        <v>19821176</v>
      </c>
      <c r="D2516" t="inlineStr">
        <is>
          <t>species</t>
        </is>
      </c>
      <c r="E2516" t="inlineStr">
        <is>
          <t>Closterovirus flavarctii</t>
        </is>
      </c>
      <c r="G2516" t="inlineStr">
        <is>
          <t>Abolished,</t>
        </is>
      </c>
      <c r="L2516" s="8">
        <f>HYPERLINK("https://test.ictv.global/id/TN202402993","TN202402993@TEST")</f>
        <v/>
      </c>
      <c r="M2516" s="8">
        <f>HYPERLINK("https://test.ictv.global/id/ICTV19821176","ICTV19821176@TEST")</f>
        <v/>
      </c>
      <c r="N2516" s="8">
        <f>HYPERLINK("https://ictv.global/id/TN202402993","TN202402993@prod")</f>
        <v/>
      </c>
      <c r="O2516" s="8">
        <f>HYPERLINK("https://ictv.global/id/ICTV19821176","ICTV19821176@prod")</f>
        <v/>
      </c>
    </row>
    <row r="2517">
      <c r="A2517" t="n">
        <v>40</v>
      </c>
      <c r="B2517" t="n">
        <v>202403114</v>
      </c>
      <c r="C2517" t="n">
        <v>19790934</v>
      </c>
      <c r="D2517" t="inlineStr">
        <is>
          <t>species</t>
        </is>
      </c>
      <c r="E2517" t="inlineStr">
        <is>
          <t>Orthoflavivirus encephalitidis</t>
        </is>
      </c>
      <c r="G2517" t="inlineStr">
        <is>
          <t>Split,Moved,</t>
        </is>
      </c>
      <c r="H2517" t="inlineStr">
        <is>
          <t>Orthoflavivirus zilberi</t>
        </is>
      </c>
      <c r="I2517" t="inlineStr">
        <is>
          <t>species</t>
        </is>
      </c>
      <c r="J2517" t="n">
        <v>202523328</v>
      </c>
      <c r="K2517" t="n">
        <v>202523328</v>
      </c>
      <c r="L2517" s="8">
        <f>HYPERLINK("https://test.ictv.global/id/TN202403114","TN202403114@TEST")</f>
        <v/>
      </c>
      <c r="M2517" s="8">
        <f>HYPERLINK("https://test.ictv.global/id/ICTV19790934","ICTV19790934@TEST")</f>
        <v/>
      </c>
      <c r="N2517" s="8">
        <f>HYPERLINK("https://ictv.global/id/TN202403114","TN202403114@prod")</f>
        <v/>
      </c>
      <c r="O2517" s="8">
        <f>HYPERLINK("https://ictv.global/id/ICTV19790934","ICTV19790934@prod")</f>
        <v/>
      </c>
    </row>
    <row r="2518">
      <c r="A2518" t="n">
        <v>40</v>
      </c>
      <c r="B2518" t="n">
        <v>202403114</v>
      </c>
      <c r="C2518" t="n">
        <v>19790934</v>
      </c>
      <c r="D2518" t="inlineStr">
        <is>
          <t>species</t>
        </is>
      </c>
      <c r="E2518" t="inlineStr">
        <is>
          <t>Orthoflavivirus encephalitidis</t>
        </is>
      </c>
      <c r="G2518" t="inlineStr">
        <is>
          <t>Split,Moved,</t>
        </is>
      </c>
      <c r="H2518" t="inlineStr">
        <is>
          <t>Orthoflavivirus neudoerflense</t>
        </is>
      </c>
      <c r="I2518" t="inlineStr">
        <is>
          <t>species</t>
        </is>
      </c>
      <c r="J2518" t="n">
        <v>202523329</v>
      </c>
      <c r="K2518" t="n">
        <v>202523329</v>
      </c>
      <c r="L2518" s="8">
        <f>HYPERLINK("https://test.ictv.global/id/TN202403114","TN202403114@TEST")</f>
        <v/>
      </c>
      <c r="M2518" s="8">
        <f>HYPERLINK("https://test.ictv.global/id/ICTV19790934","ICTV19790934@TEST")</f>
        <v/>
      </c>
      <c r="N2518" s="8">
        <f>HYPERLINK("https://ictv.global/id/TN202403114","TN202403114@prod")</f>
        <v/>
      </c>
      <c r="O2518" s="8">
        <f>HYPERLINK("https://ictv.global/id/ICTV19790934","ICTV19790934@prod")</f>
        <v/>
      </c>
    </row>
    <row r="2519">
      <c r="A2519" t="n">
        <v>40</v>
      </c>
      <c r="B2519" t="n">
        <v>202403114</v>
      </c>
      <c r="C2519" t="n">
        <v>19790934</v>
      </c>
      <c r="D2519" t="inlineStr">
        <is>
          <t>species</t>
        </is>
      </c>
      <c r="E2519" t="inlineStr">
        <is>
          <t>Orthoflavivirus encephalitidis</t>
        </is>
      </c>
      <c r="G2519" t="inlineStr">
        <is>
          <t>Split,Moved,</t>
        </is>
      </c>
      <c r="H2519" t="inlineStr">
        <is>
          <t>Orthoflavivirus mediterranense</t>
        </is>
      </c>
      <c r="I2519" t="inlineStr">
        <is>
          <t>species</t>
        </is>
      </c>
      <c r="J2519" t="n">
        <v>202523330</v>
      </c>
      <c r="K2519" t="n">
        <v>202523330</v>
      </c>
      <c r="L2519" s="8">
        <f>HYPERLINK("https://test.ictv.global/id/TN202403114","TN202403114@TEST")</f>
        <v/>
      </c>
      <c r="M2519" s="8">
        <f>HYPERLINK("https://test.ictv.global/id/ICTV19790934","ICTV19790934@TEST")</f>
        <v/>
      </c>
      <c r="N2519" s="8">
        <f>HYPERLINK("https://ictv.global/id/TN202403114","TN202403114@prod")</f>
        <v/>
      </c>
      <c r="O2519" s="8">
        <f>HYPERLINK("https://ictv.global/id/ICTV19790934","ICTV19790934@prod")</f>
        <v/>
      </c>
    </row>
    <row r="2520">
      <c r="A2520" t="n">
        <v>40</v>
      </c>
      <c r="B2520" t="n">
        <v>202403855</v>
      </c>
      <c r="C2520" t="n">
        <v>19780013</v>
      </c>
      <c r="D2520" t="inlineStr">
        <is>
          <t>family</t>
        </is>
      </c>
      <c r="E2520" t="inlineStr">
        <is>
          <t>Microviridae</t>
        </is>
      </c>
      <c r="G2520" t="inlineStr">
        <is>
          <t>Renamed,Promoted,</t>
        </is>
      </c>
      <c r="H2520" t="inlineStr">
        <is>
          <t>Microviricetes</t>
        </is>
      </c>
      <c r="I2520" t="inlineStr">
        <is>
          <t>class</t>
        </is>
      </c>
      <c r="J2520" t="n">
        <v>19780013</v>
      </c>
      <c r="K2520" t="n">
        <v>202503855</v>
      </c>
      <c r="L2520" s="8">
        <f>HYPERLINK("https://test.ictv.global/id/TN202403855","TN202403855@TEST")</f>
        <v/>
      </c>
      <c r="M2520" s="8">
        <f>HYPERLINK("https://test.ictv.global/id/ICTV19780013","ICTV19780013@TEST")</f>
        <v/>
      </c>
      <c r="N2520" s="8">
        <f>HYPERLINK("https://ictv.global/id/TN202403855","TN202403855@prod")</f>
        <v/>
      </c>
      <c r="O2520" s="8">
        <f>HYPERLINK("https://ictv.global/id/ICTV19780013","ICTV19780013@prod")</f>
        <v/>
      </c>
    </row>
    <row r="2521">
      <c r="A2521" t="n">
        <v>40</v>
      </c>
      <c r="B2521" t="n">
        <v>202403856</v>
      </c>
      <c r="C2521" t="n">
        <v>20153143</v>
      </c>
      <c r="D2521" t="inlineStr">
        <is>
          <t>subfamily</t>
        </is>
      </c>
      <c r="E2521" t="inlineStr">
        <is>
          <t>Bullavirinae</t>
        </is>
      </c>
      <c r="G2521" t="inlineStr">
        <is>
          <t>Renamed,Promoted,</t>
        </is>
      </c>
      <c r="H2521" t="inlineStr">
        <is>
          <t>Bullavirales</t>
        </is>
      </c>
      <c r="I2521" t="inlineStr">
        <is>
          <t>order</t>
        </is>
      </c>
      <c r="J2521" t="n">
        <v>20153143</v>
      </c>
      <c r="K2521" t="n">
        <v>202503856</v>
      </c>
      <c r="L2521" s="8">
        <f>HYPERLINK("https://test.ictv.global/id/TN202403856","TN202403856@TEST")</f>
        <v/>
      </c>
      <c r="M2521" s="8">
        <f>HYPERLINK("https://test.ictv.global/id/ICTV20153143","ICTV20153143@TEST")</f>
        <v/>
      </c>
      <c r="N2521" s="8">
        <f>HYPERLINK("https://ictv.global/id/TN202403856","TN202403856@prod")</f>
        <v/>
      </c>
      <c r="O2521" s="8">
        <f>HYPERLINK("https://ictv.global/id/ICTV20153143","ICTV20153143@prod")</f>
        <v/>
      </c>
    </row>
    <row r="2522">
      <c r="A2522" t="n">
        <v>40</v>
      </c>
      <c r="B2522" t="n">
        <v>202403874</v>
      </c>
      <c r="C2522" t="n">
        <v>20090654</v>
      </c>
      <c r="D2522" t="inlineStr">
        <is>
          <t>subfamily</t>
        </is>
      </c>
      <c r="E2522" t="inlineStr">
        <is>
          <t>Gokushovirinae</t>
        </is>
      </c>
      <c r="G2522" t="inlineStr">
        <is>
          <t>Renamed,Promoted,</t>
        </is>
      </c>
      <c r="H2522" t="inlineStr">
        <is>
          <t>Gokushovirales</t>
        </is>
      </c>
      <c r="I2522" t="inlineStr">
        <is>
          <t>order</t>
        </is>
      </c>
      <c r="J2522" t="n">
        <v>20090654</v>
      </c>
      <c r="K2522" t="n">
        <v>202503874</v>
      </c>
      <c r="L2522" s="8">
        <f>HYPERLINK("https://test.ictv.global/id/TN202403874","TN202403874@TEST")</f>
        <v/>
      </c>
      <c r="M2522" s="8">
        <f>HYPERLINK("https://test.ictv.global/id/ICTV20090654","ICTV20090654@TEST")</f>
        <v/>
      </c>
      <c r="N2522" s="8">
        <f>HYPERLINK("https://ictv.global/id/TN202403874","TN202403874@prod")</f>
        <v/>
      </c>
      <c r="O2522" s="8">
        <f>HYPERLINK("https://ictv.global/id/ICTV20090654","ICTV20090654@prod")</f>
        <v/>
      </c>
    </row>
    <row r="2523">
      <c r="A2523" t="n">
        <v>40</v>
      </c>
      <c r="B2523" t="n">
        <v>202403876</v>
      </c>
      <c r="C2523" t="n">
        <v>19931085</v>
      </c>
      <c r="D2523" t="inlineStr">
        <is>
          <t>species</t>
        </is>
      </c>
      <c r="E2523" t="inlineStr">
        <is>
          <t>Bdellovibrio virus MAC1</t>
        </is>
      </c>
      <c r="G2523" t="inlineStr">
        <is>
          <t>Abolished,</t>
        </is>
      </c>
      <c r="L2523" s="8">
        <f>HYPERLINK("https://test.ictv.global/id/TN202403876","TN202403876@TEST")</f>
        <v/>
      </c>
      <c r="M2523" s="8">
        <f>HYPERLINK("https://test.ictv.global/id/ICTV19931085","ICTV19931085@TEST")</f>
        <v/>
      </c>
      <c r="N2523" s="8">
        <f>HYPERLINK("https://ictv.global/id/TN202403876","TN202403876@prod")</f>
        <v/>
      </c>
      <c r="O2523" s="8">
        <f>HYPERLINK("https://ictv.global/id/ICTV19931085","ICTV19931085@prod")</f>
        <v/>
      </c>
    </row>
    <row r="2524">
      <c r="A2524" t="n">
        <v>40</v>
      </c>
      <c r="B2524" t="n">
        <v>202404295</v>
      </c>
      <c r="C2524" t="n">
        <v>19900812</v>
      </c>
      <c r="D2524" t="inlineStr">
        <is>
          <t>species</t>
        </is>
      </c>
      <c r="E2524" t="inlineStr">
        <is>
          <t>Chlorovirus vanettense</t>
        </is>
      </c>
      <c r="G2524" t="inlineStr">
        <is>
          <t>Merged,Moved,</t>
        </is>
      </c>
      <c r="H2524" t="inlineStr">
        <is>
          <t>Chlorovirus vanettense</t>
        </is>
      </c>
      <c r="I2524" t="inlineStr">
        <is>
          <t>species</t>
        </is>
      </c>
      <c r="J2524" t="n">
        <v>19900812</v>
      </c>
      <c r="K2524" t="n">
        <v>202504295</v>
      </c>
      <c r="L2524" s="8">
        <f>HYPERLINK("https://test.ictv.global/id/TN202404295","TN202404295@TEST")</f>
        <v/>
      </c>
      <c r="M2524" s="8">
        <f>HYPERLINK("https://test.ictv.global/id/ICTV19900812","ICTV19900812@TEST")</f>
        <v/>
      </c>
      <c r="N2524" s="8">
        <f>HYPERLINK("https://ictv.global/id/TN202404295","TN202404295@prod")</f>
        <v/>
      </c>
      <c r="O2524" s="8">
        <f>HYPERLINK("https://ictv.global/id/ICTV19900812","ICTV19900812@prod")</f>
        <v/>
      </c>
    </row>
    <row r="2525">
      <c r="A2525" t="n">
        <v>40</v>
      </c>
      <c r="B2525" t="n">
        <v>202404302</v>
      </c>
      <c r="C2525" t="n">
        <v>19911063</v>
      </c>
      <c r="D2525" t="inlineStr">
        <is>
          <t>species</t>
        </is>
      </c>
      <c r="E2525" t="inlineStr">
        <is>
          <t>Chlorovirus illinoense</t>
        </is>
      </c>
      <c r="G2525" t="inlineStr">
        <is>
          <t>Merged,Moved,</t>
        </is>
      </c>
      <c r="H2525" t="inlineStr">
        <is>
          <t>Chlorovirus vanettense</t>
        </is>
      </c>
      <c r="I2525" t="inlineStr">
        <is>
          <t>species</t>
        </is>
      </c>
      <c r="J2525" t="n">
        <v>19900812</v>
      </c>
      <c r="K2525" t="n">
        <v>202504295</v>
      </c>
      <c r="L2525" s="8">
        <f>HYPERLINK("https://test.ictv.global/id/TN202404302","TN202404302@TEST")</f>
        <v/>
      </c>
      <c r="M2525" s="8">
        <f>HYPERLINK("https://test.ictv.global/id/ICTV19911063","ICTV19911063@TEST")</f>
        <v/>
      </c>
      <c r="N2525" s="8">
        <f>HYPERLINK("https://ictv.global/id/TN202404302","TN202404302@prod")</f>
        <v/>
      </c>
      <c r="O2525" s="8">
        <f>HYPERLINK("https://ictv.global/id/ICTV19911063","ICTV19911063@prod")</f>
        <v/>
      </c>
    </row>
    <row r="2526">
      <c r="A2526" t="n">
        <v>40</v>
      </c>
      <c r="B2526" t="n">
        <v>202404305</v>
      </c>
      <c r="C2526" t="n">
        <v>19911075</v>
      </c>
      <c r="D2526" t="inlineStr">
        <is>
          <t>species</t>
        </is>
      </c>
      <c r="E2526" t="inlineStr">
        <is>
          <t>Chlorovirus americanus</t>
        </is>
      </c>
      <c r="G2526" t="inlineStr">
        <is>
          <t>Merged,Moved,</t>
        </is>
      </c>
      <c r="H2526" t="inlineStr">
        <is>
          <t>Chlorovirus americanus</t>
        </is>
      </c>
      <c r="I2526" t="inlineStr">
        <is>
          <t>species</t>
        </is>
      </c>
      <c r="J2526" t="n">
        <v>19911075</v>
      </c>
      <c r="K2526" t="n">
        <v>202504305</v>
      </c>
      <c r="L2526" s="8">
        <f>HYPERLINK("https://test.ictv.global/id/TN202404305","TN202404305@TEST")</f>
        <v/>
      </c>
      <c r="M2526" s="8">
        <f>HYPERLINK("https://test.ictv.global/id/ICTV19911075","ICTV19911075@TEST")</f>
        <v/>
      </c>
      <c r="N2526" s="8">
        <f>HYPERLINK("https://ictv.global/id/TN202404305","TN202404305@prod")</f>
        <v/>
      </c>
      <c r="O2526" s="8">
        <f>HYPERLINK("https://ictv.global/id/ICTV19911075","ICTV19911075@prod")</f>
        <v/>
      </c>
    </row>
    <row r="2527">
      <c r="A2527" t="n">
        <v>40</v>
      </c>
      <c r="B2527" t="n">
        <v>202404306</v>
      </c>
      <c r="C2527" t="n">
        <v>19911080</v>
      </c>
      <c r="D2527" t="inlineStr">
        <is>
          <t>species</t>
        </is>
      </c>
      <c r="E2527" t="inlineStr">
        <is>
          <t>Chlorovirus newyorkense</t>
        </is>
      </c>
      <c r="G2527" t="inlineStr">
        <is>
          <t>Merged,Moved,</t>
        </is>
      </c>
      <c r="H2527" t="inlineStr">
        <is>
          <t>Chlorovirus americanus</t>
        </is>
      </c>
      <c r="I2527" t="inlineStr">
        <is>
          <t>species</t>
        </is>
      </c>
      <c r="J2527" t="n">
        <v>19911075</v>
      </c>
      <c r="K2527" t="n">
        <v>202504305</v>
      </c>
      <c r="L2527" s="8">
        <f>HYPERLINK("https://test.ictv.global/id/TN202404306","TN202404306@TEST")</f>
        <v/>
      </c>
      <c r="M2527" s="8">
        <f>HYPERLINK("https://test.ictv.global/id/ICTV19911080","ICTV19911080@TEST")</f>
        <v/>
      </c>
      <c r="N2527" s="8">
        <f>HYPERLINK("https://ictv.global/id/TN202404306","TN202404306@prod")</f>
        <v/>
      </c>
      <c r="O2527" s="8">
        <f>HYPERLINK("https://ictv.global/id/ICTV19911080","ICTV19911080@prod")</f>
        <v/>
      </c>
    </row>
    <row r="2528">
      <c r="A2528" t="n">
        <v>40</v>
      </c>
      <c r="B2528" t="n">
        <v>202405363</v>
      </c>
      <c r="C2528" t="n">
        <v>19870197</v>
      </c>
      <c r="D2528" t="inlineStr">
        <is>
          <t>genus</t>
        </is>
      </c>
      <c r="E2528" t="inlineStr">
        <is>
          <t>Rhizidiovirus</t>
        </is>
      </c>
      <c r="G2528" t="inlineStr">
        <is>
          <t>Abolished,</t>
        </is>
      </c>
      <c r="L2528" s="8">
        <f>HYPERLINK("https://test.ictv.global/id/TN202405363","TN202405363@TEST")</f>
        <v/>
      </c>
      <c r="M2528" s="8">
        <f>HYPERLINK("https://test.ictv.global/id/ICTV19870197","ICTV19870197@TEST")</f>
        <v/>
      </c>
      <c r="N2528" s="8">
        <f>HYPERLINK("https://ictv.global/id/TN202405363","TN202405363@prod")</f>
        <v/>
      </c>
      <c r="O2528" s="8">
        <f>HYPERLINK("https://ictv.global/id/ICTV19870197","ICTV19870197@prod")</f>
        <v/>
      </c>
    </row>
    <row r="2529">
      <c r="A2529" t="n">
        <v>40</v>
      </c>
      <c r="B2529" t="n">
        <v>202405364</v>
      </c>
      <c r="C2529" t="n">
        <v>19871436</v>
      </c>
      <c r="D2529" t="inlineStr">
        <is>
          <t>species</t>
        </is>
      </c>
      <c r="E2529" t="inlineStr">
        <is>
          <t>Rhizidiomyces virus</t>
        </is>
      </c>
      <c r="G2529" t="inlineStr">
        <is>
          <t>Abolished,</t>
        </is>
      </c>
      <c r="L2529" s="8">
        <f>HYPERLINK("https://test.ictv.global/id/TN202405364","TN202405364@TEST")</f>
        <v/>
      </c>
      <c r="M2529" s="8">
        <f>HYPERLINK("https://test.ictv.global/id/ICTV19871436","ICTV19871436@TEST")</f>
        <v/>
      </c>
      <c r="N2529" s="8">
        <f>HYPERLINK("https://ictv.global/id/TN202405364","TN202405364@prod")</f>
        <v/>
      </c>
      <c r="O2529" s="8">
        <f>HYPERLINK("https://ictv.global/id/ICTV19871436","ICTV19871436@prod")</f>
        <v/>
      </c>
    </row>
    <row r="2530">
      <c r="A2530" t="n">
        <v>40</v>
      </c>
      <c r="B2530" t="n">
        <v>202407168</v>
      </c>
      <c r="C2530" t="n">
        <v>201907168</v>
      </c>
      <c r="D2530" t="inlineStr">
        <is>
          <t>class</t>
        </is>
      </c>
      <c r="E2530" t="inlineStr">
        <is>
          <t>Malgrandaviricetes</t>
        </is>
      </c>
      <c r="G2530" t="inlineStr">
        <is>
          <t>Abolished,</t>
        </is>
      </c>
      <c r="L2530" s="8">
        <f>HYPERLINK("https://test.ictv.global/id/TN202407168","TN202407168@TEST")</f>
        <v/>
      </c>
      <c r="M2530" s="8">
        <f>HYPERLINK("https://test.ictv.global/id/ICTV201907168","ICTV201907168@TEST")</f>
        <v/>
      </c>
      <c r="N2530" s="8">
        <f>HYPERLINK("https://ictv.global/id/TN202407168","TN202407168@prod")</f>
        <v/>
      </c>
      <c r="O2530" s="8">
        <f>HYPERLINK("https://ictv.global/id/ICTV201907168","ICTV201907168@prod")</f>
        <v/>
      </c>
    </row>
    <row r="2531">
      <c r="A2531" t="n">
        <v>40</v>
      </c>
      <c r="B2531" t="n">
        <v>202407169</v>
      </c>
      <c r="C2531" t="n">
        <v>201907169</v>
      </c>
      <c r="D2531" t="inlineStr">
        <is>
          <t>order</t>
        </is>
      </c>
      <c r="E2531" t="inlineStr">
        <is>
          <t>Petitvirales</t>
        </is>
      </c>
      <c r="G2531" t="inlineStr">
        <is>
          <t>Abolished,</t>
        </is>
      </c>
      <c r="L2531" s="8">
        <f>HYPERLINK("https://test.ictv.global/id/TN202407169","TN202407169@TEST")</f>
        <v/>
      </c>
      <c r="M2531" s="8">
        <f>HYPERLINK("https://test.ictv.global/id/ICTV201907169","ICTV201907169@TEST")</f>
        <v/>
      </c>
      <c r="N2531" s="8">
        <f>HYPERLINK("https://ictv.global/id/TN202407169","TN202407169@prod")</f>
        <v/>
      </c>
      <c r="O2531" s="8">
        <f>HYPERLINK("https://ictv.global/id/ICTV201907169","ICTV201907169@prod")</f>
        <v/>
      </c>
    </row>
    <row r="2532">
      <c r="A2532" t="n">
        <v>40</v>
      </c>
      <c r="B2532" t="n">
        <v>202407324</v>
      </c>
      <c r="C2532" t="n">
        <v>201907324</v>
      </c>
      <c r="D2532" t="inlineStr">
        <is>
          <t>subfamily</t>
        </is>
      </c>
      <c r="E2532" t="inlineStr">
        <is>
          <t>Hamaparvovirinae</t>
        </is>
      </c>
      <c r="G2532" t="inlineStr">
        <is>
          <t>Split,</t>
        </is>
      </c>
      <c r="H2532" t="inlineStr">
        <is>
          <t>Hepanvirinae</t>
        </is>
      </c>
      <c r="I2532" t="inlineStr">
        <is>
          <t>subfamily</t>
        </is>
      </c>
      <c r="J2532" t="n">
        <v>202521568</v>
      </c>
      <c r="K2532" t="n">
        <v>202521568</v>
      </c>
      <c r="L2532" s="8">
        <f>HYPERLINK("https://test.ictv.global/id/TN202407324","TN202407324@TEST")</f>
        <v/>
      </c>
      <c r="M2532" s="8">
        <f>HYPERLINK("https://test.ictv.global/id/ICTV201907324","ICTV201907324@TEST")</f>
        <v/>
      </c>
      <c r="N2532" s="8">
        <f>HYPERLINK("https://ictv.global/id/TN202407324","TN202407324@prod")</f>
        <v/>
      </c>
      <c r="O2532" s="8">
        <f>HYPERLINK("https://ictv.global/id/ICTV201907324","ICTV201907324@prod")</f>
        <v/>
      </c>
    </row>
    <row r="2533">
      <c r="A2533" t="n">
        <v>40</v>
      </c>
      <c r="B2533" t="n">
        <v>202407324</v>
      </c>
      <c r="C2533" t="n">
        <v>201907324</v>
      </c>
      <c r="D2533" t="inlineStr">
        <is>
          <t>subfamily</t>
        </is>
      </c>
      <c r="E2533" t="inlineStr">
        <is>
          <t>Hamaparvovirinae</t>
        </is>
      </c>
      <c r="G2533" t="inlineStr">
        <is>
          <t>Split,</t>
        </is>
      </c>
      <c r="H2533" t="inlineStr">
        <is>
          <t>Penbrevirinae</t>
        </is>
      </c>
      <c r="I2533" t="inlineStr">
        <is>
          <t>subfamily</t>
        </is>
      </c>
      <c r="J2533" t="n">
        <v>202521569</v>
      </c>
      <c r="K2533" t="n">
        <v>202521569</v>
      </c>
      <c r="L2533" s="8">
        <f>HYPERLINK("https://test.ictv.global/id/TN202407324","TN202407324@TEST")</f>
        <v/>
      </c>
      <c r="M2533" s="8">
        <f>HYPERLINK("https://test.ictv.global/id/ICTV201907324","ICTV201907324@TEST")</f>
        <v/>
      </c>
      <c r="N2533" s="8">
        <f>HYPERLINK("https://ictv.global/id/TN202407324","TN202407324@prod")</f>
        <v/>
      </c>
      <c r="O2533" s="8">
        <f>HYPERLINK("https://ictv.global/id/ICTV201907324","ICTV201907324@prod")</f>
        <v/>
      </c>
    </row>
    <row r="2534">
      <c r="A2534" t="n">
        <v>40</v>
      </c>
      <c r="B2534" t="n">
        <v>202407324</v>
      </c>
      <c r="C2534" t="n">
        <v>201907324</v>
      </c>
      <c r="D2534" t="inlineStr">
        <is>
          <t>subfamily</t>
        </is>
      </c>
      <c r="E2534" t="inlineStr">
        <is>
          <t>Hamaparvovirinae</t>
        </is>
      </c>
      <c r="G2534" t="inlineStr">
        <is>
          <t>Split,</t>
        </is>
      </c>
      <c r="H2534" t="inlineStr">
        <is>
          <t>Hamavirinae</t>
        </is>
      </c>
      <c r="I2534" t="inlineStr">
        <is>
          <t>subfamily</t>
        </is>
      </c>
      <c r="J2534" t="n">
        <v>202521570</v>
      </c>
      <c r="K2534" t="n">
        <v>202521570</v>
      </c>
      <c r="L2534" s="8">
        <f>HYPERLINK("https://test.ictv.global/id/TN202407324","TN202407324@TEST")</f>
        <v/>
      </c>
      <c r="M2534" s="8">
        <f>HYPERLINK("https://test.ictv.global/id/ICTV201907324","ICTV201907324@TEST")</f>
        <v/>
      </c>
      <c r="N2534" s="8">
        <f>HYPERLINK("https://ictv.global/id/TN202407324","TN202407324@prod")</f>
        <v/>
      </c>
      <c r="O2534" s="8">
        <f>HYPERLINK("https://ictv.global/id/ICTV201907324","ICTV201907324@prod")</f>
        <v/>
      </c>
    </row>
    <row r="2535">
      <c r="A2535" t="n">
        <v>40</v>
      </c>
      <c r="B2535" t="n">
        <v>202408684</v>
      </c>
      <c r="C2535" t="n">
        <v>201908684</v>
      </c>
      <c r="D2535" t="inlineStr">
        <is>
          <t>genus</t>
        </is>
      </c>
      <c r="E2535" t="inlineStr">
        <is>
          <t>Polymycovirus</t>
        </is>
      </c>
      <c r="G2535" t="inlineStr">
        <is>
          <t>Split,</t>
        </is>
      </c>
      <c r="H2535" t="inlineStr">
        <is>
          <t>Polymycovirus</t>
        </is>
      </c>
      <c r="I2535" t="inlineStr">
        <is>
          <t>genus</t>
        </is>
      </c>
      <c r="J2535" t="n">
        <v>201908684</v>
      </c>
      <c r="K2535" t="n">
        <v>202508684</v>
      </c>
      <c r="L2535" s="8">
        <f>HYPERLINK("https://test.ictv.global/id/TN202408684","TN202408684@TEST")</f>
        <v/>
      </c>
      <c r="M2535" s="8">
        <f>HYPERLINK("https://test.ictv.global/id/ICTV201908684","ICTV201908684@TEST")</f>
        <v/>
      </c>
      <c r="N2535" s="8">
        <f>HYPERLINK("https://ictv.global/id/TN202408684","TN202408684@prod")</f>
        <v/>
      </c>
      <c r="O2535" s="8">
        <f>HYPERLINK("https://ictv.global/id/ICTV201908684","ICTV201908684@prod")</f>
        <v/>
      </c>
    </row>
    <row r="2536">
      <c r="A2536" t="n">
        <v>40</v>
      </c>
      <c r="B2536" t="n">
        <v>202408684</v>
      </c>
      <c r="C2536" t="n">
        <v>201908684</v>
      </c>
      <c r="D2536" t="inlineStr">
        <is>
          <t>genus</t>
        </is>
      </c>
      <c r="E2536" t="inlineStr">
        <is>
          <t>Polymycovirus</t>
        </is>
      </c>
      <c r="G2536" t="inlineStr">
        <is>
          <t>Split,</t>
        </is>
      </c>
      <c r="H2536" t="inlineStr">
        <is>
          <t>Multimycovirus</t>
        </is>
      </c>
      <c r="I2536" t="inlineStr">
        <is>
          <t>genus</t>
        </is>
      </c>
      <c r="J2536" t="n">
        <v>202521670</v>
      </c>
      <c r="K2536" t="n">
        <v>202521670</v>
      </c>
      <c r="L2536" s="8">
        <f>HYPERLINK("https://test.ictv.global/id/TN202408684","TN202408684@TEST")</f>
        <v/>
      </c>
      <c r="M2536" s="8">
        <f>HYPERLINK("https://test.ictv.global/id/ICTV201908684","ICTV201908684@TEST")</f>
        <v/>
      </c>
      <c r="N2536" s="8">
        <f>HYPERLINK("https://ictv.global/id/TN202408684","TN202408684@prod")</f>
        <v/>
      </c>
      <c r="O2536" s="8">
        <f>HYPERLINK("https://ictv.global/id/ICTV201908684","ICTV201908684@prod")</f>
        <v/>
      </c>
    </row>
    <row r="2537">
      <c r="A2537" t="n">
        <v>40</v>
      </c>
      <c r="B2537" t="n">
        <v>202408684</v>
      </c>
      <c r="C2537" t="n">
        <v>201908684</v>
      </c>
      <c r="D2537" t="inlineStr">
        <is>
          <t>genus</t>
        </is>
      </c>
      <c r="E2537" t="inlineStr">
        <is>
          <t>Polymycovirus</t>
        </is>
      </c>
      <c r="G2537" t="inlineStr">
        <is>
          <t>Split,</t>
        </is>
      </c>
      <c r="H2537" t="inlineStr">
        <is>
          <t>Plurimycovirus</t>
        </is>
      </c>
      <c r="I2537" t="inlineStr">
        <is>
          <t>genus</t>
        </is>
      </c>
      <c r="J2537" t="n">
        <v>202521671</v>
      </c>
      <c r="K2537" t="n">
        <v>202521671</v>
      </c>
      <c r="L2537" s="8">
        <f>HYPERLINK("https://test.ictv.global/id/TN202408684","TN202408684@TEST")</f>
        <v/>
      </c>
      <c r="M2537" s="8">
        <f>HYPERLINK("https://test.ictv.global/id/ICTV201908684","ICTV201908684@TEST")</f>
        <v/>
      </c>
      <c r="N2537" s="8">
        <f>HYPERLINK("https://ictv.global/id/TN202408684","TN202408684@prod")</f>
        <v/>
      </c>
      <c r="O2537" s="8">
        <f>HYPERLINK("https://ictv.global/id/ICTV201908684","ICTV201908684@prod")</f>
        <v/>
      </c>
    </row>
    <row r="2538">
      <c r="A2538" t="n">
        <v>40</v>
      </c>
      <c r="B2538" t="n">
        <v>202411579</v>
      </c>
      <c r="C2538" t="n">
        <v>202011579</v>
      </c>
      <c r="D2538" t="inlineStr">
        <is>
          <t>species</t>
        </is>
      </c>
      <c r="E2538" t="inlineStr">
        <is>
          <t>Pbunavirus PA8P1</t>
        </is>
      </c>
      <c r="F2538" t="inlineStr">
        <is>
          <t>MN131142.1</t>
        </is>
      </c>
      <c r="G2538" t="inlineStr">
        <is>
          <t>Abolished,</t>
        </is>
      </c>
      <c r="L2538" s="8">
        <f>HYPERLINK("https://test.ictv.global/id/TN202411579","TN202411579@TEST")</f>
        <v/>
      </c>
      <c r="M2538" s="8">
        <f>HYPERLINK("https://test.ictv.global/id/ICTV202011579","ICTV202011579@TEST")</f>
        <v/>
      </c>
      <c r="N2538" s="8">
        <f>HYPERLINK("https://ictv.global/id/TN202411579","TN202411579@prod")</f>
        <v/>
      </c>
      <c r="O2538" s="8">
        <f>HYPERLINK("https://ictv.global/id/ICTV202011579","ICTV202011579@prod")</f>
        <v/>
      </c>
    </row>
    <row r="2539">
      <c r="A2539" t="n">
        <v>40</v>
      </c>
      <c r="B2539" t="n">
        <v>202414264</v>
      </c>
      <c r="C2539" t="n">
        <v>202214264</v>
      </c>
      <c r="D2539" t="inlineStr">
        <is>
          <t>species</t>
        </is>
      </c>
      <c r="E2539" t="inlineStr">
        <is>
          <t>Laulavirus wardellense</t>
        </is>
      </c>
      <c r="F2539" t="inlineStr">
        <is>
          <t>L: MW741894; M: MW741894; S: MW741895</t>
        </is>
      </c>
      <c r="G2539" t="inlineStr">
        <is>
          <t>Abolished,</t>
        </is>
      </c>
      <c r="L2539" s="8">
        <f>HYPERLINK("https://test.ictv.global/id/TN202414264","TN202414264@TEST")</f>
        <v/>
      </c>
      <c r="M2539" s="8">
        <f>HYPERLINK("https://test.ictv.global/id/ICTV202214264","ICTV202214264@TEST")</f>
        <v/>
      </c>
      <c r="N2539" s="8">
        <f>HYPERLINK("https://ictv.global/id/TN202414264","TN202414264@prod")</f>
        <v/>
      </c>
      <c r="O2539" s="8">
        <f>HYPERLINK("https://ictv.global/id/ICTV202214264","ICTV202214264@prod")</f>
        <v/>
      </c>
    </row>
  </sheetData>
  <autoFilter ref="A1:O2539"/>
  <conditionalFormatting sqref="G1:G1048576">
    <cfRule type="containsText" priority="4" operator="containsText" dxfId="2" text="abolish">
      <formula>NOT(ISERROR(SEARCH("abolish",G1)))</formula>
    </cfRule>
    <cfRule type="containsText" priority="3" operator="containsText" dxfId="1" text="merge">
      <formula>NOT(ISERROR(SEARCH("merge",G1)))</formula>
    </cfRule>
    <cfRule type="containsText" priority="2" operator="containsText" dxfId="0" text="split">
      <formula>NOT(ISERROR(SEARCH("split",G1)))</formula>
    </cfRule>
    <cfRule type="containsText" priority="1" operator="containsText" dxfId="3" text="mote">
      <formula>NOT(ISERROR(SEARCH("mote",G1)))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:A32"/>
    </sheetView>
  </sheetViews>
  <sheetFormatPr baseColWidth="10" defaultRowHeight="16"/>
  <sheetData>
    <row r="1">
      <c r="A1" s="1" t="inlineStr">
        <is>
          <t>--</t>
        </is>
      </c>
    </row>
    <row r="2">
      <c r="A2" s="2" t="inlineStr">
        <is>
          <t>-- ICTVdatabase: query split, merged, promoted, demoted taxa</t>
        </is>
      </c>
    </row>
    <row r="3">
      <c r="A3" s="1" t="inlineStr">
        <is>
          <t>--</t>
        </is>
      </c>
    </row>
    <row r="4">
      <c r="A4" s="3" t="inlineStr">
        <is>
          <t>select msl_release_num,</t>
        </is>
      </c>
    </row>
    <row r="5">
      <c r="A5" s="2" t="inlineStr">
        <is>
          <t>-- prev</t>
        </is>
      </c>
    </row>
    <row r="6">
      <c r="A6" s="4" t="inlineStr">
        <is>
          <t>tnd.taxnode_id as prev_id,</t>
        </is>
      </c>
    </row>
    <row r="7">
      <c r="A7" s="4" t="inlineStr">
        <is>
          <t>tnd.ictv_id as prev_ictv_id,</t>
        </is>
      </c>
    </row>
    <row r="8">
      <c r="A8" s="4" t="inlineStr">
        <is>
          <t>pr.name as prev_rank,</t>
        </is>
      </c>
    </row>
    <row r="9">
      <c r="A9" s="4" t="inlineStr">
        <is>
          <t>tnd.name as prev_name,</t>
        </is>
      </c>
    </row>
    <row r="10">
      <c r="A10" s="4" t="inlineStr">
        <is>
          <t>tnd.genbank_accession_csv as accessions,</t>
        </is>
      </c>
    </row>
    <row r="11">
      <c r="A11" s="2" t="inlineStr">
        <is>
          <t>-- change</t>
        </is>
      </c>
    </row>
    <row r="12">
      <c r="A12" s="5" t="inlineStr">
        <is>
          <t>next_tags,</t>
        </is>
      </c>
    </row>
    <row r="13">
      <c r="A13" s="2" t="inlineStr">
        <is>
          <t>-- current</t>
        </is>
      </c>
    </row>
    <row r="14">
      <c r="A14" s="4" t="inlineStr">
        <is>
          <t>tnd.next_name as next_name,</t>
        </is>
      </c>
    </row>
    <row r="15">
      <c r="A15" s="4" t="inlineStr">
        <is>
          <t>nr.name as next_rank,</t>
        </is>
      </c>
    </row>
    <row r="16">
      <c r="A16" s="4" t="inlineStr">
        <is>
          <t>tnd.next_ictv_id as next_ictv_id,</t>
        </is>
      </c>
    </row>
    <row r="17">
      <c r="A17" s="4" t="inlineStr">
        <is>
          <t>tnd.next_id as next_id,</t>
        </is>
      </c>
    </row>
    <row r="18">
      <c r="A18" s="2" t="inlineStr">
        <is>
          <t>-- URLs</t>
        </is>
      </c>
    </row>
    <row r="19">
      <c r="A19" s="6" t="inlineStr">
        <is>
          <t>CONCAT('=HYPERLINK("https://test.ictv.global/id/TN', tnd.taxnode_id,'","TN',tnd.taxnode_id,'@TEST")') AS test_taxnode_url,</t>
        </is>
      </c>
    </row>
    <row r="20">
      <c r="A20" s="6" t="inlineStr">
        <is>
          <t>CONCAT('=HYPERLINK("https://test.ictv.global/id/ICTV', tnd.ictv_id,'","ICTV',tnd.ictv_id,'@TEST")') AS test_ictv_url,</t>
        </is>
      </c>
    </row>
    <row r="21">
      <c r="A21" s="6" t="inlineStr">
        <is>
          <t>CONCAT('=HYPERLINK("https://ictv.global/id/TN', tnd.taxnode_id,'","TN',tnd.taxnode_id,'@prod")') AS prod_taxnode_url,</t>
        </is>
      </c>
    </row>
    <row r="22">
      <c r="A22" s="6" t="inlineStr">
        <is>
          <t>CONCAT('=HYPERLINK("https://ictv.global/id/ICTV', tnd.ictv_id,'","ICTV',tnd.ictv_id,'@prod")') AS prod_ictv_url</t>
        </is>
      </c>
    </row>
    <row r="23">
      <c r="A23" s="3" t="inlineStr">
        <is>
          <t>from taxonomy_node_dx tnd</t>
        </is>
      </c>
    </row>
    <row r="24">
      <c r="A24" s="3" t="inlineStr">
        <is>
          <t>join taxonomy_level pr on pr.id = tnd.level_id</t>
        </is>
      </c>
    </row>
    <row r="25">
      <c r="A25" s="3" t="inlineStr">
        <is>
          <t>left outer join taxonomy_level nr on nr.id = tnd.next_level</t>
        </is>
      </c>
    </row>
    <row r="26">
      <c r="A26" s="3" t="inlineStr">
        <is>
          <t>where (</t>
        </is>
      </c>
    </row>
    <row r="27">
      <c r="A27" s="4" t="inlineStr">
        <is>
          <t>tnd.next_tags like '%moted%'</t>
        </is>
      </c>
    </row>
    <row r="28">
      <c r="A28" s="3" t="inlineStr">
        <is>
          <t>or tnd.next_tags like '%split%'</t>
        </is>
      </c>
    </row>
    <row r="29">
      <c r="A29" s="3" t="inlineStr">
        <is>
          <t>or tnd.next_tags like '%merge%'</t>
        </is>
      </c>
    </row>
    <row r="30">
      <c r="A30" s="3" t="inlineStr">
        <is>
          <t>or tnd.next_tags like '%abolish%'</t>
        </is>
      </c>
    </row>
    <row r="31">
      <c r="A31" s="1" t="inlineStr">
        <is>
          <t>)</t>
        </is>
      </c>
    </row>
    <row r="32">
      <c r="A32" s="3" t="inlineStr">
        <is>
          <t>order by tnd.msl_release_num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Hendrickson, Curtis (Campus)</dc:creator>
  <dcterms:created xsi:type="dcterms:W3CDTF">2026-09-30T16:24:31Z</dcterms:created>
  <dcterms:modified xsi:type="dcterms:W3CDTF">2026-10-01T14:18:32Z</dcterms:modified>
  <cp:lastModifiedBy>Hendrickson, Curtis (Campus)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e7542bc-63e5-412b-b0a0-d9586028a7d0_Enabled" fmtid="{D5CDD505-2E9C-101B-9397-08002B2CF9AE}" pid="2">
    <vt:lpwstr>true</vt:lpwstr>
  </property>
  <property name="MSIP_Label_ae7542bc-63e5-412b-b0a0-d9586028a7d0_SetDate" fmtid="{D5CDD505-2E9C-101B-9397-08002B2CF9AE}" pid="3">
    <vt:lpwstr>2026-09-30T17:23:53Z</vt:lpwstr>
  </property>
  <property name="MSIP_Label_ae7542bc-63e5-412b-b0a0-d9586028a7d0_Method" fmtid="{D5CDD505-2E9C-101B-9397-08002B2CF9AE}" pid="4">
    <vt:lpwstr>Standard</vt:lpwstr>
  </property>
  <property name="MSIP_Label_ae7542bc-63e5-412b-b0a0-d9586028a7d0_Name" fmtid="{D5CDD505-2E9C-101B-9397-08002B2CF9AE}" pid="5">
    <vt:lpwstr>Sensitive</vt:lpwstr>
  </property>
  <property name="MSIP_Label_ae7542bc-63e5-412b-b0a0-d9586028a7d0_SiteId" fmtid="{D5CDD505-2E9C-101B-9397-08002B2CF9AE}" pid="6">
    <vt:lpwstr>d8999fe4-76af-40b3-b435-1d8977abc08c</vt:lpwstr>
  </property>
  <property name="MSIP_Label_ae7542bc-63e5-412b-b0a0-d9586028a7d0_ActionId" fmtid="{D5CDD505-2E9C-101B-9397-08002B2CF9AE}" pid="7">
    <vt:lpwstr>ff1acca9-2078-4c31-83fa-cd55685ca756</vt:lpwstr>
  </property>
  <property name="MSIP_Label_ae7542bc-63e5-412b-b0a0-d9586028a7d0_ContentBits" fmtid="{D5CDD505-2E9C-101B-9397-08002B2CF9AE}" pid="8">
    <vt:lpwstr>0</vt:lpwstr>
  </property>
  <property name="MSIP_Label_ae7542bc-63e5-412b-b0a0-d9586028a7d0_Tag" fmtid="{D5CDD505-2E9C-101B-9397-08002B2CF9AE}" pid="9">
    <vt:lpwstr>50, 3, 0, 1</vt:lpwstr>
  </property>
</Properties>
</file>